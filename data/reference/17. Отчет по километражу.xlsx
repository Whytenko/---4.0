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-kglfl03.corp.lukoil.com\OPGRGI_PovhNG\Отчеты\"/>
    </mc:Choice>
  </mc:AlternateContent>
  <bookViews>
    <workbookView minimized="1" xWindow="-120" yWindow="-120" windowWidth="29040" windowHeight="17640" tabRatio="519"/>
  </bookViews>
  <sheets>
    <sheet name="Sheet1" sheetId="1" r:id="rId1"/>
    <sheet name="Лист1" sheetId="2" r:id="rId2"/>
  </sheets>
  <definedNames>
    <definedName name="_xlnm._FilterDatabase" localSheetId="0" hidden="1">Sheet1!$A$2:$M$755</definedName>
    <definedName name="_xlnm._FilterDatabase" localSheetId="1" hidden="1">Лист1!$C$8:$I$216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2" i="1" l="1"/>
  <c r="F710" i="1"/>
  <c r="H384" i="1"/>
  <c r="I384" i="1"/>
  <c r="J384" i="1"/>
  <c r="I66" i="1" l="1"/>
  <c r="H66" i="1"/>
  <c r="F66" i="1"/>
  <c r="J66" i="1" s="1"/>
  <c r="H459" i="1" l="1"/>
  <c r="I459" i="1"/>
  <c r="J459" i="1"/>
  <c r="H751" i="1" l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J423" i="1" l="1"/>
  <c r="I423" i="1"/>
  <c r="H423" i="1"/>
  <c r="J41" i="1" l="1"/>
  <c r="I41" i="1"/>
  <c r="H41" i="1"/>
  <c r="J746" i="1" l="1"/>
  <c r="I746" i="1"/>
  <c r="H746" i="1"/>
  <c r="J348" i="1" l="1"/>
  <c r="I348" i="1"/>
  <c r="H348" i="1"/>
  <c r="H744" i="1" l="1"/>
  <c r="I744" i="1"/>
  <c r="J744" i="1"/>
  <c r="H690" i="1"/>
  <c r="I690" i="1"/>
  <c r="J690" i="1"/>
  <c r="H611" i="1"/>
  <c r="I611" i="1"/>
  <c r="J611" i="1"/>
  <c r="H275" i="1"/>
  <c r="I275" i="1"/>
  <c r="J275" i="1"/>
  <c r="J13" i="1" l="1"/>
  <c r="I13" i="1"/>
  <c r="H13" i="1"/>
  <c r="I689" i="1" l="1"/>
  <c r="J689" i="1"/>
  <c r="H689" i="1"/>
  <c r="H688" i="1"/>
  <c r="I688" i="1"/>
  <c r="J688" i="1"/>
  <c r="J674" i="1"/>
  <c r="I674" i="1"/>
  <c r="H674" i="1"/>
  <c r="H531" i="1" l="1"/>
  <c r="I531" i="1"/>
  <c r="J531" i="1"/>
  <c r="H94" i="1"/>
  <c r="I94" i="1"/>
  <c r="J94" i="1"/>
  <c r="H54" i="1"/>
  <c r="I54" i="1"/>
  <c r="J54" i="1"/>
  <c r="I743" i="1" l="1"/>
  <c r="H743" i="1"/>
  <c r="J743" i="1" l="1"/>
  <c r="J71" i="1" l="1"/>
  <c r="I71" i="1"/>
  <c r="H71" i="1"/>
  <c r="J716" i="1" l="1"/>
  <c r="J711" i="1"/>
  <c r="J671" i="1"/>
  <c r="J669" i="1"/>
  <c r="J628" i="1"/>
  <c r="J319" i="1"/>
  <c r="J318" i="1"/>
  <c r="I716" i="1"/>
  <c r="I711" i="1"/>
  <c r="I671" i="1"/>
  <c r="I669" i="1"/>
  <c r="I628" i="1"/>
  <c r="I319" i="1"/>
  <c r="I318" i="1"/>
  <c r="H716" i="1"/>
  <c r="H711" i="1"/>
  <c r="H671" i="1"/>
  <c r="H669" i="1"/>
  <c r="H628" i="1"/>
  <c r="H319" i="1"/>
  <c r="H318" i="1"/>
  <c r="H742" i="1" l="1"/>
  <c r="I742" i="1"/>
  <c r="J742" i="1"/>
  <c r="H160" i="1"/>
  <c r="I160" i="1"/>
  <c r="J160" i="1"/>
  <c r="H359" i="1" l="1"/>
  <c r="I359" i="1"/>
  <c r="J359" i="1"/>
  <c r="H497" i="1" l="1"/>
  <c r="J497" i="1"/>
  <c r="I497" i="1"/>
  <c r="H270" i="1" l="1"/>
  <c r="I270" i="1"/>
  <c r="J270" i="1"/>
  <c r="H267" i="1"/>
  <c r="I267" i="1"/>
  <c r="J267" i="1"/>
  <c r="H268" i="1"/>
  <c r="I268" i="1"/>
  <c r="H269" i="1"/>
  <c r="I269" i="1"/>
  <c r="J269" i="1"/>
  <c r="H26" i="1" l="1"/>
  <c r="I26" i="1"/>
  <c r="J26" i="1"/>
  <c r="H350" i="1" l="1"/>
  <c r="I350" i="1"/>
  <c r="J350" i="1"/>
  <c r="J563" i="1" l="1"/>
  <c r="I563" i="1"/>
  <c r="H563" i="1"/>
  <c r="H730" i="1" l="1"/>
  <c r="I730" i="1"/>
  <c r="J730" i="1"/>
  <c r="H579" i="1"/>
  <c r="I579" i="1"/>
  <c r="J579" i="1"/>
  <c r="H536" i="1"/>
  <c r="I536" i="1"/>
  <c r="J536" i="1"/>
  <c r="H508" i="1"/>
  <c r="I508" i="1"/>
  <c r="J508" i="1"/>
  <c r="H403" i="1"/>
  <c r="I403" i="1"/>
  <c r="J403" i="1"/>
  <c r="H358" i="1"/>
  <c r="I358" i="1"/>
  <c r="J358" i="1"/>
  <c r="H187" i="1" l="1"/>
  <c r="I187" i="1"/>
  <c r="J187" i="1"/>
  <c r="H286" i="1"/>
  <c r="I286" i="1"/>
  <c r="J286" i="1"/>
  <c r="J368" i="1" l="1"/>
  <c r="I368" i="1"/>
  <c r="H368" i="1"/>
  <c r="J741" i="1" l="1"/>
  <c r="I741" i="1"/>
  <c r="H741" i="1"/>
  <c r="H273" i="1" l="1"/>
  <c r="I273" i="1"/>
  <c r="J273" i="1"/>
  <c r="J745" i="1" l="1"/>
  <c r="J747" i="1"/>
  <c r="J748" i="1"/>
  <c r="J749" i="1"/>
  <c r="J750" i="1"/>
  <c r="I745" i="1"/>
  <c r="I747" i="1"/>
  <c r="I748" i="1"/>
  <c r="I749" i="1"/>
  <c r="I750" i="1"/>
  <c r="H745" i="1"/>
  <c r="H747" i="1"/>
  <c r="H748" i="1"/>
  <c r="H749" i="1"/>
  <c r="H750" i="1"/>
  <c r="J715" i="1"/>
  <c r="I715" i="1"/>
  <c r="H715" i="1"/>
  <c r="J70" i="1" l="1"/>
  <c r="I70" i="1"/>
  <c r="H70" i="1"/>
  <c r="H634" i="1" l="1"/>
  <c r="I634" i="1"/>
  <c r="J634" i="1"/>
  <c r="I697" i="1" l="1"/>
  <c r="H697" i="1"/>
  <c r="I629" i="1"/>
  <c r="H629" i="1"/>
  <c r="I343" i="1" l="1"/>
  <c r="I344" i="1"/>
  <c r="J343" i="1"/>
  <c r="J344" i="1"/>
  <c r="H343" i="1"/>
  <c r="H344" i="1"/>
  <c r="F713" i="1" l="1"/>
  <c r="F714" i="1"/>
  <c r="F729" i="1" l="1"/>
  <c r="F728" i="1"/>
  <c r="F727" i="1"/>
  <c r="F724" i="1"/>
  <c r="F722" i="1"/>
  <c r="F719" i="1"/>
  <c r="F718" i="1"/>
  <c r="F703" i="1"/>
  <c r="F700" i="1"/>
  <c r="F694" i="1"/>
  <c r="F667" i="1"/>
  <c r="F666" i="1"/>
  <c r="F665" i="1"/>
  <c r="F664" i="1"/>
  <c r="F663" i="1"/>
  <c r="F662" i="1"/>
  <c r="F658" i="1"/>
  <c r="F657" i="1"/>
  <c r="F656" i="1"/>
  <c r="F654" i="1"/>
  <c r="F653" i="1"/>
  <c r="F652" i="1"/>
  <c r="F651" i="1"/>
  <c r="F649" i="1"/>
  <c r="F648" i="1"/>
  <c r="F647" i="1"/>
  <c r="F646" i="1"/>
  <c r="F645" i="1"/>
  <c r="F643" i="1"/>
  <c r="F642" i="1"/>
  <c r="F641" i="1"/>
  <c r="F640" i="1"/>
  <c r="F639" i="1"/>
  <c r="F638" i="1"/>
  <c r="F637" i="1"/>
  <c r="F636" i="1"/>
  <c r="F635" i="1"/>
  <c r="F632" i="1"/>
  <c r="F631" i="1"/>
  <c r="F630" i="1"/>
  <c r="F625" i="1"/>
  <c r="F624" i="1"/>
  <c r="F623" i="1"/>
  <c r="F622" i="1"/>
  <c r="F621" i="1"/>
  <c r="F619" i="1"/>
  <c r="F618" i="1"/>
  <c r="F617" i="1"/>
  <c r="F615" i="1"/>
  <c r="F614" i="1"/>
  <c r="F613" i="1"/>
  <c r="F608" i="1"/>
  <c r="F607" i="1"/>
  <c r="F606" i="1"/>
  <c r="F604" i="1"/>
  <c r="F602" i="1"/>
  <c r="F601" i="1"/>
  <c r="F599" i="1"/>
  <c r="F598" i="1"/>
  <c r="F596" i="1"/>
  <c r="F595" i="1"/>
  <c r="F592" i="1"/>
  <c r="F591" i="1"/>
  <c r="F590" i="1"/>
  <c r="F589" i="1"/>
  <c r="F588" i="1"/>
  <c r="F587" i="1"/>
  <c r="F584" i="1"/>
  <c r="F583" i="1"/>
  <c r="F582" i="1"/>
  <c r="F581" i="1"/>
  <c r="F580" i="1"/>
  <c r="F578" i="1"/>
  <c r="F577" i="1"/>
  <c r="F574" i="1"/>
  <c r="F573" i="1"/>
  <c r="F572" i="1"/>
  <c r="F556" i="1"/>
  <c r="F528" i="1"/>
  <c r="F515" i="1"/>
  <c r="F512" i="1"/>
  <c r="F511" i="1"/>
  <c r="F510" i="1"/>
  <c r="F509" i="1"/>
  <c r="F506" i="1"/>
  <c r="F505" i="1"/>
  <c r="F504" i="1"/>
  <c r="F503" i="1"/>
  <c r="F502" i="1"/>
  <c r="F501" i="1"/>
  <c r="F500" i="1"/>
  <c r="F498" i="1"/>
  <c r="F494" i="1"/>
  <c r="F490" i="1"/>
  <c r="F488" i="1"/>
  <c r="F485" i="1"/>
  <c r="F484" i="1"/>
  <c r="F483" i="1"/>
  <c r="F482" i="1"/>
  <c r="F481" i="1"/>
  <c r="F480" i="1"/>
  <c r="F479" i="1"/>
  <c r="F478" i="1"/>
  <c r="F477" i="1"/>
  <c r="F474" i="1"/>
  <c r="F473" i="1"/>
  <c r="F472" i="1"/>
  <c r="F471" i="1"/>
  <c r="F470" i="1"/>
  <c r="F468" i="1"/>
  <c r="F467" i="1"/>
  <c r="F466" i="1"/>
  <c r="F464" i="1"/>
  <c r="F463" i="1"/>
  <c r="F460" i="1"/>
  <c r="F458" i="1"/>
  <c r="F456" i="1"/>
  <c r="F455" i="1"/>
  <c r="F453" i="1"/>
  <c r="F451" i="1"/>
  <c r="F450" i="1"/>
  <c r="F449" i="1"/>
  <c r="F447" i="1"/>
  <c r="F445" i="1"/>
  <c r="F444" i="1"/>
  <c r="F443" i="1"/>
  <c r="F442" i="1"/>
  <c r="F440" i="1"/>
  <c r="F438" i="1"/>
  <c r="F436" i="1"/>
  <c r="F435" i="1"/>
  <c r="F434" i="1"/>
  <c r="F430" i="1"/>
  <c r="F426" i="1"/>
  <c r="F422" i="1"/>
  <c r="F421" i="1"/>
  <c r="F420" i="1"/>
  <c r="F419" i="1"/>
  <c r="F416" i="1"/>
  <c r="F415" i="1"/>
  <c r="F414" i="1"/>
  <c r="F413" i="1"/>
  <c r="F411" i="1"/>
  <c r="F409" i="1"/>
  <c r="F400" i="1"/>
  <c r="F399" i="1"/>
  <c r="F398" i="1"/>
  <c r="F396" i="1"/>
  <c r="F395" i="1"/>
  <c r="F394" i="1"/>
  <c r="F392" i="1"/>
  <c r="F391" i="1"/>
  <c r="F390" i="1"/>
  <c r="F389" i="1"/>
  <c r="F388" i="1"/>
  <c r="F387" i="1"/>
  <c r="F386" i="1"/>
  <c r="F382" i="1"/>
  <c r="F375" i="1"/>
  <c r="F371" i="1"/>
  <c r="F370" i="1"/>
  <c r="F369" i="1"/>
  <c r="F367" i="1"/>
  <c r="F366" i="1"/>
  <c r="F365" i="1"/>
  <c r="F364" i="1"/>
  <c r="F363" i="1"/>
  <c r="F362" i="1"/>
  <c r="F361" i="1"/>
  <c r="F360" i="1"/>
  <c r="F342" i="1"/>
  <c r="F339" i="1"/>
  <c r="F322" i="1"/>
  <c r="F321" i="1"/>
  <c r="F320" i="1"/>
  <c r="F313" i="1"/>
  <c r="F312" i="1"/>
  <c r="F306" i="1"/>
  <c r="F305" i="1"/>
  <c r="F304" i="1"/>
  <c r="F303" i="1"/>
  <c r="F301" i="1"/>
  <c r="F300" i="1"/>
  <c r="F298" i="1"/>
  <c r="F297" i="1"/>
  <c r="F296" i="1"/>
  <c r="F295" i="1"/>
  <c r="F294" i="1"/>
  <c r="F293" i="1"/>
  <c r="F288" i="1"/>
  <c r="F287" i="1"/>
  <c r="F285" i="1"/>
  <c r="F284" i="1"/>
  <c r="F282" i="1"/>
  <c r="F279" i="1"/>
  <c r="F274" i="1"/>
  <c r="F268" i="1"/>
  <c r="J268" i="1" s="1"/>
  <c r="F263" i="1"/>
  <c r="F260" i="1"/>
  <c r="F259" i="1"/>
  <c r="F258" i="1"/>
  <c r="F238" i="1"/>
  <c r="F237" i="1"/>
  <c r="F235" i="1"/>
  <c r="F231" i="1"/>
  <c r="F230" i="1"/>
  <c r="F229" i="1"/>
  <c r="F226" i="1"/>
  <c r="F225" i="1"/>
  <c r="F224" i="1"/>
  <c r="F222" i="1"/>
  <c r="F221" i="1"/>
  <c r="F220" i="1"/>
  <c r="F219" i="1"/>
  <c r="F216" i="1"/>
  <c r="F215" i="1"/>
  <c r="F214" i="1"/>
  <c r="F213" i="1"/>
  <c r="F212" i="1"/>
  <c r="F211" i="1"/>
  <c r="F210" i="1"/>
  <c r="F208" i="1"/>
  <c r="F206" i="1"/>
  <c r="F205" i="1"/>
  <c r="F204" i="1"/>
  <c r="F203" i="1"/>
  <c r="F202" i="1"/>
  <c r="F201" i="1"/>
  <c r="F200" i="1"/>
  <c r="F199" i="1"/>
  <c r="F198" i="1"/>
  <c r="F196" i="1"/>
  <c r="F194" i="1"/>
  <c r="F193" i="1"/>
  <c r="F191" i="1"/>
  <c r="F190" i="1"/>
  <c r="F189" i="1"/>
  <c r="F188" i="1"/>
  <c r="F186" i="1"/>
  <c r="F185" i="1"/>
  <c r="F184" i="1"/>
  <c r="F178" i="1"/>
  <c r="F174" i="1"/>
  <c r="F173" i="1"/>
  <c r="F172" i="1"/>
  <c r="F170" i="1"/>
  <c r="F169" i="1"/>
  <c r="F168" i="1"/>
  <c r="F166" i="1"/>
  <c r="F164" i="1"/>
  <c r="F162" i="1"/>
  <c r="F159" i="1"/>
  <c r="F158" i="1"/>
  <c r="F157" i="1"/>
  <c r="F156" i="1"/>
  <c r="F155" i="1"/>
  <c r="F154" i="1"/>
  <c r="F153" i="1"/>
  <c r="F152" i="1"/>
  <c r="F151" i="1"/>
  <c r="F150" i="1"/>
  <c r="F146" i="1"/>
  <c r="F144" i="1"/>
  <c r="F142" i="1"/>
  <c r="F140" i="1"/>
  <c r="F138" i="1"/>
  <c r="F136" i="1"/>
  <c r="F135" i="1"/>
  <c r="F134" i="1"/>
  <c r="F133" i="1"/>
  <c r="F129" i="1"/>
  <c r="F128" i="1"/>
  <c r="F126" i="1"/>
  <c r="F124" i="1"/>
  <c r="F123" i="1"/>
  <c r="F121" i="1"/>
  <c r="F120" i="1"/>
  <c r="F119" i="1"/>
  <c r="F118" i="1"/>
  <c r="F116" i="1"/>
  <c r="F114" i="1"/>
  <c r="F111" i="1"/>
  <c r="F109" i="1"/>
  <c r="F107" i="1"/>
  <c r="F106" i="1"/>
  <c r="F105" i="1"/>
  <c r="F104" i="1"/>
  <c r="F103" i="1"/>
  <c r="F102" i="1"/>
  <c r="F100" i="1"/>
  <c r="F99" i="1"/>
  <c r="F98" i="1"/>
  <c r="F97" i="1"/>
  <c r="F96" i="1"/>
  <c r="F95" i="1"/>
  <c r="F91" i="1"/>
  <c r="F90" i="1"/>
  <c r="F88" i="1"/>
  <c r="F85" i="1"/>
  <c r="F75" i="1"/>
  <c r="F74" i="1"/>
  <c r="F72" i="1"/>
  <c r="F65" i="1"/>
  <c r="F49" i="1"/>
  <c r="F48" i="1"/>
  <c r="F39" i="1"/>
  <c r="F33" i="1"/>
  <c r="F32" i="1"/>
  <c r="F28" i="1"/>
  <c r="F23" i="1"/>
  <c r="F17" i="1"/>
  <c r="F4" i="1"/>
  <c r="F3" i="1"/>
  <c r="J4" i="1" l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43" i="1"/>
  <c r="J44" i="1"/>
  <c r="J45" i="1"/>
  <c r="J46" i="1"/>
  <c r="J47" i="1"/>
  <c r="J48" i="1"/>
  <c r="J49" i="1"/>
  <c r="J50" i="1"/>
  <c r="J51" i="1"/>
  <c r="J52" i="1"/>
  <c r="J53" i="1"/>
  <c r="J55" i="1"/>
  <c r="J56" i="1"/>
  <c r="J57" i="1"/>
  <c r="J58" i="1"/>
  <c r="J59" i="1"/>
  <c r="J60" i="1"/>
  <c r="J61" i="1"/>
  <c r="J62" i="1"/>
  <c r="J63" i="1"/>
  <c r="J64" i="1"/>
  <c r="J65" i="1"/>
  <c r="J67" i="1"/>
  <c r="J68" i="1"/>
  <c r="J69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71" i="1"/>
  <c r="J272" i="1"/>
  <c r="J274" i="1"/>
  <c r="J276" i="1"/>
  <c r="J277" i="1"/>
  <c r="J278" i="1"/>
  <c r="J279" i="1"/>
  <c r="J280" i="1"/>
  <c r="J281" i="1"/>
  <c r="J282" i="1"/>
  <c r="J283" i="1"/>
  <c r="J284" i="1"/>
  <c r="J285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5" i="1"/>
  <c r="J346" i="1"/>
  <c r="J347" i="1"/>
  <c r="J349" i="1"/>
  <c r="J351" i="1"/>
  <c r="J352" i="1"/>
  <c r="J353" i="1"/>
  <c r="J354" i="1"/>
  <c r="J355" i="1"/>
  <c r="J356" i="1"/>
  <c r="J357" i="1"/>
  <c r="J360" i="1"/>
  <c r="J361" i="1"/>
  <c r="J362" i="1"/>
  <c r="J363" i="1"/>
  <c r="J364" i="1"/>
  <c r="J365" i="1"/>
  <c r="J366" i="1"/>
  <c r="J367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4" i="1"/>
  <c r="J405" i="1"/>
  <c r="J406" i="1"/>
  <c r="J407" i="1"/>
  <c r="J408" i="1"/>
  <c r="J409" i="1"/>
  <c r="J410" i="1"/>
  <c r="J411" i="1"/>
  <c r="J413" i="1"/>
  <c r="J414" i="1"/>
  <c r="J415" i="1"/>
  <c r="J416" i="1"/>
  <c r="J417" i="1"/>
  <c r="J418" i="1"/>
  <c r="J419" i="1"/>
  <c r="J420" i="1"/>
  <c r="J421" i="1"/>
  <c r="J422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8" i="1"/>
  <c r="J499" i="1"/>
  <c r="J500" i="1"/>
  <c r="J501" i="1"/>
  <c r="J502" i="1"/>
  <c r="J503" i="1"/>
  <c r="J504" i="1"/>
  <c r="J505" i="1"/>
  <c r="J506" i="1"/>
  <c r="J507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2" i="1"/>
  <c r="J533" i="1"/>
  <c r="J534" i="1"/>
  <c r="J535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30" i="1"/>
  <c r="J631" i="1"/>
  <c r="J632" i="1"/>
  <c r="J633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70" i="1"/>
  <c r="J672" i="1"/>
  <c r="J673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91" i="1"/>
  <c r="J692" i="1"/>
  <c r="J693" i="1"/>
  <c r="J694" i="1"/>
  <c r="J695" i="1"/>
  <c r="J696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2" i="1"/>
  <c r="J713" i="1"/>
  <c r="J714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1" i="1"/>
  <c r="J732" i="1"/>
  <c r="J733" i="1"/>
  <c r="J734" i="1"/>
  <c r="J735" i="1"/>
  <c r="J736" i="1"/>
  <c r="J737" i="1"/>
  <c r="J738" i="1"/>
  <c r="J739" i="1"/>
  <c r="J740" i="1"/>
  <c r="J3" i="1"/>
  <c r="I4" i="1"/>
  <c r="I5" i="1"/>
  <c r="I6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6" i="1"/>
  <c r="I47" i="1"/>
  <c r="I48" i="1"/>
  <c r="I49" i="1"/>
  <c r="I50" i="1"/>
  <c r="I51" i="1"/>
  <c r="I52" i="1"/>
  <c r="I53" i="1"/>
  <c r="I55" i="1"/>
  <c r="I56" i="1"/>
  <c r="I57" i="1"/>
  <c r="I58" i="1"/>
  <c r="I59" i="1"/>
  <c r="I60" i="1"/>
  <c r="I61" i="1"/>
  <c r="I62" i="1"/>
  <c r="I63" i="1"/>
  <c r="I64" i="1"/>
  <c r="I65" i="1"/>
  <c r="I67" i="1"/>
  <c r="I68" i="1"/>
  <c r="I69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71" i="1"/>
  <c r="I272" i="1"/>
  <c r="I274" i="1"/>
  <c r="I276" i="1"/>
  <c r="I277" i="1"/>
  <c r="I278" i="1"/>
  <c r="I279" i="1"/>
  <c r="I280" i="1"/>
  <c r="I281" i="1"/>
  <c r="I282" i="1"/>
  <c r="I283" i="1"/>
  <c r="I284" i="1"/>
  <c r="I285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5" i="1"/>
  <c r="I346" i="1"/>
  <c r="I347" i="1"/>
  <c r="I349" i="1"/>
  <c r="I351" i="1"/>
  <c r="I352" i="1"/>
  <c r="I353" i="1"/>
  <c r="I354" i="1"/>
  <c r="I355" i="1"/>
  <c r="I356" i="1"/>
  <c r="I357" i="1"/>
  <c r="I360" i="1"/>
  <c r="I361" i="1"/>
  <c r="I362" i="1"/>
  <c r="I363" i="1"/>
  <c r="I364" i="1"/>
  <c r="I365" i="1"/>
  <c r="I366" i="1"/>
  <c r="I367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8" i="1"/>
  <c r="I499" i="1"/>
  <c r="I500" i="1"/>
  <c r="I501" i="1"/>
  <c r="I502" i="1"/>
  <c r="I503" i="1"/>
  <c r="I504" i="1"/>
  <c r="I505" i="1"/>
  <c r="I506" i="1"/>
  <c r="I507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2" i="1"/>
  <c r="I533" i="1"/>
  <c r="I534" i="1"/>
  <c r="I535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30" i="1"/>
  <c r="I631" i="1"/>
  <c r="I632" i="1"/>
  <c r="I633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70" i="1"/>
  <c r="I672" i="1"/>
  <c r="I673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91" i="1"/>
  <c r="I692" i="1"/>
  <c r="I693" i="1"/>
  <c r="I694" i="1"/>
  <c r="I695" i="1"/>
  <c r="I696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1" i="1"/>
  <c r="I732" i="1"/>
  <c r="I733" i="1"/>
  <c r="I734" i="1"/>
  <c r="I735" i="1"/>
  <c r="I736" i="1"/>
  <c r="I737" i="1"/>
  <c r="I738" i="1"/>
  <c r="I739" i="1"/>
  <c r="I740" i="1"/>
  <c r="I3" i="1"/>
  <c r="H4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71" i="1"/>
  <c r="H272" i="1"/>
  <c r="H274" i="1"/>
  <c r="H276" i="1"/>
  <c r="H277" i="1"/>
  <c r="H278" i="1"/>
  <c r="H279" i="1"/>
  <c r="H280" i="1"/>
  <c r="H281" i="1"/>
  <c r="H282" i="1"/>
  <c r="H283" i="1"/>
  <c r="H284" i="1"/>
  <c r="H285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5" i="1"/>
  <c r="H346" i="1"/>
  <c r="H347" i="1"/>
  <c r="H349" i="1"/>
  <c r="H351" i="1"/>
  <c r="H352" i="1"/>
  <c r="H353" i="1"/>
  <c r="H354" i="1"/>
  <c r="H355" i="1"/>
  <c r="H356" i="1"/>
  <c r="H357" i="1"/>
  <c r="H360" i="1"/>
  <c r="H361" i="1"/>
  <c r="H362" i="1"/>
  <c r="H363" i="1"/>
  <c r="H364" i="1"/>
  <c r="H365" i="1"/>
  <c r="H366" i="1"/>
  <c r="H367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8" i="1"/>
  <c r="H499" i="1"/>
  <c r="H500" i="1"/>
  <c r="H501" i="1"/>
  <c r="H502" i="1"/>
  <c r="H503" i="1"/>
  <c r="H504" i="1"/>
  <c r="H505" i="1"/>
  <c r="H506" i="1"/>
  <c r="H507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2" i="1"/>
  <c r="H533" i="1"/>
  <c r="H534" i="1"/>
  <c r="H535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30" i="1"/>
  <c r="H631" i="1"/>
  <c r="H632" i="1"/>
  <c r="H633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70" i="1"/>
  <c r="H672" i="1"/>
  <c r="H673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91" i="1"/>
  <c r="H692" i="1"/>
  <c r="H693" i="1"/>
  <c r="H694" i="1"/>
  <c r="H695" i="1"/>
  <c r="H696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2" i="1"/>
  <c r="H713" i="1"/>
  <c r="H714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1" i="1"/>
  <c r="H732" i="1"/>
  <c r="H733" i="1"/>
  <c r="H734" i="1"/>
  <c r="H735" i="1"/>
  <c r="H736" i="1"/>
  <c r="H737" i="1"/>
  <c r="H738" i="1"/>
  <c r="H739" i="1"/>
  <c r="H740" i="1"/>
  <c r="H3" i="1"/>
  <c r="J139" i="1"/>
  <c r="I139" i="1"/>
</calcChain>
</file>

<file path=xl/comments1.xml><?xml version="1.0" encoding="utf-8"?>
<comments xmlns="http://schemas.openxmlformats.org/spreadsheetml/2006/main">
  <authors>
    <author>Васищева Алена Юрьевна</author>
  </authors>
  <commentList>
    <comment ref="G2" authorId="0" shapeId="0">
      <text>
        <r>
          <rPr>
            <sz val="8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 xml:space="preserve">c 01 апреля по 30 октября  </t>
        </r>
        <r>
          <rPr>
            <b/>
            <sz val="8"/>
            <color indexed="81"/>
            <rFont val="Cambria"/>
            <family val="1"/>
            <charset val="204"/>
            <scheme val="major"/>
          </rPr>
          <t>БЕЗДОРОЖЬЕ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>с 01 ноября по 31 марта : Ⅲ категория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8"/>
            <color indexed="81"/>
            <rFont val="Tahoma"/>
            <family val="2"/>
            <charset val="204"/>
          </rPr>
          <t xml:space="preserve">если бездорожье=0, тогда мы берем 2 категорию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<sst xmlns="http://schemas.openxmlformats.org/spreadsheetml/2006/main" count="1352" uniqueCount="249">
  <si>
    <t xml:space="preserve">Расстояния до кустов в одну сторону </t>
  </si>
  <si>
    <t>Ватьеганское</t>
  </si>
  <si>
    <t>Б</t>
  </si>
  <si>
    <t>П</t>
  </si>
  <si>
    <t>А</t>
  </si>
  <si>
    <t>Р</t>
  </si>
  <si>
    <t>Повховское</t>
  </si>
  <si>
    <t>Выинтойское</t>
  </si>
  <si>
    <t>Усть-Котухтинское</t>
  </si>
  <si>
    <t>Восточно-Придорожное</t>
  </si>
  <si>
    <t>Местрождение (Площадь)</t>
  </si>
  <si>
    <t>№ куста</t>
  </si>
  <si>
    <t>Вид куста</t>
  </si>
  <si>
    <t>46Б</t>
  </si>
  <si>
    <t>Свободное</t>
  </si>
  <si>
    <t xml:space="preserve">Восточно-Придорожное </t>
  </si>
  <si>
    <t>Северо-Ватьеганское</t>
  </si>
  <si>
    <t>Западно-Котухтинское</t>
  </si>
  <si>
    <t>Ц</t>
  </si>
  <si>
    <t>Проезд,                        1 категории</t>
  </si>
  <si>
    <t>Проезд,                                3 категории</t>
  </si>
  <si>
    <t>Проезд                              бездорожье</t>
  </si>
  <si>
    <t>Южно-Сардаковское</t>
  </si>
  <si>
    <t>Л</t>
  </si>
  <si>
    <t>В</t>
  </si>
  <si>
    <t>им.В.И. Некрасова (Южно-Выинтойское)</t>
  </si>
  <si>
    <t>35ВЗ</t>
  </si>
  <si>
    <t>КНС-4</t>
  </si>
  <si>
    <t>Проезд, 
1
 категории</t>
  </si>
  <si>
    <t>Проезд, 
3 
категории</t>
  </si>
  <si>
    <t>Проезд
 бездорожье</t>
  </si>
  <si>
    <t>ПРЕЙСКУРАНТ ЦЕН</t>
  </si>
  <si>
    <t>на отдельные виды геофизических исследований и работ в скважинах</t>
  </si>
  <si>
    <t>не учтенных в ЕНВиР-99-Л-ЗС</t>
  </si>
  <si>
    <t>№ расц.</t>
  </si>
  <si>
    <t>Наименование</t>
  </si>
  <si>
    <t>Ед. изм.</t>
  </si>
  <si>
    <t xml:space="preserve">Ставка </t>
  </si>
  <si>
    <t>2026 г.,</t>
  </si>
  <si>
    <t>2027 г.,</t>
  </si>
  <si>
    <t>2028 г.,</t>
  </si>
  <si>
    <t>руб., без НДС</t>
  </si>
  <si>
    <t>Мобилизация или демобилизация азотного оборудования</t>
  </si>
  <si>
    <t>опер.</t>
  </si>
  <si>
    <t>Мобилизация или демобилизация ГНКТ (без азотного оборудовнаия)</t>
  </si>
  <si>
    <t>Переезд ЛПС</t>
  </si>
  <si>
    <t>км</t>
  </si>
  <si>
    <t>Переезд Автокрана</t>
  </si>
  <si>
    <t>Переезд Вахтового автомобиля</t>
  </si>
  <si>
    <t>Мобилизация или демобилизация оборудования X-MAC</t>
  </si>
  <si>
    <t>1833.1</t>
  </si>
  <si>
    <t>Мобилизация или демобилизация оборудования АКП-90ХД</t>
  </si>
  <si>
    <t>Проезд партии по ликвидации гидратно-парафиновой пробки (ЛГПО)</t>
  </si>
  <si>
    <t>Переезд флота ГНКТ</t>
  </si>
  <si>
    <t>Переезд Азотного оборудования</t>
  </si>
  <si>
    <t>Мобилизация или  демобилизация ТК "Латераль"</t>
  </si>
  <si>
    <t>Мобилизация или  демобилизация геофизической лубрикаторной установки "VanOil» (автотранспортом)</t>
  </si>
  <si>
    <t>Переезд АН-700</t>
  </si>
  <si>
    <t>Переезд легкового автомобиля</t>
  </si>
  <si>
    <t>Мобилизация или демобилизация оборудования КНАК</t>
  </si>
  <si>
    <t>Дежурство, ожидание и сметное содержание партий</t>
  </si>
  <si>
    <t>Работа партии по ликвидации гидратно-парафиновой пробки (ЛГПО)</t>
  </si>
  <si>
    <t>час</t>
  </si>
  <si>
    <t>Технологическое дежурство (простой) партии по ликвидации гидратно-парафиновой пробки (ЛГПО)</t>
  </si>
  <si>
    <t>Исследования скважин</t>
  </si>
  <si>
    <t>Ставка</t>
  </si>
  <si>
    <t xml:space="preserve"> 2028 г.,</t>
  </si>
  <si>
    <t>Специализированные геофизические исследования комплексом автономных скважинных приборов (КАСП)</t>
  </si>
  <si>
    <t>Исследования КАСП - ГК, ЛМ, АКЦ, ГГЦ  до 500м</t>
  </si>
  <si>
    <t>Исследования КАСП - ГК, ЛМ, АКЦ, ГГЦ  свыше 500м</t>
  </si>
  <si>
    <t>1 м</t>
  </si>
  <si>
    <t>Исследования КАСП - ГК, ЛМ, АКЦ, ГГЦ  свыше 1000м</t>
  </si>
  <si>
    <t>Исследование КАСП - АК (АКЦ)</t>
  </si>
  <si>
    <t>Комплексные геофизические исследования, специализированные методы и ПВР</t>
  </si>
  <si>
    <t>Кросс-дипольный акустический каротаж (АВАК-11) интервал до 300м</t>
  </si>
  <si>
    <t>Кросс-дипольный акустический каротаж (АВАК-11) интервал от 301м за каждые 100м</t>
  </si>
  <si>
    <t>Кросс-дипольный акустический каротаж (АКП-90ХД) первые 300м</t>
  </si>
  <si>
    <t>1355.1</t>
  </si>
  <si>
    <t>Кросс-дипольный акустический каротаж (АКП-90ХД), за каждые последующие 100м свыше 300м</t>
  </si>
  <si>
    <t>Электрический каротаж через эксплуатационную колонну (НЭК) интервал до 100м</t>
  </si>
  <si>
    <t>1306.2</t>
  </si>
  <si>
    <t>Электрический каротаж через обсадную колонну хвостовика (малогабаритный НЭК) до 100м</t>
  </si>
  <si>
    <t>Исследование скважин с применением многорычажного профилемера</t>
  </si>
  <si>
    <t>Исследование скважин с применением сканирующего влагомера (по технологии PLT)</t>
  </si>
  <si>
    <t>Исследование скважин с применением аппаратуры МАК-СК (сегментный акустический каротаж)</t>
  </si>
  <si>
    <t>Исследование скважин с применением видеокамеры</t>
  </si>
  <si>
    <t>Спектрометрический нейтронный гамма-каротаж (СНГК)</t>
  </si>
  <si>
    <t>Импульсный нейтрон-нейтронный каротаж (ИННК) малогабаритный интервал до 100м</t>
  </si>
  <si>
    <t>Исследование скважин с применением технологии РКР</t>
  </si>
  <si>
    <t>Импульсный нейтрон-нейтронный каротаж (ИННК) малогабаритный интервал от 101м за каждые 100м</t>
  </si>
  <si>
    <t>Цементометрия прибором АСТ-К-80 М 1:200</t>
  </si>
  <si>
    <t>Регистрация в режиме "Имиджер" прибором АСТ-К-80-120/80 М 1:100</t>
  </si>
  <si>
    <t>Цементометрия прибором АСТ-К-80 М 1:50</t>
  </si>
  <si>
    <t>Спектрометричекий гамма-каротаж СГК</t>
  </si>
  <si>
    <t>Отбор глубинных проб пробоотборником ВПП (до 3-х проб)</t>
  </si>
  <si>
    <t>Отбор глубинных проб пробоотборником ПЭВТ (до 3-х проб)</t>
  </si>
  <si>
    <t>Исследование скважин методом спектральной шумометрии</t>
  </si>
  <si>
    <t>Исследование скважин с применением оптоволоконной термометрии и шумометрии (ОВС)</t>
  </si>
  <si>
    <t>Исследования скважин с применением сканирующего температурного расходомера (СТИ)</t>
  </si>
  <si>
    <t>Ориентирование клина-отклонителя, ГМЩП и пр.гироскопом (инклинометром)(до 12 часов)</t>
  </si>
  <si>
    <t>Ультразвуковая цементометрия по технологии "Сканер Цемента"</t>
  </si>
  <si>
    <t>Исследование скважин с применением каротажа нейтронной активации кислорода (КНАК) для опредления профиля притока воды в горизонтальных скважинах до 300 м</t>
  </si>
  <si>
    <t>1357.1</t>
  </si>
  <si>
    <t>Исследование скважин с применением каротажа нейтронной активации кислорода (КНАК) для опредления профиля притока воды в горизонтальных скважинах свыше  (за каждые дополнительные 100м записи свыше 300м)</t>
  </si>
  <si>
    <t>1357.2</t>
  </si>
  <si>
    <t>Исследование скважин с применением каротажа нейтронной активации кислорода (КНАК) для опредления профиля притока воды в наклонно-направленных скважинах до 100 м</t>
  </si>
  <si>
    <t>Импульсный нейтрон-нейтронный каротаж с закачкой меченой жидкости (ИННК с ЗМЖ) до 300м</t>
  </si>
  <si>
    <t>Исследование скважин с применением  активационного каротажа для определения негерметичности эксплуатационной колонны без подъема глубинного насосного оборудования (ГНО) до 100м</t>
  </si>
  <si>
    <t>Исследование скважин с применением  активационного каротажа для определения негерметичности 2-х пакерных компоновок до 100м</t>
  </si>
  <si>
    <t>Очистка внутренней полости насосно-компрессорных труб (НКТ) с использованием механического ясса и парафинорезки</t>
  </si>
  <si>
    <t>Отбор глубинных проб ПЭВТ, приемная камера пробоотборника со встроенным автономным датчиком давления и температуры (до 3-х проб)</t>
  </si>
  <si>
    <t>Определение профиля приемистости и тех.состояния в нагнетательной скважине (без разрядки, на проволоке )</t>
  </si>
  <si>
    <t>Определение профиля приемистости и тех.состояния в нагнетательной скважине (без разрядки )</t>
  </si>
  <si>
    <t>Определение положения забоя, интервалов перфорации, места установки воронки НКТ, репера, взрыв-пакера, "пластыря", недоходы или непроходы при ПГИ, ПВР и пр</t>
  </si>
  <si>
    <t>Определение технического состояния обсадных колонн методом электромагнитной дефектоскопии и толщинометрии при интервале исследования до 500м</t>
  </si>
  <si>
    <t>1367.1</t>
  </si>
  <si>
    <t>Определение технического состояния обсадных колонн методом электромагнитной дефектоскопии и толщинометрии за каждые последующие 100м при интервале исследования свыше 500 м</t>
  </si>
  <si>
    <t>Перфорация на кабеле с привязкой ( без учета ВМ)</t>
  </si>
  <si>
    <t>Определение профиля притока, источника обводнения и КВД при компрессировании до 2 суток</t>
  </si>
  <si>
    <t>1369.1</t>
  </si>
  <si>
    <t>Определение профиля притока, источника обводнения и КВД при компрессировании за каждые последующие 1 сутки свыше 2 суток</t>
  </si>
  <si>
    <t>Определение профиля притока, источников обводнения и КВД при компрессировании в горизонтальных скважинах (способ доставки: жесткий кабель), до 2 суток</t>
  </si>
  <si>
    <t>1370.1</t>
  </si>
  <si>
    <t>Определение профиля притока, источников обводнения и КВД при компрессировании в горизонтальных скважинах (способ доставки: жесткий кабель), за каждые последующие 1 сутки свыше 2 суток</t>
  </si>
  <si>
    <t>Определение профиля притока, источника обводнения, тех.состояния и КВД при компрессировании до 2 суток</t>
  </si>
  <si>
    <t>1371.1</t>
  </si>
  <si>
    <t>Определение профиля притока, источника обводнения, тех.состояния и КВД при компрессировании  за каждые последующие 1 сутки свыше 2 суток</t>
  </si>
  <si>
    <t>Определение профиля притока, источников обводнения, тех.состояния и КВД при компрессировании в горизонтальных скважинах (способ доставки: жесткий кабель), до 2 суток</t>
  </si>
  <si>
    <t>1372.1</t>
  </si>
  <si>
    <t>Определение профиля притока, источников обводнения, тех.состояния и КВД при компрессировании в горизонтальных скважинах (способ доставки: жесткий кабель), за каждые последующие 1 сутки свыше 2 суток</t>
  </si>
  <si>
    <t>ТК "Латераль.Определение профиля притока, источников обводнения и КВД при компрессировании ( до 72 часов)</t>
  </si>
  <si>
    <t>ТК "Латераль.Технологическое дежурство (работа) свыше 72 часов</t>
  </si>
  <si>
    <t>Исследования скважин с применением струйного насоса без эксплуатации агрегата АН-700</t>
  </si>
  <si>
    <t>сутки</t>
  </si>
  <si>
    <t>Установка или снятие (пакера, дифференциальной камеры, шламоуловителя)</t>
  </si>
  <si>
    <t>Исследования и работы с использованием ГНКТ</t>
  </si>
  <si>
    <t>Сервисный тариф при работе с оборудованием по доставке приборов на забой ГС (ПЗР на базе и скважине)</t>
  </si>
  <si>
    <t>Эксплуатация оборудования по доставке приборов на забой ГС при производстве ГИС (до 3-х суток)</t>
  </si>
  <si>
    <t>Сервисный тариф на геофизические услуги (геоф. приборы, интерпретация, выдача заключения)</t>
  </si>
  <si>
    <t>Услуги ГНКТ по подготовке скважины к ПГИ (промывка скважины)</t>
  </si>
  <si>
    <t>Базовая рабочая ставка работы ГНКТ (без азотного оборудования)</t>
  </si>
  <si>
    <t>Часовая рабочая ставка ГНКТ (без азотного оборудования)</t>
  </si>
  <si>
    <t>Отмененная операция ГНКТ</t>
  </si>
  <si>
    <t>Невыполненная операция ГНКТ</t>
  </si>
  <si>
    <t>РМ</t>
  </si>
  <si>
    <t>Стоимость тонны жидкого азота</t>
  </si>
  <si>
    <t>1 тонна</t>
  </si>
  <si>
    <t>Стоимость КНБК при промывке скважин</t>
  </si>
  <si>
    <t>Услуги и работа вспомогательной техники и оборудования</t>
  </si>
  <si>
    <t>Эксплуатация автокрана</t>
  </si>
  <si>
    <t>Эксплуатация вахтовой машины</t>
  </si>
  <si>
    <t>Эксплуатация азотной установки (оборудования) - Сервисный тариф (ПЗР на базе и скважине) (Базовая рабочая ставка)</t>
  </si>
  <si>
    <t>Эксплуатация азотной установки (оборудования) (Часовая рабочая ставка)</t>
  </si>
  <si>
    <t>Услуги азотной установки по подготовке скважины к ПГИ (промывка скважины)</t>
  </si>
  <si>
    <t>Отмененная операция при эксплуатации азотной установки (оборудования)</t>
  </si>
  <si>
    <t>Невыполненная операция при эксплуатации азотной установки (оборудования)</t>
  </si>
  <si>
    <t>Эксплуатация агрегата АН-700</t>
  </si>
  <si>
    <t>Эксплуатация ЛПС</t>
  </si>
  <si>
    <t>Эксплуатация геофизической лубрикаторной установки "VanOil» до 3-х суток</t>
  </si>
  <si>
    <t>опеp.</t>
  </si>
  <si>
    <t>Эксплуатация геофизической лубрикаторной установки "VanOil» свыше 3-х суток</t>
  </si>
  <si>
    <t>Технология мокрого соединения при спуске приборных сборок (МАКС)</t>
  </si>
  <si>
    <t>Эксплуатация шлюзового оборудования до 350 атм. (УЛГ 65*35)</t>
  </si>
  <si>
    <t>Технологическое дежурство шлюзового оборудования до 350 атм. (УЛГ 65*35)</t>
  </si>
  <si>
    <t>Специализированные методы ГИС приборами импортного производства</t>
  </si>
  <si>
    <t>Кроссдипольный акустический каротаж (X-MAC)</t>
  </si>
  <si>
    <t>X-MAC, за глубину</t>
  </si>
  <si>
    <t>X-MAC, за запись</t>
  </si>
  <si>
    <t>Дополнительные тарифы для  X-MAC</t>
  </si>
  <si>
    <t>Сервисный тариф  X-MAC</t>
  </si>
  <si>
    <t>Сервисный тариф при каротаже на трубах для X-MAC</t>
  </si>
  <si>
    <t>3234.1</t>
  </si>
  <si>
    <t>Простой/ожидание  специализированной партии</t>
  </si>
  <si>
    <t>Простой оборудования X-MAC</t>
  </si>
  <si>
    <t>Примечание для ГИРС выполняемых приборами импортного производства:</t>
  </si>
  <si>
    <t>Примечание для X-MAC:</t>
  </si>
  <si>
    <t>1 - При использовании ГК для привязки – без решения геологических задач – к оплате не предъявляется.</t>
  </si>
  <si>
    <t>2 - Ставки за работы  будут применяться с момента его прибытия на объект по заявке Заказчика и до момента его убытия с объекта, с 3-х дневным необлагаемым сроком.</t>
  </si>
  <si>
    <t>3 - В случае, если предпринимались попытки проводить операции внутри скважины, но эти операции не были выполнены по причине скважинных условий или были отменены Заказчиком во время их проведения, к оплате будет предъявлено 30% от стоимости заявленного комплекса,  ставка за устройство для доставки приборов в горизонтальную скважину (при использовании устройства), ставки мобилизации.</t>
  </si>
  <si>
    <t>4- Если работы были отменены Заказчиком после того, как персонал и оборудование покинули базу, к оплате будет предъявлено 20% от стоимости заявленного комплекса, ставки за персонал, ставка за мобилизацию и демобилизацию</t>
  </si>
  <si>
    <t>5 - Стоимость оборудования в целях расчета при замене оборудования, утерянного или поврежденного в скважине будет определяться в каждом случае для конкретного оборудования согласно финансовой отчётности.</t>
  </si>
  <si>
    <t>6 - Минимальная оплачиваемая глубина спуска приборов X-MAC – 600 м, минимальный оплачиваемый интервал записи – 100 м.</t>
  </si>
  <si>
    <t>7 - Стоимость внутрискважинных работ X-MAC (расценки №№ 3219, 3220) включают стоимость по обработке геофизического материала.</t>
  </si>
  <si>
    <t>8- Стоимость мобилизация и демобилизация оборудования X-MAC (расценки №№ 1831) определена при удалении объекта от г. Когалым не более 350 км. В случае удаленности объекта более 350 км стоимость будет определяться расценками №№ 1831 с коэффициентом 1.75</t>
  </si>
  <si>
    <t>Примечание для исследований и работ с использованием ГНКТ и азотного оборудования:</t>
  </si>
  <si>
    <t>– Использование азота:</t>
  </si>
  <si>
    <t>Минимальное количество используемого и предъявляемого к оплате азота при выполнении промывки скважины, составляет 12 тонн или 24 тонны. Свыше 24 тонн стоимость предъявляется за каждую тонну, по фактическому объему использованного азота.</t>
  </si>
  <si>
    <t>– Ставка за незавершенные операции</t>
  </si>
  <si>
    <t>В случае, если предпринимались попытки проводить операции внутри скважины, но эти операции не были выполнены по причине скважных условий или были отменены Заказчиком во время их проведения, будут применяться следующие ставки: ставки за мобилизацию/демобилизацию оборудования и персонала и ставка за незавершенные операции, а также стоимость жидкого азота и его доставки из расчета минимального количества 12 тонн или 24 тонны. Свыше 24 тонн стоимость предъявляется за каждую тонну, по фактическому объему азота.</t>
  </si>
  <si>
    <r>
      <t>–</t>
    </r>
    <r>
      <rPr>
        <b/>
        <sz val="11"/>
        <color rgb="FF000000"/>
        <rFont val="Times New Roman"/>
        <family val="1"/>
        <charset val="204"/>
      </rPr>
      <t xml:space="preserve"> Ставка за отмененные операции</t>
    </r>
  </si>
  <si>
    <t>Если работы были отменены Заказчиком после того, как персонал и оборудование компании покинули базу, применяются следующие ставки: ставки за мобилизацию/демобилизацию оборудования и персонала и ставка за отмененные работы.</t>
  </si>
  <si>
    <t>Примечание для ставок по транспортировки ГНКТ и Азотного оборудования:</t>
  </si>
  <si>
    <t>Стоимость мобилизации и демобилизации ГНКТ или Азотного оборудования (расценки №№ 1807, 1813) определена при удалении объекта от базы Подрядчика не более 350 км. В случае удаленности объекта более 350 км стоимость будет определяться по фактическому проезду исходя из стоимости ставок для расценок №№ 1837, 1838 с коэффициентом 0.5</t>
  </si>
  <si>
    <t>Ставки для расценок №№ 1837, 1838 применяются при переезде флота ГНКТ и Азотного оборудования между рабочими площадками внутри месторождения, исходя из фактического расстояния.</t>
  </si>
  <si>
    <t>Примечание для работ с КАСП:</t>
  </si>
  <si>
    <t>Во время выполнении исследования КАСП - ГК, ЛМ, АКЦ, ГГЦ, при интервале записи до 500м, независимо от интервала исследований применяется расценка №1002; при интервале записи от 501м до 1000м, независимо от интервала исследований применяется расценка №1003; при интервале записи от 1001м и выше, независимо от интервала исследований применяется расценка №1033.</t>
  </si>
  <si>
    <t>Ставки за оцифровку и тиражирование планшетов</t>
  </si>
  <si>
    <t>Интерпретация материалов ГИС с применением ПМК "Ginero" Количественное определение профиля притока в горизонтальных скважинах)</t>
  </si>
  <si>
    <t>Интерпретация материалов ГИС с применением ПМК "Ginero" Количественное определение профиля притока в наклонно-направленных скважинах)</t>
  </si>
  <si>
    <t>Интерпретация материалов ГИС с применением ПМК "Ginero" (Количественное определение технического состояния и определение профиля притокав горизонтальных скважинах)</t>
  </si>
  <si>
    <t>Интерпретация материалов ГИС с применением ПМК "Ginero" (Количественное определение технического состояния и определение профиля притока в наклонно-направлен.скважинах)</t>
  </si>
  <si>
    <t>Интерпретация материалов ГИС с применением ПМК "Фазовый профиль" (Количественное определение профиля притока по каждой фазе в горизонтальных скважинах)</t>
  </si>
  <si>
    <t>Интерпретация материалов ГИС с применением ПМК "Фазовый профиль" (Количественное определение профиля притока по каждой фазе в наклонно-направлен.скважинах)</t>
  </si>
  <si>
    <t>Дополнительные услуги и работы</t>
  </si>
  <si>
    <t>Получение специальной разрешительной документации на проезд (провоз) крупногабаритного транспорта и грузов по дорогам общего пользования, а также за проезд транспорта по ведомственным дорогам и переправам</t>
  </si>
  <si>
    <t>факт</t>
  </si>
  <si>
    <t>Затраты на авиаперевозку (доставка отряда вертолетом)</t>
  </si>
  <si>
    <t>Авиазатраты (доставка вахт)</t>
  </si>
  <si>
    <t>месяц</t>
  </si>
  <si>
    <t>Затраты на авиаперевозку (доставка ВМ вертолетом)</t>
  </si>
  <si>
    <t>Примечание для расценок №№ 3052, 3063:</t>
  </si>
  <si>
    <t>Затраты на авиаперевозку вертолетным транспортом подлежат возмещению Заказчиком по фактическому налету воздушного судна, на основании подтверждающих бухгалтерских документов. Авиаперевозка вертолетным транспортом согласовывается Заказчиком письменно.</t>
  </si>
  <si>
    <t>Примечание для расценки № 3053:</t>
  </si>
  <si>
    <t>Компенсируемые затраты, связанные с доставкой специалистов с редкими для региона проведения работ профессиями по маршруту Уфа – Когалым – Уфа, Самара – Когалым – Самара. Заказчик возмещает данные затраты по факту, пропорционально выполненному объему ГИРС, на основании подтверждающих бухгалтерских документов, при этом  Заказчик имеет право самостоятельно перераспределить общую сумму затрат по закрываемым скважинам.</t>
  </si>
  <si>
    <t>Примечание для расценки №№ 3059:</t>
  </si>
  <si>
    <t>Заказчик дополнительно компенсирует затраты Подрядчика связанные с получением разрешения на проезд крупногабаритных и тяжеловесных транспортных средств (флот ГНКТ) по федеральным дорогам общего пользования, на основании подтверждающих бухгалтерских документов, по фактическим затратам.</t>
  </si>
  <si>
    <t>Заказчик дополнительно компенсирует затраты Подрядчика связанные с получением разрешения на проезд по ведомственным дорогам и переправам.</t>
  </si>
  <si>
    <t>Примечание для всех расценок</t>
  </si>
  <si>
    <t>Расценки даны без учета стоимости услуг авиакомпаний, речных компаний по перевозке, доставке персонала и оборудования геофизических партий на изолированные объекты Заказчика и предъявляются к оплате дополнительно; Данные затраты подлежат возмещению заказчиком по факту.</t>
  </si>
  <si>
    <t>Операционные ставки и расценки не учитывают переезды партии, транспортировку оборудования, а также мобилизацию и демобилизацию партии и оборудования. Переезды партии, транспортировка оборудования, а также мобилизация и демобилизация партии и оборудования предъявляется к оплате дополнительно.</t>
  </si>
  <si>
    <r>
      <t xml:space="preserve">Стоимость геофизических исследований и работ в скважинах, интерпретация геофизических материалов определяются по «Единичным нормам времени и расценкам  на геофизические исследования в скважинах на месторождениях ООО «ЛУКОЙЛ-Западная Сибирь» (ЕНВиР-99-Л-ЗС), утвержденным ООО «ЛУКОЙЛ-Западная Сибирь», введенным в действие с 01.01.2000 г., с учетом коэффициента </t>
    </r>
    <r>
      <rPr>
        <b/>
        <sz val="11"/>
        <color theme="1"/>
        <rFont val="Times New Roman"/>
        <family val="1"/>
        <charset val="204"/>
      </rPr>
      <t xml:space="preserve">К= 2026г.- 1,33; 2027г.-1,37; 2028г.- 1,41 </t>
    </r>
    <r>
      <rPr>
        <sz val="11"/>
        <color theme="1"/>
        <rFont val="Times New Roman"/>
        <family val="1"/>
        <charset val="204"/>
      </rPr>
      <t xml:space="preserve">  (Приложение №2 к проекту Договора), а также по Прейскуранту цен на отдельные виды геофизических исследований и работ в скважинах не учтенных в ЕНВиР-99-Л-ЗС (Приложение №36 к проекту Договора);</t>
    </r>
  </si>
  <si>
    <r>
      <t xml:space="preserve">Задачи </t>
    </r>
    <r>
      <rPr>
        <b/>
        <sz val="11"/>
        <color theme="1"/>
        <rFont val="Times New Roman"/>
        <family val="1"/>
        <charset val="204"/>
      </rPr>
      <t xml:space="preserve">№80(P) , №80(S), №53, №42, №58, №86, №86(Н), 86 (L), №87, №87(Н), 87 (L) </t>
    </r>
    <r>
      <rPr>
        <sz val="11"/>
        <color theme="1"/>
        <rFont val="Times New Roman"/>
        <family val="1"/>
        <charset val="204"/>
      </rPr>
      <t xml:space="preserve">рассчитываются по Прейскуранту цен на отдельные виды геофизических исследований и работ в скважинах , а проезды до объекта и обратно согласно расценкам ЕНВиР с коэффициентом </t>
    </r>
    <r>
      <rPr>
        <b/>
        <sz val="11"/>
        <color theme="1"/>
        <rFont val="Times New Roman"/>
        <family val="1"/>
        <charset val="204"/>
      </rPr>
      <t>К= 2026г.- 1,33; 2027г.-1,37; 2028г.- 1,41 .</t>
    </r>
  </si>
  <si>
    <t>Задача №80(P) - расц.-1364</t>
  </si>
  <si>
    <t>Задача №№80(S) - расц. 1365</t>
  </si>
  <si>
    <t>Задача №№53 - расц.1366</t>
  </si>
  <si>
    <t>Задача №№42 - расц.1367</t>
  </si>
  <si>
    <t>Задача №№58) - расц.1368</t>
  </si>
  <si>
    <t>Задача №№86 - расц. 1369, 1369.1</t>
  </si>
  <si>
    <t>Задача №№86(Н) - расц.1370, 1371.1</t>
  </si>
  <si>
    <t>Задача №№86 (L) - расц.1369,1369.1, 1400</t>
  </si>
  <si>
    <t>Задача №№87 - расц.1371, 1371.1</t>
  </si>
  <si>
    <t>Задача №№87(Н) - расц.1372, 1372.1</t>
  </si>
  <si>
    <t>Задача №№87 (L) - расц.1371, 1371.1, 1400</t>
  </si>
  <si>
    <t>Операционные ставки указаны без стоимости ВМ используемого при производстве работ. Стоимость ВМ предъявляется к оплате дополнительно на основании расчета стоимости 1 отверстия с приложением подтверждающих бухгалтерских документов, по фактическим затратам. При расчете стоимости применяется ТЗР - 19%, НР - 15%, ПН - 8%</t>
  </si>
  <si>
    <t>При выполнении работ по свабированию, дополнительно к оплате предъявляется стоимость РМ (манжеты сваба, жидкий азот и т.д.), по расчетам предоставленным Подрядчиком. При расчете стоимости применяется ТЗР - 19%, НР - 15%, ПН - 8%,</t>
  </si>
  <si>
    <t>Расценки на геофизические исследования и работы указанные в настоящем Прейскуранте цен на отдельные виды геофизических исследований и работ в скважинах не учтенных в ЕНВиР-99-Л-ЗС являются договорными и понижающие коэффициенты к ним не применяются</t>
  </si>
  <si>
    <t>Расценки Прейскуранта цен на отдельные виды геофизических исследований и работ в скважинах, не учтенных в ЕНВиР-99-Л-ЗС являются договорными.</t>
  </si>
  <si>
    <t>Коэффициенты, применяемые для ЕНВиР-99-Л-ЗС не распространяют свое действие на расценки из настоящего прейскуранта</t>
  </si>
  <si>
    <t>1 группа – асфальтированные дороги; 2 группа – грунтовые дороги; 3 группа (с 1 октября по 1 апреля) – отсыпка, зимние дороги и т.п.; бездорожье (с 1 апреля по 1 октября) – отсыпка, зимние дороги и т.п.</t>
  </si>
  <si>
    <t>Все цены указаны без НДС в российских рублях.</t>
  </si>
  <si>
    <t>Заказчик:</t>
  </si>
  <si>
    <t>Подрядчик:</t>
  </si>
  <si>
    <t>Директор</t>
  </si>
  <si>
    <t>Генеральный директор</t>
  </si>
  <si>
    <t>ТПП «Повхнефтегаз»</t>
  </si>
  <si>
    <t>ПАО «КНГФ»</t>
  </si>
  <si>
    <t>_______________ /Д.Г. Мухаметов/</t>
  </si>
  <si>
    <t>_______________ /Э.Р. Байбурин/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</si>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</sst>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b/>
      <sz val="8"/>
      <color indexed="81"/>
      <name val="Cambria"/>
      <family val="1"/>
      <charset val="204"/>
      <scheme val="major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9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0" fillId="3" borderId="0" xfId="0" applyFill="1"/>
    <xf numFmtId="0" fontId="1" fillId="0" borderId="0" xfId="0" applyFont="1" applyFill="1" applyAlignment="1">
      <alignment horizontal="center"/>
    </xf>
    <xf numFmtId="0" fontId="1" fillId="0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6" borderId="6" xfId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5" borderId="8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vertical="center" wrapText="1"/>
    </xf>
    <xf numFmtId="0" fontId="11" fillId="0" borderId="10" xfId="1" applyFont="1" applyBorder="1" applyAlignment="1">
      <alignment horizontal="center" vertical="center"/>
    </xf>
    <xf numFmtId="4" fontId="11" fillId="0" borderId="10" xfId="1" applyNumberFormat="1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10" fillId="5" borderId="20" xfId="1" applyFont="1" applyFill="1" applyBorder="1" applyAlignment="1">
      <alignment vertical="center" wrapText="1"/>
    </xf>
    <xf numFmtId="0" fontId="9" fillId="5" borderId="10" xfId="1" applyFont="1" applyFill="1" applyBorder="1" applyAlignment="1">
      <alignment vertical="center" wrapText="1"/>
    </xf>
    <xf numFmtId="0" fontId="10" fillId="7" borderId="20" xfId="1" applyFont="1" applyFill="1" applyBorder="1" applyAlignment="1">
      <alignment vertical="center" wrapText="1"/>
    </xf>
    <xf numFmtId="0" fontId="9" fillId="7" borderId="10" xfId="1" applyFont="1" applyFill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1" fillId="0" borderId="9" xfId="1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2" fillId="0" borderId="0" xfId="1" applyFont="1" applyAlignment="1">
      <alignment horizontal="justify" vertical="center" wrapText="1"/>
    </xf>
    <xf numFmtId="0" fontId="9" fillId="0" borderId="0" xfId="1" applyFont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0" fontId="10" fillId="0" borderId="22" xfId="1" applyFont="1" applyBorder="1" applyAlignment="1">
      <alignment vertical="center"/>
    </xf>
    <xf numFmtId="0" fontId="10" fillId="5" borderId="5" xfId="1" applyFont="1" applyFill="1" applyBorder="1" applyAlignment="1">
      <alignment vertical="center" wrapText="1"/>
    </xf>
    <xf numFmtId="0" fontId="10" fillId="5" borderId="7" xfId="1" applyFont="1" applyFill="1" applyBorder="1" applyAlignment="1">
      <alignment vertical="center" wrapText="1"/>
    </xf>
    <xf numFmtId="0" fontId="10" fillId="5" borderId="9" xfId="1" applyFont="1" applyFill="1" applyBorder="1" applyAlignment="1">
      <alignment vertical="center" wrapText="1"/>
    </xf>
    <xf numFmtId="0" fontId="9" fillId="0" borderId="23" xfId="1" applyFont="1" applyBorder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10" fillId="5" borderId="9" xfId="1" applyFont="1" applyFill="1" applyBorder="1" applyAlignment="1">
      <alignment horizontal="center" vertical="center" wrapText="1"/>
    </xf>
    <xf numFmtId="0" fontId="10" fillId="5" borderId="18" xfId="1" applyFont="1" applyFill="1" applyBorder="1" applyAlignment="1">
      <alignment vertical="center" wrapText="1"/>
    </xf>
    <xf numFmtId="0" fontId="10" fillId="5" borderId="19" xfId="1" applyFont="1" applyFill="1" applyBorder="1" applyAlignment="1">
      <alignment vertical="center" wrapText="1"/>
    </xf>
    <xf numFmtId="0" fontId="10" fillId="0" borderId="21" xfId="1" applyFont="1" applyBorder="1" applyAlignment="1">
      <alignment vertical="center"/>
    </xf>
    <xf numFmtId="0" fontId="9" fillId="5" borderId="14" xfId="1" applyFont="1" applyFill="1" applyBorder="1" applyAlignment="1">
      <alignment vertical="center" wrapText="1"/>
    </xf>
    <xf numFmtId="0" fontId="9" fillId="5" borderId="17" xfId="1" applyFont="1" applyFill="1" applyBorder="1" applyAlignment="1">
      <alignment vertical="center" wrapText="1"/>
    </xf>
    <xf numFmtId="0" fontId="9" fillId="5" borderId="5" xfId="1" applyFont="1" applyFill="1" applyBorder="1" applyAlignment="1">
      <alignment vertical="center" wrapText="1"/>
    </xf>
    <xf numFmtId="0" fontId="9" fillId="5" borderId="9" xfId="1" applyFont="1" applyFill="1" applyBorder="1" applyAlignment="1">
      <alignment vertical="center" wrapText="1"/>
    </xf>
    <xf numFmtId="0" fontId="10" fillId="7" borderId="18" xfId="1" applyFont="1" applyFill="1" applyBorder="1" applyAlignment="1">
      <alignment vertical="center" wrapText="1"/>
    </xf>
    <xf numFmtId="0" fontId="10" fillId="7" borderId="19" xfId="1" applyFont="1" applyFill="1" applyBorder="1" applyAlignment="1">
      <alignment vertical="center" wrapText="1"/>
    </xf>
    <xf numFmtId="0" fontId="10" fillId="0" borderId="11" xfId="1" applyFont="1" applyBorder="1" applyAlignment="1">
      <alignment vertical="center"/>
    </xf>
    <xf numFmtId="0" fontId="10" fillId="7" borderId="5" xfId="1" applyFont="1" applyFill="1" applyBorder="1" applyAlignment="1">
      <alignment horizontal="center" vertical="center" wrapText="1"/>
    </xf>
    <xf numFmtId="0" fontId="10" fillId="7" borderId="7" xfId="1" applyFont="1" applyFill="1" applyBorder="1" applyAlignment="1">
      <alignment horizontal="center" vertical="center" wrapText="1"/>
    </xf>
    <xf numFmtId="0" fontId="10" fillId="7" borderId="9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vertical="center" wrapText="1"/>
    </xf>
    <xf numFmtId="0" fontId="10" fillId="5" borderId="6" xfId="1" applyFont="1" applyFill="1" applyBorder="1" applyAlignment="1">
      <alignment vertical="center" wrapText="1"/>
    </xf>
    <xf numFmtId="0" fontId="10" fillId="5" borderId="15" xfId="1" applyFont="1" applyFill="1" applyBorder="1" applyAlignment="1">
      <alignment vertical="center" wrapText="1"/>
    </xf>
    <xf numFmtId="0" fontId="10" fillId="5" borderId="10" xfId="1" applyFont="1" applyFill="1" applyBorder="1" applyAlignment="1">
      <alignment vertical="center" wrapText="1"/>
    </xf>
    <xf numFmtId="0" fontId="10" fillId="5" borderId="13" xfId="1" applyFont="1" applyFill="1" applyBorder="1" applyAlignment="1">
      <alignment vertical="center" wrapText="1"/>
    </xf>
    <xf numFmtId="0" fontId="10" fillId="5" borderId="16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U2064"/>
  <sheetViews>
    <sheetView tabSelected="1" topLeftCell="C1" zoomScale="130" zoomScaleNormal="130" zoomScaleSheetLayoutView="100" workbookViewId="0">
      <pane ySplit="2" topLeftCell="A3" activePane="bottomLeft" state="frozen"/>
      <selection pane="bottomLeft" activeCell="B584" sqref="B584"/>
    </sheetView>
  </sheetViews>
  <sheetFormatPr defaultRowHeight="12.75" x14ac:dyDescent="0.2"/>
  <cols>
    <col min="1" max="1" width="36.42578125" style="1" customWidth="1"/>
    <col min="2" max="2" width="7.7109375" style="1" customWidth="1"/>
    <col min="3" max="3" width="11.85546875" style="1" customWidth="1"/>
    <col min="4" max="4" width="15" style="1" customWidth="1"/>
    <col min="5" max="5" width="17.140625" style="17" customWidth="1"/>
    <col min="6" max="7" width="16.42578125" style="17" customWidth="1"/>
    <col min="8" max="8" width="14" style="7" customWidth="1"/>
    <col min="9" max="9" width="13.42578125" style="7" customWidth="1"/>
    <col min="10" max="10" width="19" style="7" customWidth="1"/>
  </cols>
  <sheetData>
    <row r="1" spans="1:13" x14ac:dyDescent="0.2">
      <c r="A1" s="59" t="s">
        <v>0</v>
      </c>
      <c r="B1" s="60"/>
      <c r="C1" s="60"/>
      <c r="D1" s="60"/>
      <c r="E1" s="60"/>
      <c r="F1" s="61"/>
      <c r="G1" s="18"/>
      <c r="H1" s="23"/>
      <c r="I1" s="15"/>
      <c r="J1" s="15"/>
      <c r="K1" s="10"/>
      <c r="L1" s="10"/>
      <c r="M1" s="11"/>
    </row>
    <row r="2" spans="1:13" ht="38.25" x14ac:dyDescent="0.2">
      <c r="A2" s="12" t="s">
        <v>10</v>
      </c>
      <c r="B2" s="12" t="s">
        <v>11</v>
      </c>
      <c r="C2" s="12" t="s">
        <v>12</v>
      </c>
      <c r="D2" s="12" t="s">
        <v>19</v>
      </c>
      <c r="E2" s="14" t="s">
        <v>20</v>
      </c>
      <c r="F2" s="14" t="s">
        <v>21</v>
      </c>
      <c r="G2" s="19"/>
      <c r="H2" s="13" t="s">
        <v>28</v>
      </c>
      <c r="I2" s="13" t="s">
        <v>29</v>
      </c>
      <c r="J2" s="13" t="s">
        <v>30</v>
      </c>
    </row>
    <row r="3" spans="1:13" hidden="1" x14ac:dyDescent="0.2">
      <c r="A3" s="3" t="s">
        <v>1</v>
      </c>
      <c r="B3" s="6">
        <v>2</v>
      </c>
      <c r="C3" s="2"/>
      <c r="D3" s="4">
        <v>58</v>
      </c>
      <c r="E3" s="4">
        <v>9.1999999999999993</v>
      </c>
      <c r="F3" s="6">
        <f>E3</f>
        <v>9.1999999999999993</v>
      </c>
      <c r="G3" s="20"/>
      <c r="H3" s="8">
        <f>D3*2</f>
        <v>116</v>
      </c>
      <c r="I3" s="8">
        <f>E3*2</f>
        <v>18.399999999999999</v>
      </c>
      <c r="J3" s="9">
        <f>F3*2</f>
        <v>18.399999999999999</v>
      </c>
    </row>
    <row r="4" spans="1:13" hidden="1" x14ac:dyDescent="0.2">
      <c r="A4" s="3" t="s">
        <v>1</v>
      </c>
      <c r="B4" s="6">
        <v>3</v>
      </c>
      <c r="C4" s="2"/>
      <c r="D4" s="4">
        <v>58</v>
      </c>
      <c r="E4" s="4">
        <v>7.4</v>
      </c>
      <c r="F4" s="6">
        <f>E4</f>
        <v>7.4</v>
      </c>
      <c r="G4" s="20"/>
      <c r="H4" s="8">
        <f t="shared" ref="H4:H74" si="0">D4*2</f>
        <v>116</v>
      </c>
      <c r="I4" s="8">
        <f t="shared" ref="I4:I74" si="1">E4*2</f>
        <v>14.8</v>
      </c>
      <c r="J4" s="9">
        <f t="shared" ref="J4:J74" si="2">F4*2</f>
        <v>14.8</v>
      </c>
    </row>
    <row r="5" spans="1:13" hidden="1" x14ac:dyDescent="0.2">
      <c r="A5" s="3" t="s">
        <v>1</v>
      </c>
      <c r="B5" s="4">
        <v>4</v>
      </c>
      <c r="C5" s="3"/>
      <c r="D5" s="4">
        <v>63</v>
      </c>
      <c r="E5" s="4">
        <v>0.3</v>
      </c>
      <c r="F5" s="4">
        <v>0.3</v>
      </c>
      <c r="G5" s="21"/>
      <c r="H5" s="8">
        <f t="shared" si="0"/>
        <v>126</v>
      </c>
      <c r="I5" s="8">
        <f t="shared" si="1"/>
        <v>0.6</v>
      </c>
      <c r="J5" s="9">
        <f t="shared" si="2"/>
        <v>0.6</v>
      </c>
    </row>
    <row r="6" spans="1:13" hidden="1" x14ac:dyDescent="0.2">
      <c r="A6" s="3" t="s">
        <v>1</v>
      </c>
      <c r="B6" s="4">
        <v>5</v>
      </c>
      <c r="C6" s="3"/>
      <c r="D6" s="4">
        <v>61.7</v>
      </c>
      <c r="E6" s="4">
        <v>3</v>
      </c>
      <c r="F6" s="4">
        <v>3</v>
      </c>
      <c r="G6" s="21"/>
      <c r="H6" s="8">
        <f t="shared" si="0"/>
        <v>123.4</v>
      </c>
      <c r="I6" s="8">
        <f t="shared" si="1"/>
        <v>6</v>
      </c>
      <c r="J6" s="9">
        <f t="shared" si="2"/>
        <v>6</v>
      </c>
    </row>
    <row r="7" spans="1:13" hidden="1" x14ac:dyDescent="0.2">
      <c r="A7" s="3" t="s">
        <v>1</v>
      </c>
      <c r="B7" s="4">
        <v>8</v>
      </c>
      <c r="C7" s="3"/>
      <c r="D7" s="4">
        <v>59</v>
      </c>
      <c r="E7" s="4">
        <v>4.8</v>
      </c>
      <c r="F7" s="4">
        <v>4.8</v>
      </c>
      <c r="G7" s="21"/>
      <c r="H7" s="8">
        <f t="shared" si="0"/>
        <v>118</v>
      </c>
      <c r="I7" s="8">
        <f t="shared" si="1"/>
        <v>9.6</v>
      </c>
      <c r="J7" s="9">
        <f t="shared" si="2"/>
        <v>9.6</v>
      </c>
    </row>
    <row r="8" spans="1:13" hidden="1" x14ac:dyDescent="0.2">
      <c r="A8" s="3" t="s">
        <v>1</v>
      </c>
      <c r="B8" s="4">
        <v>8</v>
      </c>
      <c r="C8" s="3" t="s">
        <v>5</v>
      </c>
      <c r="D8" s="4">
        <v>57.3</v>
      </c>
      <c r="E8" s="4">
        <v>2.2999999999999998</v>
      </c>
      <c r="F8" s="4">
        <v>2.2999999999999998</v>
      </c>
      <c r="G8" s="21"/>
      <c r="H8" s="8">
        <f t="shared" si="0"/>
        <v>114.6</v>
      </c>
      <c r="I8" s="8">
        <f t="shared" si="1"/>
        <v>4.5999999999999996</v>
      </c>
      <c r="J8" s="9">
        <f t="shared" si="2"/>
        <v>4.5999999999999996</v>
      </c>
    </row>
    <row r="9" spans="1:13" hidden="1" x14ac:dyDescent="0.2">
      <c r="A9" s="3" t="s">
        <v>1</v>
      </c>
      <c r="B9" s="4">
        <v>10</v>
      </c>
      <c r="C9" s="3"/>
      <c r="D9" s="4">
        <v>52.7</v>
      </c>
      <c r="E9" s="4">
        <v>1.1000000000000001</v>
      </c>
      <c r="F9" s="4">
        <v>1.1000000000000001</v>
      </c>
      <c r="G9" s="21"/>
      <c r="H9" s="8">
        <f t="shared" si="0"/>
        <v>105.4</v>
      </c>
      <c r="I9" s="8">
        <f t="shared" si="1"/>
        <v>2.2000000000000002</v>
      </c>
      <c r="J9" s="9">
        <f t="shared" si="2"/>
        <v>2.2000000000000002</v>
      </c>
    </row>
    <row r="10" spans="1:13" hidden="1" x14ac:dyDescent="0.2">
      <c r="A10" s="3" t="s">
        <v>1</v>
      </c>
      <c r="B10" s="4">
        <v>11</v>
      </c>
      <c r="C10" s="3"/>
      <c r="D10" s="3">
        <v>52.7</v>
      </c>
      <c r="E10" s="4">
        <v>2.6</v>
      </c>
      <c r="F10" s="4">
        <v>2.6</v>
      </c>
      <c r="G10" s="21"/>
      <c r="H10" s="8">
        <f t="shared" si="0"/>
        <v>105.4</v>
      </c>
      <c r="I10" s="8">
        <f t="shared" si="1"/>
        <v>5.2</v>
      </c>
      <c r="J10" s="9">
        <f t="shared" si="2"/>
        <v>5.2</v>
      </c>
    </row>
    <row r="11" spans="1:13" hidden="1" x14ac:dyDescent="0.2">
      <c r="A11" s="3" t="s">
        <v>1</v>
      </c>
      <c r="B11" s="4">
        <v>12</v>
      </c>
      <c r="C11" s="3"/>
      <c r="D11" s="4">
        <v>60.5</v>
      </c>
      <c r="E11" s="4">
        <v>0.3</v>
      </c>
      <c r="F11" s="4">
        <v>0.3</v>
      </c>
      <c r="G11" s="21"/>
      <c r="H11" s="8">
        <f t="shared" si="0"/>
        <v>121</v>
      </c>
      <c r="I11" s="8">
        <f t="shared" si="1"/>
        <v>0.6</v>
      </c>
      <c r="J11" s="9">
        <f t="shared" si="2"/>
        <v>0.6</v>
      </c>
    </row>
    <row r="12" spans="1:13" hidden="1" x14ac:dyDescent="0.2">
      <c r="A12" s="3" t="s">
        <v>1</v>
      </c>
      <c r="B12" s="4">
        <v>12</v>
      </c>
      <c r="C12" s="3" t="s">
        <v>5</v>
      </c>
      <c r="D12" s="4">
        <v>44.6</v>
      </c>
      <c r="E12" s="4">
        <v>6.5</v>
      </c>
      <c r="F12" s="4">
        <v>6.5</v>
      </c>
      <c r="G12" s="21"/>
      <c r="H12" s="8">
        <f t="shared" si="0"/>
        <v>89.2</v>
      </c>
      <c r="I12" s="8">
        <f t="shared" si="1"/>
        <v>13</v>
      </c>
      <c r="J12" s="9">
        <f t="shared" si="2"/>
        <v>13</v>
      </c>
    </row>
    <row r="13" spans="1:13" hidden="1" x14ac:dyDescent="0.2">
      <c r="A13" s="3" t="s">
        <v>1</v>
      </c>
      <c r="B13" s="4">
        <v>13</v>
      </c>
      <c r="C13" s="3"/>
      <c r="D13" s="4">
        <v>61.6</v>
      </c>
      <c r="E13" s="4">
        <v>0.4</v>
      </c>
      <c r="F13" s="4">
        <v>0</v>
      </c>
      <c r="G13" s="21"/>
      <c r="H13" s="8">
        <f t="shared" si="0"/>
        <v>123.2</v>
      </c>
      <c r="I13" s="8">
        <f t="shared" si="1"/>
        <v>0.8</v>
      </c>
      <c r="J13" s="9">
        <f t="shared" si="2"/>
        <v>0</v>
      </c>
    </row>
    <row r="14" spans="1:13" hidden="1" x14ac:dyDescent="0.2">
      <c r="A14" s="3" t="s">
        <v>1</v>
      </c>
      <c r="B14" s="4">
        <v>14</v>
      </c>
      <c r="C14" s="3"/>
      <c r="D14" s="4">
        <v>51</v>
      </c>
      <c r="E14" s="4">
        <v>0.1</v>
      </c>
      <c r="F14" s="4">
        <v>0.1</v>
      </c>
      <c r="G14" s="21"/>
      <c r="H14" s="8">
        <f t="shared" si="0"/>
        <v>102</v>
      </c>
      <c r="I14" s="8">
        <f t="shared" si="1"/>
        <v>0.2</v>
      </c>
      <c r="J14" s="9">
        <f t="shared" si="2"/>
        <v>0.2</v>
      </c>
    </row>
    <row r="15" spans="1:13" hidden="1" x14ac:dyDescent="0.2">
      <c r="A15" s="3" t="s">
        <v>1</v>
      </c>
      <c r="B15" s="4">
        <v>14</v>
      </c>
      <c r="C15" s="3" t="s">
        <v>5</v>
      </c>
      <c r="D15" s="4">
        <v>46.6</v>
      </c>
      <c r="E15" s="4">
        <v>0.6</v>
      </c>
      <c r="F15" s="4">
        <v>0.6</v>
      </c>
      <c r="G15" s="21"/>
      <c r="H15" s="8">
        <f t="shared" si="0"/>
        <v>93.2</v>
      </c>
      <c r="I15" s="8">
        <f t="shared" si="1"/>
        <v>1.2</v>
      </c>
      <c r="J15" s="9">
        <f t="shared" si="2"/>
        <v>1.2</v>
      </c>
    </row>
    <row r="16" spans="1:13" hidden="1" x14ac:dyDescent="0.2">
      <c r="A16" s="3" t="s">
        <v>1</v>
      </c>
      <c r="B16" s="4">
        <v>15</v>
      </c>
      <c r="C16" s="3"/>
      <c r="D16" s="4">
        <v>52.9</v>
      </c>
      <c r="E16" s="4">
        <v>3</v>
      </c>
      <c r="F16" s="4">
        <v>3</v>
      </c>
      <c r="G16" s="21"/>
      <c r="H16" s="8">
        <f t="shared" si="0"/>
        <v>105.8</v>
      </c>
      <c r="I16" s="8">
        <f t="shared" si="1"/>
        <v>6</v>
      </c>
      <c r="J16" s="9">
        <f t="shared" si="2"/>
        <v>6</v>
      </c>
    </row>
    <row r="17" spans="1:10" hidden="1" x14ac:dyDescent="0.2">
      <c r="A17" s="3" t="s">
        <v>1</v>
      </c>
      <c r="B17" s="4">
        <v>15</v>
      </c>
      <c r="C17" s="3" t="s">
        <v>5</v>
      </c>
      <c r="D17" s="5">
        <v>61.4</v>
      </c>
      <c r="E17" s="5">
        <v>0.09</v>
      </c>
      <c r="F17" s="6">
        <f>E17</f>
        <v>0.09</v>
      </c>
      <c r="G17" s="20"/>
      <c r="H17" s="8">
        <f t="shared" si="0"/>
        <v>122.8</v>
      </c>
      <c r="I17" s="8">
        <f t="shared" si="1"/>
        <v>0.18</v>
      </c>
      <c r="J17" s="9">
        <f t="shared" si="2"/>
        <v>0.18</v>
      </c>
    </row>
    <row r="18" spans="1:10" hidden="1" x14ac:dyDescent="0.2">
      <c r="A18" s="3" t="s">
        <v>1</v>
      </c>
      <c r="B18" s="4">
        <v>16</v>
      </c>
      <c r="C18" s="3"/>
      <c r="D18" s="4">
        <v>60</v>
      </c>
      <c r="E18" s="4">
        <v>2</v>
      </c>
      <c r="F18" s="4">
        <v>2</v>
      </c>
      <c r="G18" s="21"/>
      <c r="H18" s="8">
        <f t="shared" si="0"/>
        <v>120</v>
      </c>
      <c r="I18" s="8">
        <f t="shared" si="1"/>
        <v>4</v>
      </c>
      <c r="J18" s="9">
        <f t="shared" si="2"/>
        <v>4</v>
      </c>
    </row>
    <row r="19" spans="1:10" hidden="1" x14ac:dyDescent="0.2">
      <c r="A19" s="3" t="s">
        <v>1</v>
      </c>
      <c r="B19" s="4">
        <v>17</v>
      </c>
      <c r="C19" s="3"/>
      <c r="D19" s="4">
        <v>50.9</v>
      </c>
      <c r="E19" s="4">
        <v>4</v>
      </c>
      <c r="F19" s="4">
        <v>4</v>
      </c>
      <c r="G19" s="21"/>
      <c r="H19" s="8">
        <f t="shared" si="0"/>
        <v>101.8</v>
      </c>
      <c r="I19" s="8">
        <f t="shared" si="1"/>
        <v>8</v>
      </c>
      <c r="J19" s="9">
        <f t="shared" si="2"/>
        <v>8</v>
      </c>
    </row>
    <row r="20" spans="1:10" hidden="1" x14ac:dyDescent="0.2">
      <c r="A20" s="3" t="s">
        <v>1</v>
      </c>
      <c r="B20" s="4">
        <v>18</v>
      </c>
      <c r="C20" s="3"/>
      <c r="D20" s="4">
        <v>49.1</v>
      </c>
      <c r="E20" s="4">
        <v>0.2</v>
      </c>
      <c r="F20" s="4">
        <v>0.2</v>
      </c>
      <c r="G20" s="21"/>
      <c r="H20" s="8">
        <f t="shared" si="0"/>
        <v>98.2</v>
      </c>
      <c r="I20" s="8">
        <f t="shared" si="1"/>
        <v>0.4</v>
      </c>
      <c r="J20" s="9">
        <f t="shared" si="2"/>
        <v>0.4</v>
      </c>
    </row>
    <row r="21" spans="1:10" hidden="1" x14ac:dyDescent="0.2">
      <c r="A21" s="3" t="s">
        <v>1</v>
      </c>
      <c r="B21" s="4">
        <v>19</v>
      </c>
      <c r="C21" s="3"/>
      <c r="D21" s="4">
        <v>50.9</v>
      </c>
      <c r="E21" s="4">
        <v>0.1</v>
      </c>
      <c r="F21" s="4">
        <v>0.1</v>
      </c>
      <c r="G21" s="21"/>
      <c r="H21" s="8">
        <f t="shared" si="0"/>
        <v>101.8</v>
      </c>
      <c r="I21" s="8">
        <f t="shared" si="1"/>
        <v>0.2</v>
      </c>
      <c r="J21" s="9">
        <f t="shared" si="2"/>
        <v>0.2</v>
      </c>
    </row>
    <row r="22" spans="1:10" hidden="1" x14ac:dyDescent="0.2">
      <c r="A22" s="3" t="s">
        <v>1</v>
      </c>
      <c r="B22" s="4">
        <v>20</v>
      </c>
      <c r="C22" s="3"/>
      <c r="D22" s="4">
        <v>52.9</v>
      </c>
      <c r="E22" s="4">
        <v>0.1</v>
      </c>
      <c r="F22" s="4">
        <v>0.1</v>
      </c>
      <c r="G22" s="21"/>
      <c r="H22" s="8">
        <f t="shared" si="0"/>
        <v>105.8</v>
      </c>
      <c r="I22" s="8">
        <f t="shared" si="1"/>
        <v>0.2</v>
      </c>
      <c r="J22" s="9">
        <f t="shared" si="2"/>
        <v>0.2</v>
      </c>
    </row>
    <row r="23" spans="1:10" hidden="1" x14ac:dyDescent="0.2">
      <c r="A23" s="3" t="s">
        <v>1</v>
      </c>
      <c r="B23" s="4">
        <v>20</v>
      </c>
      <c r="C23" s="3" t="s">
        <v>4</v>
      </c>
      <c r="D23" s="4">
        <v>51.8</v>
      </c>
      <c r="E23" s="4">
        <v>0.2</v>
      </c>
      <c r="F23" s="6">
        <f>E23</f>
        <v>0.2</v>
      </c>
      <c r="G23" s="20"/>
      <c r="H23" s="8">
        <f t="shared" si="0"/>
        <v>103.6</v>
      </c>
      <c r="I23" s="8">
        <f t="shared" si="1"/>
        <v>0.4</v>
      </c>
      <c r="J23" s="9">
        <f t="shared" si="2"/>
        <v>0.4</v>
      </c>
    </row>
    <row r="24" spans="1:10" hidden="1" x14ac:dyDescent="0.2">
      <c r="A24" s="3" t="s">
        <v>1</v>
      </c>
      <c r="B24" s="4">
        <v>21</v>
      </c>
      <c r="C24" s="3"/>
      <c r="D24" s="4">
        <v>57.9</v>
      </c>
      <c r="E24" s="4">
        <v>0.1</v>
      </c>
      <c r="F24" s="4">
        <v>0.1</v>
      </c>
      <c r="G24" s="21"/>
      <c r="H24" s="8">
        <f t="shared" si="0"/>
        <v>115.8</v>
      </c>
      <c r="I24" s="8">
        <f t="shared" si="1"/>
        <v>0.2</v>
      </c>
      <c r="J24" s="9">
        <f t="shared" si="2"/>
        <v>0.2</v>
      </c>
    </row>
    <row r="25" spans="1:10" hidden="1" x14ac:dyDescent="0.2">
      <c r="A25" s="3" t="s">
        <v>1</v>
      </c>
      <c r="B25" s="4">
        <v>24</v>
      </c>
      <c r="C25" s="3"/>
      <c r="D25" s="4">
        <v>44.6</v>
      </c>
      <c r="E25" s="4">
        <v>4.5</v>
      </c>
      <c r="F25" s="4">
        <v>4.5</v>
      </c>
      <c r="G25" s="21"/>
      <c r="H25" s="8">
        <f t="shared" si="0"/>
        <v>89.2</v>
      </c>
      <c r="I25" s="8">
        <f t="shared" si="1"/>
        <v>9</v>
      </c>
      <c r="J25" s="9">
        <f t="shared" si="2"/>
        <v>9</v>
      </c>
    </row>
    <row r="26" spans="1:10" s="26" customFormat="1" hidden="1" x14ac:dyDescent="0.2">
      <c r="A26" s="24" t="s">
        <v>1</v>
      </c>
      <c r="B26" s="5">
        <v>24</v>
      </c>
      <c r="C26" s="24" t="s">
        <v>5</v>
      </c>
      <c r="D26" s="5">
        <v>44.9</v>
      </c>
      <c r="E26" s="5">
        <v>2.9</v>
      </c>
      <c r="F26" s="5">
        <v>2.4</v>
      </c>
      <c r="G26" s="25"/>
      <c r="H26" s="8">
        <f t="shared" ref="H26" si="3">D26*2</f>
        <v>89.8</v>
      </c>
      <c r="I26" s="8">
        <f t="shared" ref="I26" si="4">E26*2</f>
        <v>5.8</v>
      </c>
      <c r="J26" s="9">
        <f t="shared" ref="J26" si="5">F26*2</f>
        <v>4.8</v>
      </c>
    </row>
    <row r="27" spans="1:10" hidden="1" x14ac:dyDescent="0.2">
      <c r="A27" s="3" t="s">
        <v>1</v>
      </c>
      <c r="B27" s="4">
        <v>25</v>
      </c>
      <c r="C27" s="3"/>
      <c r="D27" s="4">
        <v>47.1</v>
      </c>
      <c r="E27" s="4">
        <v>0.9</v>
      </c>
      <c r="F27" s="4">
        <v>0.9</v>
      </c>
      <c r="G27" s="21"/>
      <c r="H27" s="8">
        <f t="shared" si="0"/>
        <v>94.2</v>
      </c>
      <c r="I27" s="8">
        <f t="shared" si="1"/>
        <v>1.8</v>
      </c>
      <c r="J27" s="9">
        <f t="shared" si="2"/>
        <v>1.8</v>
      </c>
    </row>
    <row r="28" spans="1:10" hidden="1" x14ac:dyDescent="0.2">
      <c r="A28" s="3" t="s">
        <v>1</v>
      </c>
      <c r="B28" s="4">
        <v>25</v>
      </c>
      <c r="C28" s="3" t="s">
        <v>5</v>
      </c>
      <c r="D28" s="5">
        <v>63.7</v>
      </c>
      <c r="E28" s="5">
        <v>0.3</v>
      </c>
      <c r="F28" s="6">
        <f>E28</f>
        <v>0.3</v>
      </c>
      <c r="G28" s="20"/>
      <c r="H28" s="8">
        <f t="shared" si="0"/>
        <v>127.4</v>
      </c>
      <c r="I28" s="8">
        <f t="shared" si="1"/>
        <v>0.6</v>
      </c>
      <c r="J28" s="9">
        <f t="shared" si="2"/>
        <v>0.6</v>
      </c>
    </row>
    <row r="29" spans="1:10" hidden="1" x14ac:dyDescent="0.2">
      <c r="A29" s="3" t="s">
        <v>1</v>
      </c>
      <c r="B29" s="4">
        <v>26</v>
      </c>
      <c r="C29" s="3"/>
      <c r="D29" s="4">
        <v>50.4</v>
      </c>
      <c r="E29" s="4">
        <v>1.6</v>
      </c>
      <c r="F29" s="4">
        <v>0</v>
      </c>
      <c r="G29" s="21"/>
      <c r="H29" s="8">
        <f t="shared" si="0"/>
        <v>100.8</v>
      </c>
      <c r="I29" s="8">
        <f t="shared" si="1"/>
        <v>3.2</v>
      </c>
      <c r="J29" s="9">
        <f t="shared" si="2"/>
        <v>0</v>
      </c>
    </row>
    <row r="30" spans="1:10" hidden="1" x14ac:dyDescent="0.2">
      <c r="A30" s="3" t="s">
        <v>1</v>
      </c>
      <c r="B30" s="4">
        <v>26</v>
      </c>
      <c r="C30" s="3" t="s">
        <v>1</v>
      </c>
      <c r="D30" s="5">
        <v>50.4</v>
      </c>
      <c r="E30" s="5">
        <v>1.6</v>
      </c>
      <c r="F30" s="6">
        <v>0</v>
      </c>
      <c r="G30" s="20"/>
      <c r="H30" s="8">
        <f t="shared" si="0"/>
        <v>100.8</v>
      </c>
      <c r="I30" s="8">
        <f t="shared" si="1"/>
        <v>3.2</v>
      </c>
      <c r="J30" s="9">
        <f t="shared" si="2"/>
        <v>0</v>
      </c>
    </row>
    <row r="31" spans="1:10" hidden="1" x14ac:dyDescent="0.2">
      <c r="A31" s="3" t="s">
        <v>1</v>
      </c>
      <c r="B31" s="4">
        <v>27</v>
      </c>
      <c r="C31" s="3"/>
      <c r="D31" s="4">
        <v>54</v>
      </c>
      <c r="E31" s="4">
        <v>0.5</v>
      </c>
      <c r="F31" s="4">
        <v>0.5</v>
      </c>
      <c r="G31" s="21"/>
      <c r="H31" s="8">
        <f t="shared" si="0"/>
        <v>108</v>
      </c>
      <c r="I31" s="8">
        <f t="shared" si="1"/>
        <v>1</v>
      </c>
      <c r="J31" s="9">
        <f t="shared" si="2"/>
        <v>1</v>
      </c>
    </row>
    <row r="32" spans="1:10" hidden="1" x14ac:dyDescent="0.2">
      <c r="A32" s="3" t="s">
        <v>1</v>
      </c>
      <c r="B32" s="4">
        <v>28</v>
      </c>
      <c r="C32" s="3"/>
      <c r="D32" s="4">
        <v>55.3</v>
      </c>
      <c r="E32" s="4">
        <v>0</v>
      </c>
      <c r="F32" s="4">
        <f>E32</f>
        <v>0</v>
      </c>
      <c r="G32" s="20"/>
      <c r="H32" s="8">
        <f t="shared" si="0"/>
        <v>110.6</v>
      </c>
      <c r="I32" s="8">
        <f t="shared" si="1"/>
        <v>0</v>
      </c>
      <c r="J32" s="9">
        <f t="shared" si="2"/>
        <v>0</v>
      </c>
    </row>
    <row r="33" spans="1:10" hidden="1" x14ac:dyDescent="0.2">
      <c r="A33" s="3" t="s">
        <v>1</v>
      </c>
      <c r="B33" s="4">
        <v>29</v>
      </c>
      <c r="C33" s="3"/>
      <c r="D33" s="4">
        <v>58.5</v>
      </c>
      <c r="E33" s="4">
        <v>0.2</v>
      </c>
      <c r="F33" s="6">
        <f>E33</f>
        <v>0.2</v>
      </c>
      <c r="G33" s="20"/>
      <c r="H33" s="8">
        <f t="shared" si="0"/>
        <v>117</v>
      </c>
      <c r="I33" s="8">
        <f t="shared" si="1"/>
        <v>0.4</v>
      </c>
      <c r="J33" s="9">
        <f t="shared" si="2"/>
        <v>0.4</v>
      </c>
    </row>
    <row r="34" spans="1:10" hidden="1" x14ac:dyDescent="0.2">
      <c r="A34" s="3" t="s">
        <v>1</v>
      </c>
      <c r="B34" s="4">
        <v>30</v>
      </c>
      <c r="C34" s="3"/>
      <c r="D34" s="4">
        <v>44.6</v>
      </c>
      <c r="E34" s="4">
        <v>7.5</v>
      </c>
      <c r="F34" s="4">
        <v>7.5</v>
      </c>
      <c r="G34" s="21"/>
      <c r="H34" s="8">
        <f t="shared" si="0"/>
        <v>89.2</v>
      </c>
      <c r="I34" s="8">
        <f t="shared" si="1"/>
        <v>15</v>
      </c>
      <c r="J34" s="9">
        <f t="shared" si="2"/>
        <v>15</v>
      </c>
    </row>
    <row r="35" spans="1:10" hidden="1" x14ac:dyDescent="0.2">
      <c r="A35" s="3" t="s">
        <v>1</v>
      </c>
      <c r="B35" s="4">
        <v>31</v>
      </c>
      <c r="C35" s="3"/>
      <c r="D35" s="4">
        <v>44.6</v>
      </c>
      <c r="E35" s="4">
        <v>3.9</v>
      </c>
      <c r="F35" s="4">
        <v>3.9</v>
      </c>
      <c r="G35" s="21"/>
      <c r="H35" s="8">
        <f t="shared" si="0"/>
        <v>89.2</v>
      </c>
      <c r="I35" s="8">
        <f t="shared" si="1"/>
        <v>7.8</v>
      </c>
      <c r="J35" s="9">
        <f t="shared" si="2"/>
        <v>7.8</v>
      </c>
    </row>
    <row r="36" spans="1:10" hidden="1" x14ac:dyDescent="0.2">
      <c r="A36" s="3" t="s">
        <v>1</v>
      </c>
      <c r="B36" s="4">
        <v>32</v>
      </c>
      <c r="C36" s="3"/>
      <c r="D36" s="4">
        <v>44.6</v>
      </c>
      <c r="E36" s="4">
        <v>1.5</v>
      </c>
      <c r="F36" s="4">
        <v>1.5</v>
      </c>
      <c r="G36" s="21"/>
      <c r="H36" s="8">
        <f t="shared" si="0"/>
        <v>89.2</v>
      </c>
      <c r="I36" s="8">
        <f t="shared" si="1"/>
        <v>3</v>
      </c>
      <c r="J36" s="9">
        <f t="shared" si="2"/>
        <v>3</v>
      </c>
    </row>
    <row r="37" spans="1:10" hidden="1" x14ac:dyDescent="0.2">
      <c r="A37" s="3" t="s">
        <v>1</v>
      </c>
      <c r="B37" s="4">
        <v>33</v>
      </c>
      <c r="C37" s="3"/>
      <c r="D37" s="4">
        <v>46.5</v>
      </c>
      <c r="E37" s="4">
        <v>0.6</v>
      </c>
      <c r="F37" s="4">
        <v>0.6</v>
      </c>
      <c r="G37" s="21"/>
      <c r="H37" s="8">
        <f t="shared" si="0"/>
        <v>93</v>
      </c>
      <c r="I37" s="8">
        <f t="shared" si="1"/>
        <v>1.2</v>
      </c>
      <c r="J37" s="9">
        <f t="shared" si="2"/>
        <v>1.2</v>
      </c>
    </row>
    <row r="38" spans="1:10" hidden="1" x14ac:dyDescent="0.2">
      <c r="A38" s="3" t="s">
        <v>1</v>
      </c>
      <c r="B38" s="4">
        <v>34</v>
      </c>
      <c r="C38" s="3"/>
      <c r="D38" s="4">
        <v>47.4</v>
      </c>
      <c r="E38" s="4">
        <v>1.3</v>
      </c>
      <c r="F38" s="4">
        <v>1.3</v>
      </c>
      <c r="G38" s="21"/>
      <c r="H38" s="8">
        <f t="shared" si="0"/>
        <v>94.8</v>
      </c>
      <c r="I38" s="8">
        <f t="shared" si="1"/>
        <v>2.6</v>
      </c>
      <c r="J38" s="9">
        <f t="shared" si="2"/>
        <v>2.6</v>
      </c>
    </row>
    <row r="39" spans="1:10" hidden="1" x14ac:dyDescent="0.2">
      <c r="A39" s="3" t="s">
        <v>1</v>
      </c>
      <c r="B39" s="4">
        <v>34</v>
      </c>
      <c r="C39" s="3" t="s">
        <v>4</v>
      </c>
      <c r="D39" s="4">
        <v>47.4</v>
      </c>
      <c r="E39" s="4">
        <v>1.2</v>
      </c>
      <c r="F39" s="6">
        <f>E39</f>
        <v>1.2</v>
      </c>
      <c r="G39" s="20"/>
      <c r="H39" s="8">
        <f t="shared" si="0"/>
        <v>94.8</v>
      </c>
      <c r="I39" s="8">
        <f t="shared" si="1"/>
        <v>2.4</v>
      </c>
      <c r="J39" s="9">
        <f t="shared" si="2"/>
        <v>2.4</v>
      </c>
    </row>
    <row r="40" spans="1:10" hidden="1" x14ac:dyDescent="0.2">
      <c r="A40" s="3" t="s">
        <v>1</v>
      </c>
      <c r="B40" s="4">
        <v>35</v>
      </c>
      <c r="C40" s="3"/>
      <c r="D40" s="4">
        <v>47.4</v>
      </c>
      <c r="E40" s="4">
        <v>3.7</v>
      </c>
      <c r="F40" s="4">
        <v>3.7</v>
      </c>
      <c r="G40" s="21"/>
      <c r="H40" s="8">
        <f t="shared" si="0"/>
        <v>94.8</v>
      </c>
      <c r="I40" s="8">
        <f t="shared" si="1"/>
        <v>7.4</v>
      </c>
      <c r="J40" s="9">
        <f t="shared" si="2"/>
        <v>7.4</v>
      </c>
    </row>
    <row r="41" spans="1:10" hidden="1" x14ac:dyDescent="0.2">
      <c r="A41" s="3" t="s">
        <v>1</v>
      </c>
      <c r="B41" s="4" t="s">
        <v>26</v>
      </c>
      <c r="C41" s="3" t="s">
        <v>27</v>
      </c>
      <c r="D41" s="4">
        <v>57.9</v>
      </c>
      <c r="E41" s="4">
        <v>0</v>
      </c>
      <c r="F41" s="4">
        <v>0</v>
      </c>
      <c r="G41" s="21"/>
      <c r="H41" s="8">
        <f t="shared" si="0"/>
        <v>115.8</v>
      </c>
      <c r="I41" s="8">
        <f t="shared" si="1"/>
        <v>0</v>
      </c>
      <c r="J41" s="9">
        <f t="shared" si="2"/>
        <v>0</v>
      </c>
    </row>
    <row r="42" spans="1:10" hidden="1" x14ac:dyDescent="0.2">
      <c r="A42" s="3" t="s">
        <v>1</v>
      </c>
      <c r="B42" s="4">
        <v>35</v>
      </c>
      <c r="C42" s="3" t="s">
        <v>4</v>
      </c>
      <c r="D42" s="4">
        <v>47.4</v>
      </c>
      <c r="E42" s="4">
        <v>2.9</v>
      </c>
      <c r="F42" s="4">
        <v>2.9</v>
      </c>
      <c r="G42" s="21"/>
      <c r="H42" s="8">
        <f t="shared" si="0"/>
        <v>94.8</v>
      </c>
      <c r="I42" s="8">
        <f t="shared" si="1"/>
        <v>5.8</v>
      </c>
      <c r="J42" s="9">
        <f t="shared" si="2"/>
        <v>5.8</v>
      </c>
    </row>
    <row r="43" spans="1:10" hidden="1" x14ac:dyDescent="0.2">
      <c r="A43" s="3" t="s">
        <v>1</v>
      </c>
      <c r="B43" s="4">
        <v>37</v>
      </c>
      <c r="C43" s="3"/>
      <c r="D43" s="4">
        <v>44.6</v>
      </c>
      <c r="E43" s="4">
        <v>6.9</v>
      </c>
      <c r="F43" s="4">
        <v>6.9</v>
      </c>
      <c r="G43" s="21"/>
      <c r="H43" s="8">
        <f t="shared" si="0"/>
        <v>89.2</v>
      </c>
      <c r="I43" s="8">
        <f t="shared" si="1"/>
        <v>13.8</v>
      </c>
      <c r="J43" s="9">
        <f t="shared" si="2"/>
        <v>13.8</v>
      </c>
    </row>
    <row r="44" spans="1:10" hidden="1" x14ac:dyDescent="0.2">
      <c r="A44" s="3" t="s">
        <v>1</v>
      </c>
      <c r="B44" s="4">
        <v>38</v>
      </c>
      <c r="C44" s="3"/>
      <c r="D44" s="4">
        <v>44.6</v>
      </c>
      <c r="E44" s="4">
        <v>4.8</v>
      </c>
      <c r="F44" s="4">
        <v>4.8</v>
      </c>
      <c r="G44" s="21"/>
      <c r="H44" s="8">
        <f t="shared" si="0"/>
        <v>89.2</v>
      </c>
      <c r="I44" s="8">
        <f t="shared" si="1"/>
        <v>9.6</v>
      </c>
      <c r="J44" s="9">
        <f t="shared" si="2"/>
        <v>9.6</v>
      </c>
    </row>
    <row r="45" spans="1:10" hidden="1" x14ac:dyDescent="0.2">
      <c r="A45" s="3" t="s">
        <v>1</v>
      </c>
      <c r="B45" s="4">
        <v>39</v>
      </c>
      <c r="C45" s="3"/>
      <c r="D45" s="4">
        <v>44.6</v>
      </c>
      <c r="E45" s="4">
        <v>3.5</v>
      </c>
      <c r="F45" s="4">
        <v>3.5</v>
      </c>
      <c r="G45" s="21"/>
      <c r="H45" s="8">
        <f t="shared" si="0"/>
        <v>89.2</v>
      </c>
      <c r="I45" s="8">
        <f t="shared" si="1"/>
        <v>7</v>
      </c>
      <c r="J45" s="9">
        <f t="shared" si="2"/>
        <v>7</v>
      </c>
    </row>
    <row r="46" spans="1:10" hidden="1" x14ac:dyDescent="0.2">
      <c r="A46" s="3" t="s">
        <v>1</v>
      </c>
      <c r="B46" s="4">
        <v>40</v>
      </c>
      <c r="C46" s="3"/>
      <c r="D46" s="4">
        <v>45.3</v>
      </c>
      <c r="E46" s="4">
        <v>0.1</v>
      </c>
      <c r="F46" s="4">
        <v>0.1</v>
      </c>
      <c r="G46" s="21"/>
      <c r="H46" s="8">
        <f t="shared" si="0"/>
        <v>90.6</v>
      </c>
      <c r="I46" s="8">
        <f t="shared" si="1"/>
        <v>0.2</v>
      </c>
      <c r="J46" s="9">
        <f t="shared" si="2"/>
        <v>0.2</v>
      </c>
    </row>
    <row r="47" spans="1:10" hidden="1" x14ac:dyDescent="0.2">
      <c r="A47" s="3" t="s">
        <v>1</v>
      </c>
      <c r="B47" s="4">
        <v>40</v>
      </c>
      <c r="C47" s="3" t="s">
        <v>4</v>
      </c>
      <c r="D47" s="4">
        <v>43.1</v>
      </c>
      <c r="E47" s="4">
        <v>1.2</v>
      </c>
      <c r="F47" s="4">
        <v>1.2</v>
      </c>
      <c r="G47" s="21"/>
      <c r="H47" s="8">
        <f t="shared" si="0"/>
        <v>86.2</v>
      </c>
      <c r="I47" s="8">
        <f t="shared" si="1"/>
        <v>2.4</v>
      </c>
      <c r="J47" s="9">
        <f t="shared" si="2"/>
        <v>2.4</v>
      </c>
    </row>
    <row r="48" spans="1:10" hidden="1" x14ac:dyDescent="0.2">
      <c r="A48" s="3" t="s">
        <v>1</v>
      </c>
      <c r="B48" s="4">
        <v>40</v>
      </c>
      <c r="C48" s="3" t="s">
        <v>2</v>
      </c>
      <c r="D48" s="4">
        <v>44.6</v>
      </c>
      <c r="E48" s="4">
        <v>1</v>
      </c>
      <c r="F48" s="6">
        <f>E48</f>
        <v>1</v>
      </c>
      <c r="G48" s="20"/>
      <c r="H48" s="8">
        <f t="shared" si="0"/>
        <v>89.2</v>
      </c>
      <c r="I48" s="8">
        <f t="shared" si="1"/>
        <v>2</v>
      </c>
      <c r="J48" s="9">
        <f t="shared" si="2"/>
        <v>2</v>
      </c>
    </row>
    <row r="49" spans="1:10" hidden="1" x14ac:dyDescent="0.2">
      <c r="A49" s="3" t="s">
        <v>1</v>
      </c>
      <c r="B49" s="4">
        <v>41</v>
      </c>
      <c r="C49" s="3"/>
      <c r="D49" s="4">
        <v>47.3</v>
      </c>
      <c r="E49" s="4">
        <v>0.2</v>
      </c>
      <c r="F49" s="6">
        <f>E49</f>
        <v>0.2</v>
      </c>
      <c r="G49" s="20"/>
      <c r="H49" s="8">
        <f t="shared" si="0"/>
        <v>94.6</v>
      </c>
      <c r="I49" s="8">
        <f t="shared" si="1"/>
        <v>0.4</v>
      </c>
      <c r="J49" s="9">
        <f t="shared" si="2"/>
        <v>0.4</v>
      </c>
    </row>
    <row r="50" spans="1:10" hidden="1" x14ac:dyDescent="0.2">
      <c r="A50" s="3" t="s">
        <v>1</v>
      </c>
      <c r="B50" s="4">
        <v>41</v>
      </c>
      <c r="C50" s="3" t="s">
        <v>4</v>
      </c>
      <c r="D50" s="4">
        <v>46.7</v>
      </c>
      <c r="E50" s="4">
        <v>0.6</v>
      </c>
      <c r="F50" s="4">
        <v>0.6</v>
      </c>
      <c r="G50" s="21"/>
      <c r="H50" s="8">
        <f t="shared" si="0"/>
        <v>93.4</v>
      </c>
      <c r="I50" s="8">
        <f t="shared" si="1"/>
        <v>1.2</v>
      </c>
      <c r="J50" s="9">
        <f t="shared" si="2"/>
        <v>1.2</v>
      </c>
    </row>
    <row r="51" spans="1:10" hidden="1" x14ac:dyDescent="0.2">
      <c r="A51" s="3" t="s">
        <v>1</v>
      </c>
      <c r="B51" s="4">
        <v>41</v>
      </c>
      <c r="C51" s="3" t="s">
        <v>2</v>
      </c>
      <c r="D51" s="4">
        <v>46.3</v>
      </c>
      <c r="E51" s="4">
        <v>0.6</v>
      </c>
      <c r="F51" s="4">
        <v>0.6</v>
      </c>
      <c r="G51" s="21"/>
      <c r="H51" s="8">
        <f t="shared" si="0"/>
        <v>92.6</v>
      </c>
      <c r="I51" s="8">
        <f t="shared" si="1"/>
        <v>1.2</v>
      </c>
      <c r="J51" s="9">
        <f t="shared" si="2"/>
        <v>1.2</v>
      </c>
    </row>
    <row r="52" spans="1:10" hidden="1" x14ac:dyDescent="0.2">
      <c r="A52" s="3" t="s">
        <v>1</v>
      </c>
      <c r="B52" s="4">
        <v>42</v>
      </c>
      <c r="C52" s="3"/>
      <c r="D52" s="4">
        <v>47.4</v>
      </c>
      <c r="E52" s="4">
        <v>1.5</v>
      </c>
      <c r="F52" s="4">
        <v>1.5</v>
      </c>
      <c r="G52" s="21"/>
      <c r="H52" s="8">
        <f t="shared" si="0"/>
        <v>94.8</v>
      </c>
      <c r="I52" s="8">
        <f t="shared" si="1"/>
        <v>3</v>
      </c>
      <c r="J52" s="9">
        <f t="shared" si="2"/>
        <v>3</v>
      </c>
    </row>
    <row r="53" spans="1:10" hidden="1" x14ac:dyDescent="0.2">
      <c r="A53" s="3" t="s">
        <v>1</v>
      </c>
      <c r="B53" s="4">
        <v>42</v>
      </c>
      <c r="C53" s="3" t="s">
        <v>4</v>
      </c>
      <c r="D53" s="4">
        <v>47.4</v>
      </c>
      <c r="E53" s="4">
        <v>3</v>
      </c>
      <c r="F53" s="4">
        <v>3</v>
      </c>
      <c r="G53" s="21"/>
      <c r="H53" s="8">
        <f t="shared" si="0"/>
        <v>94.8</v>
      </c>
      <c r="I53" s="8">
        <f t="shared" si="1"/>
        <v>6</v>
      </c>
      <c r="J53" s="9">
        <f t="shared" si="2"/>
        <v>6</v>
      </c>
    </row>
    <row r="54" spans="1:10" hidden="1" x14ac:dyDescent="0.2">
      <c r="A54" s="3" t="s">
        <v>1</v>
      </c>
      <c r="B54" s="4">
        <v>43</v>
      </c>
      <c r="C54" s="3"/>
      <c r="D54" s="4">
        <v>49.7</v>
      </c>
      <c r="E54" s="4">
        <v>0.2</v>
      </c>
      <c r="F54" s="4">
        <v>0.1</v>
      </c>
      <c r="G54" s="21"/>
      <c r="H54" s="8">
        <f t="shared" ref="H54" si="6">D54*2</f>
        <v>99.4</v>
      </c>
      <c r="I54" s="8">
        <f t="shared" ref="I54" si="7">E54*2</f>
        <v>0.4</v>
      </c>
      <c r="J54" s="9">
        <f t="shared" ref="J54" si="8">F54*2</f>
        <v>0.2</v>
      </c>
    </row>
    <row r="55" spans="1:10" hidden="1" x14ac:dyDescent="0.2">
      <c r="A55" s="3" t="s">
        <v>1</v>
      </c>
      <c r="B55" s="4">
        <v>45</v>
      </c>
      <c r="C55" s="3"/>
      <c r="D55" s="4">
        <v>38.5</v>
      </c>
      <c r="E55" s="4">
        <v>5.2</v>
      </c>
      <c r="F55" s="4">
        <v>5.2</v>
      </c>
      <c r="G55" s="21"/>
      <c r="H55" s="8">
        <f t="shared" si="0"/>
        <v>77</v>
      </c>
      <c r="I55" s="8">
        <f t="shared" si="1"/>
        <v>10.4</v>
      </c>
      <c r="J55" s="9">
        <f t="shared" si="2"/>
        <v>10.4</v>
      </c>
    </row>
    <row r="56" spans="1:10" hidden="1" x14ac:dyDescent="0.2">
      <c r="A56" s="3" t="s">
        <v>1</v>
      </c>
      <c r="B56" s="4">
        <v>46</v>
      </c>
      <c r="C56" s="3"/>
      <c r="D56" s="4">
        <v>42.7</v>
      </c>
      <c r="E56" s="4">
        <v>0.9</v>
      </c>
      <c r="F56" s="4">
        <v>0.9</v>
      </c>
      <c r="G56" s="21"/>
      <c r="H56" s="8">
        <f t="shared" si="0"/>
        <v>85.4</v>
      </c>
      <c r="I56" s="8">
        <f t="shared" si="1"/>
        <v>1.8</v>
      </c>
      <c r="J56" s="9">
        <f t="shared" si="2"/>
        <v>1.8</v>
      </c>
    </row>
    <row r="57" spans="1:10" hidden="1" x14ac:dyDescent="0.2">
      <c r="A57" s="3" t="s">
        <v>1</v>
      </c>
      <c r="B57" s="4">
        <v>47</v>
      </c>
      <c r="C57" s="3"/>
      <c r="D57" s="4">
        <v>43.1</v>
      </c>
      <c r="E57" s="4">
        <v>1.5</v>
      </c>
      <c r="F57" s="4">
        <v>1.5</v>
      </c>
      <c r="G57" s="21"/>
      <c r="H57" s="8">
        <f t="shared" si="0"/>
        <v>86.2</v>
      </c>
      <c r="I57" s="8">
        <f t="shared" si="1"/>
        <v>3</v>
      </c>
      <c r="J57" s="9">
        <f t="shared" si="2"/>
        <v>3</v>
      </c>
    </row>
    <row r="58" spans="1:10" hidden="1" x14ac:dyDescent="0.2">
      <c r="A58" s="3" t="s">
        <v>1</v>
      </c>
      <c r="B58" s="4">
        <v>48</v>
      </c>
      <c r="C58" s="3"/>
      <c r="D58" s="4">
        <v>46.7</v>
      </c>
      <c r="E58" s="4">
        <v>2</v>
      </c>
      <c r="F58" s="4">
        <v>2</v>
      </c>
      <c r="G58" s="21"/>
      <c r="H58" s="8">
        <f t="shared" si="0"/>
        <v>93.4</v>
      </c>
      <c r="I58" s="8">
        <f t="shared" si="1"/>
        <v>4</v>
      </c>
      <c r="J58" s="9">
        <f t="shared" si="2"/>
        <v>4</v>
      </c>
    </row>
    <row r="59" spans="1:10" hidden="1" x14ac:dyDescent="0.2">
      <c r="A59" s="3" t="s">
        <v>1</v>
      </c>
      <c r="B59" s="4">
        <v>49</v>
      </c>
      <c r="C59" s="3"/>
      <c r="D59" s="4">
        <v>47.4</v>
      </c>
      <c r="E59" s="4">
        <v>4.2</v>
      </c>
      <c r="F59" s="4">
        <v>4.2</v>
      </c>
      <c r="G59" s="21"/>
      <c r="H59" s="8">
        <f t="shared" si="0"/>
        <v>94.8</v>
      </c>
      <c r="I59" s="8">
        <f t="shared" si="1"/>
        <v>8.4</v>
      </c>
      <c r="J59" s="9">
        <f t="shared" si="2"/>
        <v>8.4</v>
      </c>
    </row>
    <row r="60" spans="1:10" hidden="1" x14ac:dyDescent="0.2">
      <c r="A60" s="3" t="s">
        <v>1</v>
      </c>
      <c r="B60" s="4">
        <v>51</v>
      </c>
      <c r="C60" s="3"/>
      <c r="D60" s="4">
        <v>38.5</v>
      </c>
      <c r="E60" s="4">
        <v>3.2</v>
      </c>
      <c r="F60" s="4">
        <v>3.2</v>
      </c>
      <c r="G60" s="21"/>
      <c r="H60" s="8">
        <f t="shared" si="0"/>
        <v>77</v>
      </c>
      <c r="I60" s="8">
        <f t="shared" si="1"/>
        <v>6.4</v>
      </c>
      <c r="J60" s="9">
        <f t="shared" si="2"/>
        <v>6.4</v>
      </c>
    </row>
    <row r="61" spans="1:10" hidden="1" x14ac:dyDescent="0.2">
      <c r="A61" s="3" t="s">
        <v>1</v>
      </c>
      <c r="B61" s="4">
        <v>52</v>
      </c>
      <c r="C61" s="3"/>
      <c r="D61" s="4">
        <v>41.3</v>
      </c>
      <c r="E61" s="4">
        <v>0.7</v>
      </c>
      <c r="F61" s="4">
        <v>0.7</v>
      </c>
      <c r="G61" s="21"/>
      <c r="H61" s="8">
        <f t="shared" si="0"/>
        <v>82.6</v>
      </c>
      <c r="I61" s="8">
        <f t="shared" si="1"/>
        <v>1.4</v>
      </c>
      <c r="J61" s="9">
        <f t="shared" si="2"/>
        <v>1.4</v>
      </c>
    </row>
    <row r="62" spans="1:10" hidden="1" x14ac:dyDescent="0.2">
      <c r="A62" s="3" t="s">
        <v>1</v>
      </c>
      <c r="B62" s="4">
        <v>53</v>
      </c>
      <c r="C62" s="3"/>
      <c r="D62" s="4">
        <v>41.5</v>
      </c>
      <c r="E62" s="4">
        <v>1.2</v>
      </c>
      <c r="F62" s="4">
        <v>1.2</v>
      </c>
      <c r="G62" s="21"/>
      <c r="H62" s="8">
        <f t="shared" si="0"/>
        <v>83</v>
      </c>
      <c r="I62" s="8">
        <f t="shared" si="1"/>
        <v>2.4</v>
      </c>
      <c r="J62" s="9">
        <f t="shared" si="2"/>
        <v>2.4</v>
      </c>
    </row>
    <row r="63" spans="1:10" hidden="1" x14ac:dyDescent="0.2">
      <c r="A63" s="3" t="s">
        <v>1</v>
      </c>
      <c r="B63" s="5">
        <v>54</v>
      </c>
      <c r="C63" s="3"/>
      <c r="D63" s="4">
        <v>46.7</v>
      </c>
      <c r="E63" s="4">
        <v>3.5</v>
      </c>
      <c r="F63" s="4">
        <v>3.5</v>
      </c>
      <c r="G63" s="21"/>
      <c r="H63" s="8">
        <f t="shared" si="0"/>
        <v>93.4</v>
      </c>
      <c r="I63" s="8">
        <f t="shared" si="1"/>
        <v>7</v>
      </c>
      <c r="J63" s="9">
        <f t="shared" si="2"/>
        <v>7</v>
      </c>
    </row>
    <row r="64" spans="1:10" hidden="1" x14ac:dyDescent="0.2">
      <c r="A64" s="3" t="s">
        <v>1</v>
      </c>
      <c r="B64" s="4">
        <v>55</v>
      </c>
      <c r="C64" s="3"/>
      <c r="D64" s="4">
        <v>46.7</v>
      </c>
      <c r="E64" s="4">
        <v>4</v>
      </c>
      <c r="F64" s="4">
        <v>4</v>
      </c>
      <c r="G64" s="21"/>
      <c r="H64" s="8">
        <f t="shared" si="0"/>
        <v>93.4</v>
      </c>
      <c r="I64" s="8">
        <f t="shared" si="1"/>
        <v>8</v>
      </c>
      <c r="J64" s="9">
        <f t="shared" si="2"/>
        <v>8</v>
      </c>
    </row>
    <row r="65" spans="1:10" hidden="1" x14ac:dyDescent="0.2">
      <c r="A65" s="3" t="s">
        <v>1</v>
      </c>
      <c r="B65" s="4">
        <v>55</v>
      </c>
      <c r="C65" s="3" t="s">
        <v>5</v>
      </c>
      <c r="D65" s="4">
        <v>74</v>
      </c>
      <c r="E65" s="4">
        <v>3.4</v>
      </c>
      <c r="F65" s="6">
        <f>E65</f>
        <v>3.4</v>
      </c>
      <c r="G65" s="20"/>
      <c r="H65" s="8">
        <f t="shared" si="0"/>
        <v>148</v>
      </c>
      <c r="I65" s="8">
        <f t="shared" si="1"/>
        <v>6.8</v>
      </c>
      <c r="J65" s="9">
        <f t="shared" si="2"/>
        <v>6.8</v>
      </c>
    </row>
    <row r="66" spans="1:10" hidden="1" x14ac:dyDescent="0.2">
      <c r="A66" s="3" t="s">
        <v>1</v>
      </c>
      <c r="B66" s="4">
        <v>56</v>
      </c>
      <c r="C66" s="3" t="s">
        <v>5</v>
      </c>
      <c r="D66" s="4">
        <v>58</v>
      </c>
      <c r="E66" s="4">
        <v>6.2</v>
      </c>
      <c r="F66" s="6">
        <f>E66</f>
        <v>6.2</v>
      </c>
      <c r="G66" s="20"/>
      <c r="H66" s="8">
        <f t="shared" ref="H66" si="9">D66*2</f>
        <v>116</v>
      </c>
      <c r="I66" s="8">
        <f t="shared" ref="I66" si="10">E66*2</f>
        <v>12.4</v>
      </c>
      <c r="J66" s="9">
        <f t="shared" ref="J66" si="11">F66*2</f>
        <v>12.4</v>
      </c>
    </row>
    <row r="67" spans="1:10" hidden="1" x14ac:dyDescent="0.2">
      <c r="A67" s="3" t="s">
        <v>1</v>
      </c>
      <c r="B67" s="4">
        <v>57</v>
      </c>
      <c r="C67" s="3"/>
      <c r="D67" s="4">
        <v>39.200000000000003</v>
      </c>
      <c r="E67" s="4">
        <v>0.3</v>
      </c>
      <c r="F67" s="4">
        <v>0.3</v>
      </c>
      <c r="G67" s="21"/>
      <c r="H67" s="8">
        <f t="shared" si="0"/>
        <v>78.400000000000006</v>
      </c>
      <c r="I67" s="8">
        <f t="shared" si="1"/>
        <v>0.6</v>
      </c>
      <c r="J67" s="9">
        <f t="shared" si="2"/>
        <v>0.6</v>
      </c>
    </row>
    <row r="68" spans="1:10" hidden="1" x14ac:dyDescent="0.2">
      <c r="A68" s="3" t="s">
        <v>1</v>
      </c>
      <c r="B68" s="4">
        <v>58</v>
      </c>
      <c r="C68" s="3"/>
      <c r="D68" s="4">
        <v>40.799999999999997</v>
      </c>
      <c r="E68" s="4">
        <v>0.4</v>
      </c>
      <c r="F68" s="4">
        <v>0.4</v>
      </c>
      <c r="G68" s="21"/>
      <c r="H68" s="8">
        <f t="shared" si="0"/>
        <v>81.599999999999994</v>
      </c>
      <c r="I68" s="8">
        <f t="shared" si="1"/>
        <v>0.8</v>
      </c>
      <c r="J68" s="9">
        <f t="shared" si="2"/>
        <v>0.8</v>
      </c>
    </row>
    <row r="69" spans="1:10" hidden="1" x14ac:dyDescent="0.2">
      <c r="A69" s="3" t="s">
        <v>1</v>
      </c>
      <c r="B69" s="4">
        <v>62</v>
      </c>
      <c r="C69" s="3"/>
      <c r="D69" s="4">
        <v>41.2</v>
      </c>
      <c r="E69" s="4">
        <v>0.9</v>
      </c>
      <c r="F69" s="4">
        <v>0.9</v>
      </c>
      <c r="G69" s="21"/>
      <c r="H69" s="8">
        <f t="shared" si="0"/>
        <v>82.4</v>
      </c>
      <c r="I69" s="8">
        <f t="shared" si="1"/>
        <v>1.8</v>
      </c>
      <c r="J69" s="9">
        <f t="shared" si="2"/>
        <v>1.8</v>
      </c>
    </row>
    <row r="70" spans="1:10" hidden="1" x14ac:dyDescent="0.2">
      <c r="A70" s="3" t="s">
        <v>1</v>
      </c>
      <c r="B70" s="4">
        <v>63</v>
      </c>
      <c r="C70" s="3" t="s">
        <v>5</v>
      </c>
      <c r="D70" s="4">
        <v>64.5</v>
      </c>
      <c r="E70" s="4">
        <v>1.6</v>
      </c>
      <c r="F70" s="4">
        <v>1.6</v>
      </c>
      <c r="G70" s="21"/>
      <c r="H70" s="8">
        <f t="shared" si="0"/>
        <v>129</v>
      </c>
      <c r="I70" s="8">
        <f t="shared" si="1"/>
        <v>3.2</v>
      </c>
      <c r="J70" s="9">
        <f t="shared" si="2"/>
        <v>3.2</v>
      </c>
    </row>
    <row r="71" spans="1:10" hidden="1" x14ac:dyDescent="0.2">
      <c r="A71" s="3" t="s">
        <v>1</v>
      </c>
      <c r="B71" s="4">
        <v>73</v>
      </c>
      <c r="C71" s="3" t="s">
        <v>5</v>
      </c>
      <c r="D71" s="4">
        <v>67</v>
      </c>
      <c r="E71" s="4">
        <v>0.7</v>
      </c>
      <c r="F71" s="4">
        <v>0</v>
      </c>
      <c r="G71" s="21"/>
      <c r="H71" s="8">
        <f t="shared" si="0"/>
        <v>134</v>
      </c>
      <c r="I71" s="8">
        <f t="shared" si="1"/>
        <v>1.4</v>
      </c>
      <c r="J71" s="9">
        <f t="shared" si="2"/>
        <v>0</v>
      </c>
    </row>
    <row r="72" spans="1:10" hidden="1" x14ac:dyDescent="0.2">
      <c r="A72" s="3" t="s">
        <v>1</v>
      </c>
      <c r="B72" s="4">
        <v>84</v>
      </c>
      <c r="C72" s="3"/>
      <c r="D72" s="4">
        <v>70</v>
      </c>
      <c r="E72" s="4">
        <v>3.4</v>
      </c>
      <c r="F72" s="6">
        <f>E72</f>
        <v>3.4</v>
      </c>
      <c r="G72" s="20"/>
      <c r="H72" s="8">
        <f t="shared" si="0"/>
        <v>140</v>
      </c>
      <c r="I72" s="8">
        <f t="shared" si="1"/>
        <v>6.8</v>
      </c>
      <c r="J72" s="9">
        <f t="shared" si="2"/>
        <v>6.8</v>
      </c>
    </row>
    <row r="73" spans="1:10" hidden="1" x14ac:dyDescent="0.2">
      <c r="A73" s="3" t="s">
        <v>1</v>
      </c>
      <c r="B73" s="4">
        <v>85</v>
      </c>
      <c r="C73" s="3"/>
      <c r="D73" s="4">
        <v>71.900000000000006</v>
      </c>
      <c r="E73" s="4">
        <v>1.4</v>
      </c>
      <c r="F73" s="4">
        <v>1.4</v>
      </c>
      <c r="G73" s="21"/>
      <c r="H73" s="8">
        <f t="shared" si="0"/>
        <v>143.80000000000001</v>
      </c>
      <c r="I73" s="8">
        <f t="shared" si="1"/>
        <v>2.8</v>
      </c>
      <c r="J73" s="9">
        <f t="shared" si="2"/>
        <v>2.8</v>
      </c>
    </row>
    <row r="74" spans="1:10" hidden="1" x14ac:dyDescent="0.2">
      <c r="A74" s="3" t="s">
        <v>1</v>
      </c>
      <c r="B74" s="4">
        <v>85</v>
      </c>
      <c r="C74" s="3" t="s">
        <v>2</v>
      </c>
      <c r="D74" s="4">
        <v>71.900000000000006</v>
      </c>
      <c r="E74" s="4">
        <v>1.5</v>
      </c>
      <c r="F74" s="6">
        <f>E74</f>
        <v>1.5</v>
      </c>
      <c r="G74" s="20"/>
      <c r="H74" s="8">
        <f t="shared" si="0"/>
        <v>143.80000000000001</v>
      </c>
      <c r="I74" s="8">
        <f t="shared" si="1"/>
        <v>3</v>
      </c>
      <c r="J74" s="9">
        <f t="shared" si="2"/>
        <v>3</v>
      </c>
    </row>
    <row r="75" spans="1:10" hidden="1" x14ac:dyDescent="0.2">
      <c r="A75" s="3" t="s">
        <v>1</v>
      </c>
      <c r="B75" s="4">
        <v>86</v>
      </c>
      <c r="C75" s="3"/>
      <c r="D75" s="4">
        <v>74</v>
      </c>
      <c r="E75" s="4">
        <v>3.5</v>
      </c>
      <c r="F75" s="6">
        <f>E75</f>
        <v>3.5</v>
      </c>
      <c r="G75" s="20"/>
      <c r="H75" s="8">
        <f t="shared" ref="H75:H139" si="12">D75*2</f>
        <v>148</v>
      </c>
      <c r="I75" s="8">
        <f t="shared" ref="I75:I139" si="13">E75*2</f>
        <v>7</v>
      </c>
      <c r="J75" s="9">
        <f t="shared" ref="J75:J139" si="14">F75*2</f>
        <v>7</v>
      </c>
    </row>
    <row r="76" spans="1:10" hidden="1" x14ac:dyDescent="0.2">
      <c r="A76" s="3" t="s">
        <v>1</v>
      </c>
      <c r="B76" s="4">
        <v>87</v>
      </c>
      <c r="C76" s="3"/>
      <c r="D76" s="4">
        <v>58</v>
      </c>
      <c r="E76" s="4">
        <v>7.8</v>
      </c>
      <c r="F76" s="4">
        <v>7.8</v>
      </c>
      <c r="G76" s="21"/>
      <c r="H76" s="8">
        <f t="shared" si="12"/>
        <v>116</v>
      </c>
      <c r="I76" s="8">
        <f t="shared" si="13"/>
        <v>15.6</v>
      </c>
      <c r="J76" s="9">
        <f t="shared" si="14"/>
        <v>15.6</v>
      </c>
    </row>
    <row r="77" spans="1:10" hidden="1" x14ac:dyDescent="0.2">
      <c r="A77" s="3" t="s">
        <v>1</v>
      </c>
      <c r="B77" s="4">
        <v>88</v>
      </c>
      <c r="C77" s="3"/>
      <c r="D77" s="4">
        <v>58</v>
      </c>
      <c r="E77" s="4">
        <v>9.5</v>
      </c>
      <c r="F77" s="4">
        <v>9.5</v>
      </c>
      <c r="G77" s="21"/>
      <c r="H77" s="8">
        <f t="shared" si="12"/>
        <v>116</v>
      </c>
      <c r="I77" s="8">
        <f t="shared" si="13"/>
        <v>19</v>
      </c>
      <c r="J77" s="9">
        <f t="shared" si="14"/>
        <v>19</v>
      </c>
    </row>
    <row r="78" spans="1:10" hidden="1" x14ac:dyDescent="0.2">
      <c r="A78" s="3" t="s">
        <v>1</v>
      </c>
      <c r="B78" s="4">
        <v>89</v>
      </c>
      <c r="C78" s="3"/>
      <c r="D78" s="4">
        <v>55.6</v>
      </c>
      <c r="E78" s="4">
        <v>1</v>
      </c>
      <c r="F78" s="4">
        <v>1</v>
      </c>
      <c r="G78" s="21"/>
      <c r="H78" s="8">
        <f t="shared" si="12"/>
        <v>111.2</v>
      </c>
      <c r="I78" s="8">
        <f t="shared" si="13"/>
        <v>2</v>
      </c>
      <c r="J78" s="9">
        <f t="shared" si="14"/>
        <v>2</v>
      </c>
    </row>
    <row r="79" spans="1:10" hidden="1" x14ac:dyDescent="0.2">
      <c r="A79" s="3" t="s">
        <v>1</v>
      </c>
      <c r="B79" s="4">
        <v>91</v>
      </c>
      <c r="C79" s="3"/>
      <c r="D79" s="4">
        <v>63</v>
      </c>
      <c r="E79" s="4">
        <v>1.9</v>
      </c>
      <c r="F79" s="4">
        <v>1.9</v>
      </c>
      <c r="G79" s="21"/>
      <c r="H79" s="8">
        <f t="shared" si="12"/>
        <v>126</v>
      </c>
      <c r="I79" s="8">
        <f t="shared" si="13"/>
        <v>3.8</v>
      </c>
      <c r="J79" s="9">
        <f t="shared" si="14"/>
        <v>3.8</v>
      </c>
    </row>
    <row r="80" spans="1:10" hidden="1" x14ac:dyDescent="0.2">
      <c r="A80" s="3" t="s">
        <v>1</v>
      </c>
      <c r="B80" s="4">
        <v>91</v>
      </c>
      <c r="C80" s="3" t="s">
        <v>2</v>
      </c>
      <c r="D80" s="5">
        <v>63</v>
      </c>
      <c r="E80" s="4">
        <v>2.4</v>
      </c>
      <c r="F80" s="4">
        <v>2.4</v>
      </c>
      <c r="G80" s="21"/>
      <c r="H80" s="8">
        <f t="shared" si="12"/>
        <v>126</v>
      </c>
      <c r="I80" s="8">
        <f t="shared" si="13"/>
        <v>4.8</v>
      </c>
      <c r="J80" s="9">
        <f t="shared" si="14"/>
        <v>4.8</v>
      </c>
    </row>
    <row r="81" spans="1:10" hidden="1" x14ac:dyDescent="0.2">
      <c r="A81" s="3" t="s">
        <v>1</v>
      </c>
      <c r="B81" s="4">
        <v>93</v>
      </c>
      <c r="C81" s="3"/>
      <c r="D81" s="4">
        <v>70</v>
      </c>
      <c r="E81" s="4">
        <v>1.7</v>
      </c>
      <c r="F81" s="4">
        <v>1.7</v>
      </c>
      <c r="G81" s="21"/>
      <c r="H81" s="8">
        <f t="shared" si="12"/>
        <v>140</v>
      </c>
      <c r="I81" s="8">
        <f t="shared" si="13"/>
        <v>3.4</v>
      </c>
      <c r="J81" s="9">
        <f t="shared" si="14"/>
        <v>3.4</v>
      </c>
    </row>
    <row r="82" spans="1:10" hidden="1" x14ac:dyDescent="0.2">
      <c r="A82" s="3" t="s">
        <v>1</v>
      </c>
      <c r="B82" s="4">
        <v>96</v>
      </c>
      <c r="C82" s="3"/>
      <c r="D82" s="4">
        <v>58</v>
      </c>
      <c r="E82" s="4">
        <v>6</v>
      </c>
      <c r="F82" s="4">
        <v>6</v>
      </c>
      <c r="G82" s="21"/>
      <c r="H82" s="8">
        <f t="shared" si="12"/>
        <v>116</v>
      </c>
      <c r="I82" s="8">
        <f t="shared" si="13"/>
        <v>12</v>
      </c>
      <c r="J82" s="9">
        <f t="shared" si="14"/>
        <v>12</v>
      </c>
    </row>
    <row r="83" spans="1:10" hidden="1" x14ac:dyDescent="0.2">
      <c r="A83" s="3" t="s">
        <v>1</v>
      </c>
      <c r="B83" s="4">
        <v>97</v>
      </c>
      <c r="C83" s="3"/>
      <c r="D83" s="4">
        <v>58</v>
      </c>
      <c r="E83" s="4">
        <v>8.6</v>
      </c>
      <c r="F83" s="4">
        <v>8.6</v>
      </c>
      <c r="G83" s="21"/>
      <c r="H83" s="8">
        <f t="shared" si="12"/>
        <v>116</v>
      </c>
      <c r="I83" s="8">
        <f t="shared" si="13"/>
        <v>17.2</v>
      </c>
      <c r="J83" s="9">
        <f t="shared" si="14"/>
        <v>17.2</v>
      </c>
    </row>
    <row r="84" spans="1:10" hidden="1" x14ac:dyDescent="0.2">
      <c r="A84" s="3" t="s">
        <v>1</v>
      </c>
      <c r="B84" s="4">
        <v>100</v>
      </c>
      <c r="C84" s="3"/>
      <c r="D84" s="4">
        <v>61.7</v>
      </c>
      <c r="E84" s="4">
        <v>2.9</v>
      </c>
      <c r="F84" s="4">
        <v>2.9</v>
      </c>
      <c r="G84" s="21"/>
      <c r="H84" s="8">
        <f t="shared" si="12"/>
        <v>123.4</v>
      </c>
      <c r="I84" s="8">
        <f t="shared" si="13"/>
        <v>5.8</v>
      </c>
      <c r="J84" s="9">
        <f t="shared" si="14"/>
        <v>5.8</v>
      </c>
    </row>
    <row r="85" spans="1:10" hidden="1" x14ac:dyDescent="0.2">
      <c r="A85" s="3" t="s">
        <v>1</v>
      </c>
      <c r="B85" s="4">
        <v>101</v>
      </c>
      <c r="C85" s="3"/>
      <c r="D85" s="4">
        <v>61.7</v>
      </c>
      <c r="E85" s="4">
        <v>0.3</v>
      </c>
      <c r="F85" s="6">
        <f>E85</f>
        <v>0.3</v>
      </c>
      <c r="G85" s="20"/>
      <c r="H85" s="8">
        <f t="shared" si="12"/>
        <v>123.4</v>
      </c>
      <c r="I85" s="8">
        <f t="shared" si="13"/>
        <v>0.6</v>
      </c>
      <c r="J85" s="9">
        <f t="shared" si="14"/>
        <v>0.6</v>
      </c>
    </row>
    <row r="86" spans="1:10" hidden="1" x14ac:dyDescent="0.2">
      <c r="A86" s="3" t="s">
        <v>1</v>
      </c>
      <c r="B86" s="4">
        <v>102</v>
      </c>
      <c r="C86" s="3"/>
      <c r="D86" s="4">
        <v>61.7</v>
      </c>
      <c r="E86" s="4">
        <v>2.4</v>
      </c>
      <c r="F86" s="4">
        <v>2.4</v>
      </c>
      <c r="G86" s="21"/>
      <c r="H86" s="8">
        <f t="shared" si="12"/>
        <v>123.4</v>
      </c>
      <c r="I86" s="8">
        <f t="shared" si="13"/>
        <v>4.8</v>
      </c>
      <c r="J86" s="9">
        <f t="shared" si="14"/>
        <v>4.8</v>
      </c>
    </row>
    <row r="87" spans="1:10" hidden="1" x14ac:dyDescent="0.2">
      <c r="A87" s="3" t="s">
        <v>1</v>
      </c>
      <c r="B87" s="4">
        <v>104</v>
      </c>
      <c r="C87" s="3"/>
      <c r="D87" s="4">
        <v>69</v>
      </c>
      <c r="E87" s="4">
        <v>2.9</v>
      </c>
      <c r="F87" s="4">
        <v>2.9</v>
      </c>
      <c r="G87" s="21"/>
      <c r="H87" s="8">
        <f t="shared" si="12"/>
        <v>138</v>
      </c>
      <c r="I87" s="8">
        <f t="shared" si="13"/>
        <v>5.8</v>
      </c>
      <c r="J87" s="9">
        <f t="shared" si="14"/>
        <v>5.8</v>
      </c>
    </row>
    <row r="88" spans="1:10" hidden="1" x14ac:dyDescent="0.2">
      <c r="A88" s="3" t="s">
        <v>1</v>
      </c>
      <c r="B88" s="4">
        <v>105</v>
      </c>
      <c r="C88" s="3"/>
      <c r="D88" s="4">
        <v>69.2</v>
      </c>
      <c r="E88" s="4">
        <v>1.8</v>
      </c>
      <c r="F88" s="6">
        <f>E88</f>
        <v>1.8</v>
      </c>
      <c r="G88" s="20"/>
      <c r="H88" s="8">
        <f t="shared" si="12"/>
        <v>138.4</v>
      </c>
      <c r="I88" s="8">
        <f t="shared" si="13"/>
        <v>3.6</v>
      </c>
      <c r="J88" s="9">
        <f t="shared" si="14"/>
        <v>3.6</v>
      </c>
    </row>
    <row r="89" spans="1:10" hidden="1" x14ac:dyDescent="0.2">
      <c r="A89" s="3" t="s">
        <v>1</v>
      </c>
      <c r="B89" s="4">
        <v>106</v>
      </c>
      <c r="C89" s="3"/>
      <c r="D89" s="4">
        <v>71.5</v>
      </c>
      <c r="E89" s="4">
        <v>0.6</v>
      </c>
      <c r="F89" s="4">
        <v>0.6</v>
      </c>
      <c r="G89" s="21"/>
      <c r="H89" s="8">
        <f t="shared" si="12"/>
        <v>143</v>
      </c>
      <c r="I89" s="8">
        <f t="shared" si="13"/>
        <v>1.2</v>
      </c>
      <c r="J89" s="9">
        <f t="shared" si="14"/>
        <v>1.2</v>
      </c>
    </row>
    <row r="90" spans="1:10" hidden="1" x14ac:dyDescent="0.2">
      <c r="A90" s="3" t="s">
        <v>1</v>
      </c>
      <c r="B90" s="4">
        <v>106</v>
      </c>
      <c r="C90" s="3" t="s">
        <v>2</v>
      </c>
      <c r="D90" s="4">
        <v>71.5</v>
      </c>
      <c r="E90" s="4">
        <v>0.6</v>
      </c>
      <c r="F90" s="6">
        <f>E90</f>
        <v>0.6</v>
      </c>
      <c r="G90" s="20"/>
      <c r="H90" s="8">
        <f t="shared" si="12"/>
        <v>143</v>
      </c>
      <c r="I90" s="8">
        <f t="shared" si="13"/>
        <v>1.2</v>
      </c>
      <c r="J90" s="9">
        <f t="shared" si="14"/>
        <v>1.2</v>
      </c>
    </row>
    <row r="91" spans="1:10" hidden="1" x14ac:dyDescent="0.2">
      <c r="A91" s="3" t="s">
        <v>1</v>
      </c>
      <c r="B91" s="4">
        <v>107</v>
      </c>
      <c r="C91" s="3"/>
      <c r="D91" s="4">
        <v>74</v>
      </c>
      <c r="E91" s="4">
        <v>2.5</v>
      </c>
      <c r="F91" s="6">
        <f>E91</f>
        <v>2.5</v>
      </c>
      <c r="G91" s="20"/>
      <c r="H91" s="8">
        <f t="shared" si="12"/>
        <v>148</v>
      </c>
      <c r="I91" s="8">
        <f t="shared" si="13"/>
        <v>5</v>
      </c>
      <c r="J91" s="9">
        <f t="shared" si="14"/>
        <v>5</v>
      </c>
    </row>
    <row r="92" spans="1:10" hidden="1" x14ac:dyDescent="0.2">
      <c r="A92" s="3" t="s">
        <v>1</v>
      </c>
      <c r="B92" s="4">
        <v>108</v>
      </c>
      <c r="C92" s="3"/>
      <c r="D92" s="4">
        <v>72.8</v>
      </c>
      <c r="E92" s="4">
        <v>0.2</v>
      </c>
      <c r="F92" s="4">
        <v>0.2</v>
      </c>
      <c r="G92" s="21"/>
      <c r="H92" s="8">
        <f t="shared" si="12"/>
        <v>145.6</v>
      </c>
      <c r="I92" s="8">
        <f t="shared" si="13"/>
        <v>0.4</v>
      </c>
      <c r="J92" s="9">
        <f t="shared" si="14"/>
        <v>0.4</v>
      </c>
    </row>
    <row r="93" spans="1:10" hidden="1" x14ac:dyDescent="0.2">
      <c r="A93" s="3" t="s">
        <v>1</v>
      </c>
      <c r="B93" s="4">
        <v>109</v>
      </c>
      <c r="C93" s="3"/>
      <c r="D93" s="4">
        <v>58</v>
      </c>
      <c r="E93" s="4">
        <v>5</v>
      </c>
      <c r="F93" s="4">
        <v>5</v>
      </c>
      <c r="G93" s="21"/>
      <c r="H93" s="8">
        <f t="shared" si="12"/>
        <v>116</v>
      </c>
      <c r="I93" s="8">
        <f t="shared" si="13"/>
        <v>10</v>
      </c>
      <c r="J93" s="9">
        <f t="shared" si="14"/>
        <v>10</v>
      </c>
    </row>
    <row r="94" spans="1:10" hidden="1" x14ac:dyDescent="0.2">
      <c r="A94" s="3" t="s">
        <v>1</v>
      </c>
      <c r="B94" s="4">
        <v>109</v>
      </c>
      <c r="C94" s="3" t="s">
        <v>2</v>
      </c>
      <c r="D94" s="4">
        <v>60.9</v>
      </c>
      <c r="E94" s="4">
        <v>4</v>
      </c>
      <c r="F94" s="4">
        <v>0.8</v>
      </c>
      <c r="G94" s="21"/>
      <c r="H94" s="8">
        <f t="shared" ref="H94" si="15">D94*2</f>
        <v>121.8</v>
      </c>
      <c r="I94" s="8">
        <f t="shared" ref="I94" si="16">E94*2</f>
        <v>8</v>
      </c>
      <c r="J94" s="9">
        <f t="shared" ref="J94" si="17">F94*2</f>
        <v>1.6</v>
      </c>
    </row>
    <row r="95" spans="1:10" hidden="1" x14ac:dyDescent="0.2">
      <c r="A95" s="3" t="s">
        <v>1</v>
      </c>
      <c r="B95" s="4">
        <v>110</v>
      </c>
      <c r="C95" s="3"/>
      <c r="D95" s="4">
        <v>58</v>
      </c>
      <c r="E95" s="4">
        <v>4.2</v>
      </c>
      <c r="F95" s="6">
        <f t="shared" ref="F95:F100" si="18">E95</f>
        <v>4.2</v>
      </c>
      <c r="G95" s="20"/>
      <c r="H95" s="8">
        <f t="shared" si="12"/>
        <v>116</v>
      </c>
      <c r="I95" s="8">
        <f t="shared" si="13"/>
        <v>8.4</v>
      </c>
      <c r="J95" s="9">
        <f t="shared" si="14"/>
        <v>8.4</v>
      </c>
    </row>
    <row r="96" spans="1:10" hidden="1" x14ac:dyDescent="0.2">
      <c r="A96" s="3" t="s">
        <v>1</v>
      </c>
      <c r="B96" s="4">
        <v>111</v>
      </c>
      <c r="C96" s="3"/>
      <c r="D96" s="4">
        <v>58</v>
      </c>
      <c r="E96" s="4">
        <v>5.4</v>
      </c>
      <c r="F96" s="6">
        <f t="shared" si="18"/>
        <v>5.4</v>
      </c>
      <c r="G96" s="20"/>
      <c r="H96" s="8">
        <f t="shared" si="12"/>
        <v>116</v>
      </c>
      <c r="I96" s="8">
        <f t="shared" si="13"/>
        <v>10.8</v>
      </c>
      <c r="J96" s="9">
        <f t="shared" si="14"/>
        <v>10.8</v>
      </c>
    </row>
    <row r="97" spans="1:10" hidden="1" x14ac:dyDescent="0.2">
      <c r="A97" s="3" t="s">
        <v>1</v>
      </c>
      <c r="B97" s="4">
        <v>115</v>
      </c>
      <c r="C97" s="3"/>
      <c r="D97" s="4">
        <v>60.4</v>
      </c>
      <c r="E97" s="4">
        <v>1.1000000000000001</v>
      </c>
      <c r="F97" s="6">
        <f t="shared" si="18"/>
        <v>1.1000000000000001</v>
      </c>
      <c r="G97" s="20"/>
      <c r="H97" s="8">
        <f t="shared" si="12"/>
        <v>120.8</v>
      </c>
      <c r="I97" s="8">
        <f t="shared" si="13"/>
        <v>2.2000000000000002</v>
      </c>
      <c r="J97" s="9">
        <f t="shared" si="14"/>
        <v>2.2000000000000002</v>
      </c>
    </row>
    <row r="98" spans="1:10" hidden="1" x14ac:dyDescent="0.2">
      <c r="A98" s="3" t="s">
        <v>1</v>
      </c>
      <c r="B98" s="4">
        <v>117</v>
      </c>
      <c r="C98" s="3"/>
      <c r="D98" s="4">
        <v>68.5</v>
      </c>
      <c r="E98" s="4">
        <v>1.5</v>
      </c>
      <c r="F98" s="6">
        <f t="shared" si="18"/>
        <v>1.5</v>
      </c>
      <c r="G98" s="20"/>
      <c r="H98" s="8">
        <f t="shared" si="12"/>
        <v>137</v>
      </c>
      <c r="I98" s="8">
        <f t="shared" si="13"/>
        <v>3</v>
      </c>
      <c r="J98" s="9">
        <f t="shared" si="14"/>
        <v>3</v>
      </c>
    </row>
    <row r="99" spans="1:10" hidden="1" x14ac:dyDescent="0.2">
      <c r="A99" s="3" t="s">
        <v>1</v>
      </c>
      <c r="B99" s="4">
        <v>118</v>
      </c>
      <c r="C99" s="3"/>
      <c r="D99" s="4">
        <v>68.8</v>
      </c>
      <c r="E99" s="4">
        <v>0.2</v>
      </c>
      <c r="F99" s="6">
        <f t="shared" si="18"/>
        <v>0.2</v>
      </c>
      <c r="G99" s="20"/>
      <c r="H99" s="8">
        <f t="shared" si="12"/>
        <v>137.6</v>
      </c>
      <c r="I99" s="8">
        <f t="shared" si="13"/>
        <v>0.4</v>
      </c>
      <c r="J99" s="9">
        <f t="shared" si="14"/>
        <v>0.4</v>
      </c>
    </row>
    <row r="100" spans="1:10" hidden="1" x14ac:dyDescent="0.2">
      <c r="A100" s="3" t="s">
        <v>1</v>
      </c>
      <c r="B100" s="4">
        <v>118</v>
      </c>
      <c r="C100" s="3" t="s">
        <v>2</v>
      </c>
      <c r="D100" s="4">
        <v>69.599999999999994</v>
      </c>
      <c r="E100" s="4">
        <v>0.3</v>
      </c>
      <c r="F100" s="6">
        <f t="shared" si="18"/>
        <v>0.3</v>
      </c>
      <c r="G100" s="20"/>
      <c r="H100" s="8">
        <f t="shared" si="12"/>
        <v>139.19999999999999</v>
      </c>
      <c r="I100" s="8">
        <f t="shared" si="13"/>
        <v>0.6</v>
      </c>
      <c r="J100" s="9">
        <f t="shared" si="14"/>
        <v>0.6</v>
      </c>
    </row>
    <row r="101" spans="1:10" hidden="1" x14ac:dyDescent="0.2">
      <c r="A101" s="3" t="s">
        <v>1</v>
      </c>
      <c r="B101" s="4">
        <v>119</v>
      </c>
      <c r="C101" s="3"/>
      <c r="D101" s="4">
        <v>70.5</v>
      </c>
      <c r="E101" s="4">
        <v>0.9</v>
      </c>
      <c r="F101" s="4">
        <v>0.9</v>
      </c>
      <c r="G101" s="21"/>
      <c r="H101" s="8">
        <f t="shared" si="12"/>
        <v>141</v>
      </c>
      <c r="I101" s="8">
        <f t="shared" si="13"/>
        <v>1.8</v>
      </c>
      <c r="J101" s="9">
        <f t="shared" si="14"/>
        <v>1.8</v>
      </c>
    </row>
    <row r="102" spans="1:10" hidden="1" x14ac:dyDescent="0.2">
      <c r="A102" s="3" t="s">
        <v>1</v>
      </c>
      <c r="B102" s="6">
        <v>124</v>
      </c>
      <c r="C102" s="3"/>
      <c r="D102" s="4">
        <v>58</v>
      </c>
      <c r="E102" s="4">
        <v>3.7</v>
      </c>
      <c r="F102" s="6">
        <f t="shared" ref="F102:F107" si="19">E102</f>
        <v>3.7</v>
      </c>
      <c r="G102" s="20"/>
      <c r="H102" s="8">
        <f t="shared" si="12"/>
        <v>116</v>
      </c>
      <c r="I102" s="8">
        <f t="shared" si="13"/>
        <v>7.4</v>
      </c>
      <c r="J102" s="9">
        <f t="shared" si="14"/>
        <v>7.4</v>
      </c>
    </row>
    <row r="103" spans="1:10" hidden="1" x14ac:dyDescent="0.2">
      <c r="A103" s="3" t="s">
        <v>1</v>
      </c>
      <c r="B103" s="6">
        <v>125</v>
      </c>
      <c r="C103" s="3"/>
      <c r="D103" s="4">
        <v>58</v>
      </c>
      <c r="E103" s="4">
        <v>3.1</v>
      </c>
      <c r="F103" s="6">
        <f t="shared" si="19"/>
        <v>3.1</v>
      </c>
      <c r="G103" s="20"/>
      <c r="H103" s="8">
        <f t="shared" si="12"/>
        <v>116</v>
      </c>
      <c r="I103" s="8">
        <f t="shared" si="13"/>
        <v>6.2</v>
      </c>
      <c r="J103" s="9">
        <f t="shared" si="14"/>
        <v>6.2</v>
      </c>
    </row>
    <row r="104" spans="1:10" hidden="1" x14ac:dyDescent="0.2">
      <c r="A104" s="3" t="s">
        <v>1</v>
      </c>
      <c r="B104" s="6">
        <v>126</v>
      </c>
      <c r="C104" s="3"/>
      <c r="D104" s="4">
        <v>58</v>
      </c>
      <c r="E104" s="4">
        <v>2.9</v>
      </c>
      <c r="F104" s="6">
        <f t="shared" si="19"/>
        <v>2.9</v>
      </c>
      <c r="G104" s="20"/>
      <c r="H104" s="8">
        <f t="shared" si="12"/>
        <v>116</v>
      </c>
      <c r="I104" s="8">
        <f t="shared" si="13"/>
        <v>5.8</v>
      </c>
      <c r="J104" s="9">
        <f t="shared" si="14"/>
        <v>5.8</v>
      </c>
    </row>
    <row r="105" spans="1:10" hidden="1" x14ac:dyDescent="0.2">
      <c r="A105" s="3" t="s">
        <v>1</v>
      </c>
      <c r="B105" s="6">
        <v>127</v>
      </c>
      <c r="C105" s="3"/>
      <c r="D105" s="4">
        <v>54.6</v>
      </c>
      <c r="E105" s="4">
        <v>2.9</v>
      </c>
      <c r="F105" s="6">
        <f t="shared" si="19"/>
        <v>2.9</v>
      </c>
      <c r="G105" s="20"/>
      <c r="H105" s="8">
        <f t="shared" si="12"/>
        <v>109.2</v>
      </c>
      <c r="I105" s="8">
        <f t="shared" si="13"/>
        <v>5.8</v>
      </c>
      <c r="J105" s="9">
        <f t="shared" si="14"/>
        <v>5.8</v>
      </c>
    </row>
    <row r="106" spans="1:10" hidden="1" x14ac:dyDescent="0.2">
      <c r="A106" s="3" t="s">
        <v>1</v>
      </c>
      <c r="B106" s="6">
        <v>129</v>
      </c>
      <c r="C106" s="3"/>
      <c r="D106" s="4">
        <v>50.4</v>
      </c>
      <c r="E106" s="4">
        <v>1</v>
      </c>
      <c r="F106" s="6">
        <f t="shared" si="19"/>
        <v>1</v>
      </c>
      <c r="G106" s="20"/>
      <c r="H106" s="8">
        <f t="shared" si="12"/>
        <v>100.8</v>
      </c>
      <c r="I106" s="8">
        <f t="shared" si="13"/>
        <v>2</v>
      </c>
      <c r="J106" s="9">
        <f t="shared" si="14"/>
        <v>2</v>
      </c>
    </row>
    <row r="107" spans="1:10" hidden="1" x14ac:dyDescent="0.2">
      <c r="A107" s="3" t="s">
        <v>1</v>
      </c>
      <c r="B107" s="6">
        <v>130</v>
      </c>
      <c r="C107" s="3"/>
      <c r="D107" s="4">
        <v>52.3</v>
      </c>
      <c r="E107" s="4">
        <v>0.4</v>
      </c>
      <c r="F107" s="6">
        <f t="shared" si="19"/>
        <v>0.4</v>
      </c>
      <c r="G107" s="20"/>
      <c r="H107" s="8">
        <f t="shared" si="12"/>
        <v>104.6</v>
      </c>
      <c r="I107" s="8">
        <f t="shared" si="13"/>
        <v>0.8</v>
      </c>
      <c r="J107" s="9">
        <f t="shared" si="14"/>
        <v>0.8</v>
      </c>
    </row>
    <row r="108" spans="1:10" hidden="1" x14ac:dyDescent="0.2">
      <c r="A108" s="3" t="s">
        <v>1</v>
      </c>
      <c r="B108" s="4">
        <v>131</v>
      </c>
      <c r="C108" s="3"/>
      <c r="D108" s="4">
        <v>59</v>
      </c>
      <c r="E108" s="4">
        <v>2.7</v>
      </c>
      <c r="F108" s="4">
        <v>2.7</v>
      </c>
      <c r="G108" s="21"/>
      <c r="H108" s="8">
        <f t="shared" si="12"/>
        <v>118</v>
      </c>
      <c r="I108" s="8">
        <f t="shared" si="13"/>
        <v>5.4</v>
      </c>
      <c r="J108" s="9">
        <f t="shared" si="14"/>
        <v>5.4</v>
      </c>
    </row>
    <row r="109" spans="1:10" hidden="1" x14ac:dyDescent="0.2">
      <c r="A109" s="3" t="s">
        <v>1</v>
      </c>
      <c r="B109" s="4">
        <v>132</v>
      </c>
      <c r="C109" s="3"/>
      <c r="D109" s="4">
        <v>60.5</v>
      </c>
      <c r="E109" s="4">
        <v>4</v>
      </c>
      <c r="F109" s="6">
        <f>E109</f>
        <v>4</v>
      </c>
      <c r="G109" s="20"/>
      <c r="H109" s="8">
        <f t="shared" si="12"/>
        <v>121</v>
      </c>
      <c r="I109" s="8">
        <f t="shared" si="13"/>
        <v>8</v>
      </c>
      <c r="J109" s="9">
        <f t="shared" si="14"/>
        <v>8</v>
      </c>
    </row>
    <row r="110" spans="1:10" hidden="1" x14ac:dyDescent="0.2">
      <c r="A110" s="3" t="s">
        <v>1</v>
      </c>
      <c r="B110" s="4">
        <v>133</v>
      </c>
      <c r="C110" s="3"/>
      <c r="D110" s="4">
        <v>67.099999999999994</v>
      </c>
      <c r="E110" s="4">
        <v>0.7</v>
      </c>
      <c r="F110" s="4">
        <v>0.7</v>
      </c>
      <c r="G110" s="21"/>
      <c r="H110" s="8">
        <f t="shared" si="12"/>
        <v>134.19999999999999</v>
      </c>
      <c r="I110" s="8">
        <f t="shared" si="13"/>
        <v>1.4</v>
      </c>
      <c r="J110" s="9">
        <f t="shared" si="14"/>
        <v>1.4</v>
      </c>
    </row>
    <row r="111" spans="1:10" hidden="1" x14ac:dyDescent="0.2">
      <c r="A111" s="3" t="s">
        <v>1</v>
      </c>
      <c r="B111" s="4">
        <v>133</v>
      </c>
      <c r="C111" s="3" t="s">
        <v>2</v>
      </c>
      <c r="D111" s="4">
        <v>67.099999999999994</v>
      </c>
      <c r="E111" s="4">
        <v>0.6</v>
      </c>
      <c r="F111" s="6">
        <f>E111</f>
        <v>0.6</v>
      </c>
      <c r="G111" s="20"/>
      <c r="H111" s="8">
        <f t="shared" si="12"/>
        <v>134.19999999999999</v>
      </c>
      <c r="I111" s="8">
        <f t="shared" si="13"/>
        <v>1.2</v>
      </c>
      <c r="J111" s="9">
        <f t="shared" si="14"/>
        <v>1.2</v>
      </c>
    </row>
    <row r="112" spans="1:10" hidden="1" x14ac:dyDescent="0.2">
      <c r="A112" s="3" t="s">
        <v>1</v>
      </c>
      <c r="B112" s="4">
        <v>134</v>
      </c>
      <c r="C112" s="3"/>
      <c r="D112" s="4">
        <v>67.099999999999994</v>
      </c>
      <c r="E112" s="4">
        <v>0.3</v>
      </c>
      <c r="F112" s="4">
        <v>0.3</v>
      </c>
      <c r="G112" s="21"/>
      <c r="H112" s="8">
        <f t="shared" si="12"/>
        <v>134.19999999999999</v>
      </c>
      <c r="I112" s="8">
        <f t="shared" si="13"/>
        <v>0.6</v>
      </c>
      <c r="J112" s="9">
        <f t="shared" si="14"/>
        <v>0.6</v>
      </c>
    </row>
    <row r="113" spans="1:10" hidden="1" x14ac:dyDescent="0.2">
      <c r="A113" s="3" t="s">
        <v>1</v>
      </c>
      <c r="B113" s="4">
        <v>139</v>
      </c>
      <c r="C113" s="3"/>
      <c r="D113" s="4">
        <v>58</v>
      </c>
      <c r="E113" s="4">
        <v>6.7</v>
      </c>
      <c r="F113" s="4">
        <v>6.7</v>
      </c>
      <c r="G113" s="21"/>
      <c r="H113" s="8">
        <f t="shared" si="12"/>
        <v>116</v>
      </c>
      <c r="I113" s="8">
        <f t="shared" si="13"/>
        <v>13.4</v>
      </c>
      <c r="J113" s="9">
        <f t="shared" si="14"/>
        <v>13.4</v>
      </c>
    </row>
    <row r="114" spans="1:10" hidden="1" x14ac:dyDescent="0.2">
      <c r="A114" s="3" t="s">
        <v>1</v>
      </c>
      <c r="B114" s="4">
        <v>140</v>
      </c>
      <c r="C114" s="3"/>
      <c r="D114" s="4">
        <v>58</v>
      </c>
      <c r="E114" s="4">
        <v>4</v>
      </c>
      <c r="F114" s="6">
        <f>E114</f>
        <v>4</v>
      </c>
      <c r="G114" s="20"/>
      <c r="H114" s="8">
        <f t="shared" si="12"/>
        <v>116</v>
      </c>
      <c r="I114" s="8">
        <f t="shared" si="13"/>
        <v>8</v>
      </c>
      <c r="J114" s="9">
        <f t="shared" si="14"/>
        <v>8</v>
      </c>
    </row>
    <row r="115" spans="1:10" hidden="1" x14ac:dyDescent="0.2">
      <c r="A115" s="3" t="s">
        <v>1</v>
      </c>
      <c r="B115" s="4">
        <v>141</v>
      </c>
      <c r="C115" s="3"/>
      <c r="D115" s="4">
        <v>58</v>
      </c>
      <c r="E115" s="4">
        <v>2.2999999999999998</v>
      </c>
      <c r="F115" s="4">
        <v>2.2999999999999998</v>
      </c>
      <c r="G115" s="21"/>
      <c r="H115" s="8">
        <f t="shared" si="12"/>
        <v>116</v>
      </c>
      <c r="I115" s="8">
        <f t="shared" si="13"/>
        <v>4.5999999999999996</v>
      </c>
      <c r="J115" s="9">
        <f t="shared" si="14"/>
        <v>4.5999999999999996</v>
      </c>
    </row>
    <row r="116" spans="1:10" hidden="1" x14ac:dyDescent="0.2">
      <c r="A116" s="3" t="s">
        <v>1</v>
      </c>
      <c r="B116" s="4">
        <v>142</v>
      </c>
      <c r="C116" s="3"/>
      <c r="D116" s="4">
        <v>58</v>
      </c>
      <c r="E116" s="4">
        <v>0.8</v>
      </c>
      <c r="F116" s="6">
        <f>E116</f>
        <v>0.8</v>
      </c>
      <c r="G116" s="20"/>
      <c r="H116" s="8">
        <f t="shared" si="12"/>
        <v>116</v>
      </c>
      <c r="I116" s="8">
        <f t="shared" si="13"/>
        <v>1.6</v>
      </c>
      <c r="J116" s="9">
        <f t="shared" si="14"/>
        <v>1.6</v>
      </c>
    </row>
    <row r="117" spans="1:10" hidden="1" x14ac:dyDescent="0.2">
      <c r="A117" s="3" t="s">
        <v>1</v>
      </c>
      <c r="B117" s="4">
        <v>143</v>
      </c>
      <c r="C117" s="3"/>
      <c r="D117" s="4">
        <v>56.3</v>
      </c>
      <c r="E117" s="4">
        <v>0.5</v>
      </c>
      <c r="F117" s="4">
        <v>0.5</v>
      </c>
      <c r="G117" s="21"/>
      <c r="H117" s="8">
        <f t="shared" si="12"/>
        <v>112.6</v>
      </c>
      <c r="I117" s="8">
        <f t="shared" si="13"/>
        <v>1</v>
      </c>
      <c r="J117" s="9">
        <f t="shared" si="14"/>
        <v>1</v>
      </c>
    </row>
    <row r="118" spans="1:10" hidden="1" x14ac:dyDescent="0.2">
      <c r="A118" s="3" t="s">
        <v>1</v>
      </c>
      <c r="B118" s="6">
        <v>144</v>
      </c>
      <c r="C118" s="3"/>
      <c r="D118" s="4">
        <v>54.6</v>
      </c>
      <c r="E118" s="4">
        <v>0.2</v>
      </c>
      <c r="F118" s="6">
        <f>E118</f>
        <v>0.2</v>
      </c>
      <c r="G118" s="20"/>
      <c r="H118" s="8">
        <f t="shared" si="12"/>
        <v>109.2</v>
      </c>
      <c r="I118" s="8">
        <f t="shared" si="13"/>
        <v>0.4</v>
      </c>
      <c r="J118" s="9">
        <f t="shared" si="14"/>
        <v>0.4</v>
      </c>
    </row>
    <row r="119" spans="1:10" hidden="1" x14ac:dyDescent="0.2">
      <c r="A119" s="3" t="s">
        <v>1</v>
      </c>
      <c r="B119" s="16">
        <v>145</v>
      </c>
      <c r="C119" s="3"/>
      <c r="D119" s="4">
        <v>52.6</v>
      </c>
      <c r="E119" s="4">
        <v>0.2</v>
      </c>
      <c r="F119" s="6">
        <f>E119</f>
        <v>0.2</v>
      </c>
      <c r="G119" s="20"/>
      <c r="H119" s="8">
        <f t="shared" si="12"/>
        <v>105.2</v>
      </c>
      <c r="I119" s="8">
        <f t="shared" si="13"/>
        <v>0.4</v>
      </c>
      <c r="J119" s="9">
        <f t="shared" si="14"/>
        <v>0.4</v>
      </c>
    </row>
    <row r="120" spans="1:10" hidden="1" x14ac:dyDescent="0.2">
      <c r="A120" s="3" t="s">
        <v>1</v>
      </c>
      <c r="B120" s="6">
        <v>146</v>
      </c>
      <c r="C120" s="3"/>
      <c r="D120" s="4">
        <v>50.6</v>
      </c>
      <c r="E120" s="4">
        <v>0.2</v>
      </c>
      <c r="F120" s="6">
        <f>E120</f>
        <v>0.2</v>
      </c>
      <c r="G120" s="20"/>
      <c r="H120" s="8">
        <f t="shared" si="12"/>
        <v>101.2</v>
      </c>
      <c r="I120" s="8">
        <f t="shared" si="13"/>
        <v>0.4</v>
      </c>
      <c r="J120" s="9">
        <f t="shared" si="14"/>
        <v>0.4</v>
      </c>
    </row>
    <row r="121" spans="1:10" hidden="1" x14ac:dyDescent="0.2">
      <c r="A121" s="3" t="s">
        <v>1</v>
      </c>
      <c r="B121" s="4">
        <v>147</v>
      </c>
      <c r="C121" s="3"/>
      <c r="D121" s="4">
        <v>59</v>
      </c>
      <c r="E121" s="4">
        <v>1.5</v>
      </c>
      <c r="F121" s="6">
        <f>E121</f>
        <v>1.5</v>
      </c>
      <c r="G121" s="20"/>
      <c r="H121" s="8">
        <f t="shared" si="12"/>
        <v>118</v>
      </c>
      <c r="I121" s="8">
        <f t="shared" si="13"/>
        <v>3</v>
      </c>
      <c r="J121" s="9">
        <f t="shared" si="14"/>
        <v>3</v>
      </c>
    </row>
    <row r="122" spans="1:10" hidden="1" x14ac:dyDescent="0.2">
      <c r="A122" s="3" t="s">
        <v>1</v>
      </c>
      <c r="B122" s="4">
        <v>148</v>
      </c>
      <c r="C122" s="3"/>
      <c r="D122" s="4">
        <v>60.4</v>
      </c>
      <c r="E122" s="4">
        <v>0.7</v>
      </c>
      <c r="F122" s="4">
        <v>0.7</v>
      </c>
      <c r="G122" s="21"/>
      <c r="H122" s="8">
        <f t="shared" si="12"/>
        <v>120.8</v>
      </c>
      <c r="I122" s="8">
        <f t="shared" si="13"/>
        <v>1.4</v>
      </c>
      <c r="J122" s="9">
        <f t="shared" si="14"/>
        <v>1.4</v>
      </c>
    </row>
    <row r="123" spans="1:10" hidden="1" x14ac:dyDescent="0.2">
      <c r="A123" s="3" t="s">
        <v>1</v>
      </c>
      <c r="B123" s="4">
        <v>149</v>
      </c>
      <c r="C123" s="3"/>
      <c r="D123" s="4">
        <v>61.5</v>
      </c>
      <c r="E123" s="4">
        <v>1.4</v>
      </c>
      <c r="F123" s="6">
        <f>E123</f>
        <v>1.4</v>
      </c>
      <c r="G123" s="20"/>
      <c r="H123" s="8">
        <f t="shared" si="12"/>
        <v>123</v>
      </c>
      <c r="I123" s="8">
        <f t="shared" si="13"/>
        <v>2.8</v>
      </c>
      <c r="J123" s="9">
        <f t="shared" si="14"/>
        <v>2.8</v>
      </c>
    </row>
    <row r="124" spans="1:10" hidden="1" x14ac:dyDescent="0.2">
      <c r="A124" s="3" t="s">
        <v>1</v>
      </c>
      <c r="B124" s="4">
        <v>150</v>
      </c>
      <c r="C124" s="3"/>
      <c r="D124" s="4">
        <v>63.8</v>
      </c>
      <c r="E124" s="4">
        <v>0.6</v>
      </c>
      <c r="F124" s="6">
        <f>E124</f>
        <v>0.6</v>
      </c>
      <c r="G124" s="20"/>
      <c r="H124" s="8">
        <f t="shared" si="12"/>
        <v>127.6</v>
      </c>
      <c r="I124" s="8">
        <f t="shared" si="13"/>
        <v>1.2</v>
      </c>
      <c r="J124" s="9">
        <f t="shared" si="14"/>
        <v>1.2</v>
      </c>
    </row>
    <row r="125" spans="1:10" hidden="1" x14ac:dyDescent="0.2">
      <c r="A125" s="3" t="s">
        <v>1</v>
      </c>
      <c r="B125" s="4">
        <v>150</v>
      </c>
      <c r="C125" s="3" t="s">
        <v>5</v>
      </c>
      <c r="D125" s="4">
        <v>41.5</v>
      </c>
      <c r="E125" s="4">
        <v>1.4</v>
      </c>
      <c r="F125" s="4">
        <v>1.4</v>
      </c>
      <c r="G125" s="21"/>
      <c r="H125" s="8">
        <f t="shared" si="12"/>
        <v>83</v>
      </c>
      <c r="I125" s="8">
        <f t="shared" si="13"/>
        <v>2.8</v>
      </c>
      <c r="J125" s="9">
        <f t="shared" si="14"/>
        <v>2.8</v>
      </c>
    </row>
    <row r="126" spans="1:10" hidden="1" x14ac:dyDescent="0.2">
      <c r="A126" s="3" t="s">
        <v>1</v>
      </c>
      <c r="B126" s="4">
        <v>151</v>
      </c>
      <c r="C126" s="3"/>
      <c r="D126" s="4">
        <v>64.599999999999994</v>
      </c>
      <c r="E126" s="4">
        <v>0.4</v>
      </c>
      <c r="F126" s="6">
        <f>E126</f>
        <v>0.4</v>
      </c>
      <c r="G126" s="20"/>
      <c r="H126" s="8">
        <f t="shared" si="12"/>
        <v>129.19999999999999</v>
      </c>
      <c r="I126" s="8">
        <f t="shared" si="13"/>
        <v>0.8</v>
      </c>
      <c r="J126" s="9">
        <f t="shared" si="14"/>
        <v>0.8</v>
      </c>
    </row>
    <row r="127" spans="1:10" hidden="1" x14ac:dyDescent="0.2">
      <c r="A127" s="3" t="s">
        <v>1</v>
      </c>
      <c r="B127" s="4">
        <v>151</v>
      </c>
      <c r="C127" s="3" t="s">
        <v>5</v>
      </c>
      <c r="D127" s="4">
        <v>45.3</v>
      </c>
      <c r="E127" s="4">
        <v>0.1</v>
      </c>
      <c r="F127" s="4">
        <v>0.1</v>
      </c>
      <c r="G127" s="21"/>
      <c r="H127" s="8">
        <f t="shared" si="12"/>
        <v>90.6</v>
      </c>
      <c r="I127" s="8">
        <f t="shared" si="13"/>
        <v>0.2</v>
      </c>
      <c r="J127" s="9">
        <f t="shared" si="14"/>
        <v>0.2</v>
      </c>
    </row>
    <row r="128" spans="1:10" hidden="1" x14ac:dyDescent="0.2">
      <c r="A128" s="3" t="s">
        <v>1</v>
      </c>
      <c r="B128" s="4">
        <v>152</v>
      </c>
      <c r="C128" s="3"/>
      <c r="D128" s="4">
        <v>63.5</v>
      </c>
      <c r="E128" s="4">
        <v>0.4</v>
      </c>
      <c r="F128" s="6">
        <f>E128</f>
        <v>0.4</v>
      </c>
      <c r="G128" s="20"/>
      <c r="H128" s="8">
        <f t="shared" si="12"/>
        <v>127</v>
      </c>
      <c r="I128" s="8">
        <f t="shared" si="13"/>
        <v>0.8</v>
      </c>
      <c r="J128" s="9">
        <f t="shared" si="14"/>
        <v>0.8</v>
      </c>
    </row>
    <row r="129" spans="1:10" hidden="1" x14ac:dyDescent="0.2">
      <c r="A129" s="3" t="s">
        <v>1</v>
      </c>
      <c r="B129" s="4">
        <v>155</v>
      </c>
      <c r="C129" s="3" t="s">
        <v>5</v>
      </c>
      <c r="D129" s="4">
        <v>47.5</v>
      </c>
      <c r="E129" s="4">
        <v>1.6</v>
      </c>
      <c r="F129" s="6">
        <f>E129</f>
        <v>1.6</v>
      </c>
      <c r="G129" s="20"/>
      <c r="H129" s="8">
        <f t="shared" si="12"/>
        <v>95</v>
      </c>
      <c r="I129" s="8">
        <f t="shared" si="13"/>
        <v>3.2</v>
      </c>
      <c r="J129" s="9">
        <f t="shared" si="14"/>
        <v>3.2</v>
      </c>
    </row>
    <row r="130" spans="1:10" hidden="1" x14ac:dyDescent="0.2">
      <c r="A130" s="3" t="s">
        <v>1</v>
      </c>
      <c r="B130" s="4">
        <v>156</v>
      </c>
      <c r="C130" s="3"/>
      <c r="D130" s="4">
        <v>58</v>
      </c>
      <c r="E130" s="4">
        <v>9.1</v>
      </c>
      <c r="F130" s="4">
        <v>9.1</v>
      </c>
      <c r="G130" s="21"/>
      <c r="H130" s="8">
        <f t="shared" si="12"/>
        <v>116</v>
      </c>
      <c r="I130" s="8">
        <f t="shared" si="13"/>
        <v>18.2</v>
      </c>
      <c r="J130" s="9">
        <f t="shared" si="14"/>
        <v>18.2</v>
      </c>
    </row>
    <row r="131" spans="1:10" hidden="1" x14ac:dyDescent="0.2">
      <c r="A131" s="3" t="s">
        <v>1</v>
      </c>
      <c r="B131" s="4">
        <v>156</v>
      </c>
      <c r="C131" s="3" t="s">
        <v>5</v>
      </c>
      <c r="D131" s="4">
        <v>41.2</v>
      </c>
      <c r="E131" s="4">
        <v>0.9</v>
      </c>
      <c r="F131" s="4">
        <v>0.9</v>
      </c>
      <c r="G131" s="21"/>
      <c r="H131" s="8">
        <f t="shared" si="12"/>
        <v>82.4</v>
      </c>
      <c r="I131" s="8">
        <f t="shared" si="13"/>
        <v>1.8</v>
      </c>
      <c r="J131" s="9">
        <f t="shared" si="14"/>
        <v>1.8</v>
      </c>
    </row>
    <row r="132" spans="1:10" hidden="1" x14ac:dyDescent="0.2">
      <c r="A132" s="3" t="s">
        <v>1</v>
      </c>
      <c r="B132" s="4">
        <v>157</v>
      </c>
      <c r="C132" s="3"/>
      <c r="D132" s="4">
        <v>58</v>
      </c>
      <c r="E132" s="4">
        <v>3.9</v>
      </c>
      <c r="F132" s="4">
        <v>3.9</v>
      </c>
      <c r="G132" s="21"/>
      <c r="H132" s="8">
        <f t="shared" si="12"/>
        <v>116</v>
      </c>
      <c r="I132" s="8">
        <f t="shared" si="13"/>
        <v>7.8</v>
      </c>
      <c r="J132" s="9">
        <f t="shared" si="14"/>
        <v>7.8</v>
      </c>
    </row>
    <row r="133" spans="1:10" hidden="1" x14ac:dyDescent="0.2">
      <c r="A133" s="3" t="s">
        <v>1</v>
      </c>
      <c r="B133" s="4">
        <v>157</v>
      </c>
      <c r="C133" s="3" t="s">
        <v>4</v>
      </c>
      <c r="D133" s="4">
        <v>58</v>
      </c>
      <c r="E133" s="4">
        <v>4.2</v>
      </c>
      <c r="F133" s="6">
        <f>E133</f>
        <v>4.2</v>
      </c>
      <c r="G133" s="20"/>
      <c r="H133" s="8">
        <f t="shared" si="12"/>
        <v>116</v>
      </c>
      <c r="I133" s="8">
        <f t="shared" si="13"/>
        <v>8.4</v>
      </c>
      <c r="J133" s="9">
        <f t="shared" si="14"/>
        <v>8.4</v>
      </c>
    </row>
    <row r="134" spans="1:10" hidden="1" x14ac:dyDescent="0.2">
      <c r="A134" s="3" t="s">
        <v>1</v>
      </c>
      <c r="B134" s="4">
        <v>157</v>
      </c>
      <c r="C134" s="3" t="s">
        <v>5</v>
      </c>
      <c r="D134" s="4">
        <v>55.3</v>
      </c>
      <c r="E134" s="4">
        <v>0</v>
      </c>
      <c r="F134" s="6">
        <f>E134</f>
        <v>0</v>
      </c>
      <c r="G134" s="20"/>
      <c r="H134" s="8">
        <f t="shared" si="12"/>
        <v>110.6</v>
      </c>
      <c r="I134" s="8">
        <f t="shared" si="13"/>
        <v>0</v>
      </c>
      <c r="J134" s="9">
        <f t="shared" si="14"/>
        <v>0</v>
      </c>
    </row>
    <row r="135" spans="1:10" hidden="1" x14ac:dyDescent="0.2">
      <c r="A135" s="3" t="s">
        <v>1</v>
      </c>
      <c r="B135" s="6">
        <v>158</v>
      </c>
      <c r="C135" s="3"/>
      <c r="D135" s="4">
        <v>58</v>
      </c>
      <c r="E135" s="4">
        <v>2.9</v>
      </c>
      <c r="F135" s="6">
        <f>E135</f>
        <v>2.9</v>
      </c>
      <c r="G135" s="20"/>
      <c r="H135" s="8">
        <f t="shared" si="12"/>
        <v>116</v>
      </c>
      <c r="I135" s="8">
        <f t="shared" si="13"/>
        <v>5.8</v>
      </c>
      <c r="J135" s="9">
        <f t="shared" si="14"/>
        <v>5.8</v>
      </c>
    </row>
    <row r="136" spans="1:10" hidden="1" x14ac:dyDescent="0.2">
      <c r="A136" s="3" t="s">
        <v>1</v>
      </c>
      <c r="B136" s="6">
        <v>158</v>
      </c>
      <c r="C136" s="3" t="s">
        <v>2</v>
      </c>
      <c r="D136" s="4">
        <v>58</v>
      </c>
      <c r="E136" s="4">
        <v>3</v>
      </c>
      <c r="F136" s="6">
        <f>E136</f>
        <v>3</v>
      </c>
      <c r="G136" s="20"/>
      <c r="H136" s="8">
        <f t="shared" si="12"/>
        <v>116</v>
      </c>
      <c r="I136" s="8">
        <f t="shared" si="13"/>
        <v>6</v>
      </c>
      <c r="J136" s="9">
        <f t="shared" si="14"/>
        <v>6</v>
      </c>
    </row>
    <row r="137" spans="1:10" hidden="1" x14ac:dyDescent="0.2">
      <c r="A137" s="3" t="s">
        <v>1</v>
      </c>
      <c r="B137" s="4">
        <v>159</v>
      </c>
      <c r="C137" s="3"/>
      <c r="D137" s="4">
        <v>57.6</v>
      </c>
      <c r="E137" s="4">
        <v>0.8</v>
      </c>
      <c r="F137" s="4">
        <v>0.8</v>
      </c>
      <c r="G137" s="21"/>
      <c r="H137" s="8">
        <f t="shared" si="12"/>
        <v>115.2</v>
      </c>
      <c r="I137" s="8">
        <f t="shared" si="13"/>
        <v>1.6</v>
      </c>
      <c r="J137" s="9">
        <f t="shared" si="14"/>
        <v>1.6</v>
      </c>
    </row>
    <row r="138" spans="1:10" hidden="1" x14ac:dyDescent="0.2">
      <c r="A138" s="3" t="s">
        <v>1</v>
      </c>
      <c r="B138" s="6">
        <v>160</v>
      </c>
      <c r="C138" s="3"/>
      <c r="D138" s="4">
        <v>55.7</v>
      </c>
      <c r="E138" s="4">
        <v>1.1000000000000001</v>
      </c>
      <c r="F138" s="6">
        <f>E138</f>
        <v>1.1000000000000001</v>
      </c>
      <c r="G138" s="20"/>
      <c r="H138" s="8">
        <f t="shared" si="12"/>
        <v>111.4</v>
      </c>
      <c r="I138" s="8">
        <f t="shared" si="13"/>
        <v>2.2000000000000002</v>
      </c>
      <c r="J138" s="9">
        <f t="shared" si="14"/>
        <v>2.2000000000000002</v>
      </c>
    </row>
    <row r="139" spans="1:10" hidden="1" x14ac:dyDescent="0.2">
      <c r="A139" s="3" t="s">
        <v>1</v>
      </c>
      <c r="B139" s="6">
        <v>160</v>
      </c>
      <c r="C139" s="3" t="s">
        <v>5</v>
      </c>
      <c r="D139" s="4">
        <v>58</v>
      </c>
      <c r="E139" s="4">
        <v>11.4</v>
      </c>
      <c r="F139" s="4">
        <v>11.4</v>
      </c>
      <c r="G139" s="21"/>
      <c r="H139" s="8">
        <f t="shared" si="12"/>
        <v>116</v>
      </c>
      <c r="I139" s="8">
        <f t="shared" si="13"/>
        <v>22.8</v>
      </c>
      <c r="J139" s="9">
        <f t="shared" si="14"/>
        <v>22.8</v>
      </c>
    </row>
    <row r="140" spans="1:10" hidden="1" x14ac:dyDescent="0.2">
      <c r="A140" s="3" t="s">
        <v>1</v>
      </c>
      <c r="B140" s="6">
        <v>161</v>
      </c>
      <c r="C140" s="3"/>
      <c r="D140" s="4">
        <v>55.8</v>
      </c>
      <c r="E140" s="4">
        <v>1.4</v>
      </c>
      <c r="F140" s="6">
        <f>E140</f>
        <v>1.4</v>
      </c>
      <c r="G140" s="20"/>
      <c r="H140" s="8">
        <f t="shared" ref="H140:H205" si="20">D140*2</f>
        <v>111.6</v>
      </c>
      <c r="I140" s="8">
        <f t="shared" ref="I140:I205" si="21">E140*2</f>
        <v>2.8</v>
      </c>
      <c r="J140" s="9">
        <f t="shared" ref="J140:J205" si="22">F140*2</f>
        <v>2.8</v>
      </c>
    </row>
    <row r="141" spans="1:10" hidden="1" x14ac:dyDescent="0.2">
      <c r="A141" s="3" t="s">
        <v>1</v>
      </c>
      <c r="B141" s="6">
        <v>161</v>
      </c>
      <c r="C141" s="3" t="s">
        <v>5</v>
      </c>
      <c r="D141" s="4">
        <v>58</v>
      </c>
      <c r="E141" s="4">
        <v>14.7</v>
      </c>
      <c r="F141" s="4">
        <v>14.7</v>
      </c>
      <c r="G141" s="21"/>
      <c r="H141" s="8">
        <f t="shared" si="20"/>
        <v>116</v>
      </c>
      <c r="I141" s="8">
        <f t="shared" si="21"/>
        <v>29.4</v>
      </c>
      <c r="J141" s="9">
        <f t="shared" si="22"/>
        <v>29.4</v>
      </c>
    </row>
    <row r="142" spans="1:10" hidden="1" x14ac:dyDescent="0.2">
      <c r="A142" s="3" t="s">
        <v>1</v>
      </c>
      <c r="B142" s="4">
        <v>162</v>
      </c>
      <c r="C142" s="3"/>
      <c r="D142" s="4">
        <v>61.2</v>
      </c>
      <c r="E142" s="4">
        <v>0.7</v>
      </c>
      <c r="F142" s="6">
        <f>E142</f>
        <v>0.7</v>
      </c>
      <c r="G142" s="20"/>
      <c r="H142" s="8">
        <f t="shared" si="20"/>
        <v>122.4</v>
      </c>
      <c r="I142" s="8">
        <f t="shared" si="21"/>
        <v>1.4</v>
      </c>
      <c r="J142" s="9">
        <f t="shared" si="22"/>
        <v>1.4</v>
      </c>
    </row>
    <row r="143" spans="1:10" hidden="1" x14ac:dyDescent="0.2">
      <c r="A143" s="3" t="s">
        <v>1</v>
      </c>
      <c r="B143" s="4">
        <v>162</v>
      </c>
      <c r="C143" s="3" t="s">
        <v>5</v>
      </c>
      <c r="D143" s="4">
        <v>54</v>
      </c>
      <c r="E143" s="4">
        <v>0.5</v>
      </c>
      <c r="F143" s="4">
        <v>0.5</v>
      </c>
      <c r="G143" s="21"/>
      <c r="H143" s="8">
        <f t="shared" si="20"/>
        <v>108</v>
      </c>
      <c r="I143" s="8">
        <f t="shared" si="21"/>
        <v>1</v>
      </c>
      <c r="J143" s="9">
        <f t="shared" si="22"/>
        <v>1</v>
      </c>
    </row>
    <row r="144" spans="1:10" hidden="1" x14ac:dyDescent="0.2">
      <c r="A144" s="3" t="s">
        <v>1</v>
      </c>
      <c r="B144" s="4">
        <v>163</v>
      </c>
      <c r="C144" s="3"/>
      <c r="D144" s="4">
        <v>62</v>
      </c>
      <c r="E144" s="4">
        <v>0.1</v>
      </c>
      <c r="F144" s="6">
        <f>E144</f>
        <v>0.1</v>
      </c>
      <c r="G144" s="20"/>
      <c r="H144" s="8">
        <f t="shared" si="20"/>
        <v>124</v>
      </c>
      <c r="I144" s="8">
        <f t="shared" si="21"/>
        <v>0.2</v>
      </c>
      <c r="J144" s="9">
        <f t="shared" si="22"/>
        <v>0.2</v>
      </c>
    </row>
    <row r="145" spans="1:21" hidden="1" x14ac:dyDescent="0.2">
      <c r="A145" s="3" t="s">
        <v>1</v>
      </c>
      <c r="B145" s="4">
        <v>163</v>
      </c>
      <c r="C145" s="3" t="s">
        <v>5</v>
      </c>
      <c r="D145" s="4">
        <v>41.3</v>
      </c>
      <c r="E145" s="4">
        <v>0.7</v>
      </c>
      <c r="F145" s="4">
        <v>0.7</v>
      </c>
      <c r="G145" s="21"/>
      <c r="H145" s="8">
        <f t="shared" si="20"/>
        <v>82.6</v>
      </c>
      <c r="I145" s="8">
        <f t="shared" si="21"/>
        <v>1.4</v>
      </c>
      <c r="J145" s="9">
        <f t="shared" si="22"/>
        <v>1.4</v>
      </c>
    </row>
    <row r="146" spans="1:21" hidden="1" x14ac:dyDescent="0.2">
      <c r="A146" s="3" t="s">
        <v>1</v>
      </c>
      <c r="B146" s="4">
        <v>164</v>
      </c>
      <c r="C146" s="3"/>
      <c r="D146" s="4">
        <v>63.7</v>
      </c>
      <c r="E146" s="4">
        <v>0.6</v>
      </c>
      <c r="F146" s="6">
        <f>E146</f>
        <v>0.6</v>
      </c>
      <c r="G146" s="20"/>
      <c r="H146" s="8">
        <f t="shared" si="20"/>
        <v>127.4</v>
      </c>
      <c r="I146" s="8">
        <f t="shared" si="21"/>
        <v>1.2</v>
      </c>
      <c r="J146" s="9">
        <f t="shared" si="22"/>
        <v>1.2</v>
      </c>
    </row>
    <row r="147" spans="1:21" hidden="1" x14ac:dyDescent="0.2">
      <c r="A147" s="3" t="s">
        <v>1</v>
      </c>
      <c r="B147" s="4">
        <v>164</v>
      </c>
      <c r="C147" s="3" t="s">
        <v>5</v>
      </c>
      <c r="D147" s="4">
        <v>20.399999999999999</v>
      </c>
      <c r="E147" s="4">
        <v>1.2</v>
      </c>
      <c r="F147" s="4">
        <v>1.2</v>
      </c>
      <c r="G147" s="21"/>
      <c r="H147" s="8">
        <f t="shared" si="20"/>
        <v>40.799999999999997</v>
      </c>
      <c r="I147" s="8">
        <f t="shared" si="21"/>
        <v>2.4</v>
      </c>
      <c r="J147" s="9">
        <f t="shared" si="22"/>
        <v>2.4</v>
      </c>
    </row>
    <row r="148" spans="1:21" hidden="1" x14ac:dyDescent="0.2">
      <c r="A148" s="3" t="s">
        <v>1</v>
      </c>
      <c r="B148" s="4">
        <v>165</v>
      </c>
      <c r="C148" s="3"/>
      <c r="D148" s="4">
        <v>67.099999999999994</v>
      </c>
      <c r="E148" s="4">
        <v>2.4</v>
      </c>
      <c r="F148" s="4">
        <v>2.4</v>
      </c>
      <c r="G148" s="21"/>
      <c r="H148" s="8">
        <f t="shared" si="20"/>
        <v>134.19999999999999</v>
      </c>
      <c r="I148" s="8">
        <f t="shared" si="21"/>
        <v>4.8</v>
      </c>
      <c r="J148" s="9">
        <f t="shared" si="22"/>
        <v>4.8</v>
      </c>
    </row>
    <row r="149" spans="1:21" hidden="1" x14ac:dyDescent="0.2">
      <c r="A149" s="3" t="s">
        <v>1</v>
      </c>
      <c r="B149" s="4">
        <v>165</v>
      </c>
      <c r="C149" s="3" t="s">
        <v>5</v>
      </c>
      <c r="D149" s="4">
        <v>18.899999999999999</v>
      </c>
      <c r="E149" s="4">
        <v>3.1</v>
      </c>
      <c r="F149" s="4">
        <v>3.1</v>
      </c>
      <c r="G149" s="21"/>
      <c r="H149" s="8">
        <f t="shared" si="20"/>
        <v>37.799999999999997</v>
      </c>
      <c r="I149" s="8">
        <f t="shared" si="21"/>
        <v>6.2</v>
      </c>
      <c r="J149" s="9">
        <f t="shared" si="22"/>
        <v>6.2</v>
      </c>
    </row>
    <row r="150" spans="1:21" hidden="1" x14ac:dyDescent="0.2">
      <c r="A150" s="3" t="s">
        <v>1</v>
      </c>
      <c r="B150" s="4">
        <v>168</v>
      </c>
      <c r="C150" s="3" t="s">
        <v>5</v>
      </c>
      <c r="D150" s="4">
        <v>54.4</v>
      </c>
      <c r="E150" s="4">
        <v>5.4</v>
      </c>
      <c r="F150" s="6">
        <f t="shared" ref="F150:F159" si="23">E150</f>
        <v>5.4</v>
      </c>
      <c r="G150" s="20"/>
      <c r="H150" s="8">
        <f t="shared" si="20"/>
        <v>108.8</v>
      </c>
      <c r="I150" s="8">
        <f t="shared" si="21"/>
        <v>10.8</v>
      </c>
      <c r="J150" s="9">
        <f t="shared" si="22"/>
        <v>10.8</v>
      </c>
    </row>
    <row r="151" spans="1:21" hidden="1" x14ac:dyDescent="0.2">
      <c r="A151" s="3" t="s">
        <v>1</v>
      </c>
      <c r="B151" s="6">
        <v>170</v>
      </c>
      <c r="C151" s="3"/>
      <c r="D151" s="4">
        <v>62.9</v>
      </c>
      <c r="E151" s="4">
        <v>4.5</v>
      </c>
      <c r="F151" s="6">
        <f t="shared" si="23"/>
        <v>4.5</v>
      </c>
      <c r="G151" s="20"/>
      <c r="H151" s="8">
        <f t="shared" si="20"/>
        <v>125.8</v>
      </c>
      <c r="I151" s="8">
        <f t="shared" si="21"/>
        <v>9</v>
      </c>
      <c r="J151" s="9">
        <f t="shared" si="22"/>
        <v>9</v>
      </c>
    </row>
    <row r="152" spans="1:21" hidden="1" x14ac:dyDescent="0.2">
      <c r="A152" s="3" t="s">
        <v>1</v>
      </c>
      <c r="B152" s="6">
        <v>171</v>
      </c>
      <c r="C152" s="3"/>
      <c r="D152" s="4">
        <v>62.8</v>
      </c>
      <c r="E152" s="4">
        <v>2.2999999999999998</v>
      </c>
      <c r="F152" s="6">
        <f t="shared" si="23"/>
        <v>2.2999999999999998</v>
      </c>
      <c r="G152" s="20"/>
      <c r="H152" s="8">
        <f t="shared" si="20"/>
        <v>125.6</v>
      </c>
      <c r="I152" s="8">
        <f t="shared" si="21"/>
        <v>4.5999999999999996</v>
      </c>
      <c r="J152" s="9">
        <f t="shared" si="22"/>
        <v>4.5999999999999996</v>
      </c>
    </row>
    <row r="153" spans="1:21" hidden="1" x14ac:dyDescent="0.2">
      <c r="A153" s="3" t="s">
        <v>1</v>
      </c>
      <c r="B153" s="4">
        <v>172</v>
      </c>
      <c r="C153" s="3"/>
      <c r="D153" s="4">
        <v>60</v>
      </c>
      <c r="E153" s="4">
        <v>0</v>
      </c>
      <c r="F153" s="6">
        <f t="shared" si="23"/>
        <v>0</v>
      </c>
      <c r="G153" s="20"/>
      <c r="H153" s="8">
        <f t="shared" si="20"/>
        <v>120</v>
      </c>
      <c r="I153" s="8">
        <f t="shared" si="21"/>
        <v>0</v>
      </c>
      <c r="J153" s="9">
        <f t="shared" si="22"/>
        <v>0</v>
      </c>
    </row>
    <row r="154" spans="1:21" hidden="1" x14ac:dyDescent="0.2">
      <c r="A154" s="3" t="s">
        <v>1</v>
      </c>
      <c r="B154" s="6">
        <v>172</v>
      </c>
      <c r="C154" s="3" t="s">
        <v>5</v>
      </c>
      <c r="D154" s="4">
        <v>61.3</v>
      </c>
      <c r="E154" s="4">
        <v>0.1</v>
      </c>
      <c r="F154" s="6">
        <f t="shared" si="23"/>
        <v>0.1</v>
      </c>
      <c r="G154" s="20"/>
      <c r="H154" s="8">
        <f t="shared" si="20"/>
        <v>122.6</v>
      </c>
      <c r="I154" s="8">
        <f t="shared" si="21"/>
        <v>0.2</v>
      </c>
      <c r="J154" s="9">
        <f t="shared" si="22"/>
        <v>0.2</v>
      </c>
    </row>
    <row r="155" spans="1:21" hidden="1" x14ac:dyDescent="0.2">
      <c r="A155" s="3" t="s">
        <v>1</v>
      </c>
      <c r="B155" s="6">
        <v>173</v>
      </c>
      <c r="C155" s="3"/>
      <c r="D155" s="4">
        <v>61.1</v>
      </c>
      <c r="E155" s="4">
        <v>1.7</v>
      </c>
      <c r="F155" s="6">
        <f t="shared" si="23"/>
        <v>1.7</v>
      </c>
      <c r="G155" s="20"/>
      <c r="H155" s="8">
        <f t="shared" si="20"/>
        <v>122.2</v>
      </c>
      <c r="I155" s="8">
        <f t="shared" si="21"/>
        <v>3.4</v>
      </c>
      <c r="J155" s="9">
        <f t="shared" si="22"/>
        <v>3.4</v>
      </c>
    </row>
    <row r="156" spans="1:21" hidden="1" x14ac:dyDescent="0.2">
      <c r="A156" s="3" t="s">
        <v>1</v>
      </c>
      <c r="B156" s="6">
        <v>173</v>
      </c>
      <c r="C156" s="3" t="s">
        <v>5</v>
      </c>
      <c r="D156" s="4">
        <v>38.5</v>
      </c>
      <c r="E156" s="4">
        <v>4.7</v>
      </c>
      <c r="F156" s="6">
        <f t="shared" si="23"/>
        <v>4.7</v>
      </c>
      <c r="G156" s="20"/>
      <c r="H156" s="8">
        <f t="shared" si="20"/>
        <v>77</v>
      </c>
      <c r="I156" s="8">
        <f t="shared" si="21"/>
        <v>9.4</v>
      </c>
      <c r="J156" s="9">
        <f t="shared" si="22"/>
        <v>9.4</v>
      </c>
    </row>
    <row r="157" spans="1:21" hidden="1" x14ac:dyDescent="0.2">
      <c r="A157" s="3" t="s">
        <v>1</v>
      </c>
      <c r="B157" s="4">
        <v>174</v>
      </c>
      <c r="C157" s="3"/>
      <c r="D157" s="4">
        <v>62.1</v>
      </c>
      <c r="E157" s="4">
        <v>0.4</v>
      </c>
      <c r="F157" s="6">
        <f t="shared" si="23"/>
        <v>0.4</v>
      </c>
      <c r="G157" s="20"/>
      <c r="H157" s="8">
        <f t="shared" si="20"/>
        <v>124.2</v>
      </c>
      <c r="I157" s="8">
        <f t="shared" si="21"/>
        <v>0.8</v>
      </c>
      <c r="J157" s="9">
        <f t="shared" si="22"/>
        <v>0.8</v>
      </c>
    </row>
    <row r="158" spans="1:21" hidden="1" x14ac:dyDescent="0.2">
      <c r="A158" s="3" t="s">
        <v>1</v>
      </c>
      <c r="B158" s="4">
        <v>175</v>
      </c>
      <c r="C158" s="3"/>
      <c r="D158" s="4">
        <v>63.9</v>
      </c>
      <c r="E158" s="4">
        <v>2.7</v>
      </c>
      <c r="F158" s="6">
        <f t="shared" si="23"/>
        <v>2.7</v>
      </c>
      <c r="G158" s="20"/>
      <c r="H158" s="8">
        <f t="shared" si="20"/>
        <v>127.8</v>
      </c>
      <c r="I158" s="8">
        <f t="shared" si="21"/>
        <v>5.4</v>
      </c>
      <c r="J158" s="9">
        <f t="shared" si="22"/>
        <v>5.4</v>
      </c>
    </row>
    <row r="159" spans="1:21" hidden="1" x14ac:dyDescent="0.2">
      <c r="A159" s="3" t="s">
        <v>1</v>
      </c>
      <c r="B159" s="4">
        <v>176</v>
      </c>
      <c r="C159" s="3"/>
      <c r="D159" s="4">
        <v>63.9</v>
      </c>
      <c r="E159" s="4">
        <v>0.4</v>
      </c>
      <c r="F159" s="6">
        <f t="shared" si="23"/>
        <v>0.4</v>
      </c>
      <c r="G159" s="20"/>
      <c r="H159" s="8">
        <f t="shared" si="20"/>
        <v>127.8</v>
      </c>
      <c r="I159" s="8">
        <f t="shared" si="21"/>
        <v>0.8</v>
      </c>
      <c r="J159" s="9">
        <f t="shared" si="22"/>
        <v>0.8</v>
      </c>
    </row>
    <row r="160" spans="1:21" s="28" customFormat="1" hidden="1" x14ac:dyDescent="0.2">
      <c r="A160" s="3" t="s">
        <v>1</v>
      </c>
      <c r="B160" s="4">
        <v>176</v>
      </c>
      <c r="C160" s="3" t="s">
        <v>2</v>
      </c>
      <c r="D160" s="4">
        <v>68.099999999999994</v>
      </c>
      <c r="E160" s="4">
        <v>0.3</v>
      </c>
      <c r="F160" s="6">
        <v>0</v>
      </c>
      <c r="G160" s="27"/>
      <c r="H160" s="8">
        <f t="shared" ref="H160" si="24">D160*2</f>
        <v>136.19999999999999</v>
      </c>
      <c r="I160" s="8">
        <f t="shared" ref="I160" si="25">E160*2</f>
        <v>0.6</v>
      </c>
      <c r="J160" s="9">
        <f t="shared" ref="J160" si="26">F160*2</f>
        <v>0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</row>
    <row r="161" spans="1:10" hidden="1" x14ac:dyDescent="0.2">
      <c r="A161" s="3" t="s">
        <v>1</v>
      </c>
      <c r="B161" s="4">
        <v>177</v>
      </c>
      <c r="C161" s="3"/>
      <c r="D161" s="4">
        <v>66.8</v>
      </c>
      <c r="E161" s="4">
        <v>0.3</v>
      </c>
      <c r="F161" s="4">
        <v>0.3</v>
      </c>
      <c r="G161" s="21"/>
      <c r="H161" s="8">
        <f t="shared" si="20"/>
        <v>133.6</v>
      </c>
      <c r="I161" s="8">
        <f t="shared" si="21"/>
        <v>0.6</v>
      </c>
      <c r="J161" s="9">
        <f t="shared" si="22"/>
        <v>0.6</v>
      </c>
    </row>
    <row r="162" spans="1:10" hidden="1" x14ac:dyDescent="0.2">
      <c r="A162" s="3" t="s">
        <v>1</v>
      </c>
      <c r="B162" s="4">
        <v>177</v>
      </c>
      <c r="C162" s="3" t="s">
        <v>5</v>
      </c>
      <c r="D162" s="4">
        <v>42.3</v>
      </c>
      <c r="E162" s="4">
        <v>0.4</v>
      </c>
      <c r="F162" s="6">
        <f>E162</f>
        <v>0.4</v>
      </c>
      <c r="G162" s="20"/>
      <c r="H162" s="8">
        <f t="shared" si="20"/>
        <v>84.6</v>
      </c>
      <c r="I162" s="8">
        <f t="shared" si="21"/>
        <v>0.8</v>
      </c>
      <c r="J162" s="9">
        <f t="shared" si="22"/>
        <v>0.8</v>
      </c>
    </row>
    <row r="163" spans="1:10" hidden="1" x14ac:dyDescent="0.2">
      <c r="A163" s="3" t="s">
        <v>1</v>
      </c>
      <c r="B163" s="4">
        <v>179</v>
      </c>
      <c r="C163" s="3" t="s">
        <v>5</v>
      </c>
      <c r="D163" s="4">
        <v>44.8</v>
      </c>
      <c r="E163" s="4">
        <v>1</v>
      </c>
      <c r="F163" s="4">
        <v>1</v>
      </c>
      <c r="G163" s="21"/>
      <c r="H163" s="8">
        <f t="shared" si="20"/>
        <v>89.6</v>
      </c>
      <c r="I163" s="8">
        <f t="shared" si="21"/>
        <v>2</v>
      </c>
      <c r="J163" s="9">
        <f t="shared" si="22"/>
        <v>2</v>
      </c>
    </row>
    <row r="164" spans="1:10" hidden="1" x14ac:dyDescent="0.2">
      <c r="A164" s="3" t="s">
        <v>1</v>
      </c>
      <c r="B164" s="6">
        <v>182</v>
      </c>
      <c r="C164" s="3"/>
      <c r="D164" s="4">
        <v>62.9</v>
      </c>
      <c r="E164" s="4">
        <v>5.8</v>
      </c>
      <c r="F164" s="6">
        <f>E164</f>
        <v>5.8</v>
      </c>
      <c r="G164" s="20"/>
      <c r="H164" s="8">
        <f t="shared" si="20"/>
        <v>125.8</v>
      </c>
      <c r="I164" s="8">
        <f t="shared" si="21"/>
        <v>11.6</v>
      </c>
      <c r="J164" s="9">
        <f t="shared" si="22"/>
        <v>11.6</v>
      </c>
    </row>
    <row r="165" spans="1:10" hidden="1" x14ac:dyDescent="0.2">
      <c r="A165" s="3" t="s">
        <v>1</v>
      </c>
      <c r="B165" s="6">
        <v>182</v>
      </c>
      <c r="C165" s="3" t="s">
        <v>5</v>
      </c>
      <c r="D165" s="4">
        <v>58.9</v>
      </c>
      <c r="E165" s="4">
        <v>0.5</v>
      </c>
      <c r="F165" s="4">
        <v>0.5</v>
      </c>
      <c r="G165" s="21"/>
      <c r="H165" s="8">
        <f t="shared" si="20"/>
        <v>117.8</v>
      </c>
      <c r="I165" s="8">
        <f t="shared" si="21"/>
        <v>1</v>
      </c>
      <c r="J165" s="9">
        <f t="shared" si="22"/>
        <v>1</v>
      </c>
    </row>
    <row r="166" spans="1:10" hidden="1" x14ac:dyDescent="0.2">
      <c r="A166" s="3" t="s">
        <v>1</v>
      </c>
      <c r="B166" s="16">
        <v>183</v>
      </c>
      <c r="C166" s="3"/>
      <c r="D166" s="4">
        <v>62.9</v>
      </c>
      <c r="E166" s="4">
        <v>3.2</v>
      </c>
      <c r="F166" s="6">
        <f>E166</f>
        <v>3.2</v>
      </c>
      <c r="G166" s="20"/>
      <c r="H166" s="8">
        <f t="shared" si="20"/>
        <v>125.8</v>
      </c>
      <c r="I166" s="8">
        <f t="shared" si="21"/>
        <v>6.4</v>
      </c>
      <c r="J166" s="9">
        <f t="shared" si="22"/>
        <v>6.4</v>
      </c>
    </row>
    <row r="167" spans="1:10" hidden="1" x14ac:dyDescent="0.2">
      <c r="A167" s="3" t="s">
        <v>1</v>
      </c>
      <c r="B167" s="4">
        <v>183</v>
      </c>
      <c r="C167" s="3" t="s">
        <v>3</v>
      </c>
      <c r="D167" s="4">
        <v>58</v>
      </c>
      <c r="E167" s="4">
        <v>9.1</v>
      </c>
      <c r="F167" s="4">
        <v>9.1</v>
      </c>
      <c r="G167" s="21"/>
      <c r="H167" s="8">
        <f t="shared" si="20"/>
        <v>116</v>
      </c>
      <c r="I167" s="8">
        <f t="shared" si="21"/>
        <v>18.2</v>
      </c>
      <c r="J167" s="9">
        <f t="shared" si="22"/>
        <v>18.2</v>
      </c>
    </row>
    <row r="168" spans="1:10" hidden="1" x14ac:dyDescent="0.2">
      <c r="A168" s="3" t="s">
        <v>1</v>
      </c>
      <c r="B168" s="6">
        <v>184</v>
      </c>
      <c r="C168" s="3"/>
      <c r="D168" s="4">
        <v>62.8</v>
      </c>
      <c r="E168" s="4">
        <v>0.5</v>
      </c>
      <c r="F168" s="6">
        <f>E168</f>
        <v>0.5</v>
      </c>
      <c r="G168" s="20"/>
      <c r="H168" s="8">
        <f t="shared" si="20"/>
        <v>125.6</v>
      </c>
      <c r="I168" s="8">
        <f t="shared" si="21"/>
        <v>1</v>
      </c>
      <c r="J168" s="9">
        <f t="shared" si="22"/>
        <v>1</v>
      </c>
    </row>
    <row r="169" spans="1:10" hidden="1" x14ac:dyDescent="0.2">
      <c r="A169" s="3" t="s">
        <v>1</v>
      </c>
      <c r="B169" s="6">
        <v>184</v>
      </c>
      <c r="C169" s="3" t="s">
        <v>5</v>
      </c>
      <c r="D169" s="4">
        <v>56.2</v>
      </c>
      <c r="E169" s="4">
        <v>3.2</v>
      </c>
      <c r="F169" s="6">
        <f>E169</f>
        <v>3.2</v>
      </c>
      <c r="G169" s="20"/>
      <c r="H169" s="8">
        <f t="shared" si="20"/>
        <v>112.4</v>
      </c>
      <c r="I169" s="8">
        <f t="shared" si="21"/>
        <v>6.4</v>
      </c>
      <c r="J169" s="9">
        <f t="shared" si="22"/>
        <v>6.4</v>
      </c>
    </row>
    <row r="170" spans="1:10" hidden="1" x14ac:dyDescent="0.2">
      <c r="A170" s="3" t="s">
        <v>1</v>
      </c>
      <c r="B170" s="6">
        <v>185</v>
      </c>
      <c r="C170" s="3"/>
      <c r="D170" s="4">
        <v>61.3</v>
      </c>
      <c r="E170" s="4">
        <v>0.1</v>
      </c>
      <c r="F170" s="6">
        <f>E170</f>
        <v>0.1</v>
      </c>
      <c r="G170" s="20"/>
      <c r="H170" s="8">
        <f t="shared" si="20"/>
        <v>122.6</v>
      </c>
      <c r="I170" s="8">
        <f t="shared" si="21"/>
        <v>0.2</v>
      </c>
      <c r="J170" s="9">
        <f t="shared" si="22"/>
        <v>0.2</v>
      </c>
    </row>
    <row r="171" spans="1:10" hidden="1" x14ac:dyDescent="0.2">
      <c r="A171" s="3" t="s">
        <v>1</v>
      </c>
      <c r="B171" s="6">
        <v>185</v>
      </c>
      <c r="C171" s="3" t="s">
        <v>5</v>
      </c>
      <c r="D171" s="4">
        <v>52.9</v>
      </c>
      <c r="E171" s="4">
        <v>3</v>
      </c>
      <c r="F171" s="4">
        <v>3</v>
      </c>
      <c r="G171" s="21"/>
      <c r="H171" s="8">
        <f t="shared" si="20"/>
        <v>105.8</v>
      </c>
      <c r="I171" s="8">
        <f t="shared" si="21"/>
        <v>6</v>
      </c>
      <c r="J171" s="9">
        <f t="shared" si="22"/>
        <v>6</v>
      </c>
    </row>
    <row r="172" spans="1:10" hidden="1" x14ac:dyDescent="0.2">
      <c r="A172" s="3" t="s">
        <v>1</v>
      </c>
      <c r="B172" s="4">
        <v>186</v>
      </c>
      <c r="C172" s="3"/>
      <c r="D172" s="4">
        <v>58.6</v>
      </c>
      <c r="E172" s="4">
        <v>1.4</v>
      </c>
      <c r="F172" s="6">
        <f>E172</f>
        <v>1.4</v>
      </c>
      <c r="G172" s="20"/>
      <c r="H172" s="8">
        <f t="shared" si="20"/>
        <v>117.2</v>
      </c>
      <c r="I172" s="8">
        <f t="shared" si="21"/>
        <v>2.8</v>
      </c>
      <c r="J172" s="9">
        <f t="shared" si="22"/>
        <v>2.8</v>
      </c>
    </row>
    <row r="173" spans="1:10" hidden="1" x14ac:dyDescent="0.2">
      <c r="A173" s="3" t="s">
        <v>1</v>
      </c>
      <c r="B173" s="4">
        <v>187</v>
      </c>
      <c r="C173" s="3"/>
      <c r="D173" s="4">
        <v>58.3</v>
      </c>
      <c r="E173" s="4">
        <v>0.3</v>
      </c>
      <c r="F173" s="6">
        <f>E173</f>
        <v>0.3</v>
      </c>
      <c r="G173" s="20"/>
      <c r="H173" s="8">
        <f t="shared" si="20"/>
        <v>116.6</v>
      </c>
      <c r="I173" s="8">
        <f t="shared" si="21"/>
        <v>0.6</v>
      </c>
      <c r="J173" s="9">
        <f t="shared" si="22"/>
        <v>0.6</v>
      </c>
    </row>
    <row r="174" spans="1:10" hidden="1" x14ac:dyDescent="0.2">
      <c r="A174" s="3" t="s">
        <v>1</v>
      </c>
      <c r="B174" s="4">
        <v>188</v>
      </c>
      <c r="C174" s="3"/>
      <c r="D174" s="4">
        <v>58.3</v>
      </c>
      <c r="E174" s="4">
        <v>2.2000000000000002</v>
      </c>
      <c r="F174" s="6">
        <f>E174</f>
        <v>2.2000000000000002</v>
      </c>
      <c r="G174" s="20"/>
      <c r="H174" s="8">
        <f t="shared" si="20"/>
        <v>116.6</v>
      </c>
      <c r="I174" s="8">
        <f t="shared" si="21"/>
        <v>4.4000000000000004</v>
      </c>
      <c r="J174" s="9">
        <f t="shared" si="22"/>
        <v>4.4000000000000004</v>
      </c>
    </row>
    <row r="175" spans="1:10" hidden="1" x14ac:dyDescent="0.2">
      <c r="A175" s="3" t="s">
        <v>1</v>
      </c>
      <c r="B175" s="4">
        <v>190</v>
      </c>
      <c r="C175" s="3"/>
      <c r="D175" s="4">
        <v>59</v>
      </c>
      <c r="E175" s="4">
        <v>2.1</v>
      </c>
      <c r="F175" s="4">
        <v>2.1</v>
      </c>
      <c r="G175" s="21"/>
      <c r="H175" s="8">
        <f t="shared" si="20"/>
        <v>118</v>
      </c>
      <c r="I175" s="8">
        <f t="shared" si="21"/>
        <v>4.2</v>
      </c>
      <c r="J175" s="9">
        <f t="shared" si="22"/>
        <v>4.2</v>
      </c>
    </row>
    <row r="176" spans="1:10" hidden="1" x14ac:dyDescent="0.2">
      <c r="A176" s="3" t="s">
        <v>1</v>
      </c>
      <c r="B176" s="4">
        <v>191</v>
      </c>
      <c r="C176" s="3"/>
      <c r="D176" s="4">
        <v>60.8</v>
      </c>
      <c r="E176" s="4">
        <v>0.3</v>
      </c>
      <c r="F176" s="4">
        <v>0.3</v>
      </c>
      <c r="G176" s="21"/>
      <c r="H176" s="8">
        <f t="shared" si="20"/>
        <v>121.6</v>
      </c>
      <c r="I176" s="8">
        <f t="shared" si="21"/>
        <v>0.6</v>
      </c>
      <c r="J176" s="9">
        <f t="shared" si="22"/>
        <v>0.6</v>
      </c>
    </row>
    <row r="177" spans="1:10" hidden="1" x14ac:dyDescent="0.2">
      <c r="A177" s="3" t="s">
        <v>1</v>
      </c>
      <c r="B177" s="4">
        <v>192</v>
      </c>
      <c r="C177" s="3" t="s">
        <v>5</v>
      </c>
      <c r="D177" s="4">
        <v>54.4</v>
      </c>
      <c r="E177" s="4">
        <v>3.4</v>
      </c>
      <c r="F177" s="4">
        <v>3.4</v>
      </c>
      <c r="G177" s="21"/>
      <c r="H177" s="8">
        <f t="shared" si="20"/>
        <v>108.8</v>
      </c>
      <c r="I177" s="8">
        <f t="shared" si="21"/>
        <v>6.8</v>
      </c>
      <c r="J177" s="9">
        <f t="shared" si="22"/>
        <v>6.8</v>
      </c>
    </row>
    <row r="178" spans="1:10" hidden="1" x14ac:dyDescent="0.2">
      <c r="A178" s="3" t="s">
        <v>1</v>
      </c>
      <c r="B178" s="4">
        <v>194</v>
      </c>
      <c r="C178" s="3" t="s">
        <v>5</v>
      </c>
      <c r="D178" s="4">
        <v>74</v>
      </c>
      <c r="E178" s="4">
        <v>4.8</v>
      </c>
      <c r="F178" s="6">
        <f>E178</f>
        <v>4.8</v>
      </c>
      <c r="G178" s="20"/>
      <c r="H178" s="8">
        <f t="shared" si="20"/>
        <v>148</v>
      </c>
      <c r="I178" s="8">
        <f t="shared" si="21"/>
        <v>9.6</v>
      </c>
      <c r="J178" s="9">
        <f t="shared" si="22"/>
        <v>9.6</v>
      </c>
    </row>
    <row r="179" spans="1:10" hidden="1" x14ac:dyDescent="0.2">
      <c r="A179" s="3" t="s">
        <v>1</v>
      </c>
      <c r="B179" s="4">
        <v>195</v>
      </c>
      <c r="C179" s="3"/>
      <c r="D179" s="4">
        <v>62.9</v>
      </c>
      <c r="E179" s="3">
        <v>4.5</v>
      </c>
      <c r="F179" s="3">
        <v>4.5</v>
      </c>
      <c r="G179" s="22"/>
      <c r="H179" s="8">
        <f t="shared" si="20"/>
        <v>125.8</v>
      </c>
      <c r="I179" s="8">
        <f t="shared" si="21"/>
        <v>9</v>
      </c>
      <c r="J179" s="9">
        <f t="shared" si="22"/>
        <v>9</v>
      </c>
    </row>
    <row r="180" spans="1:10" hidden="1" x14ac:dyDescent="0.2">
      <c r="A180" s="3" t="s">
        <v>1</v>
      </c>
      <c r="B180" s="5">
        <v>195</v>
      </c>
      <c r="C180" s="3" t="s">
        <v>5</v>
      </c>
      <c r="D180" s="4">
        <v>70.5</v>
      </c>
      <c r="E180" s="3">
        <v>3.9</v>
      </c>
      <c r="F180" s="3">
        <v>3.9</v>
      </c>
      <c r="G180" s="22"/>
      <c r="H180" s="8">
        <f t="shared" si="20"/>
        <v>141</v>
      </c>
      <c r="I180" s="8">
        <f t="shared" si="21"/>
        <v>7.8</v>
      </c>
      <c r="J180" s="9">
        <f t="shared" si="22"/>
        <v>7.8</v>
      </c>
    </row>
    <row r="181" spans="1:10" hidden="1" x14ac:dyDescent="0.2">
      <c r="A181" s="3" t="s">
        <v>1</v>
      </c>
      <c r="B181" s="4">
        <v>196</v>
      </c>
      <c r="C181" s="3"/>
      <c r="D181" s="4">
        <v>62.9</v>
      </c>
      <c r="E181" s="4">
        <v>2.7</v>
      </c>
      <c r="F181" s="4">
        <v>2.7</v>
      </c>
      <c r="G181" s="21"/>
      <c r="H181" s="8">
        <f t="shared" si="20"/>
        <v>125.8</v>
      </c>
      <c r="I181" s="8">
        <f t="shared" si="21"/>
        <v>5.4</v>
      </c>
      <c r="J181" s="9">
        <f t="shared" si="22"/>
        <v>5.4</v>
      </c>
    </row>
    <row r="182" spans="1:10" hidden="1" x14ac:dyDescent="0.2">
      <c r="A182" s="3" t="s">
        <v>1</v>
      </c>
      <c r="B182" s="4">
        <v>196</v>
      </c>
      <c r="C182" s="3" t="s">
        <v>5</v>
      </c>
      <c r="D182" s="4">
        <v>71.5</v>
      </c>
      <c r="E182" s="4">
        <v>0.6</v>
      </c>
      <c r="F182" s="4">
        <v>0.6</v>
      </c>
      <c r="G182" s="21"/>
      <c r="H182" s="8">
        <f t="shared" si="20"/>
        <v>143</v>
      </c>
      <c r="I182" s="8">
        <f t="shared" si="21"/>
        <v>1.2</v>
      </c>
      <c r="J182" s="9">
        <f t="shared" si="22"/>
        <v>1.2</v>
      </c>
    </row>
    <row r="183" spans="1:10" hidden="1" x14ac:dyDescent="0.2">
      <c r="A183" s="3" t="s">
        <v>1</v>
      </c>
      <c r="B183" s="4">
        <v>197</v>
      </c>
      <c r="C183" s="3"/>
      <c r="D183" s="4">
        <v>62.9</v>
      </c>
      <c r="E183" s="4">
        <v>1.6</v>
      </c>
      <c r="F183" s="4">
        <v>1.6</v>
      </c>
      <c r="G183" s="21"/>
      <c r="H183" s="8">
        <f t="shared" si="20"/>
        <v>125.8</v>
      </c>
      <c r="I183" s="8">
        <f t="shared" si="21"/>
        <v>3.2</v>
      </c>
      <c r="J183" s="9">
        <f t="shared" si="22"/>
        <v>3.2</v>
      </c>
    </row>
    <row r="184" spans="1:10" hidden="1" x14ac:dyDescent="0.2">
      <c r="A184" s="3" t="s">
        <v>1</v>
      </c>
      <c r="B184" s="4">
        <v>197</v>
      </c>
      <c r="C184" s="3" t="s">
        <v>3</v>
      </c>
      <c r="D184" s="4">
        <v>74</v>
      </c>
      <c r="E184" s="4">
        <v>1.5</v>
      </c>
      <c r="F184" s="6">
        <f t="shared" ref="F184:F191" si="27">E184</f>
        <v>1.5</v>
      </c>
      <c r="G184" s="20"/>
      <c r="H184" s="8">
        <f t="shared" si="20"/>
        <v>148</v>
      </c>
      <c r="I184" s="8">
        <f t="shared" si="21"/>
        <v>3</v>
      </c>
      <c r="J184" s="9">
        <f t="shared" si="22"/>
        <v>3</v>
      </c>
    </row>
    <row r="185" spans="1:10" hidden="1" x14ac:dyDescent="0.2">
      <c r="A185" s="3" t="s">
        <v>1</v>
      </c>
      <c r="B185" s="6">
        <v>198</v>
      </c>
      <c r="C185" s="3"/>
      <c r="D185" s="4">
        <v>61.3</v>
      </c>
      <c r="E185" s="4">
        <v>5</v>
      </c>
      <c r="F185" s="6">
        <f t="shared" si="27"/>
        <v>5</v>
      </c>
      <c r="G185" s="20"/>
      <c r="H185" s="8">
        <f t="shared" si="20"/>
        <v>122.6</v>
      </c>
      <c r="I185" s="8">
        <f t="shared" si="21"/>
        <v>10</v>
      </c>
      <c r="J185" s="9">
        <f t="shared" si="22"/>
        <v>10</v>
      </c>
    </row>
    <row r="186" spans="1:10" hidden="1" x14ac:dyDescent="0.2">
      <c r="A186" s="3" t="s">
        <v>1</v>
      </c>
      <c r="B186" s="6">
        <v>198</v>
      </c>
      <c r="C186" s="3" t="s">
        <v>5</v>
      </c>
      <c r="D186" s="4">
        <v>63</v>
      </c>
      <c r="E186" s="4">
        <v>3.4</v>
      </c>
      <c r="F186" s="6">
        <f t="shared" si="27"/>
        <v>3.4</v>
      </c>
      <c r="G186" s="20"/>
      <c r="H186" s="8">
        <f t="shared" si="20"/>
        <v>126</v>
      </c>
      <c r="I186" s="8">
        <f t="shared" si="21"/>
        <v>6.8</v>
      </c>
      <c r="J186" s="9">
        <f t="shared" si="22"/>
        <v>6.8</v>
      </c>
    </row>
    <row r="187" spans="1:10" s="26" customFormat="1" hidden="1" x14ac:dyDescent="0.2">
      <c r="A187" s="24" t="s">
        <v>1</v>
      </c>
      <c r="B187" s="16">
        <v>198</v>
      </c>
      <c r="C187" s="24" t="s">
        <v>23</v>
      </c>
      <c r="D187" s="5">
        <v>63</v>
      </c>
      <c r="E187" s="5">
        <v>3.4</v>
      </c>
      <c r="F187" s="16">
        <v>3.4</v>
      </c>
      <c r="G187" s="27"/>
      <c r="H187" s="8">
        <f t="shared" ref="H187" si="28">D187*2</f>
        <v>126</v>
      </c>
      <c r="I187" s="8">
        <f t="shared" ref="I187" si="29">E187*2</f>
        <v>6.8</v>
      </c>
      <c r="J187" s="9">
        <f t="shared" ref="J187" si="30">F187*2</f>
        <v>6.8</v>
      </c>
    </row>
    <row r="188" spans="1:10" hidden="1" x14ac:dyDescent="0.2">
      <c r="A188" s="3" t="s">
        <v>1</v>
      </c>
      <c r="B188" s="6">
        <v>199</v>
      </c>
      <c r="C188" s="3"/>
      <c r="D188" s="4">
        <v>61.3</v>
      </c>
      <c r="E188" s="4">
        <v>3.9</v>
      </c>
      <c r="F188" s="6">
        <f t="shared" si="27"/>
        <v>3.9</v>
      </c>
      <c r="G188" s="20"/>
      <c r="H188" s="8">
        <f t="shared" si="20"/>
        <v>122.6</v>
      </c>
      <c r="I188" s="8">
        <f t="shared" si="21"/>
        <v>7.8</v>
      </c>
      <c r="J188" s="9">
        <f t="shared" si="22"/>
        <v>7.8</v>
      </c>
    </row>
    <row r="189" spans="1:10" hidden="1" x14ac:dyDescent="0.2">
      <c r="A189" s="3" t="s">
        <v>1</v>
      </c>
      <c r="B189" s="6">
        <v>200</v>
      </c>
      <c r="C189" s="3"/>
      <c r="D189" s="4">
        <v>38.5</v>
      </c>
      <c r="E189" s="4">
        <v>5.5</v>
      </c>
      <c r="F189" s="6">
        <f t="shared" si="27"/>
        <v>5.5</v>
      </c>
      <c r="G189" s="20"/>
      <c r="H189" s="8">
        <f t="shared" si="20"/>
        <v>77</v>
      </c>
      <c r="I189" s="8">
        <f t="shared" si="21"/>
        <v>11</v>
      </c>
      <c r="J189" s="9">
        <f t="shared" si="22"/>
        <v>11</v>
      </c>
    </row>
    <row r="190" spans="1:10" hidden="1" x14ac:dyDescent="0.2">
      <c r="A190" s="3" t="s">
        <v>1</v>
      </c>
      <c r="B190" s="6">
        <v>200</v>
      </c>
      <c r="C190" s="3" t="s">
        <v>3</v>
      </c>
      <c r="D190" s="4">
        <v>42</v>
      </c>
      <c r="E190" s="4">
        <v>7</v>
      </c>
      <c r="F190" s="6">
        <f t="shared" si="27"/>
        <v>7</v>
      </c>
      <c r="G190" s="20"/>
      <c r="H190" s="8">
        <f t="shared" si="20"/>
        <v>84</v>
      </c>
      <c r="I190" s="8">
        <f t="shared" si="21"/>
        <v>14</v>
      </c>
      <c r="J190" s="9">
        <f t="shared" si="22"/>
        <v>14</v>
      </c>
    </row>
    <row r="191" spans="1:10" hidden="1" x14ac:dyDescent="0.2">
      <c r="A191" s="3" t="s">
        <v>1</v>
      </c>
      <c r="B191" s="4">
        <v>201</v>
      </c>
      <c r="C191" s="3"/>
      <c r="D191" s="4">
        <v>57.4</v>
      </c>
      <c r="E191" s="4">
        <v>1.3</v>
      </c>
      <c r="F191" s="6">
        <f t="shared" si="27"/>
        <v>1.3</v>
      </c>
      <c r="G191" s="20"/>
      <c r="H191" s="8">
        <f t="shared" si="20"/>
        <v>114.8</v>
      </c>
      <c r="I191" s="8">
        <f t="shared" si="21"/>
        <v>2.6</v>
      </c>
      <c r="J191" s="9">
        <f t="shared" si="22"/>
        <v>2.6</v>
      </c>
    </row>
    <row r="192" spans="1:10" hidden="1" x14ac:dyDescent="0.2">
      <c r="A192" s="3" t="s">
        <v>1</v>
      </c>
      <c r="B192" s="4">
        <v>202</v>
      </c>
      <c r="C192" s="3"/>
      <c r="D192" s="4">
        <v>53.2</v>
      </c>
      <c r="E192" s="4">
        <v>1.4</v>
      </c>
      <c r="F192" s="4">
        <v>1.4</v>
      </c>
      <c r="G192" s="21"/>
      <c r="H192" s="8">
        <f t="shared" si="20"/>
        <v>106.4</v>
      </c>
      <c r="I192" s="8">
        <f t="shared" si="21"/>
        <v>2.8</v>
      </c>
      <c r="J192" s="9">
        <f t="shared" si="22"/>
        <v>2.8</v>
      </c>
    </row>
    <row r="193" spans="1:10" hidden="1" x14ac:dyDescent="0.2">
      <c r="A193" s="3" t="s">
        <v>1</v>
      </c>
      <c r="B193" s="4">
        <v>203</v>
      </c>
      <c r="C193" s="3"/>
      <c r="D193" s="4">
        <v>57.4</v>
      </c>
      <c r="E193" s="4">
        <v>2.9</v>
      </c>
      <c r="F193" s="6">
        <f>E193</f>
        <v>2.9</v>
      </c>
      <c r="G193" s="20"/>
      <c r="H193" s="8">
        <f t="shared" si="20"/>
        <v>114.8</v>
      </c>
      <c r="I193" s="8">
        <f t="shared" si="21"/>
        <v>5.8</v>
      </c>
      <c r="J193" s="9">
        <f t="shared" si="22"/>
        <v>5.8</v>
      </c>
    </row>
    <row r="194" spans="1:10" hidden="1" x14ac:dyDescent="0.2">
      <c r="A194" s="3" t="s">
        <v>1</v>
      </c>
      <c r="B194" s="4">
        <v>204</v>
      </c>
      <c r="C194" s="3"/>
      <c r="D194" s="4">
        <v>57.4</v>
      </c>
      <c r="E194" s="4">
        <v>0.9</v>
      </c>
      <c r="F194" s="6">
        <f>E194</f>
        <v>0.9</v>
      </c>
      <c r="G194" s="20"/>
      <c r="H194" s="8">
        <f t="shared" si="20"/>
        <v>114.8</v>
      </c>
      <c r="I194" s="8">
        <f t="shared" si="21"/>
        <v>1.8</v>
      </c>
      <c r="J194" s="9">
        <f t="shared" si="22"/>
        <v>1.8</v>
      </c>
    </row>
    <row r="195" spans="1:10" hidden="1" x14ac:dyDescent="0.2">
      <c r="A195" s="3" t="s">
        <v>1</v>
      </c>
      <c r="B195" s="4">
        <v>205</v>
      </c>
      <c r="C195" s="3"/>
      <c r="D195" s="4">
        <v>58.9</v>
      </c>
      <c r="E195" s="4">
        <v>0.5</v>
      </c>
      <c r="F195" s="4">
        <v>0.5</v>
      </c>
      <c r="G195" s="21"/>
      <c r="H195" s="8">
        <f t="shared" si="20"/>
        <v>117.8</v>
      </c>
      <c r="I195" s="8">
        <f t="shared" si="21"/>
        <v>1</v>
      </c>
      <c r="J195" s="9">
        <f t="shared" si="22"/>
        <v>1</v>
      </c>
    </row>
    <row r="196" spans="1:10" hidden="1" x14ac:dyDescent="0.2">
      <c r="A196" s="3" t="s">
        <v>1</v>
      </c>
      <c r="B196" s="6">
        <v>206</v>
      </c>
      <c r="C196" s="3"/>
      <c r="D196" s="4">
        <v>60.8</v>
      </c>
      <c r="E196" s="4">
        <v>1.9</v>
      </c>
      <c r="F196" s="6">
        <f>E196</f>
        <v>1.9</v>
      </c>
      <c r="G196" s="20"/>
      <c r="H196" s="8">
        <f t="shared" si="20"/>
        <v>121.6</v>
      </c>
      <c r="I196" s="8">
        <f t="shared" si="21"/>
        <v>3.8</v>
      </c>
      <c r="J196" s="9">
        <f t="shared" si="22"/>
        <v>3.8</v>
      </c>
    </row>
    <row r="197" spans="1:10" hidden="1" x14ac:dyDescent="0.2">
      <c r="A197" s="3" t="s">
        <v>1</v>
      </c>
      <c r="B197" s="4">
        <v>211</v>
      </c>
      <c r="C197" s="3"/>
      <c r="D197" s="4">
        <v>63</v>
      </c>
      <c r="E197" s="4">
        <v>7</v>
      </c>
      <c r="F197" s="4">
        <v>7</v>
      </c>
      <c r="G197" s="21"/>
      <c r="H197" s="8">
        <f t="shared" si="20"/>
        <v>126</v>
      </c>
      <c r="I197" s="8">
        <f t="shared" si="21"/>
        <v>14</v>
      </c>
      <c r="J197" s="9">
        <f t="shared" si="22"/>
        <v>14</v>
      </c>
    </row>
    <row r="198" spans="1:10" hidden="1" x14ac:dyDescent="0.2">
      <c r="A198" s="3" t="s">
        <v>1</v>
      </c>
      <c r="B198" s="6">
        <v>212</v>
      </c>
      <c r="C198" s="3"/>
      <c r="D198" s="4">
        <v>63</v>
      </c>
      <c r="E198" s="4">
        <v>5.8</v>
      </c>
      <c r="F198" s="6">
        <f t="shared" ref="F198:F206" si="31">E198</f>
        <v>5.8</v>
      </c>
      <c r="G198" s="20"/>
      <c r="H198" s="8">
        <f t="shared" si="20"/>
        <v>126</v>
      </c>
      <c r="I198" s="8">
        <f t="shared" si="21"/>
        <v>11.6</v>
      </c>
      <c r="J198" s="9">
        <f t="shared" si="22"/>
        <v>11.6</v>
      </c>
    </row>
    <row r="199" spans="1:10" hidden="1" x14ac:dyDescent="0.2">
      <c r="A199" s="3" t="s">
        <v>1</v>
      </c>
      <c r="B199" s="6">
        <v>213</v>
      </c>
      <c r="C199" s="3"/>
      <c r="D199" s="4">
        <v>38.5</v>
      </c>
      <c r="E199" s="4">
        <v>4.5</v>
      </c>
      <c r="F199" s="6">
        <f t="shared" si="31"/>
        <v>4.5</v>
      </c>
      <c r="G199" s="20"/>
      <c r="H199" s="8">
        <f t="shared" si="20"/>
        <v>77</v>
      </c>
      <c r="I199" s="8">
        <f t="shared" si="21"/>
        <v>9</v>
      </c>
      <c r="J199" s="9">
        <f t="shared" si="22"/>
        <v>9</v>
      </c>
    </row>
    <row r="200" spans="1:10" hidden="1" x14ac:dyDescent="0.2">
      <c r="A200" s="3" t="s">
        <v>1</v>
      </c>
      <c r="B200" s="6">
        <v>214</v>
      </c>
      <c r="C200" s="3"/>
      <c r="D200" s="4">
        <v>50</v>
      </c>
      <c r="E200" s="4">
        <v>1.3</v>
      </c>
      <c r="F200" s="6">
        <f t="shared" si="31"/>
        <v>1.3</v>
      </c>
      <c r="G200" s="20"/>
      <c r="H200" s="8">
        <f t="shared" si="20"/>
        <v>100</v>
      </c>
      <c r="I200" s="8">
        <f t="shared" si="21"/>
        <v>2.6</v>
      </c>
      <c r="J200" s="9">
        <f t="shared" si="22"/>
        <v>2.6</v>
      </c>
    </row>
    <row r="201" spans="1:10" hidden="1" x14ac:dyDescent="0.2">
      <c r="A201" s="3" t="s">
        <v>1</v>
      </c>
      <c r="B201" s="6">
        <v>215</v>
      </c>
      <c r="C201" s="3"/>
      <c r="D201" s="4">
        <v>50</v>
      </c>
      <c r="E201" s="4">
        <v>2.1</v>
      </c>
      <c r="F201" s="6">
        <f t="shared" si="31"/>
        <v>2.1</v>
      </c>
      <c r="G201" s="20"/>
      <c r="H201" s="8">
        <f t="shared" si="20"/>
        <v>100</v>
      </c>
      <c r="I201" s="8">
        <f t="shared" si="21"/>
        <v>4.2</v>
      </c>
      <c r="J201" s="9">
        <f t="shared" si="22"/>
        <v>4.2</v>
      </c>
    </row>
    <row r="202" spans="1:10" hidden="1" x14ac:dyDescent="0.2">
      <c r="A202" s="3" t="s">
        <v>1</v>
      </c>
      <c r="B202" s="6">
        <v>216</v>
      </c>
      <c r="C202" s="3"/>
      <c r="D202" s="4">
        <v>54.3</v>
      </c>
      <c r="E202" s="4">
        <v>0</v>
      </c>
      <c r="F202" s="6">
        <f t="shared" si="31"/>
        <v>0</v>
      </c>
      <c r="G202" s="27"/>
      <c r="H202" s="8">
        <f t="shared" si="20"/>
        <v>108.6</v>
      </c>
      <c r="I202" s="8">
        <f t="shared" si="21"/>
        <v>0</v>
      </c>
      <c r="J202" s="9">
        <f t="shared" si="22"/>
        <v>0</v>
      </c>
    </row>
    <row r="203" spans="1:10" hidden="1" x14ac:dyDescent="0.2">
      <c r="A203" s="3" t="s">
        <v>1</v>
      </c>
      <c r="B203" s="6">
        <v>218</v>
      </c>
      <c r="C203" s="3"/>
      <c r="D203" s="4">
        <v>56.2</v>
      </c>
      <c r="E203" s="4">
        <v>1.7</v>
      </c>
      <c r="F203" s="6">
        <f t="shared" si="31"/>
        <v>1.7</v>
      </c>
      <c r="G203" s="20"/>
      <c r="H203" s="8">
        <f t="shared" si="20"/>
        <v>112.4</v>
      </c>
      <c r="I203" s="8">
        <f t="shared" si="21"/>
        <v>3.4</v>
      </c>
      <c r="J203" s="9">
        <f t="shared" si="22"/>
        <v>3.4</v>
      </c>
    </row>
    <row r="204" spans="1:10" hidden="1" x14ac:dyDescent="0.2">
      <c r="A204" s="3" t="s">
        <v>1</v>
      </c>
      <c r="B204" s="6">
        <v>219</v>
      </c>
      <c r="C204" s="3"/>
      <c r="D204" s="4">
        <v>58.8</v>
      </c>
      <c r="E204" s="4">
        <v>1.4</v>
      </c>
      <c r="F204" s="6">
        <f t="shared" si="31"/>
        <v>1.4</v>
      </c>
      <c r="G204" s="20"/>
      <c r="H204" s="8">
        <f t="shared" si="20"/>
        <v>117.6</v>
      </c>
      <c r="I204" s="8">
        <f t="shared" si="21"/>
        <v>2.8</v>
      </c>
      <c r="J204" s="9">
        <f t="shared" si="22"/>
        <v>2.8</v>
      </c>
    </row>
    <row r="205" spans="1:10" hidden="1" x14ac:dyDescent="0.2">
      <c r="A205" s="3" t="s">
        <v>1</v>
      </c>
      <c r="B205" s="6">
        <v>222</v>
      </c>
      <c r="C205" s="3"/>
      <c r="D205" s="4">
        <v>47.7</v>
      </c>
      <c r="E205" s="4">
        <v>0.2</v>
      </c>
      <c r="F205" s="6">
        <f t="shared" si="31"/>
        <v>0.2</v>
      </c>
      <c r="G205" s="20"/>
      <c r="H205" s="8">
        <f t="shared" si="20"/>
        <v>95.4</v>
      </c>
      <c r="I205" s="8">
        <f t="shared" si="21"/>
        <v>0.4</v>
      </c>
      <c r="J205" s="9">
        <f t="shared" si="22"/>
        <v>0.4</v>
      </c>
    </row>
    <row r="206" spans="1:10" hidden="1" x14ac:dyDescent="0.2">
      <c r="A206" s="3" t="s">
        <v>1</v>
      </c>
      <c r="B206" s="6">
        <v>223</v>
      </c>
      <c r="C206" s="3"/>
      <c r="D206" s="4">
        <v>63</v>
      </c>
      <c r="E206" s="4">
        <v>9.5</v>
      </c>
      <c r="F206" s="6">
        <f t="shared" si="31"/>
        <v>9.5</v>
      </c>
      <c r="G206" s="20"/>
      <c r="H206" s="8">
        <f t="shared" ref="H206:H271" si="32">D206*2</f>
        <v>126</v>
      </c>
      <c r="I206" s="8">
        <f t="shared" ref="I206:I271" si="33">E206*2</f>
        <v>19</v>
      </c>
      <c r="J206" s="9">
        <f t="shared" ref="J206:J271" si="34">F206*2</f>
        <v>19</v>
      </c>
    </row>
    <row r="207" spans="1:10" hidden="1" x14ac:dyDescent="0.2">
      <c r="A207" s="3" t="s">
        <v>1</v>
      </c>
      <c r="B207" s="4">
        <v>224</v>
      </c>
      <c r="C207" s="3"/>
      <c r="D207" s="4">
        <v>63</v>
      </c>
      <c r="E207" s="4">
        <v>7.2</v>
      </c>
      <c r="F207" s="4">
        <v>7.2</v>
      </c>
      <c r="G207" s="21"/>
      <c r="H207" s="8">
        <f t="shared" si="32"/>
        <v>126</v>
      </c>
      <c r="I207" s="8">
        <f t="shared" si="33"/>
        <v>14.4</v>
      </c>
      <c r="J207" s="9">
        <f t="shared" si="34"/>
        <v>14.4</v>
      </c>
    </row>
    <row r="208" spans="1:10" hidden="1" x14ac:dyDescent="0.2">
      <c r="A208" s="3" t="s">
        <v>1</v>
      </c>
      <c r="B208" s="4">
        <v>225</v>
      </c>
      <c r="C208" s="3"/>
      <c r="D208" s="4">
        <v>38.5</v>
      </c>
      <c r="E208" s="4">
        <v>4.7</v>
      </c>
      <c r="F208" s="6">
        <f>E208</f>
        <v>4.7</v>
      </c>
      <c r="G208" s="20"/>
      <c r="H208" s="8">
        <f t="shared" si="32"/>
        <v>77</v>
      </c>
      <c r="I208" s="8">
        <f t="shared" si="33"/>
        <v>9.4</v>
      </c>
      <c r="J208" s="9">
        <f t="shared" si="34"/>
        <v>9.4</v>
      </c>
    </row>
    <row r="209" spans="1:10" hidden="1" x14ac:dyDescent="0.2">
      <c r="A209" s="3" t="s">
        <v>1</v>
      </c>
      <c r="B209" s="4">
        <v>226</v>
      </c>
      <c r="C209" s="3"/>
      <c r="D209" s="4">
        <v>38.5</v>
      </c>
      <c r="E209" s="4">
        <v>2.5</v>
      </c>
      <c r="F209" s="4">
        <v>2.5</v>
      </c>
      <c r="G209" s="21"/>
      <c r="H209" s="8">
        <f t="shared" si="32"/>
        <v>77</v>
      </c>
      <c r="I209" s="8">
        <f t="shared" si="33"/>
        <v>5</v>
      </c>
      <c r="J209" s="9">
        <f t="shared" si="34"/>
        <v>5</v>
      </c>
    </row>
    <row r="210" spans="1:10" hidden="1" x14ac:dyDescent="0.2">
      <c r="A210" s="3" t="s">
        <v>1</v>
      </c>
      <c r="B210" s="6">
        <v>227</v>
      </c>
      <c r="C210" s="3"/>
      <c r="D210" s="4">
        <v>50</v>
      </c>
      <c r="E210" s="4">
        <v>1.4</v>
      </c>
      <c r="F210" s="6">
        <f t="shared" ref="F210:F216" si="35">E210</f>
        <v>1.4</v>
      </c>
      <c r="G210" s="20"/>
      <c r="H210" s="8">
        <f t="shared" si="32"/>
        <v>100</v>
      </c>
      <c r="I210" s="8">
        <f t="shared" si="33"/>
        <v>2.8</v>
      </c>
      <c r="J210" s="9">
        <f t="shared" si="34"/>
        <v>2.8</v>
      </c>
    </row>
    <row r="211" spans="1:10" hidden="1" x14ac:dyDescent="0.2">
      <c r="A211" s="3" t="s">
        <v>1</v>
      </c>
      <c r="B211" s="6">
        <v>228</v>
      </c>
      <c r="C211" s="3"/>
      <c r="D211" s="4">
        <v>50.5</v>
      </c>
      <c r="E211" s="4">
        <v>0.1</v>
      </c>
      <c r="F211" s="6">
        <f t="shared" si="35"/>
        <v>0.1</v>
      </c>
      <c r="G211" s="20"/>
      <c r="H211" s="8">
        <f t="shared" si="32"/>
        <v>101</v>
      </c>
      <c r="I211" s="8">
        <f t="shared" si="33"/>
        <v>0.2</v>
      </c>
      <c r="J211" s="9">
        <f t="shared" si="34"/>
        <v>0.2</v>
      </c>
    </row>
    <row r="212" spans="1:10" hidden="1" x14ac:dyDescent="0.2">
      <c r="A212" s="3" t="s">
        <v>1</v>
      </c>
      <c r="B212" s="6">
        <v>232</v>
      </c>
      <c r="C212" s="3"/>
      <c r="D212" s="4">
        <v>28.4</v>
      </c>
      <c r="E212" s="4">
        <v>0.5</v>
      </c>
      <c r="F212" s="6">
        <f t="shared" si="35"/>
        <v>0.5</v>
      </c>
      <c r="G212" s="20"/>
      <c r="H212" s="8">
        <f t="shared" si="32"/>
        <v>56.8</v>
      </c>
      <c r="I212" s="8">
        <f t="shared" si="33"/>
        <v>1</v>
      </c>
      <c r="J212" s="9">
        <f t="shared" si="34"/>
        <v>1</v>
      </c>
    </row>
    <row r="213" spans="1:10" hidden="1" x14ac:dyDescent="0.2">
      <c r="A213" s="3" t="s">
        <v>1</v>
      </c>
      <c r="B213" s="6">
        <v>233</v>
      </c>
      <c r="C213" s="3"/>
      <c r="D213" s="4">
        <v>30.5</v>
      </c>
      <c r="E213" s="4">
        <v>0.2</v>
      </c>
      <c r="F213" s="6">
        <f t="shared" si="35"/>
        <v>0.2</v>
      </c>
      <c r="G213" s="20"/>
      <c r="H213" s="8">
        <f t="shared" si="32"/>
        <v>61</v>
      </c>
      <c r="I213" s="8">
        <f t="shared" si="33"/>
        <v>0.4</v>
      </c>
      <c r="J213" s="9">
        <f t="shared" si="34"/>
        <v>0.4</v>
      </c>
    </row>
    <row r="214" spans="1:10" hidden="1" x14ac:dyDescent="0.2">
      <c r="A214" s="3" t="s">
        <v>1</v>
      </c>
      <c r="B214" s="6">
        <v>234</v>
      </c>
      <c r="C214" s="3"/>
      <c r="D214" s="4">
        <v>32.200000000000003</v>
      </c>
      <c r="E214" s="4">
        <v>0.3</v>
      </c>
      <c r="F214" s="6">
        <f t="shared" si="35"/>
        <v>0.3</v>
      </c>
      <c r="G214" s="20"/>
      <c r="H214" s="8">
        <f t="shared" si="32"/>
        <v>64.400000000000006</v>
      </c>
      <c r="I214" s="8">
        <f t="shared" si="33"/>
        <v>0.6</v>
      </c>
      <c r="J214" s="9">
        <f t="shared" si="34"/>
        <v>0.6</v>
      </c>
    </row>
    <row r="215" spans="1:10" hidden="1" x14ac:dyDescent="0.2">
      <c r="A215" s="3" t="s">
        <v>1</v>
      </c>
      <c r="B215" s="6">
        <v>235</v>
      </c>
      <c r="C215" s="3"/>
      <c r="D215" s="4">
        <v>33.799999999999997</v>
      </c>
      <c r="E215" s="4">
        <v>1.3</v>
      </c>
      <c r="F215" s="6">
        <f t="shared" si="35"/>
        <v>1.3</v>
      </c>
      <c r="G215" s="20"/>
      <c r="H215" s="8">
        <f t="shared" si="32"/>
        <v>67.599999999999994</v>
      </c>
      <c r="I215" s="8">
        <f t="shared" si="33"/>
        <v>2.6</v>
      </c>
      <c r="J215" s="9">
        <f t="shared" si="34"/>
        <v>2.6</v>
      </c>
    </row>
    <row r="216" spans="1:10" hidden="1" x14ac:dyDescent="0.2">
      <c r="A216" s="3" t="s">
        <v>1</v>
      </c>
      <c r="B216" s="6">
        <v>236</v>
      </c>
      <c r="C216" s="3"/>
      <c r="D216" s="4">
        <v>37.4</v>
      </c>
      <c r="E216" s="4">
        <v>0.6</v>
      </c>
      <c r="F216" s="6">
        <f t="shared" si="35"/>
        <v>0.6</v>
      </c>
      <c r="G216" s="20"/>
      <c r="H216" s="8">
        <f t="shared" si="32"/>
        <v>74.8</v>
      </c>
      <c r="I216" s="8">
        <f t="shared" si="33"/>
        <v>1.2</v>
      </c>
      <c r="J216" s="9">
        <f t="shared" si="34"/>
        <v>1.2</v>
      </c>
    </row>
    <row r="217" spans="1:10" hidden="1" x14ac:dyDescent="0.2">
      <c r="A217" s="3" t="s">
        <v>1</v>
      </c>
      <c r="B217" s="4">
        <v>237</v>
      </c>
      <c r="C217" s="3"/>
      <c r="D217" s="4">
        <v>41.3</v>
      </c>
      <c r="E217" s="4">
        <v>1.9</v>
      </c>
      <c r="F217" s="4">
        <v>1.9</v>
      </c>
      <c r="G217" s="21"/>
      <c r="H217" s="8">
        <f t="shared" si="32"/>
        <v>82.6</v>
      </c>
      <c r="I217" s="8">
        <f t="shared" si="33"/>
        <v>3.8</v>
      </c>
      <c r="J217" s="9">
        <f t="shared" si="34"/>
        <v>3.8</v>
      </c>
    </row>
    <row r="218" spans="1:10" hidden="1" x14ac:dyDescent="0.2">
      <c r="A218" s="3" t="s">
        <v>1</v>
      </c>
      <c r="B218" s="4">
        <v>238</v>
      </c>
      <c r="C218" s="3"/>
      <c r="D218" s="4">
        <v>44.8</v>
      </c>
      <c r="E218" s="4">
        <v>1</v>
      </c>
      <c r="F218" s="4">
        <v>1</v>
      </c>
      <c r="G218" s="21"/>
      <c r="H218" s="8">
        <f t="shared" si="32"/>
        <v>89.6</v>
      </c>
      <c r="I218" s="8">
        <f t="shared" si="33"/>
        <v>2</v>
      </c>
      <c r="J218" s="9">
        <f t="shared" si="34"/>
        <v>2</v>
      </c>
    </row>
    <row r="219" spans="1:10" hidden="1" x14ac:dyDescent="0.2">
      <c r="A219" s="3" t="s">
        <v>1</v>
      </c>
      <c r="B219" s="6">
        <v>239</v>
      </c>
      <c r="C219" s="3"/>
      <c r="D219" s="4">
        <v>44.4</v>
      </c>
      <c r="E219" s="4">
        <v>0.6</v>
      </c>
      <c r="F219" s="6">
        <f>E219</f>
        <v>0.6</v>
      </c>
      <c r="G219" s="20"/>
      <c r="H219" s="8">
        <f t="shared" si="32"/>
        <v>88.8</v>
      </c>
      <c r="I219" s="8">
        <f t="shared" si="33"/>
        <v>1.2</v>
      </c>
      <c r="J219" s="9">
        <f t="shared" si="34"/>
        <v>1.2</v>
      </c>
    </row>
    <row r="220" spans="1:10" hidden="1" x14ac:dyDescent="0.2">
      <c r="A220" s="3" t="s">
        <v>1</v>
      </c>
      <c r="B220" s="6">
        <v>240</v>
      </c>
      <c r="C220" s="3"/>
      <c r="D220" s="4">
        <v>54.8</v>
      </c>
      <c r="E220" s="4">
        <v>1</v>
      </c>
      <c r="F220" s="6">
        <f>E220</f>
        <v>1</v>
      </c>
      <c r="G220" s="20"/>
      <c r="H220" s="8">
        <f t="shared" si="32"/>
        <v>109.6</v>
      </c>
      <c r="I220" s="8">
        <f t="shared" si="33"/>
        <v>2</v>
      </c>
      <c r="J220" s="9">
        <f t="shared" si="34"/>
        <v>2</v>
      </c>
    </row>
    <row r="221" spans="1:10" hidden="1" x14ac:dyDescent="0.2">
      <c r="A221" s="3" t="s">
        <v>1</v>
      </c>
      <c r="B221" s="4">
        <v>241</v>
      </c>
      <c r="C221" s="3"/>
      <c r="D221" s="4">
        <v>58.2</v>
      </c>
      <c r="E221" s="4">
        <v>1</v>
      </c>
      <c r="F221" s="6">
        <f>E221</f>
        <v>1</v>
      </c>
      <c r="G221" s="20"/>
      <c r="H221" s="8">
        <f t="shared" si="32"/>
        <v>116.4</v>
      </c>
      <c r="I221" s="8">
        <f t="shared" si="33"/>
        <v>2</v>
      </c>
      <c r="J221" s="9">
        <f t="shared" si="34"/>
        <v>2</v>
      </c>
    </row>
    <row r="222" spans="1:10" hidden="1" x14ac:dyDescent="0.2">
      <c r="A222" s="3" t="s">
        <v>1</v>
      </c>
      <c r="B222" s="4">
        <v>245</v>
      </c>
      <c r="C222" s="3"/>
      <c r="D222" s="4">
        <v>32.4</v>
      </c>
      <c r="E222" s="4">
        <v>2.4</v>
      </c>
      <c r="F222" s="6">
        <f>E222</f>
        <v>2.4</v>
      </c>
      <c r="G222" s="20"/>
      <c r="H222" s="8">
        <f t="shared" si="32"/>
        <v>64.8</v>
      </c>
      <c r="I222" s="8">
        <f t="shared" si="33"/>
        <v>4.8</v>
      </c>
      <c r="J222" s="9">
        <f t="shared" si="34"/>
        <v>4.8</v>
      </c>
    </row>
    <row r="223" spans="1:10" hidden="1" x14ac:dyDescent="0.2">
      <c r="A223" s="3" t="s">
        <v>1</v>
      </c>
      <c r="B223" s="4">
        <v>246</v>
      </c>
      <c r="C223" s="3"/>
      <c r="D223" s="4">
        <v>32.4</v>
      </c>
      <c r="E223" s="4">
        <v>1.3</v>
      </c>
      <c r="F223" s="4">
        <v>1.3</v>
      </c>
      <c r="G223" s="21"/>
      <c r="H223" s="8">
        <f t="shared" si="32"/>
        <v>64.8</v>
      </c>
      <c r="I223" s="8">
        <f t="shared" si="33"/>
        <v>2.6</v>
      </c>
      <c r="J223" s="9">
        <f t="shared" si="34"/>
        <v>2.6</v>
      </c>
    </row>
    <row r="224" spans="1:10" hidden="1" x14ac:dyDescent="0.2">
      <c r="A224" s="3" t="s">
        <v>1</v>
      </c>
      <c r="B224" s="6">
        <v>247</v>
      </c>
      <c r="C224" s="3"/>
      <c r="D224" s="4">
        <v>34</v>
      </c>
      <c r="E224" s="4">
        <v>0.2</v>
      </c>
      <c r="F224" s="6">
        <f>E224</f>
        <v>0.2</v>
      </c>
      <c r="G224" s="20"/>
      <c r="H224" s="8">
        <f t="shared" si="32"/>
        <v>68</v>
      </c>
      <c r="I224" s="8">
        <f t="shared" si="33"/>
        <v>0.4</v>
      </c>
      <c r="J224" s="9">
        <f t="shared" si="34"/>
        <v>0.4</v>
      </c>
    </row>
    <row r="225" spans="1:10" hidden="1" x14ac:dyDescent="0.2">
      <c r="A225" s="3" t="s">
        <v>1</v>
      </c>
      <c r="B225" s="6">
        <v>248</v>
      </c>
      <c r="C225" s="3"/>
      <c r="D225" s="4">
        <v>36.799999999999997</v>
      </c>
      <c r="E225" s="4">
        <v>2.2000000000000002</v>
      </c>
      <c r="F225" s="6">
        <f>E225</f>
        <v>2.2000000000000002</v>
      </c>
      <c r="G225" s="20"/>
      <c r="H225" s="8">
        <f t="shared" si="32"/>
        <v>73.599999999999994</v>
      </c>
      <c r="I225" s="8">
        <f t="shared" si="33"/>
        <v>4.4000000000000004</v>
      </c>
      <c r="J225" s="9">
        <f t="shared" si="34"/>
        <v>4.4000000000000004</v>
      </c>
    </row>
    <row r="226" spans="1:10" hidden="1" x14ac:dyDescent="0.2">
      <c r="A226" s="3" t="s">
        <v>1</v>
      </c>
      <c r="B226" s="6">
        <v>249</v>
      </c>
      <c r="C226" s="3"/>
      <c r="D226" s="4">
        <v>36.799999999999997</v>
      </c>
      <c r="E226" s="4">
        <v>2.6</v>
      </c>
      <c r="F226" s="6">
        <f>E226</f>
        <v>2.6</v>
      </c>
      <c r="G226" s="20"/>
      <c r="H226" s="8">
        <f t="shared" si="32"/>
        <v>73.599999999999994</v>
      </c>
      <c r="I226" s="8">
        <f t="shared" si="33"/>
        <v>5.2</v>
      </c>
      <c r="J226" s="9">
        <f t="shared" si="34"/>
        <v>5.2</v>
      </c>
    </row>
    <row r="227" spans="1:10" hidden="1" x14ac:dyDescent="0.2">
      <c r="A227" s="3" t="s">
        <v>1</v>
      </c>
      <c r="B227" s="4">
        <v>250</v>
      </c>
      <c r="C227" s="3"/>
      <c r="D227" s="4">
        <v>52</v>
      </c>
      <c r="E227" s="4">
        <v>0.8</v>
      </c>
      <c r="F227" s="4">
        <v>0.8</v>
      </c>
      <c r="G227" s="21"/>
      <c r="H227" s="8">
        <f t="shared" si="32"/>
        <v>104</v>
      </c>
      <c r="I227" s="8">
        <f t="shared" si="33"/>
        <v>1.6</v>
      </c>
      <c r="J227" s="9">
        <f t="shared" si="34"/>
        <v>1.6</v>
      </c>
    </row>
    <row r="228" spans="1:10" hidden="1" x14ac:dyDescent="0.2">
      <c r="A228" s="3" t="s">
        <v>1</v>
      </c>
      <c r="B228" s="4">
        <v>251</v>
      </c>
      <c r="C228" s="3"/>
      <c r="D228" s="4">
        <v>53.7</v>
      </c>
      <c r="E228" s="4">
        <v>0.3</v>
      </c>
      <c r="F228" s="4">
        <v>0.3</v>
      </c>
      <c r="G228" s="21"/>
      <c r="H228" s="8">
        <f t="shared" si="32"/>
        <v>107.4</v>
      </c>
      <c r="I228" s="8">
        <f t="shared" si="33"/>
        <v>0.6</v>
      </c>
      <c r="J228" s="9">
        <f t="shared" si="34"/>
        <v>0.6</v>
      </c>
    </row>
    <row r="229" spans="1:10" hidden="1" x14ac:dyDescent="0.2">
      <c r="A229" s="3" t="s">
        <v>1</v>
      </c>
      <c r="B229" s="6">
        <v>252</v>
      </c>
      <c r="C229" s="3"/>
      <c r="D229" s="4">
        <v>55.4</v>
      </c>
      <c r="E229" s="4">
        <v>1.8</v>
      </c>
      <c r="F229" s="6">
        <f>E229</f>
        <v>1.8</v>
      </c>
      <c r="G229" s="20"/>
      <c r="H229" s="8">
        <f t="shared" si="32"/>
        <v>110.8</v>
      </c>
      <c r="I229" s="8">
        <f t="shared" si="33"/>
        <v>3.6</v>
      </c>
      <c r="J229" s="9">
        <f t="shared" si="34"/>
        <v>3.6</v>
      </c>
    </row>
    <row r="230" spans="1:10" hidden="1" x14ac:dyDescent="0.2">
      <c r="A230" s="3" t="s">
        <v>1</v>
      </c>
      <c r="B230" s="6">
        <v>255</v>
      </c>
      <c r="C230" s="3"/>
      <c r="D230" s="4">
        <v>32.4</v>
      </c>
      <c r="E230" s="4">
        <v>2.6</v>
      </c>
      <c r="F230" s="6">
        <f>E230</f>
        <v>2.6</v>
      </c>
      <c r="G230" s="20"/>
      <c r="H230" s="8">
        <f t="shared" si="32"/>
        <v>64.8</v>
      </c>
      <c r="I230" s="8">
        <f t="shared" si="33"/>
        <v>5.2</v>
      </c>
      <c r="J230" s="9">
        <f t="shared" si="34"/>
        <v>5.2</v>
      </c>
    </row>
    <row r="231" spans="1:10" hidden="1" x14ac:dyDescent="0.2">
      <c r="A231" s="3" t="s">
        <v>1</v>
      </c>
      <c r="B231" s="6">
        <v>256</v>
      </c>
      <c r="C231" s="3"/>
      <c r="D231" s="4">
        <v>35.799999999999997</v>
      </c>
      <c r="E231" s="4">
        <v>2.8</v>
      </c>
      <c r="F231" s="6">
        <f>E231</f>
        <v>2.8</v>
      </c>
      <c r="G231" s="20"/>
      <c r="H231" s="8">
        <f t="shared" si="32"/>
        <v>71.599999999999994</v>
      </c>
      <c r="I231" s="8">
        <f t="shared" si="33"/>
        <v>5.6</v>
      </c>
      <c r="J231" s="9">
        <f t="shared" si="34"/>
        <v>5.6</v>
      </c>
    </row>
    <row r="232" spans="1:10" hidden="1" x14ac:dyDescent="0.2">
      <c r="A232" s="3" t="s">
        <v>1</v>
      </c>
      <c r="B232" s="4">
        <v>257</v>
      </c>
      <c r="C232" s="3"/>
      <c r="D232" s="4">
        <v>35.799999999999997</v>
      </c>
      <c r="E232" s="4">
        <v>0.8</v>
      </c>
      <c r="F232" s="4">
        <v>0.8</v>
      </c>
      <c r="G232" s="21"/>
      <c r="H232" s="8">
        <f t="shared" si="32"/>
        <v>71.599999999999994</v>
      </c>
      <c r="I232" s="8">
        <f t="shared" si="33"/>
        <v>1.6</v>
      </c>
      <c r="J232" s="9">
        <f t="shared" si="34"/>
        <v>1.6</v>
      </c>
    </row>
    <row r="233" spans="1:10" hidden="1" x14ac:dyDescent="0.2">
      <c r="A233" s="3" t="s">
        <v>1</v>
      </c>
      <c r="B233" s="4">
        <v>258</v>
      </c>
      <c r="C233" s="3"/>
      <c r="D233" s="4">
        <v>37.4</v>
      </c>
      <c r="E233" s="4">
        <v>0.5</v>
      </c>
      <c r="F233" s="4">
        <v>0.5</v>
      </c>
      <c r="G233" s="21"/>
      <c r="H233" s="8">
        <f t="shared" si="32"/>
        <v>74.8</v>
      </c>
      <c r="I233" s="8">
        <f t="shared" si="33"/>
        <v>1</v>
      </c>
      <c r="J233" s="9">
        <f t="shared" si="34"/>
        <v>1</v>
      </c>
    </row>
    <row r="234" spans="1:10" hidden="1" x14ac:dyDescent="0.2">
      <c r="A234" s="3" t="s">
        <v>1</v>
      </c>
      <c r="B234" s="4">
        <v>259</v>
      </c>
      <c r="C234" s="3"/>
      <c r="D234" s="4">
        <v>38.5</v>
      </c>
      <c r="E234" s="4">
        <v>0.9</v>
      </c>
      <c r="F234" s="4">
        <v>0.9</v>
      </c>
      <c r="G234" s="21"/>
      <c r="H234" s="8">
        <f t="shared" si="32"/>
        <v>77</v>
      </c>
      <c r="I234" s="8">
        <f t="shared" si="33"/>
        <v>1.8</v>
      </c>
      <c r="J234" s="9">
        <f t="shared" si="34"/>
        <v>1.8</v>
      </c>
    </row>
    <row r="235" spans="1:10" hidden="1" x14ac:dyDescent="0.2">
      <c r="A235" s="3" t="s">
        <v>1</v>
      </c>
      <c r="B235" s="4">
        <v>260</v>
      </c>
      <c r="C235" s="3"/>
      <c r="D235" s="4">
        <v>43.4</v>
      </c>
      <c r="E235" s="4">
        <v>1.2</v>
      </c>
      <c r="F235" s="6">
        <f>E235</f>
        <v>1.2</v>
      </c>
      <c r="G235" s="20"/>
      <c r="H235" s="8">
        <f t="shared" si="32"/>
        <v>86.8</v>
      </c>
      <c r="I235" s="8">
        <f t="shared" si="33"/>
        <v>2.4</v>
      </c>
      <c r="J235" s="9">
        <f t="shared" si="34"/>
        <v>2.4</v>
      </c>
    </row>
    <row r="236" spans="1:10" hidden="1" x14ac:dyDescent="0.2">
      <c r="A236" s="3" t="s">
        <v>1</v>
      </c>
      <c r="B236" s="4">
        <v>261</v>
      </c>
      <c r="C236" s="3"/>
      <c r="D236" s="4">
        <v>44.3</v>
      </c>
      <c r="E236" s="4">
        <v>5.5</v>
      </c>
      <c r="F236" s="4">
        <v>5.5</v>
      </c>
      <c r="G236" s="21"/>
      <c r="H236" s="8">
        <f t="shared" si="32"/>
        <v>88.6</v>
      </c>
      <c r="I236" s="8">
        <f t="shared" si="33"/>
        <v>11</v>
      </c>
      <c r="J236" s="9">
        <f t="shared" si="34"/>
        <v>11</v>
      </c>
    </row>
    <row r="237" spans="1:10" hidden="1" x14ac:dyDescent="0.2">
      <c r="A237" s="3" t="s">
        <v>1</v>
      </c>
      <c r="B237" s="6">
        <v>264</v>
      </c>
      <c r="C237" s="3"/>
      <c r="D237" s="4">
        <v>42.3</v>
      </c>
      <c r="E237" s="4">
        <v>0.4</v>
      </c>
      <c r="F237" s="6">
        <f>E237</f>
        <v>0.4</v>
      </c>
      <c r="G237" s="20"/>
      <c r="H237" s="8">
        <f t="shared" si="32"/>
        <v>84.6</v>
      </c>
      <c r="I237" s="8">
        <f t="shared" si="33"/>
        <v>0.8</v>
      </c>
      <c r="J237" s="9">
        <f t="shared" si="34"/>
        <v>0.8</v>
      </c>
    </row>
    <row r="238" spans="1:10" hidden="1" x14ac:dyDescent="0.2">
      <c r="A238" s="3" t="s">
        <v>1</v>
      </c>
      <c r="B238" s="6">
        <v>265</v>
      </c>
      <c r="C238" s="3"/>
      <c r="D238" s="4">
        <v>43.5</v>
      </c>
      <c r="E238" s="4">
        <v>0.3</v>
      </c>
      <c r="F238" s="6">
        <f>E238</f>
        <v>0.3</v>
      </c>
      <c r="G238" s="20"/>
      <c r="H238" s="8">
        <f t="shared" si="32"/>
        <v>87</v>
      </c>
      <c r="I238" s="8">
        <f t="shared" si="33"/>
        <v>0.6</v>
      </c>
      <c r="J238" s="9">
        <f t="shared" si="34"/>
        <v>0.6</v>
      </c>
    </row>
    <row r="239" spans="1:10" hidden="1" x14ac:dyDescent="0.2">
      <c r="A239" s="3" t="s">
        <v>1</v>
      </c>
      <c r="B239" s="4">
        <v>266</v>
      </c>
      <c r="C239" s="3"/>
      <c r="D239" s="4">
        <v>44.3</v>
      </c>
      <c r="E239" s="4">
        <v>3.8</v>
      </c>
      <c r="F239" s="4">
        <v>3.8</v>
      </c>
      <c r="G239" s="21"/>
      <c r="H239" s="8">
        <f t="shared" si="32"/>
        <v>88.6</v>
      </c>
      <c r="I239" s="8">
        <f t="shared" si="33"/>
        <v>7.6</v>
      </c>
      <c r="J239" s="9">
        <f t="shared" si="34"/>
        <v>7.6</v>
      </c>
    </row>
    <row r="240" spans="1:10" hidden="1" x14ac:dyDescent="0.2">
      <c r="A240" s="3" t="s">
        <v>1</v>
      </c>
      <c r="B240" s="4">
        <v>271</v>
      </c>
      <c r="C240" s="3"/>
      <c r="D240" s="4">
        <v>35.799999999999997</v>
      </c>
      <c r="E240" s="4">
        <v>3.5</v>
      </c>
      <c r="F240" s="4">
        <v>3.5</v>
      </c>
      <c r="G240" s="21"/>
      <c r="H240" s="8">
        <f t="shared" si="32"/>
        <v>71.599999999999994</v>
      </c>
      <c r="I240" s="8">
        <f t="shared" si="33"/>
        <v>7</v>
      </c>
      <c r="J240" s="9">
        <f t="shared" si="34"/>
        <v>7</v>
      </c>
    </row>
    <row r="241" spans="1:10" hidden="1" x14ac:dyDescent="0.2">
      <c r="A241" s="3" t="s">
        <v>1</v>
      </c>
      <c r="B241" s="4">
        <v>272</v>
      </c>
      <c r="C241" s="3"/>
      <c r="D241" s="4">
        <v>35.799999999999997</v>
      </c>
      <c r="E241" s="4">
        <v>2.6</v>
      </c>
      <c r="F241" s="4">
        <v>2.6</v>
      </c>
      <c r="G241" s="21"/>
      <c r="H241" s="8">
        <f t="shared" si="32"/>
        <v>71.599999999999994</v>
      </c>
      <c r="I241" s="8">
        <f t="shared" si="33"/>
        <v>5.2</v>
      </c>
      <c r="J241" s="9">
        <f t="shared" si="34"/>
        <v>5.2</v>
      </c>
    </row>
    <row r="242" spans="1:10" hidden="1" x14ac:dyDescent="0.2">
      <c r="A242" s="3" t="s">
        <v>1</v>
      </c>
      <c r="B242" s="5">
        <v>273</v>
      </c>
      <c r="C242" s="3"/>
      <c r="D242" s="4">
        <v>38.5</v>
      </c>
      <c r="E242" s="4">
        <v>2.7</v>
      </c>
      <c r="F242" s="4">
        <v>2.7</v>
      </c>
      <c r="G242" s="21"/>
      <c r="H242" s="8">
        <f t="shared" si="32"/>
        <v>77</v>
      </c>
      <c r="I242" s="8">
        <f t="shared" si="33"/>
        <v>5.4</v>
      </c>
      <c r="J242" s="9">
        <f t="shared" si="34"/>
        <v>5.4</v>
      </c>
    </row>
    <row r="243" spans="1:10" hidden="1" x14ac:dyDescent="0.2">
      <c r="A243" s="3" t="s">
        <v>1</v>
      </c>
      <c r="B243" s="4">
        <v>274</v>
      </c>
      <c r="C243" s="3"/>
      <c r="D243" s="4">
        <v>39.1</v>
      </c>
      <c r="E243" s="4">
        <v>0.9</v>
      </c>
      <c r="F243" s="4">
        <v>0.9</v>
      </c>
      <c r="G243" s="21"/>
      <c r="H243" s="8">
        <f t="shared" si="32"/>
        <v>78.2</v>
      </c>
      <c r="I243" s="8">
        <f t="shared" si="33"/>
        <v>1.8</v>
      </c>
      <c r="J243" s="9">
        <f t="shared" si="34"/>
        <v>1.8</v>
      </c>
    </row>
    <row r="244" spans="1:10" hidden="1" x14ac:dyDescent="0.2">
      <c r="A244" s="3" t="s">
        <v>1</v>
      </c>
      <c r="B244" s="4">
        <v>275</v>
      </c>
      <c r="C244" s="3"/>
      <c r="D244" s="4">
        <v>40.700000000000003</v>
      </c>
      <c r="E244" s="4">
        <v>0.2</v>
      </c>
      <c r="F244" s="4">
        <v>0.2</v>
      </c>
      <c r="G244" s="21"/>
      <c r="H244" s="8">
        <f t="shared" si="32"/>
        <v>81.400000000000006</v>
      </c>
      <c r="I244" s="8">
        <f t="shared" si="33"/>
        <v>0.4</v>
      </c>
      <c r="J244" s="9">
        <f t="shared" si="34"/>
        <v>0.4</v>
      </c>
    </row>
    <row r="245" spans="1:10" hidden="1" x14ac:dyDescent="0.2">
      <c r="A245" s="3" t="s">
        <v>1</v>
      </c>
      <c r="B245" s="4">
        <v>276</v>
      </c>
      <c r="C245" s="3"/>
      <c r="D245" s="4">
        <v>43.2</v>
      </c>
      <c r="E245" s="4">
        <v>1.4</v>
      </c>
      <c r="F245" s="4">
        <v>1.4</v>
      </c>
      <c r="G245" s="21"/>
      <c r="H245" s="8">
        <f t="shared" si="32"/>
        <v>86.4</v>
      </c>
      <c r="I245" s="8">
        <f t="shared" si="33"/>
        <v>2.8</v>
      </c>
      <c r="J245" s="9">
        <f t="shared" si="34"/>
        <v>2.8</v>
      </c>
    </row>
    <row r="246" spans="1:10" hidden="1" x14ac:dyDescent="0.2">
      <c r="A246" s="3" t="s">
        <v>1</v>
      </c>
      <c r="B246" s="4">
        <v>277</v>
      </c>
      <c r="C246" s="3"/>
      <c r="D246" s="4">
        <v>44.3</v>
      </c>
      <c r="E246" s="4">
        <v>2.7</v>
      </c>
      <c r="F246" s="4">
        <v>2.7</v>
      </c>
      <c r="G246" s="21"/>
      <c r="H246" s="8">
        <f t="shared" si="32"/>
        <v>88.6</v>
      </c>
      <c r="I246" s="8">
        <f t="shared" si="33"/>
        <v>5.4</v>
      </c>
      <c r="J246" s="9">
        <f t="shared" si="34"/>
        <v>5.4</v>
      </c>
    </row>
    <row r="247" spans="1:10" hidden="1" x14ac:dyDescent="0.2">
      <c r="A247" s="3" t="s">
        <v>1</v>
      </c>
      <c r="B247" s="4">
        <v>282</v>
      </c>
      <c r="C247" s="3"/>
      <c r="D247" s="4">
        <v>38.5</v>
      </c>
      <c r="E247" s="4">
        <v>3.3</v>
      </c>
      <c r="F247" s="4">
        <v>3.3</v>
      </c>
      <c r="G247" s="21"/>
      <c r="H247" s="8">
        <f t="shared" si="32"/>
        <v>77</v>
      </c>
      <c r="I247" s="8">
        <f t="shared" si="33"/>
        <v>6.6</v>
      </c>
      <c r="J247" s="9">
        <f t="shared" si="34"/>
        <v>6.6</v>
      </c>
    </row>
    <row r="248" spans="1:10" hidden="1" x14ac:dyDescent="0.2">
      <c r="A248" s="3" t="s">
        <v>1</v>
      </c>
      <c r="B248" s="4">
        <v>283</v>
      </c>
      <c r="C248" s="3"/>
      <c r="D248" s="4">
        <v>42</v>
      </c>
      <c r="E248" s="4">
        <v>2.7</v>
      </c>
      <c r="F248" s="4">
        <v>2.7</v>
      </c>
      <c r="G248" s="21"/>
      <c r="H248" s="8">
        <f t="shared" si="32"/>
        <v>84</v>
      </c>
      <c r="I248" s="8">
        <f t="shared" si="33"/>
        <v>5.4</v>
      </c>
      <c r="J248" s="9">
        <f t="shared" si="34"/>
        <v>5.4</v>
      </c>
    </row>
    <row r="249" spans="1:10" hidden="1" x14ac:dyDescent="0.2">
      <c r="A249" s="3" t="s">
        <v>1</v>
      </c>
      <c r="B249" s="4">
        <v>284</v>
      </c>
      <c r="C249" s="3"/>
      <c r="D249" s="4">
        <v>42</v>
      </c>
      <c r="E249" s="4">
        <v>1.3</v>
      </c>
      <c r="F249" s="4">
        <v>1.3</v>
      </c>
      <c r="G249" s="21"/>
      <c r="H249" s="8">
        <f t="shared" si="32"/>
        <v>84</v>
      </c>
      <c r="I249" s="8">
        <f t="shared" si="33"/>
        <v>2.6</v>
      </c>
      <c r="J249" s="9">
        <f t="shared" si="34"/>
        <v>2.6</v>
      </c>
    </row>
    <row r="250" spans="1:10" hidden="1" x14ac:dyDescent="0.2">
      <c r="A250" s="3" t="s">
        <v>1</v>
      </c>
      <c r="B250" s="4">
        <v>285</v>
      </c>
      <c r="C250" s="3"/>
      <c r="D250" s="4">
        <v>44.3</v>
      </c>
      <c r="E250" s="4">
        <v>1</v>
      </c>
      <c r="F250" s="4">
        <v>1</v>
      </c>
      <c r="G250" s="21"/>
      <c r="H250" s="8">
        <f t="shared" si="32"/>
        <v>88.6</v>
      </c>
      <c r="I250" s="8">
        <f t="shared" si="33"/>
        <v>2</v>
      </c>
      <c r="J250" s="9">
        <f t="shared" si="34"/>
        <v>2</v>
      </c>
    </row>
    <row r="251" spans="1:10" hidden="1" x14ac:dyDescent="0.2">
      <c r="A251" s="3" t="s">
        <v>1</v>
      </c>
      <c r="B251" s="4">
        <v>286</v>
      </c>
      <c r="C251" s="3"/>
      <c r="D251" s="4">
        <v>44.3</v>
      </c>
      <c r="E251" s="4">
        <v>3.1</v>
      </c>
      <c r="F251" s="4">
        <v>3.1</v>
      </c>
      <c r="G251" s="21"/>
      <c r="H251" s="8">
        <f t="shared" si="32"/>
        <v>88.6</v>
      </c>
      <c r="I251" s="8">
        <f t="shared" si="33"/>
        <v>6.2</v>
      </c>
      <c r="J251" s="9">
        <f t="shared" si="34"/>
        <v>6.2</v>
      </c>
    </row>
    <row r="252" spans="1:10" hidden="1" x14ac:dyDescent="0.2">
      <c r="A252" s="3" t="s">
        <v>1</v>
      </c>
      <c r="B252" s="4">
        <v>289</v>
      </c>
      <c r="C252" s="3"/>
      <c r="D252" s="4">
        <v>42</v>
      </c>
      <c r="E252" s="4">
        <v>6.1</v>
      </c>
      <c r="F252" s="4">
        <v>6.1</v>
      </c>
      <c r="G252" s="21"/>
      <c r="H252" s="8">
        <f t="shared" si="32"/>
        <v>84</v>
      </c>
      <c r="I252" s="8">
        <f t="shared" si="33"/>
        <v>12.2</v>
      </c>
      <c r="J252" s="9">
        <f t="shared" si="34"/>
        <v>12.2</v>
      </c>
    </row>
    <row r="253" spans="1:10" hidden="1" x14ac:dyDescent="0.2">
      <c r="A253" s="3" t="s">
        <v>1</v>
      </c>
      <c r="B253" s="4">
        <v>290</v>
      </c>
      <c r="C253" s="3"/>
      <c r="D253" s="4">
        <v>42</v>
      </c>
      <c r="E253" s="4">
        <v>3.9</v>
      </c>
      <c r="F253" s="4">
        <v>3.9</v>
      </c>
      <c r="G253" s="21"/>
      <c r="H253" s="8">
        <f t="shared" si="32"/>
        <v>84</v>
      </c>
      <c r="I253" s="8">
        <f t="shared" si="33"/>
        <v>7.8</v>
      </c>
      <c r="J253" s="9">
        <f t="shared" si="34"/>
        <v>7.8</v>
      </c>
    </row>
    <row r="254" spans="1:10" hidden="1" x14ac:dyDescent="0.2">
      <c r="A254" s="3" t="s">
        <v>1</v>
      </c>
      <c r="B254" s="4">
        <v>291</v>
      </c>
      <c r="C254" s="3"/>
      <c r="D254" s="4">
        <v>45.1</v>
      </c>
      <c r="E254" s="4">
        <v>1.2</v>
      </c>
      <c r="F254" s="4">
        <v>1.2</v>
      </c>
      <c r="G254" s="21"/>
      <c r="H254" s="8">
        <f t="shared" si="32"/>
        <v>90.2</v>
      </c>
      <c r="I254" s="8">
        <f t="shared" si="33"/>
        <v>2.4</v>
      </c>
      <c r="J254" s="9">
        <f t="shared" si="34"/>
        <v>2.4</v>
      </c>
    </row>
    <row r="255" spans="1:10" hidden="1" x14ac:dyDescent="0.2">
      <c r="A255" s="3" t="s">
        <v>1</v>
      </c>
      <c r="B255" s="4">
        <v>292</v>
      </c>
      <c r="C255" s="3"/>
      <c r="D255" s="4">
        <v>44.6</v>
      </c>
      <c r="E255" s="4">
        <v>0.2</v>
      </c>
      <c r="F255" s="4">
        <v>0.2</v>
      </c>
      <c r="G255" s="21"/>
      <c r="H255" s="8">
        <f t="shared" si="32"/>
        <v>89.2</v>
      </c>
      <c r="I255" s="8">
        <f t="shared" si="33"/>
        <v>0.4</v>
      </c>
      <c r="J255" s="9">
        <f t="shared" si="34"/>
        <v>0.4</v>
      </c>
    </row>
    <row r="256" spans="1:10" hidden="1" x14ac:dyDescent="0.2">
      <c r="A256" s="3" t="s">
        <v>1</v>
      </c>
      <c r="B256" s="4">
        <v>293</v>
      </c>
      <c r="C256" s="3"/>
      <c r="D256" s="4">
        <v>46.9</v>
      </c>
      <c r="E256" s="4">
        <v>0.3</v>
      </c>
      <c r="F256" s="4">
        <v>0.3</v>
      </c>
      <c r="G256" s="21"/>
      <c r="H256" s="8">
        <f t="shared" si="32"/>
        <v>93.8</v>
      </c>
      <c r="I256" s="8">
        <f t="shared" si="33"/>
        <v>0.6</v>
      </c>
      <c r="J256" s="9">
        <f t="shared" si="34"/>
        <v>0.6</v>
      </c>
    </row>
    <row r="257" spans="1:10" hidden="1" x14ac:dyDescent="0.2">
      <c r="A257" s="3" t="s">
        <v>1</v>
      </c>
      <c r="B257" s="4">
        <v>298</v>
      </c>
      <c r="C257" s="3"/>
      <c r="D257" s="4">
        <v>45</v>
      </c>
      <c r="E257" s="4">
        <v>2.4</v>
      </c>
      <c r="F257" s="4">
        <v>2.4</v>
      </c>
      <c r="G257" s="21"/>
      <c r="H257" s="8">
        <f t="shared" si="32"/>
        <v>90</v>
      </c>
      <c r="I257" s="8">
        <f t="shared" si="33"/>
        <v>4.8</v>
      </c>
      <c r="J257" s="9">
        <f t="shared" si="34"/>
        <v>4.8</v>
      </c>
    </row>
    <row r="258" spans="1:10" hidden="1" x14ac:dyDescent="0.2">
      <c r="A258" s="3" t="s">
        <v>1</v>
      </c>
      <c r="B258" s="4">
        <v>299</v>
      </c>
      <c r="C258" s="3"/>
      <c r="D258" s="4">
        <v>46</v>
      </c>
      <c r="E258" s="4">
        <v>1.6</v>
      </c>
      <c r="F258" s="6">
        <f>E258</f>
        <v>1.6</v>
      </c>
      <c r="G258" s="20"/>
      <c r="H258" s="8">
        <f t="shared" si="32"/>
        <v>92</v>
      </c>
      <c r="I258" s="8">
        <f t="shared" si="33"/>
        <v>3.2</v>
      </c>
      <c r="J258" s="9">
        <f t="shared" si="34"/>
        <v>3.2</v>
      </c>
    </row>
    <row r="259" spans="1:10" hidden="1" x14ac:dyDescent="0.2">
      <c r="A259" s="3" t="s">
        <v>1</v>
      </c>
      <c r="B259" s="4">
        <v>305</v>
      </c>
      <c r="C259" s="3"/>
      <c r="D259" s="4">
        <v>42.8</v>
      </c>
      <c r="E259" s="4">
        <v>0.1</v>
      </c>
      <c r="F259" s="6">
        <f>E259</f>
        <v>0.1</v>
      </c>
      <c r="G259" s="20"/>
      <c r="H259" s="8">
        <f t="shared" si="32"/>
        <v>85.6</v>
      </c>
      <c r="I259" s="8">
        <f t="shared" si="33"/>
        <v>0.2</v>
      </c>
      <c r="J259" s="9">
        <f t="shared" si="34"/>
        <v>0.2</v>
      </c>
    </row>
    <row r="260" spans="1:10" hidden="1" x14ac:dyDescent="0.2">
      <c r="A260" s="3" t="s">
        <v>1</v>
      </c>
      <c r="B260" s="4">
        <v>307</v>
      </c>
      <c r="C260" s="3"/>
      <c r="D260" s="4">
        <v>56.4</v>
      </c>
      <c r="E260" s="4">
        <v>0.2</v>
      </c>
      <c r="F260" s="6">
        <f>E260</f>
        <v>0.2</v>
      </c>
      <c r="G260" s="20"/>
      <c r="H260" s="8">
        <f t="shared" si="32"/>
        <v>112.8</v>
      </c>
      <c r="I260" s="8">
        <f t="shared" si="33"/>
        <v>0.4</v>
      </c>
      <c r="J260" s="9">
        <f t="shared" si="34"/>
        <v>0.4</v>
      </c>
    </row>
    <row r="261" spans="1:10" hidden="1" x14ac:dyDescent="0.2">
      <c r="A261" s="3" t="s">
        <v>1</v>
      </c>
      <c r="B261" s="4">
        <v>308</v>
      </c>
      <c r="C261" s="3"/>
      <c r="D261" s="4">
        <v>56.1</v>
      </c>
      <c r="E261" s="4">
        <v>0.7</v>
      </c>
      <c r="F261" s="4">
        <v>0.7</v>
      </c>
      <c r="G261" s="21"/>
      <c r="H261" s="8">
        <f t="shared" si="32"/>
        <v>112.2</v>
      </c>
      <c r="I261" s="8">
        <f t="shared" si="33"/>
        <v>1.4</v>
      </c>
      <c r="J261" s="9">
        <f t="shared" si="34"/>
        <v>1.4</v>
      </c>
    </row>
    <row r="262" spans="1:10" hidden="1" x14ac:dyDescent="0.2">
      <c r="A262" s="3" t="s">
        <v>1</v>
      </c>
      <c r="B262" s="4">
        <v>390</v>
      </c>
      <c r="C262" s="3"/>
      <c r="D262" s="4">
        <v>36.4</v>
      </c>
      <c r="E262" s="4">
        <v>0.3</v>
      </c>
      <c r="F262" s="4">
        <v>0.3</v>
      </c>
      <c r="G262" s="21"/>
      <c r="H262" s="8">
        <f t="shared" si="32"/>
        <v>72.8</v>
      </c>
      <c r="I262" s="8">
        <f t="shared" si="33"/>
        <v>0.6</v>
      </c>
      <c r="J262" s="9">
        <f t="shared" si="34"/>
        <v>0.6</v>
      </c>
    </row>
    <row r="263" spans="1:10" hidden="1" x14ac:dyDescent="0.2">
      <c r="A263" s="3" t="s">
        <v>1</v>
      </c>
      <c r="B263" s="4">
        <v>505</v>
      </c>
      <c r="C263" s="3"/>
      <c r="D263" s="4">
        <v>38.5</v>
      </c>
      <c r="E263" s="4">
        <v>4</v>
      </c>
      <c r="F263" s="6">
        <f>E263</f>
        <v>4</v>
      </c>
      <c r="G263" s="20"/>
      <c r="H263" s="8">
        <f t="shared" si="32"/>
        <v>77</v>
      </c>
      <c r="I263" s="8">
        <f t="shared" si="33"/>
        <v>8</v>
      </c>
      <c r="J263" s="9">
        <f t="shared" si="34"/>
        <v>8</v>
      </c>
    </row>
    <row r="264" spans="1:10" hidden="1" x14ac:dyDescent="0.2">
      <c r="A264" s="3" t="s">
        <v>1</v>
      </c>
      <c r="B264" s="4">
        <v>511</v>
      </c>
      <c r="C264" s="3"/>
      <c r="D264" s="4">
        <v>63</v>
      </c>
      <c r="E264" s="4">
        <v>4.4000000000000004</v>
      </c>
      <c r="F264" s="4">
        <v>4.4000000000000004</v>
      </c>
      <c r="G264" s="21"/>
      <c r="H264" s="8">
        <f t="shared" si="32"/>
        <v>126</v>
      </c>
      <c r="I264" s="8">
        <f t="shared" si="33"/>
        <v>8.8000000000000007</v>
      </c>
      <c r="J264" s="9">
        <f t="shared" si="34"/>
        <v>8.8000000000000007</v>
      </c>
    </row>
    <row r="265" spans="1:10" hidden="1" x14ac:dyDescent="0.2">
      <c r="A265" s="3" t="s">
        <v>1</v>
      </c>
      <c r="B265" s="4">
        <v>521</v>
      </c>
      <c r="C265" s="3"/>
      <c r="D265" s="4">
        <v>61</v>
      </c>
      <c r="E265" s="4">
        <v>2.9</v>
      </c>
      <c r="F265" s="4">
        <v>2.9</v>
      </c>
      <c r="G265" s="21"/>
      <c r="H265" s="8">
        <f t="shared" si="32"/>
        <v>122</v>
      </c>
      <c r="I265" s="8">
        <f t="shared" si="33"/>
        <v>5.8</v>
      </c>
      <c r="J265" s="9">
        <f t="shared" si="34"/>
        <v>5.8</v>
      </c>
    </row>
    <row r="266" spans="1:10" hidden="1" x14ac:dyDescent="0.2">
      <c r="A266" s="3" t="s">
        <v>1</v>
      </c>
      <c r="B266" s="4">
        <v>524</v>
      </c>
      <c r="C266" s="3"/>
      <c r="D266" s="4">
        <v>54</v>
      </c>
      <c r="E266" s="4">
        <v>1.6</v>
      </c>
      <c r="F266" s="4">
        <v>1.6</v>
      </c>
      <c r="G266" s="21"/>
      <c r="H266" s="8">
        <f t="shared" si="32"/>
        <v>108</v>
      </c>
      <c r="I266" s="8">
        <f t="shared" si="33"/>
        <v>3.2</v>
      </c>
      <c r="J266" s="9">
        <f t="shared" si="34"/>
        <v>3.2</v>
      </c>
    </row>
    <row r="267" spans="1:10" hidden="1" x14ac:dyDescent="0.2">
      <c r="A267" s="3" t="s">
        <v>1</v>
      </c>
      <c r="B267" s="4">
        <v>525</v>
      </c>
      <c r="C267" s="3"/>
      <c r="D267" s="4">
        <v>60.8</v>
      </c>
      <c r="E267" s="4">
        <v>1</v>
      </c>
      <c r="F267" s="4">
        <v>0</v>
      </c>
      <c r="G267" s="25"/>
      <c r="H267" s="8">
        <f t="shared" ref="H267:H269" si="36">D267*2</f>
        <v>121.6</v>
      </c>
      <c r="I267" s="8">
        <f t="shared" ref="I267:I269" si="37">E267*2</f>
        <v>2</v>
      </c>
      <c r="J267" s="9">
        <f t="shared" ref="J267:J269" si="38">F267*2</f>
        <v>0</v>
      </c>
    </row>
    <row r="268" spans="1:10" hidden="1" x14ac:dyDescent="0.2">
      <c r="A268" s="3" t="s">
        <v>1</v>
      </c>
      <c r="B268" s="4">
        <v>526</v>
      </c>
      <c r="C268" s="3"/>
      <c r="D268" s="4">
        <v>67.099999999999994</v>
      </c>
      <c r="E268" s="4">
        <v>3.3</v>
      </c>
      <c r="F268" s="6">
        <f>E268</f>
        <v>3.3</v>
      </c>
      <c r="G268" s="20"/>
      <c r="H268" s="8">
        <f t="shared" si="36"/>
        <v>134.19999999999999</v>
      </c>
      <c r="I268" s="8">
        <f t="shared" si="37"/>
        <v>6.6</v>
      </c>
      <c r="J268" s="9">
        <f t="shared" si="38"/>
        <v>6.6</v>
      </c>
    </row>
    <row r="269" spans="1:10" hidden="1" x14ac:dyDescent="0.2">
      <c r="A269" s="3" t="s">
        <v>1</v>
      </c>
      <c r="B269" s="4">
        <v>528</v>
      </c>
      <c r="C269" s="3"/>
      <c r="D269" s="4">
        <v>58</v>
      </c>
      <c r="E269" s="4">
        <v>8.1</v>
      </c>
      <c r="F269" s="4">
        <v>8.1</v>
      </c>
      <c r="G269" s="21"/>
      <c r="H269" s="8">
        <f t="shared" si="36"/>
        <v>116</v>
      </c>
      <c r="I269" s="8">
        <f t="shared" si="37"/>
        <v>16.2</v>
      </c>
      <c r="J269" s="9">
        <f t="shared" si="38"/>
        <v>16.2</v>
      </c>
    </row>
    <row r="270" spans="1:10" s="26" customFormat="1" hidden="1" x14ac:dyDescent="0.2">
      <c r="A270" s="3" t="s">
        <v>1</v>
      </c>
      <c r="B270" s="4">
        <v>530</v>
      </c>
      <c r="C270" s="3"/>
      <c r="D270" s="4">
        <v>64.2</v>
      </c>
      <c r="E270" s="4">
        <v>3</v>
      </c>
      <c r="F270" s="4">
        <v>0</v>
      </c>
      <c r="G270" s="25"/>
      <c r="H270" s="8">
        <f t="shared" ref="H270" si="39">D270*2</f>
        <v>128.4</v>
      </c>
      <c r="I270" s="8">
        <f t="shared" ref="I270" si="40">E270*2</f>
        <v>6</v>
      </c>
      <c r="J270" s="9">
        <f t="shared" ref="J270" si="41">F270*2</f>
        <v>0</v>
      </c>
    </row>
    <row r="271" spans="1:10" hidden="1" x14ac:dyDescent="0.2">
      <c r="A271" s="3" t="s">
        <v>1</v>
      </c>
      <c r="B271" s="4">
        <v>531</v>
      </c>
      <c r="C271" s="3"/>
      <c r="D271" s="4">
        <v>57.2</v>
      </c>
      <c r="E271" s="4">
        <v>0.2</v>
      </c>
      <c r="F271" s="4">
        <v>0.2</v>
      </c>
      <c r="G271" s="21"/>
      <c r="H271" s="8">
        <f t="shared" si="32"/>
        <v>114.4</v>
      </c>
      <c r="I271" s="8">
        <f t="shared" si="33"/>
        <v>0.4</v>
      </c>
      <c r="J271" s="9">
        <f t="shared" si="34"/>
        <v>0.4</v>
      </c>
    </row>
    <row r="272" spans="1:10" hidden="1" x14ac:dyDescent="0.2">
      <c r="A272" s="3" t="s">
        <v>1</v>
      </c>
      <c r="B272" s="4">
        <v>534</v>
      </c>
      <c r="C272" s="3"/>
      <c r="D272" s="4">
        <v>52.6</v>
      </c>
      <c r="E272" s="4">
        <v>1.7</v>
      </c>
      <c r="F272" s="4">
        <v>1.7</v>
      </c>
      <c r="G272" s="21"/>
      <c r="H272" s="8">
        <f t="shared" ref="H272:H340" si="42">D272*2</f>
        <v>105.2</v>
      </c>
      <c r="I272" s="8">
        <f t="shared" ref="I272:I340" si="43">E272*2</f>
        <v>3.4</v>
      </c>
      <c r="J272" s="9">
        <f t="shared" ref="J272:J340" si="44">F272*2</f>
        <v>3.4</v>
      </c>
    </row>
    <row r="273" spans="1:10" s="26" customFormat="1" hidden="1" x14ac:dyDescent="0.2">
      <c r="A273" s="24" t="s">
        <v>1</v>
      </c>
      <c r="B273" s="5">
        <v>535</v>
      </c>
      <c r="C273" s="24"/>
      <c r="D273" s="5">
        <v>61.2</v>
      </c>
      <c r="E273" s="5">
        <v>3.2</v>
      </c>
      <c r="F273" s="5">
        <v>0.1</v>
      </c>
      <c r="G273" s="25"/>
      <c r="H273" s="8">
        <f>D273*2</f>
        <v>122.4</v>
      </c>
      <c r="I273" s="8">
        <f>E273*2</f>
        <v>6.4</v>
      </c>
      <c r="J273" s="9">
        <f>F273*2</f>
        <v>0.2</v>
      </c>
    </row>
    <row r="274" spans="1:10" hidden="1" x14ac:dyDescent="0.2">
      <c r="A274" s="3" t="s">
        <v>1</v>
      </c>
      <c r="B274" s="4">
        <v>536</v>
      </c>
      <c r="C274" s="3"/>
      <c r="D274" s="4">
        <v>58.3</v>
      </c>
      <c r="E274" s="4">
        <v>0.7</v>
      </c>
      <c r="F274" s="6">
        <f>E274</f>
        <v>0.7</v>
      </c>
      <c r="G274" s="20"/>
      <c r="H274" s="8">
        <f t="shared" si="42"/>
        <v>116.6</v>
      </c>
      <c r="I274" s="8">
        <f t="shared" si="43"/>
        <v>1.4</v>
      </c>
      <c r="J274" s="9">
        <f t="shared" si="44"/>
        <v>1.4</v>
      </c>
    </row>
    <row r="275" spans="1:10" hidden="1" x14ac:dyDescent="0.2">
      <c r="A275" s="24" t="s">
        <v>1</v>
      </c>
      <c r="B275" s="5">
        <v>537</v>
      </c>
      <c r="C275" s="24"/>
      <c r="D275" s="5">
        <v>62.6</v>
      </c>
      <c r="E275" s="5">
        <v>1.3</v>
      </c>
      <c r="F275" s="16"/>
      <c r="G275" s="27"/>
      <c r="H275" s="8">
        <f t="shared" ref="H275" si="45">D275*2</f>
        <v>125.2</v>
      </c>
      <c r="I275" s="8">
        <f t="shared" ref="I275" si="46">E275*2</f>
        <v>2.6</v>
      </c>
      <c r="J275" s="9">
        <f t="shared" ref="J275" si="47">F275*2</f>
        <v>0</v>
      </c>
    </row>
    <row r="276" spans="1:10" hidden="1" x14ac:dyDescent="0.2">
      <c r="A276" s="3" t="s">
        <v>1</v>
      </c>
      <c r="B276" s="4">
        <v>538</v>
      </c>
      <c r="C276" s="3"/>
      <c r="D276" s="4">
        <v>60.4</v>
      </c>
      <c r="E276" s="4">
        <v>0.6</v>
      </c>
      <c r="F276" s="4">
        <v>0.6</v>
      </c>
      <c r="G276" s="21"/>
      <c r="H276" s="8">
        <f t="shared" si="42"/>
        <v>120.8</v>
      </c>
      <c r="I276" s="8">
        <f t="shared" si="43"/>
        <v>1.2</v>
      </c>
      <c r="J276" s="9">
        <f t="shared" si="44"/>
        <v>1.2</v>
      </c>
    </row>
    <row r="277" spans="1:10" hidden="1" x14ac:dyDescent="0.2">
      <c r="A277" s="3" t="s">
        <v>1</v>
      </c>
      <c r="B277" s="4">
        <v>541</v>
      </c>
      <c r="C277" s="3"/>
      <c r="D277" s="4">
        <v>58</v>
      </c>
      <c r="E277" s="4">
        <v>9</v>
      </c>
      <c r="F277" s="4">
        <v>9</v>
      </c>
      <c r="G277" s="21"/>
      <c r="H277" s="8">
        <f t="shared" si="42"/>
        <v>116</v>
      </c>
      <c r="I277" s="8">
        <f t="shared" si="43"/>
        <v>18</v>
      </c>
      <c r="J277" s="9">
        <f t="shared" si="44"/>
        <v>18</v>
      </c>
    </row>
    <row r="278" spans="1:10" hidden="1" x14ac:dyDescent="0.2">
      <c r="A278" s="3" t="s">
        <v>1</v>
      </c>
      <c r="B278" s="4">
        <v>542</v>
      </c>
      <c r="C278" s="3"/>
      <c r="D278" s="4">
        <v>58</v>
      </c>
      <c r="E278" s="4">
        <v>8.6</v>
      </c>
      <c r="F278" s="4">
        <v>8.6</v>
      </c>
      <c r="G278" s="21"/>
      <c r="H278" s="8">
        <f t="shared" si="42"/>
        <v>116</v>
      </c>
      <c r="I278" s="8">
        <f t="shared" si="43"/>
        <v>17.2</v>
      </c>
      <c r="J278" s="9">
        <f t="shared" si="44"/>
        <v>17.2</v>
      </c>
    </row>
    <row r="279" spans="1:10" hidden="1" x14ac:dyDescent="0.2">
      <c r="A279" s="3" t="s">
        <v>1</v>
      </c>
      <c r="B279" s="4">
        <v>543</v>
      </c>
      <c r="C279" s="3"/>
      <c r="D279" s="4">
        <v>58</v>
      </c>
      <c r="E279" s="4">
        <v>6.4</v>
      </c>
      <c r="F279" s="6">
        <f>E279</f>
        <v>6.4</v>
      </c>
      <c r="G279" s="20"/>
      <c r="H279" s="8">
        <f t="shared" si="42"/>
        <v>116</v>
      </c>
      <c r="I279" s="8">
        <f t="shared" si="43"/>
        <v>12.8</v>
      </c>
      <c r="J279" s="9">
        <f t="shared" si="44"/>
        <v>12.8</v>
      </c>
    </row>
    <row r="280" spans="1:10" hidden="1" x14ac:dyDescent="0.2">
      <c r="A280" s="3" t="s">
        <v>1</v>
      </c>
      <c r="B280" s="4">
        <v>544</v>
      </c>
      <c r="C280" s="3"/>
      <c r="D280" s="4">
        <v>58</v>
      </c>
      <c r="E280" s="4">
        <v>2.9</v>
      </c>
      <c r="F280" s="4">
        <v>2.9</v>
      </c>
      <c r="G280" s="21"/>
      <c r="H280" s="8">
        <f t="shared" si="42"/>
        <v>116</v>
      </c>
      <c r="I280" s="8">
        <f t="shared" si="43"/>
        <v>5.8</v>
      </c>
      <c r="J280" s="9">
        <f t="shared" si="44"/>
        <v>5.8</v>
      </c>
    </row>
    <row r="281" spans="1:10" hidden="1" x14ac:dyDescent="0.2">
      <c r="A281" s="3" t="s">
        <v>1</v>
      </c>
      <c r="B281" s="4">
        <v>545</v>
      </c>
      <c r="C281" s="3"/>
      <c r="D281" s="4">
        <v>60.4</v>
      </c>
      <c r="E281" s="4">
        <v>0.3</v>
      </c>
      <c r="F281" s="4">
        <v>0.3</v>
      </c>
      <c r="G281" s="21"/>
      <c r="H281" s="8">
        <f t="shared" si="42"/>
        <v>120.8</v>
      </c>
      <c r="I281" s="8">
        <f t="shared" si="43"/>
        <v>0.6</v>
      </c>
      <c r="J281" s="9">
        <f t="shared" si="44"/>
        <v>0.6</v>
      </c>
    </row>
    <row r="282" spans="1:10" hidden="1" x14ac:dyDescent="0.2">
      <c r="A282" s="3" t="s">
        <v>1</v>
      </c>
      <c r="B282" s="4">
        <v>546</v>
      </c>
      <c r="C282" s="3"/>
      <c r="D282" s="4">
        <v>59</v>
      </c>
      <c r="E282" s="4">
        <v>4</v>
      </c>
      <c r="F282" s="6">
        <f>E282</f>
        <v>4</v>
      </c>
      <c r="G282" s="20"/>
      <c r="H282" s="8">
        <f t="shared" si="42"/>
        <v>118</v>
      </c>
      <c r="I282" s="8">
        <f t="shared" si="43"/>
        <v>8</v>
      </c>
      <c r="J282" s="9">
        <f t="shared" si="44"/>
        <v>8</v>
      </c>
    </row>
    <row r="283" spans="1:10" hidden="1" x14ac:dyDescent="0.2">
      <c r="A283" s="3" t="s">
        <v>1</v>
      </c>
      <c r="B283" s="4">
        <v>547</v>
      </c>
      <c r="C283" s="3"/>
      <c r="D283" s="4">
        <v>59</v>
      </c>
      <c r="E283" s="4">
        <v>2.9</v>
      </c>
      <c r="F283" s="4">
        <v>2.9</v>
      </c>
      <c r="G283" s="21"/>
      <c r="H283" s="8">
        <f t="shared" si="42"/>
        <v>118</v>
      </c>
      <c r="I283" s="8">
        <f t="shared" si="43"/>
        <v>5.8</v>
      </c>
      <c r="J283" s="9">
        <f t="shared" si="44"/>
        <v>5.8</v>
      </c>
    </row>
    <row r="284" spans="1:10" hidden="1" x14ac:dyDescent="0.2">
      <c r="A284" s="3" t="s">
        <v>1</v>
      </c>
      <c r="B284" s="6">
        <v>548</v>
      </c>
      <c r="C284" s="3"/>
      <c r="D284" s="4">
        <v>67.099999999999994</v>
      </c>
      <c r="E284" s="4">
        <v>1.2</v>
      </c>
      <c r="F284" s="6">
        <f>E284</f>
        <v>1.2</v>
      </c>
      <c r="G284" s="20"/>
      <c r="H284" s="8">
        <f t="shared" si="42"/>
        <v>134.19999999999999</v>
      </c>
      <c r="I284" s="8">
        <f t="shared" si="43"/>
        <v>2.4</v>
      </c>
      <c r="J284" s="9">
        <f t="shared" si="44"/>
        <v>2.4</v>
      </c>
    </row>
    <row r="285" spans="1:10" hidden="1" x14ac:dyDescent="0.2">
      <c r="A285" s="3" t="s">
        <v>1</v>
      </c>
      <c r="B285" s="6">
        <v>549</v>
      </c>
      <c r="C285" s="3"/>
      <c r="D285" s="4">
        <v>67.7</v>
      </c>
      <c r="E285" s="4">
        <v>0.5</v>
      </c>
      <c r="F285" s="6">
        <f>E285</f>
        <v>0.5</v>
      </c>
      <c r="G285" s="20"/>
      <c r="H285" s="8">
        <f t="shared" si="42"/>
        <v>135.4</v>
      </c>
      <c r="I285" s="8">
        <f t="shared" si="43"/>
        <v>1</v>
      </c>
      <c r="J285" s="9">
        <f t="shared" si="44"/>
        <v>1</v>
      </c>
    </row>
    <row r="286" spans="1:10" s="26" customFormat="1" hidden="1" x14ac:dyDescent="0.2">
      <c r="A286" s="3" t="s">
        <v>1</v>
      </c>
      <c r="B286" s="6">
        <v>550</v>
      </c>
      <c r="C286" s="3"/>
      <c r="D286" s="4">
        <v>73.7</v>
      </c>
      <c r="E286" s="4">
        <v>2.2999999999999998</v>
      </c>
      <c r="F286" s="6">
        <v>0</v>
      </c>
      <c r="G286" s="27"/>
      <c r="H286" s="8">
        <f t="shared" si="42"/>
        <v>147.4</v>
      </c>
      <c r="I286" s="8">
        <f t="shared" si="43"/>
        <v>4.5999999999999996</v>
      </c>
      <c r="J286" s="9">
        <f t="shared" si="44"/>
        <v>0</v>
      </c>
    </row>
    <row r="287" spans="1:10" hidden="1" x14ac:dyDescent="0.2">
      <c r="A287" s="3" t="s">
        <v>1</v>
      </c>
      <c r="B287" s="6">
        <v>552</v>
      </c>
      <c r="C287" s="3"/>
      <c r="D287" s="4">
        <v>58</v>
      </c>
      <c r="E287" s="4">
        <v>9.6999999999999993</v>
      </c>
      <c r="F287" s="6">
        <f>E287</f>
        <v>9.6999999999999993</v>
      </c>
      <c r="G287" s="20"/>
      <c r="H287" s="8">
        <f t="shared" si="42"/>
        <v>116</v>
      </c>
      <c r="I287" s="8">
        <f t="shared" si="43"/>
        <v>19.399999999999999</v>
      </c>
      <c r="J287" s="9">
        <f t="shared" si="44"/>
        <v>19.399999999999999</v>
      </c>
    </row>
    <row r="288" spans="1:10" hidden="1" x14ac:dyDescent="0.2">
      <c r="A288" s="3" t="s">
        <v>1</v>
      </c>
      <c r="B288" s="6">
        <v>553</v>
      </c>
      <c r="C288" s="3"/>
      <c r="D288" s="4">
        <v>58</v>
      </c>
      <c r="E288" s="4">
        <v>8.1999999999999993</v>
      </c>
      <c r="F288" s="6">
        <f>E288</f>
        <v>8.1999999999999993</v>
      </c>
      <c r="G288" s="20"/>
      <c r="H288" s="8">
        <f t="shared" si="42"/>
        <v>116</v>
      </c>
      <c r="I288" s="8">
        <f t="shared" si="43"/>
        <v>16.399999999999999</v>
      </c>
      <c r="J288" s="9">
        <f t="shared" si="44"/>
        <v>16.399999999999999</v>
      </c>
    </row>
    <row r="289" spans="1:10" hidden="1" x14ac:dyDescent="0.2">
      <c r="A289" s="3" t="s">
        <v>1</v>
      </c>
      <c r="B289" s="4">
        <v>555</v>
      </c>
      <c r="C289" s="3"/>
      <c r="D289" s="4">
        <v>58</v>
      </c>
      <c r="E289" s="4">
        <v>5.5</v>
      </c>
      <c r="F289" s="4">
        <v>5.5</v>
      </c>
      <c r="G289" s="21"/>
      <c r="H289" s="8">
        <f t="shared" si="42"/>
        <v>116</v>
      </c>
      <c r="I289" s="8">
        <f t="shared" si="43"/>
        <v>11</v>
      </c>
      <c r="J289" s="9">
        <f t="shared" si="44"/>
        <v>11</v>
      </c>
    </row>
    <row r="290" spans="1:10" hidden="1" x14ac:dyDescent="0.2">
      <c r="A290" s="3" t="s">
        <v>1</v>
      </c>
      <c r="B290" s="4">
        <v>556</v>
      </c>
      <c r="C290" s="3"/>
      <c r="D290" s="4">
        <v>58</v>
      </c>
      <c r="E290" s="4">
        <v>5.2</v>
      </c>
      <c r="F290" s="4">
        <v>5.2</v>
      </c>
      <c r="G290" s="21"/>
      <c r="H290" s="8">
        <f t="shared" si="42"/>
        <v>116</v>
      </c>
      <c r="I290" s="8">
        <f t="shared" si="43"/>
        <v>10.4</v>
      </c>
      <c r="J290" s="9">
        <f t="shared" si="44"/>
        <v>10.4</v>
      </c>
    </row>
    <row r="291" spans="1:10" hidden="1" x14ac:dyDescent="0.2">
      <c r="A291" s="3" t="s">
        <v>1</v>
      </c>
      <c r="B291" s="4">
        <v>558</v>
      </c>
      <c r="C291" s="3"/>
      <c r="D291" s="4">
        <v>61.7</v>
      </c>
      <c r="E291" s="4">
        <v>1.5</v>
      </c>
      <c r="F291" s="4">
        <v>1.5</v>
      </c>
      <c r="G291" s="21"/>
      <c r="H291" s="8">
        <f t="shared" si="42"/>
        <v>123.4</v>
      </c>
      <c r="I291" s="8">
        <f t="shared" si="43"/>
        <v>3</v>
      </c>
      <c r="J291" s="9">
        <f t="shared" si="44"/>
        <v>3</v>
      </c>
    </row>
    <row r="292" spans="1:10" hidden="1" x14ac:dyDescent="0.2">
      <c r="A292" s="3" t="s">
        <v>1</v>
      </c>
      <c r="B292" s="4">
        <v>559</v>
      </c>
      <c r="C292" s="3"/>
      <c r="D292" s="4">
        <v>62.5</v>
      </c>
      <c r="E292" s="4">
        <v>0.4</v>
      </c>
      <c r="F292" s="4">
        <v>0.4</v>
      </c>
      <c r="G292" s="21"/>
      <c r="H292" s="8">
        <f t="shared" si="42"/>
        <v>125</v>
      </c>
      <c r="I292" s="8">
        <f t="shared" si="43"/>
        <v>0.8</v>
      </c>
      <c r="J292" s="9">
        <f t="shared" si="44"/>
        <v>0.8</v>
      </c>
    </row>
    <row r="293" spans="1:10" hidden="1" x14ac:dyDescent="0.2">
      <c r="A293" s="3" t="s">
        <v>1</v>
      </c>
      <c r="B293" s="6">
        <v>561</v>
      </c>
      <c r="C293" s="3"/>
      <c r="D293" s="4">
        <v>68.5</v>
      </c>
      <c r="E293" s="4">
        <v>2.5</v>
      </c>
      <c r="F293" s="6">
        <f t="shared" ref="F293:F298" si="48">E293</f>
        <v>2.5</v>
      </c>
      <c r="G293" s="20"/>
      <c r="H293" s="8">
        <f t="shared" si="42"/>
        <v>137</v>
      </c>
      <c r="I293" s="8">
        <f t="shared" si="43"/>
        <v>5</v>
      </c>
      <c r="J293" s="9">
        <f t="shared" si="44"/>
        <v>5</v>
      </c>
    </row>
    <row r="294" spans="1:10" hidden="1" x14ac:dyDescent="0.2">
      <c r="A294" s="3" t="s">
        <v>1</v>
      </c>
      <c r="B294" s="6">
        <v>563</v>
      </c>
      <c r="C294" s="3"/>
      <c r="D294" s="4">
        <v>74</v>
      </c>
      <c r="E294" s="4">
        <v>1.7</v>
      </c>
      <c r="F294" s="6">
        <f t="shared" si="48"/>
        <v>1.7</v>
      </c>
      <c r="G294" s="20"/>
      <c r="H294" s="8">
        <f t="shared" si="42"/>
        <v>148</v>
      </c>
      <c r="I294" s="8">
        <f t="shared" si="43"/>
        <v>3.4</v>
      </c>
      <c r="J294" s="9">
        <f t="shared" si="44"/>
        <v>3.4</v>
      </c>
    </row>
    <row r="295" spans="1:10" hidden="1" x14ac:dyDescent="0.2">
      <c r="A295" s="3" t="s">
        <v>1</v>
      </c>
      <c r="B295" s="6">
        <v>564</v>
      </c>
      <c r="C295" s="3"/>
      <c r="D295" s="4">
        <v>58</v>
      </c>
      <c r="E295" s="4">
        <v>13.4</v>
      </c>
      <c r="F295" s="6">
        <f t="shared" si="48"/>
        <v>13.4</v>
      </c>
      <c r="G295" s="20"/>
      <c r="H295" s="8">
        <f t="shared" si="42"/>
        <v>116</v>
      </c>
      <c r="I295" s="8">
        <f t="shared" si="43"/>
        <v>26.8</v>
      </c>
      <c r="J295" s="9">
        <f t="shared" si="44"/>
        <v>26.8</v>
      </c>
    </row>
    <row r="296" spans="1:10" hidden="1" x14ac:dyDescent="0.2">
      <c r="A296" s="3" t="s">
        <v>1</v>
      </c>
      <c r="B296" s="6">
        <v>566</v>
      </c>
      <c r="C296" s="3"/>
      <c r="D296" s="4">
        <v>58</v>
      </c>
      <c r="E296" s="4">
        <v>12.6</v>
      </c>
      <c r="F296" s="6">
        <f t="shared" si="48"/>
        <v>12.6</v>
      </c>
      <c r="G296" s="20"/>
      <c r="H296" s="8">
        <f t="shared" si="42"/>
        <v>116</v>
      </c>
      <c r="I296" s="8">
        <f t="shared" si="43"/>
        <v>25.2</v>
      </c>
      <c r="J296" s="9">
        <f t="shared" si="44"/>
        <v>25.2</v>
      </c>
    </row>
    <row r="297" spans="1:10" hidden="1" x14ac:dyDescent="0.2">
      <c r="A297" s="3" t="s">
        <v>1</v>
      </c>
      <c r="B297" s="6">
        <v>567</v>
      </c>
      <c r="C297" s="3"/>
      <c r="D297" s="4">
        <v>58</v>
      </c>
      <c r="E297" s="4">
        <v>10.199999999999999</v>
      </c>
      <c r="F297" s="6">
        <f t="shared" si="48"/>
        <v>10.199999999999999</v>
      </c>
      <c r="G297" s="20"/>
      <c r="H297" s="8">
        <f t="shared" si="42"/>
        <v>116</v>
      </c>
      <c r="I297" s="8">
        <f t="shared" si="43"/>
        <v>20.399999999999999</v>
      </c>
      <c r="J297" s="9">
        <f t="shared" si="44"/>
        <v>20.399999999999999</v>
      </c>
    </row>
    <row r="298" spans="1:10" hidden="1" x14ac:dyDescent="0.2">
      <c r="A298" s="3" t="s">
        <v>1</v>
      </c>
      <c r="B298" s="6">
        <v>568</v>
      </c>
      <c r="C298" s="3"/>
      <c r="D298" s="4">
        <v>54.9</v>
      </c>
      <c r="E298" s="4">
        <v>1</v>
      </c>
      <c r="F298" s="6">
        <f t="shared" si="48"/>
        <v>1</v>
      </c>
      <c r="G298" s="20"/>
      <c r="H298" s="8">
        <f t="shared" si="42"/>
        <v>109.8</v>
      </c>
      <c r="I298" s="8">
        <f t="shared" si="43"/>
        <v>2</v>
      </c>
      <c r="J298" s="9">
        <f t="shared" si="44"/>
        <v>2</v>
      </c>
    </row>
    <row r="299" spans="1:10" hidden="1" x14ac:dyDescent="0.2">
      <c r="A299" s="3" t="s">
        <v>1</v>
      </c>
      <c r="B299" s="4">
        <v>569</v>
      </c>
      <c r="C299" s="3"/>
      <c r="D299" s="4">
        <v>54.4</v>
      </c>
      <c r="E299" s="4">
        <v>3</v>
      </c>
      <c r="F299" s="4">
        <v>3</v>
      </c>
      <c r="G299" s="21"/>
      <c r="H299" s="8">
        <f t="shared" si="42"/>
        <v>108.8</v>
      </c>
      <c r="I299" s="8">
        <f t="shared" si="43"/>
        <v>6</v>
      </c>
      <c r="J299" s="9">
        <f t="shared" si="44"/>
        <v>6</v>
      </c>
    </row>
    <row r="300" spans="1:10" hidden="1" x14ac:dyDescent="0.2">
      <c r="A300" s="3" t="s">
        <v>1</v>
      </c>
      <c r="B300" s="6">
        <v>570</v>
      </c>
      <c r="C300" s="3"/>
      <c r="D300" s="4">
        <v>54.4</v>
      </c>
      <c r="E300" s="4">
        <v>5.8</v>
      </c>
      <c r="F300" s="6">
        <f>E300</f>
        <v>5.8</v>
      </c>
      <c r="G300" s="20"/>
      <c r="H300" s="8">
        <f t="shared" si="42"/>
        <v>108.8</v>
      </c>
      <c r="I300" s="8">
        <f t="shared" si="43"/>
        <v>11.6</v>
      </c>
      <c r="J300" s="9">
        <f t="shared" si="44"/>
        <v>11.6</v>
      </c>
    </row>
    <row r="301" spans="1:10" hidden="1" x14ac:dyDescent="0.2">
      <c r="A301" s="3" t="s">
        <v>1</v>
      </c>
      <c r="B301" s="6">
        <v>571</v>
      </c>
      <c r="C301" s="3"/>
      <c r="D301" s="4">
        <v>69.2</v>
      </c>
      <c r="E301" s="4">
        <v>3.6</v>
      </c>
      <c r="F301" s="6">
        <f>E301</f>
        <v>3.6</v>
      </c>
      <c r="G301" s="20"/>
      <c r="H301" s="8">
        <f t="shared" si="42"/>
        <v>138.4</v>
      </c>
      <c r="I301" s="8">
        <f t="shared" si="43"/>
        <v>7.2</v>
      </c>
      <c r="J301" s="9">
        <f t="shared" si="44"/>
        <v>7.2</v>
      </c>
    </row>
    <row r="302" spans="1:10" hidden="1" x14ac:dyDescent="0.2">
      <c r="A302" s="3" t="s">
        <v>1</v>
      </c>
      <c r="B302" s="4">
        <v>572</v>
      </c>
      <c r="C302" s="3"/>
      <c r="D302" s="4">
        <v>54.4</v>
      </c>
      <c r="E302" s="4">
        <v>7.5</v>
      </c>
      <c r="F302" s="4">
        <v>7.5</v>
      </c>
      <c r="G302" s="21"/>
      <c r="H302" s="8">
        <f t="shared" si="42"/>
        <v>108.8</v>
      </c>
      <c r="I302" s="8">
        <f t="shared" si="43"/>
        <v>15</v>
      </c>
      <c r="J302" s="9">
        <f t="shared" si="44"/>
        <v>15</v>
      </c>
    </row>
    <row r="303" spans="1:10" hidden="1" x14ac:dyDescent="0.2">
      <c r="A303" s="3" t="s">
        <v>1</v>
      </c>
      <c r="B303" s="6">
        <v>573</v>
      </c>
      <c r="C303" s="3"/>
      <c r="D303" s="4">
        <v>58</v>
      </c>
      <c r="E303" s="4">
        <v>11.5</v>
      </c>
      <c r="F303" s="6">
        <f>E303</f>
        <v>11.5</v>
      </c>
      <c r="G303" s="20"/>
      <c r="H303" s="8">
        <f t="shared" si="42"/>
        <v>116</v>
      </c>
      <c r="I303" s="8">
        <f t="shared" si="43"/>
        <v>23</v>
      </c>
      <c r="J303" s="9">
        <f t="shared" si="44"/>
        <v>23</v>
      </c>
    </row>
    <row r="304" spans="1:10" hidden="1" x14ac:dyDescent="0.2">
      <c r="A304" s="3" t="s">
        <v>1</v>
      </c>
      <c r="B304" s="6">
        <v>575</v>
      </c>
      <c r="C304" s="3"/>
      <c r="D304" s="4">
        <v>58</v>
      </c>
      <c r="E304" s="4">
        <v>8.4</v>
      </c>
      <c r="F304" s="6">
        <f>E304</f>
        <v>8.4</v>
      </c>
      <c r="G304" s="20"/>
      <c r="H304" s="8">
        <f t="shared" si="42"/>
        <v>116</v>
      </c>
      <c r="I304" s="8">
        <f t="shared" si="43"/>
        <v>16.8</v>
      </c>
      <c r="J304" s="9">
        <f t="shared" si="44"/>
        <v>16.8</v>
      </c>
    </row>
    <row r="305" spans="1:10" hidden="1" x14ac:dyDescent="0.2">
      <c r="A305" s="3" t="s">
        <v>1</v>
      </c>
      <c r="B305" s="6">
        <v>578</v>
      </c>
      <c r="C305" s="3"/>
      <c r="D305" s="4">
        <v>59.2</v>
      </c>
      <c r="E305" s="4">
        <v>1</v>
      </c>
      <c r="F305" s="6">
        <f>E305</f>
        <v>1</v>
      </c>
      <c r="G305" s="20"/>
      <c r="H305" s="8">
        <f t="shared" si="42"/>
        <v>118.4</v>
      </c>
      <c r="I305" s="8">
        <f t="shared" si="43"/>
        <v>2</v>
      </c>
      <c r="J305" s="9">
        <f t="shared" si="44"/>
        <v>2</v>
      </c>
    </row>
    <row r="306" spans="1:10" hidden="1" x14ac:dyDescent="0.2">
      <c r="A306" s="3" t="s">
        <v>1</v>
      </c>
      <c r="B306" s="16">
        <v>579</v>
      </c>
      <c r="C306" s="3"/>
      <c r="D306" s="4">
        <v>58.9</v>
      </c>
      <c r="E306" s="4">
        <v>0.2</v>
      </c>
      <c r="F306" s="6">
        <f>E306</f>
        <v>0.2</v>
      </c>
      <c r="G306" s="20"/>
      <c r="H306" s="8">
        <f t="shared" si="42"/>
        <v>117.8</v>
      </c>
      <c r="I306" s="8">
        <f t="shared" si="43"/>
        <v>0.4</v>
      </c>
      <c r="J306" s="9">
        <f t="shared" si="44"/>
        <v>0.4</v>
      </c>
    </row>
    <row r="307" spans="1:10" hidden="1" x14ac:dyDescent="0.2">
      <c r="A307" s="3" t="s">
        <v>1</v>
      </c>
      <c r="B307" s="4">
        <v>576</v>
      </c>
      <c r="C307" s="3"/>
      <c r="D307" s="4">
        <v>55</v>
      </c>
      <c r="E307" s="4">
        <v>1</v>
      </c>
      <c r="F307" s="4">
        <v>1</v>
      </c>
      <c r="G307" s="21"/>
      <c r="H307" s="8">
        <f t="shared" si="42"/>
        <v>110</v>
      </c>
      <c r="I307" s="8">
        <f t="shared" si="43"/>
        <v>2</v>
      </c>
      <c r="J307" s="9">
        <f t="shared" si="44"/>
        <v>2</v>
      </c>
    </row>
    <row r="308" spans="1:10" hidden="1" x14ac:dyDescent="0.2">
      <c r="A308" s="3" t="s">
        <v>1</v>
      </c>
      <c r="B308" s="4">
        <v>580</v>
      </c>
      <c r="C308" s="3"/>
      <c r="D308" s="4">
        <v>56.2</v>
      </c>
      <c r="E308" s="4">
        <v>1.6</v>
      </c>
      <c r="F308" s="4">
        <v>1.6</v>
      </c>
      <c r="G308" s="21"/>
      <c r="H308" s="8">
        <f t="shared" si="42"/>
        <v>112.4</v>
      </c>
      <c r="I308" s="8">
        <f t="shared" si="43"/>
        <v>3.2</v>
      </c>
      <c r="J308" s="9">
        <f t="shared" si="44"/>
        <v>3.2</v>
      </c>
    </row>
    <row r="309" spans="1:10" hidden="1" x14ac:dyDescent="0.2">
      <c r="A309" s="3" t="s">
        <v>1</v>
      </c>
      <c r="B309" s="4">
        <v>581</v>
      </c>
      <c r="C309" s="3"/>
      <c r="D309" s="4">
        <v>56.2</v>
      </c>
      <c r="E309" s="4">
        <v>2.5</v>
      </c>
      <c r="F309" s="4">
        <v>2.5</v>
      </c>
      <c r="G309" s="21"/>
      <c r="H309" s="8">
        <f t="shared" si="42"/>
        <v>112.4</v>
      </c>
      <c r="I309" s="8">
        <f t="shared" si="43"/>
        <v>5</v>
      </c>
      <c r="J309" s="9">
        <f t="shared" si="44"/>
        <v>5</v>
      </c>
    </row>
    <row r="310" spans="1:10" hidden="1" x14ac:dyDescent="0.2">
      <c r="A310" s="3" t="s">
        <v>1</v>
      </c>
      <c r="B310" s="4">
        <v>582</v>
      </c>
      <c r="C310" s="3"/>
      <c r="D310" s="4">
        <v>54.4</v>
      </c>
      <c r="E310" s="4">
        <v>5.2</v>
      </c>
      <c r="F310" s="4">
        <v>5.2</v>
      </c>
      <c r="G310" s="21"/>
      <c r="H310" s="8">
        <f t="shared" si="42"/>
        <v>108.8</v>
      </c>
      <c r="I310" s="8">
        <f t="shared" si="43"/>
        <v>10.4</v>
      </c>
      <c r="J310" s="9">
        <f t="shared" si="44"/>
        <v>10.4</v>
      </c>
    </row>
    <row r="311" spans="1:10" hidden="1" x14ac:dyDescent="0.2">
      <c r="A311" s="3" t="s">
        <v>1</v>
      </c>
      <c r="B311" s="4">
        <v>583</v>
      </c>
      <c r="C311" s="3"/>
      <c r="D311" s="4">
        <v>54.4</v>
      </c>
      <c r="E311" s="4">
        <v>4.5</v>
      </c>
      <c r="F311" s="4">
        <v>4.5</v>
      </c>
      <c r="G311" s="21"/>
      <c r="H311" s="8">
        <f t="shared" si="42"/>
        <v>108.8</v>
      </c>
      <c r="I311" s="8">
        <f t="shared" si="43"/>
        <v>9</v>
      </c>
      <c r="J311" s="9">
        <f t="shared" si="44"/>
        <v>9</v>
      </c>
    </row>
    <row r="312" spans="1:10" hidden="1" x14ac:dyDescent="0.2">
      <c r="A312" s="3" t="s">
        <v>1</v>
      </c>
      <c r="B312" s="6">
        <v>584</v>
      </c>
      <c r="C312" s="3"/>
      <c r="D312" s="4">
        <v>74</v>
      </c>
      <c r="E312" s="4">
        <v>6</v>
      </c>
      <c r="F312" s="6">
        <f>E312</f>
        <v>6</v>
      </c>
      <c r="G312" s="20"/>
      <c r="H312" s="8">
        <f t="shared" si="42"/>
        <v>148</v>
      </c>
      <c r="I312" s="8">
        <f t="shared" si="43"/>
        <v>12</v>
      </c>
      <c r="J312" s="9">
        <f t="shared" si="44"/>
        <v>12</v>
      </c>
    </row>
    <row r="313" spans="1:10" hidden="1" x14ac:dyDescent="0.2">
      <c r="A313" s="3" t="s">
        <v>1</v>
      </c>
      <c r="B313" s="6">
        <v>585</v>
      </c>
      <c r="C313" s="3"/>
      <c r="D313" s="4">
        <v>63</v>
      </c>
      <c r="E313" s="4">
        <v>4.2</v>
      </c>
      <c r="F313" s="6">
        <f>E313</f>
        <v>4.2</v>
      </c>
      <c r="G313" s="20"/>
      <c r="H313" s="8">
        <f t="shared" si="42"/>
        <v>126</v>
      </c>
      <c r="I313" s="8">
        <f t="shared" si="43"/>
        <v>8.4</v>
      </c>
      <c r="J313" s="9">
        <f t="shared" si="44"/>
        <v>8.4</v>
      </c>
    </row>
    <row r="314" spans="1:10" hidden="1" x14ac:dyDescent="0.2">
      <c r="A314" s="3" t="s">
        <v>1</v>
      </c>
      <c r="B314" s="4">
        <v>586</v>
      </c>
      <c r="C314" s="3"/>
      <c r="D314" s="4">
        <v>54.4</v>
      </c>
      <c r="E314" s="4">
        <v>6</v>
      </c>
      <c r="F314" s="4">
        <v>6</v>
      </c>
      <c r="G314" s="21"/>
      <c r="H314" s="8">
        <f t="shared" si="42"/>
        <v>108.8</v>
      </c>
      <c r="I314" s="8">
        <f t="shared" si="43"/>
        <v>12</v>
      </c>
      <c r="J314" s="9">
        <f t="shared" si="44"/>
        <v>12</v>
      </c>
    </row>
    <row r="315" spans="1:10" hidden="1" x14ac:dyDescent="0.2">
      <c r="A315" s="3" t="s">
        <v>1</v>
      </c>
      <c r="B315" s="4">
        <v>587</v>
      </c>
      <c r="C315" s="3"/>
      <c r="D315" s="4">
        <v>74</v>
      </c>
      <c r="E315" s="4">
        <v>5.3</v>
      </c>
      <c r="F315" s="4">
        <v>5.3</v>
      </c>
      <c r="G315" s="21"/>
      <c r="H315" s="8">
        <f t="shared" si="42"/>
        <v>148</v>
      </c>
      <c r="I315" s="8">
        <f t="shared" si="43"/>
        <v>10.6</v>
      </c>
      <c r="J315" s="9">
        <f t="shared" si="44"/>
        <v>10.6</v>
      </c>
    </row>
    <row r="316" spans="1:10" hidden="1" x14ac:dyDescent="0.2">
      <c r="A316" s="3" t="s">
        <v>1</v>
      </c>
      <c r="B316" s="4">
        <v>588</v>
      </c>
      <c r="C316" s="3"/>
      <c r="D316" s="4">
        <v>63</v>
      </c>
      <c r="E316" s="4">
        <v>2.8</v>
      </c>
      <c r="F316" s="4">
        <v>2.8</v>
      </c>
      <c r="G316" s="21"/>
      <c r="H316" s="8">
        <f t="shared" si="42"/>
        <v>126</v>
      </c>
      <c r="I316" s="8">
        <f t="shared" si="43"/>
        <v>5.6</v>
      </c>
      <c r="J316" s="9">
        <f t="shared" si="44"/>
        <v>5.6</v>
      </c>
    </row>
    <row r="317" spans="1:10" hidden="1" x14ac:dyDescent="0.2">
      <c r="A317" s="3" t="s">
        <v>1</v>
      </c>
      <c r="B317" s="4">
        <v>593</v>
      </c>
      <c r="C317" s="3"/>
      <c r="D317" s="4">
        <v>59</v>
      </c>
      <c r="E317" s="4">
        <v>4.2</v>
      </c>
      <c r="F317" s="4">
        <v>4.2</v>
      </c>
      <c r="G317" s="21"/>
      <c r="H317" s="8">
        <f t="shared" si="42"/>
        <v>118</v>
      </c>
      <c r="I317" s="8">
        <f t="shared" si="43"/>
        <v>8.4</v>
      </c>
      <c r="J317" s="9">
        <f t="shared" si="44"/>
        <v>8.4</v>
      </c>
    </row>
    <row r="318" spans="1:10" hidden="1" x14ac:dyDescent="0.2">
      <c r="A318" s="3" t="s">
        <v>1</v>
      </c>
      <c r="B318" s="4">
        <v>600</v>
      </c>
      <c r="C318" s="3"/>
      <c r="D318" s="4">
        <v>64.099999999999994</v>
      </c>
      <c r="E318" s="4">
        <v>1.4</v>
      </c>
      <c r="F318" s="4">
        <v>0</v>
      </c>
      <c r="G318" s="21"/>
      <c r="H318" s="8">
        <f t="shared" si="42"/>
        <v>128.19999999999999</v>
      </c>
      <c r="I318" s="8">
        <f t="shared" si="43"/>
        <v>2.8</v>
      </c>
      <c r="J318" s="9">
        <f t="shared" si="44"/>
        <v>0</v>
      </c>
    </row>
    <row r="319" spans="1:10" hidden="1" x14ac:dyDescent="0.2">
      <c r="A319" s="3" t="s">
        <v>1</v>
      </c>
      <c r="B319" s="4">
        <v>607</v>
      </c>
      <c r="C319" s="3"/>
      <c r="D319" s="4">
        <v>72.099999999999994</v>
      </c>
      <c r="E319" s="4">
        <v>2.2000000000000002</v>
      </c>
      <c r="F319" s="4">
        <v>0</v>
      </c>
      <c r="G319" s="21"/>
      <c r="H319" s="8">
        <f t="shared" si="42"/>
        <v>144.19999999999999</v>
      </c>
      <c r="I319" s="8">
        <f t="shared" si="43"/>
        <v>4.4000000000000004</v>
      </c>
      <c r="J319" s="9">
        <f t="shared" si="44"/>
        <v>0</v>
      </c>
    </row>
    <row r="320" spans="1:10" hidden="1" x14ac:dyDescent="0.2">
      <c r="A320" s="3" t="s">
        <v>16</v>
      </c>
      <c r="B320" s="4">
        <v>3</v>
      </c>
      <c r="C320" s="3" t="s">
        <v>3</v>
      </c>
      <c r="D320" s="4">
        <v>54.8</v>
      </c>
      <c r="E320" s="4">
        <v>6.1</v>
      </c>
      <c r="F320" s="4">
        <f>E320</f>
        <v>6.1</v>
      </c>
      <c r="G320" s="21"/>
      <c r="H320" s="8">
        <f t="shared" si="42"/>
        <v>109.6</v>
      </c>
      <c r="I320" s="8">
        <f t="shared" si="43"/>
        <v>12.2</v>
      </c>
      <c r="J320" s="9">
        <f t="shared" si="44"/>
        <v>12.2</v>
      </c>
    </row>
    <row r="321" spans="1:10" hidden="1" x14ac:dyDescent="0.2">
      <c r="A321" s="3" t="s">
        <v>16</v>
      </c>
      <c r="B321" s="4">
        <v>193</v>
      </c>
      <c r="C321" s="3" t="s">
        <v>3</v>
      </c>
      <c r="D321" s="4">
        <v>45.5</v>
      </c>
      <c r="E321" s="4">
        <v>12.4</v>
      </c>
      <c r="F321" s="6">
        <f>E321</f>
        <v>12.4</v>
      </c>
      <c r="G321" s="20"/>
      <c r="H321" s="8">
        <f t="shared" si="42"/>
        <v>91</v>
      </c>
      <c r="I321" s="8">
        <f t="shared" si="43"/>
        <v>24.8</v>
      </c>
      <c r="J321" s="9">
        <f t="shared" si="44"/>
        <v>24.8</v>
      </c>
    </row>
    <row r="322" spans="1:10" hidden="1" x14ac:dyDescent="0.2">
      <c r="A322" s="3" t="s">
        <v>16</v>
      </c>
      <c r="B322" s="4">
        <v>199</v>
      </c>
      <c r="C322" s="3" t="s">
        <v>3</v>
      </c>
      <c r="D322" s="4">
        <v>45.5</v>
      </c>
      <c r="E322" s="4">
        <v>10.9</v>
      </c>
      <c r="F322" s="6">
        <f>E322</f>
        <v>10.9</v>
      </c>
      <c r="G322" s="20"/>
      <c r="H322" s="8">
        <f t="shared" si="42"/>
        <v>91</v>
      </c>
      <c r="I322" s="8">
        <f t="shared" si="43"/>
        <v>21.8</v>
      </c>
      <c r="J322" s="9">
        <f t="shared" si="44"/>
        <v>21.8</v>
      </c>
    </row>
    <row r="323" spans="1:10" hidden="1" x14ac:dyDescent="0.2">
      <c r="A323" s="3" t="s">
        <v>9</v>
      </c>
      <c r="B323" s="4">
        <v>1</v>
      </c>
      <c r="C323" s="3"/>
      <c r="D323" s="4">
        <v>46.7</v>
      </c>
      <c r="E323" s="4">
        <v>4.5999999999999996</v>
      </c>
      <c r="F323" s="4">
        <v>4.5999999999999996</v>
      </c>
      <c r="G323" s="21"/>
      <c r="H323" s="8">
        <f t="shared" si="42"/>
        <v>93.4</v>
      </c>
      <c r="I323" s="8">
        <f t="shared" si="43"/>
        <v>9.1999999999999993</v>
      </c>
      <c r="J323" s="9">
        <f t="shared" si="44"/>
        <v>9.1999999999999993</v>
      </c>
    </row>
    <row r="324" spans="1:10" hidden="1" x14ac:dyDescent="0.2">
      <c r="A324" s="3" t="s">
        <v>9</v>
      </c>
      <c r="B324" s="4">
        <v>2</v>
      </c>
      <c r="C324" s="3"/>
      <c r="D324" s="4">
        <v>46.7</v>
      </c>
      <c r="E324" s="4">
        <v>3.8</v>
      </c>
      <c r="F324" s="4">
        <v>3.8</v>
      </c>
      <c r="G324" s="21"/>
      <c r="H324" s="8">
        <f t="shared" si="42"/>
        <v>93.4</v>
      </c>
      <c r="I324" s="8">
        <f t="shared" si="43"/>
        <v>7.6</v>
      </c>
      <c r="J324" s="9">
        <f t="shared" si="44"/>
        <v>7.6</v>
      </c>
    </row>
    <row r="325" spans="1:10" hidden="1" x14ac:dyDescent="0.2">
      <c r="A325" s="3" t="s">
        <v>9</v>
      </c>
      <c r="B325" s="4">
        <v>3</v>
      </c>
      <c r="C325" s="3"/>
      <c r="D325" s="4">
        <v>46.7</v>
      </c>
      <c r="E325" s="4">
        <v>2.6</v>
      </c>
      <c r="F325" s="4">
        <v>2.6</v>
      </c>
      <c r="G325" s="21"/>
      <c r="H325" s="8">
        <f t="shared" si="42"/>
        <v>93.4</v>
      </c>
      <c r="I325" s="8">
        <f t="shared" si="43"/>
        <v>5.2</v>
      </c>
      <c r="J325" s="9">
        <f t="shared" si="44"/>
        <v>5.2</v>
      </c>
    </row>
    <row r="326" spans="1:10" hidden="1" x14ac:dyDescent="0.2">
      <c r="A326" s="3" t="s">
        <v>9</v>
      </c>
      <c r="B326" s="4">
        <v>4</v>
      </c>
      <c r="C326" s="3"/>
      <c r="D326" s="4">
        <v>46.7</v>
      </c>
      <c r="E326" s="4">
        <v>1.4</v>
      </c>
      <c r="F326" s="4">
        <v>1.4</v>
      </c>
      <c r="G326" s="21"/>
      <c r="H326" s="8">
        <f t="shared" si="42"/>
        <v>93.4</v>
      </c>
      <c r="I326" s="8">
        <f t="shared" si="43"/>
        <v>2.8</v>
      </c>
      <c r="J326" s="9">
        <f t="shared" si="44"/>
        <v>2.8</v>
      </c>
    </row>
    <row r="327" spans="1:10" hidden="1" x14ac:dyDescent="0.2">
      <c r="A327" s="3" t="s">
        <v>9</v>
      </c>
      <c r="B327" s="4">
        <v>5</v>
      </c>
      <c r="C327" s="3"/>
      <c r="D327" s="4">
        <v>46.7</v>
      </c>
      <c r="E327" s="4">
        <v>3</v>
      </c>
      <c r="F327" s="4">
        <v>3</v>
      </c>
      <c r="G327" s="21"/>
      <c r="H327" s="8">
        <f t="shared" si="42"/>
        <v>93.4</v>
      </c>
      <c r="I327" s="8">
        <f t="shared" si="43"/>
        <v>6</v>
      </c>
      <c r="J327" s="9">
        <f t="shared" si="44"/>
        <v>6</v>
      </c>
    </row>
    <row r="328" spans="1:10" hidden="1" x14ac:dyDescent="0.2">
      <c r="A328" s="3" t="s">
        <v>9</v>
      </c>
      <c r="B328" s="4">
        <v>6</v>
      </c>
      <c r="C328" s="3"/>
      <c r="D328" s="4">
        <v>49.5</v>
      </c>
      <c r="E328" s="4">
        <v>3.3</v>
      </c>
      <c r="F328" s="4">
        <v>3.3</v>
      </c>
      <c r="G328" s="21"/>
      <c r="H328" s="8">
        <f t="shared" si="42"/>
        <v>99</v>
      </c>
      <c r="I328" s="8">
        <f t="shared" si="43"/>
        <v>6.6</v>
      </c>
      <c r="J328" s="9">
        <f t="shared" si="44"/>
        <v>6.6</v>
      </c>
    </row>
    <row r="329" spans="1:10" hidden="1" x14ac:dyDescent="0.2">
      <c r="A329" s="3" t="s">
        <v>9</v>
      </c>
      <c r="B329" s="4">
        <v>7</v>
      </c>
      <c r="C329" s="3"/>
      <c r="D329" s="4">
        <v>49.5</v>
      </c>
      <c r="E329" s="4">
        <v>2.1</v>
      </c>
      <c r="F329" s="4">
        <v>2.1</v>
      </c>
      <c r="G329" s="21"/>
      <c r="H329" s="8">
        <f t="shared" si="42"/>
        <v>99</v>
      </c>
      <c r="I329" s="8">
        <f t="shared" si="43"/>
        <v>4.2</v>
      </c>
      <c r="J329" s="9">
        <f t="shared" si="44"/>
        <v>4.2</v>
      </c>
    </row>
    <row r="330" spans="1:10" hidden="1" x14ac:dyDescent="0.2">
      <c r="A330" s="3" t="s">
        <v>9</v>
      </c>
      <c r="B330" s="4">
        <v>8</v>
      </c>
      <c r="C330" s="3"/>
      <c r="D330" s="4">
        <v>46.7</v>
      </c>
      <c r="E330" s="4">
        <v>2</v>
      </c>
      <c r="F330" s="4">
        <v>2</v>
      </c>
      <c r="G330" s="21"/>
      <c r="H330" s="8">
        <f t="shared" si="42"/>
        <v>93.4</v>
      </c>
      <c r="I330" s="8">
        <f t="shared" si="43"/>
        <v>4</v>
      </c>
      <c r="J330" s="9">
        <f t="shared" si="44"/>
        <v>4</v>
      </c>
    </row>
    <row r="331" spans="1:10" hidden="1" x14ac:dyDescent="0.2">
      <c r="A331" s="3" t="s">
        <v>9</v>
      </c>
      <c r="B331" s="4">
        <v>9</v>
      </c>
      <c r="C331" s="3"/>
      <c r="D331" s="4">
        <v>49.5</v>
      </c>
      <c r="E331" s="4">
        <v>1.4</v>
      </c>
      <c r="F331" s="4">
        <v>1.4</v>
      </c>
      <c r="G331" s="21"/>
      <c r="H331" s="8">
        <f t="shared" si="42"/>
        <v>99</v>
      </c>
      <c r="I331" s="8">
        <f t="shared" si="43"/>
        <v>2.8</v>
      </c>
      <c r="J331" s="9">
        <f t="shared" si="44"/>
        <v>2.8</v>
      </c>
    </row>
    <row r="332" spans="1:10" hidden="1" x14ac:dyDescent="0.2">
      <c r="A332" s="3" t="s">
        <v>9</v>
      </c>
      <c r="B332" s="4">
        <v>11</v>
      </c>
      <c r="C332" s="3"/>
      <c r="D332" s="4">
        <v>49.1</v>
      </c>
      <c r="E332" s="4">
        <v>0.6</v>
      </c>
      <c r="F332" s="4">
        <v>0.6</v>
      </c>
      <c r="G332" s="21"/>
      <c r="H332" s="8">
        <f t="shared" si="42"/>
        <v>98.2</v>
      </c>
      <c r="I332" s="8">
        <f t="shared" si="43"/>
        <v>1.2</v>
      </c>
      <c r="J332" s="9">
        <f t="shared" si="44"/>
        <v>1.2</v>
      </c>
    </row>
    <row r="333" spans="1:10" hidden="1" x14ac:dyDescent="0.2">
      <c r="A333" s="3" t="s">
        <v>9</v>
      </c>
      <c r="B333" s="4">
        <v>11</v>
      </c>
      <c r="C333" s="3" t="s">
        <v>4</v>
      </c>
      <c r="D333" s="4">
        <v>49.1</v>
      </c>
      <c r="E333" s="4">
        <v>0.6</v>
      </c>
      <c r="F333" s="4">
        <v>0.6</v>
      </c>
      <c r="G333" s="21"/>
      <c r="H333" s="8">
        <f t="shared" si="42"/>
        <v>98.2</v>
      </c>
      <c r="I333" s="8">
        <f t="shared" si="43"/>
        <v>1.2</v>
      </c>
      <c r="J333" s="9">
        <f t="shared" si="44"/>
        <v>1.2</v>
      </c>
    </row>
    <row r="334" spans="1:10" hidden="1" x14ac:dyDescent="0.2">
      <c r="A334" s="3" t="s">
        <v>9</v>
      </c>
      <c r="B334" s="4">
        <v>12</v>
      </c>
      <c r="C334" s="3"/>
      <c r="D334" s="4">
        <v>67.099999999999994</v>
      </c>
      <c r="E334" s="4">
        <v>4.3</v>
      </c>
      <c r="F334" s="4">
        <v>4.3</v>
      </c>
      <c r="G334" s="21"/>
      <c r="H334" s="8">
        <f t="shared" si="42"/>
        <v>134.19999999999999</v>
      </c>
      <c r="I334" s="8">
        <f t="shared" si="43"/>
        <v>8.6</v>
      </c>
      <c r="J334" s="9">
        <f t="shared" si="44"/>
        <v>8.6</v>
      </c>
    </row>
    <row r="335" spans="1:10" s="26" customFormat="1" hidden="1" x14ac:dyDescent="0.2">
      <c r="A335" s="24" t="s">
        <v>9</v>
      </c>
      <c r="B335" s="5">
        <v>13</v>
      </c>
      <c r="C335" s="24"/>
      <c r="D335" s="5">
        <v>69.5</v>
      </c>
      <c r="E335" s="5">
        <v>5.6</v>
      </c>
      <c r="F335" s="5">
        <v>0</v>
      </c>
      <c r="G335" s="25"/>
      <c r="H335" s="8">
        <f t="shared" si="42"/>
        <v>139</v>
      </c>
      <c r="I335" s="8">
        <f t="shared" si="43"/>
        <v>11.2</v>
      </c>
      <c r="J335" s="9">
        <f t="shared" si="44"/>
        <v>0</v>
      </c>
    </row>
    <row r="336" spans="1:10" hidden="1" x14ac:dyDescent="0.2">
      <c r="A336" s="3" t="s">
        <v>9</v>
      </c>
      <c r="B336" s="4">
        <v>15</v>
      </c>
      <c r="C336" s="3"/>
      <c r="D336" s="4">
        <v>67.099999999999994</v>
      </c>
      <c r="E336" s="4">
        <v>7.7</v>
      </c>
      <c r="F336" s="4">
        <v>7.7</v>
      </c>
      <c r="G336" s="21"/>
      <c r="H336" s="8">
        <f t="shared" si="42"/>
        <v>134.19999999999999</v>
      </c>
      <c r="I336" s="8">
        <f t="shared" si="43"/>
        <v>15.4</v>
      </c>
      <c r="J336" s="9">
        <f t="shared" si="44"/>
        <v>15.4</v>
      </c>
    </row>
    <row r="337" spans="1:10" hidden="1" x14ac:dyDescent="0.2">
      <c r="A337" s="3" t="s">
        <v>9</v>
      </c>
      <c r="B337" s="4">
        <v>16</v>
      </c>
      <c r="C337" s="3"/>
      <c r="D337" s="4">
        <v>67.099999999999994</v>
      </c>
      <c r="E337" s="4">
        <v>6.8</v>
      </c>
      <c r="F337" s="4">
        <v>6.8</v>
      </c>
      <c r="G337" s="21"/>
      <c r="H337" s="8">
        <f t="shared" si="42"/>
        <v>134.19999999999999</v>
      </c>
      <c r="I337" s="8">
        <f t="shared" si="43"/>
        <v>13.6</v>
      </c>
      <c r="J337" s="9">
        <f t="shared" si="44"/>
        <v>13.6</v>
      </c>
    </row>
    <row r="338" spans="1:10" hidden="1" x14ac:dyDescent="0.2">
      <c r="A338" s="3" t="s">
        <v>9</v>
      </c>
      <c r="B338" s="4">
        <v>17</v>
      </c>
      <c r="C338" s="3"/>
      <c r="D338" s="4">
        <v>67.099999999999994</v>
      </c>
      <c r="E338" s="4">
        <v>10.5</v>
      </c>
      <c r="F338" s="4">
        <v>10.5</v>
      </c>
      <c r="G338" s="21"/>
      <c r="H338" s="8">
        <f t="shared" si="42"/>
        <v>134.19999999999999</v>
      </c>
      <c r="I338" s="8">
        <f t="shared" si="43"/>
        <v>21</v>
      </c>
      <c r="J338" s="9">
        <f t="shared" si="44"/>
        <v>21</v>
      </c>
    </row>
    <row r="339" spans="1:10" hidden="1" x14ac:dyDescent="0.2">
      <c r="A339" s="3" t="s">
        <v>9</v>
      </c>
      <c r="B339" s="4">
        <v>18</v>
      </c>
      <c r="C339" s="3"/>
      <c r="D339" s="4">
        <v>67.099999999999994</v>
      </c>
      <c r="E339" s="4">
        <v>12.8</v>
      </c>
      <c r="F339" s="6">
        <f>E339</f>
        <v>12.8</v>
      </c>
      <c r="G339" s="20"/>
      <c r="H339" s="8">
        <f t="shared" si="42"/>
        <v>134.19999999999999</v>
      </c>
      <c r="I339" s="8">
        <f t="shared" si="43"/>
        <v>25.6</v>
      </c>
      <c r="J339" s="9">
        <f t="shared" si="44"/>
        <v>25.6</v>
      </c>
    </row>
    <row r="340" spans="1:10" hidden="1" x14ac:dyDescent="0.2">
      <c r="A340" s="3" t="s">
        <v>9</v>
      </c>
      <c r="B340" s="4">
        <v>25</v>
      </c>
      <c r="C340" s="3"/>
      <c r="D340" s="4">
        <v>46.7</v>
      </c>
      <c r="E340" s="4">
        <v>3.6</v>
      </c>
      <c r="F340" s="4">
        <v>3.6</v>
      </c>
      <c r="G340" s="21"/>
      <c r="H340" s="8">
        <f t="shared" si="42"/>
        <v>93.4</v>
      </c>
      <c r="I340" s="8">
        <f t="shared" si="43"/>
        <v>7.2</v>
      </c>
      <c r="J340" s="9">
        <f t="shared" si="44"/>
        <v>7.2</v>
      </c>
    </row>
    <row r="341" spans="1:10" hidden="1" x14ac:dyDescent="0.2">
      <c r="A341" s="3" t="s">
        <v>15</v>
      </c>
      <c r="B341" s="4">
        <v>10</v>
      </c>
      <c r="C341" s="3"/>
      <c r="D341" s="4">
        <v>49.5</v>
      </c>
      <c r="E341" s="4">
        <v>1.4</v>
      </c>
      <c r="F341" s="4">
        <v>1.4</v>
      </c>
      <c r="G341" s="21"/>
      <c r="H341" s="8">
        <f t="shared" ref="H341:H412" si="49">D341*2</f>
        <v>99</v>
      </c>
      <c r="I341" s="8">
        <f t="shared" ref="I341:I412" si="50">E341*2</f>
        <v>2.8</v>
      </c>
      <c r="J341" s="9">
        <f t="shared" ref="J341:J411" si="51">F341*2</f>
        <v>2.8</v>
      </c>
    </row>
    <row r="342" spans="1:10" hidden="1" x14ac:dyDescent="0.2">
      <c r="A342" s="3" t="s">
        <v>15</v>
      </c>
      <c r="B342" s="4">
        <v>124</v>
      </c>
      <c r="C342" s="3" t="s">
        <v>5</v>
      </c>
      <c r="D342" s="4">
        <v>67.099999999999994</v>
      </c>
      <c r="E342" s="4">
        <v>4.7</v>
      </c>
      <c r="F342" s="6">
        <f>E342</f>
        <v>4.7</v>
      </c>
      <c r="G342" s="20"/>
      <c r="H342" s="8">
        <f t="shared" si="49"/>
        <v>134.19999999999999</v>
      </c>
      <c r="I342" s="8">
        <f t="shared" si="50"/>
        <v>9.4</v>
      </c>
      <c r="J342" s="9">
        <f t="shared" si="51"/>
        <v>9.4</v>
      </c>
    </row>
    <row r="343" spans="1:10" hidden="1" x14ac:dyDescent="0.2">
      <c r="A343" s="3" t="s">
        <v>17</v>
      </c>
      <c r="B343" s="4">
        <v>1</v>
      </c>
      <c r="C343" s="3"/>
      <c r="D343" s="4">
        <v>101.6</v>
      </c>
      <c r="E343" s="4">
        <v>47.2</v>
      </c>
      <c r="F343" s="6">
        <v>47.2</v>
      </c>
      <c r="G343" s="20"/>
      <c r="H343" s="8">
        <f t="shared" si="49"/>
        <v>203.2</v>
      </c>
      <c r="I343" s="8">
        <f t="shared" si="50"/>
        <v>94.4</v>
      </c>
      <c r="J343" s="9">
        <f t="shared" si="51"/>
        <v>94.4</v>
      </c>
    </row>
    <row r="344" spans="1:10" hidden="1" x14ac:dyDescent="0.2">
      <c r="A344" s="3" t="s">
        <v>17</v>
      </c>
      <c r="B344" s="5">
        <v>123</v>
      </c>
      <c r="C344" s="3" t="s">
        <v>5</v>
      </c>
      <c r="D344" s="4">
        <v>101.6</v>
      </c>
      <c r="E344" s="4">
        <v>42.3</v>
      </c>
      <c r="F344" s="4">
        <v>42.3</v>
      </c>
      <c r="G344" s="21"/>
      <c r="H344" s="8">
        <f t="shared" si="49"/>
        <v>203.2</v>
      </c>
      <c r="I344" s="8">
        <f t="shared" si="50"/>
        <v>84.6</v>
      </c>
      <c r="J344" s="9">
        <f t="shared" si="51"/>
        <v>84.6</v>
      </c>
    </row>
    <row r="345" spans="1:10" hidden="1" x14ac:dyDescent="0.2">
      <c r="A345" s="3" t="s">
        <v>17</v>
      </c>
      <c r="B345" s="5">
        <v>124</v>
      </c>
      <c r="C345" s="3" t="s">
        <v>5</v>
      </c>
      <c r="D345" s="4">
        <v>101.6</v>
      </c>
      <c r="E345" s="4">
        <v>40.799999999999997</v>
      </c>
      <c r="F345" s="4">
        <v>40.799999999999997</v>
      </c>
      <c r="G345" s="21"/>
      <c r="H345" s="8">
        <f t="shared" si="49"/>
        <v>203.2</v>
      </c>
      <c r="I345" s="8">
        <f t="shared" si="50"/>
        <v>81.599999999999994</v>
      </c>
      <c r="J345" s="9">
        <f t="shared" si="51"/>
        <v>81.599999999999994</v>
      </c>
    </row>
    <row r="346" spans="1:10" hidden="1" x14ac:dyDescent="0.2">
      <c r="A346" s="3" t="s">
        <v>17</v>
      </c>
      <c r="B346" s="5">
        <v>129</v>
      </c>
      <c r="C346" s="3" t="s">
        <v>5</v>
      </c>
      <c r="D346" s="4">
        <v>101.6</v>
      </c>
      <c r="E346" s="4">
        <v>47.7</v>
      </c>
      <c r="F346" s="4">
        <v>47.7</v>
      </c>
      <c r="G346" s="21"/>
      <c r="H346" s="8">
        <f t="shared" si="49"/>
        <v>203.2</v>
      </c>
      <c r="I346" s="8">
        <f t="shared" si="50"/>
        <v>95.4</v>
      </c>
      <c r="J346" s="9">
        <f t="shared" si="51"/>
        <v>95.4</v>
      </c>
    </row>
    <row r="347" spans="1:10" hidden="1" x14ac:dyDescent="0.2">
      <c r="A347" s="3" t="s">
        <v>17</v>
      </c>
      <c r="B347" s="5">
        <v>129</v>
      </c>
      <c r="C347" s="3" t="s">
        <v>3</v>
      </c>
      <c r="D347" s="4">
        <v>101.6</v>
      </c>
      <c r="E347" s="4">
        <v>47.7</v>
      </c>
      <c r="F347" s="4">
        <v>47.7</v>
      </c>
      <c r="G347" s="21"/>
      <c r="H347" s="8">
        <f t="shared" si="49"/>
        <v>203.2</v>
      </c>
      <c r="I347" s="8">
        <f t="shared" si="50"/>
        <v>95.4</v>
      </c>
      <c r="J347" s="9">
        <f t="shared" si="51"/>
        <v>95.4</v>
      </c>
    </row>
    <row r="348" spans="1:10" hidden="1" x14ac:dyDescent="0.2">
      <c r="A348" s="3" t="s">
        <v>17</v>
      </c>
      <c r="B348" s="5">
        <v>145</v>
      </c>
      <c r="C348" s="3" t="s">
        <v>5</v>
      </c>
      <c r="D348" s="4">
        <v>101.6</v>
      </c>
      <c r="E348" s="4">
        <v>44.5</v>
      </c>
      <c r="F348" s="4">
        <v>1.3</v>
      </c>
      <c r="G348" s="21"/>
      <c r="H348" s="8">
        <f t="shared" si="49"/>
        <v>203.2</v>
      </c>
      <c r="I348" s="8">
        <f t="shared" si="50"/>
        <v>89</v>
      </c>
      <c r="J348" s="9">
        <f t="shared" si="51"/>
        <v>2.6</v>
      </c>
    </row>
    <row r="349" spans="1:10" s="26" customFormat="1" hidden="1" x14ac:dyDescent="0.2">
      <c r="A349" s="24" t="s">
        <v>17</v>
      </c>
      <c r="B349" s="5">
        <v>148</v>
      </c>
      <c r="C349" s="24"/>
      <c r="D349" s="5">
        <v>101.6</v>
      </c>
      <c r="E349" s="5">
        <v>36.700000000000003</v>
      </c>
      <c r="F349" s="5">
        <v>11.8</v>
      </c>
      <c r="G349" s="25"/>
      <c r="H349" s="8">
        <f t="shared" si="49"/>
        <v>203.2</v>
      </c>
      <c r="I349" s="8">
        <f t="shared" si="50"/>
        <v>73.400000000000006</v>
      </c>
      <c r="J349" s="9">
        <f t="shared" si="51"/>
        <v>23.6</v>
      </c>
    </row>
    <row r="350" spans="1:10" s="26" customFormat="1" hidden="1" x14ac:dyDescent="0.2">
      <c r="A350" s="24" t="s">
        <v>17</v>
      </c>
      <c r="B350" s="5">
        <v>148</v>
      </c>
      <c r="C350" s="24" t="s">
        <v>5</v>
      </c>
      <c r="D350" s="5">
        <v>101.6</v>
      </c>
      <c r="E350" s="5">
        <v>45.5</v>
      </c>
      <c r="F350" s="5">
        <v>3</v>
      </c>
      <c r="G350" s="25"/>
      <c r="H350" s="8">
        <f t="shared" si="49"/>
        <v>203.2</v>
      </c>
      <c r="I350" s="8">
        <f t="shared" si="50"/>
        <v>91</v>
      </c>
      <c r="J350" s="9">
        <f t="shared" si="51"/>
        <v>6</v>
      </c>
    </row>
    <row r="351" spans="1:10" hidden="1" x14ac:dyDescent="0.2">
      <c r="A351" s="3" t="s">
        <v>17</v>
      </c>
      <c r="B351" s="5">
        <v>149</v>
      </c>
      <c r="C351" s="3"/>
      <c r="D351" s="4">
        <v>101.6</v>
      </c>
      <c r="E351" s="4">
        <v>54.5</v>
      </c>
      <c r="F351" s="4">
        <v>54.5</v>
      </c>
      <c r="G351" s="21"/>
      <c r="H351" s="8">
        <f t="shared" si="49"/>
        <v>203.2</v>
      </c>
      <c r="I351" s="8">
        <f t="shared" si="50"/>
        <v>109</v>
      </c>
      <c r="J351" s="9">
        <f t="shared" si="51"/>
        <v>109</v>
      </c>
    </row>
    <row r="352" spans="1:10" hidden="1" x14ac:dyDescent="0.2">
      <c r="A352" s="3" t="s">
        <v>17</v>
      </c>
      <c r="B352" s="5">
        <v>150</v>
      </c>
      <c r="C352" s="3" t="s">
        <v>3</v>
      </c>
      <c r="D352" s="4">
        <v>101.6</v>
      </c>
      <c r="E352" s="4">
        <v>48.4</v>
      </c>
      <c r="F352" s="4">
        <v>48.4</v>
      </c>
      <c r="G352" s="21"/>
      <c r="H352" s="8">
        <f t="shared" si="49"/>
        <v>203.2</v>
      </c>
      <c r="I352" s="8">
        <f t="shared" si="50"/>
        <v>96.8</v>
      </c>
      <c r="J352" s="9">
        <f t="shared" si="51"/>
        <v>96.8</v>
      </c>
    </row>
    <row r="353" spans="1:10" hidden="1" x14ac:dyDescent="0.2">
      <c r="A353" s="3" t="s">
        <v>17</v>
      </c>
      <c r="B353" s="5">
        <v>153</v>
      </c>
      <c r="C353" s="3"/>
      <c r="D353" s="4">
        <v>101.6</v>
      </c>
      <c r="E353" s="4">
        <v>39.6</v>
      </c>
      <c r="F353" s="4">
        <v>39.6</v>
      </c>
      <c r="G353" s="21"/>
      <c r="H353" s="8">
        <f t="shared" si="49"/>
        <v>203.2</v>
      </c>
      <c r="I353" s="8">
        <f t="shared" si="50"/>
        <v>79.2</v>
      </c>
      <c r="J353" s="9">
        <f t="shared" si="51"/>
        <v>79.2</v>
      </c>
    </row>
    <row r="354" spans="1:10" hidden="1" x14ac:dyDescent="0.2">
      <c r="A354" s="3" t="s">
        <v>17</v>
      </c>
      <c r="B354" s="5">
        <v>154</v>
      </c>
      <c r="C354" s="3"/>
      <c r="D354" s="4">
        <v>101.6</v>
      </c>
      <c r="E354" s="4">
        <v>37.6</v>
      </c>
      <c r="F354" s="4">
        <v>37.6</v>
      </c>
      <c r="G354" s="21"/>
      <c r="H354" s="8">
        <f t="shared" si="49"/>
        <v>203.2</v>
      </c>
      <c r="I354" s="8">
        <f t="shared" si="50"/>
        <v>75.2</v>
      </c>
      <c r="J354" s="9">
        <f t="shared" si="51"/>
        <v>75.2</v>
      </c>
    </row>
    <row r="355" spans="1:10" hidden="1" x14ac:dyDescent="0.2">
      <c r="A355" s="3" t="s">
        <v>17</v>
      </c>
      <c r="B355" s="5">
        <v>203</v>
      </c>
      <c r="C355" s="3"/>
      <c r="D355" s="4">
        <v>101.6</v>
      </c>
      <c r="E355" s="4">
        <v>36</v>
      </c>
      <c r="F355" s="4">
        <v>36</v>
      </c>
      <c r="G355" s="21"/>
      <c r="H355" s="8">
        <f t="shared" si="49"/>
        <v>203.2</v>
      </c>
      <c r="I355" s="8">
        <f t="shared" si="50"/>
        <v>72</v>
      </c>
      <c r="J355" s="9">
        <f t="shared" si="51"/>
        <v>72</v>
      </c>
    </row>
    <row r="356" spans="1:10" hidden="1" x14ac:dyDescent="0.2">
      <c r="A356" s="3" t="s">
        <v>17</v>
      </c>
      <c r="B356" s="5">
        <v>284</v>
      </c>
      <c r="C356" s="3" t="s">
        <v>18</v>
      </c>
      <c r="D356" s="4">
        <v>101.6</v>
      </c>
      <c r="E356" s="4">
        <v>47.7</v>
      </c>
      <c r="F356" s="4">
        <v>47.7</v>
      </c>
      <c r="G356" s="21"/>
      <c r="H356" s="8">
        <f t="shared" si="49"/>
        <v>203.2</v>
      </c>
      <c r="I356" s="8">
        <f t="shared" si="50"/>
        <v>95.4</v>
      </c>
      <c r="J356" s="9">
        <f t="shared" si="51"/>
        <v>95.4</v>
      </c>
    </row>
    <row r="357" spans="1:10" hidden="1" x14ac:dyDescent="0.2">
      <c r="A357" s="3" t="s">
        <v>17</v>
      </c>
      <c r="B357" s="5">
        <v>284</v>
      </c>
      <c r="C357" s="3" t="s">
        <v>3</v>
      </c>
      <c r="D357" s="4">
        <v>101.6</v>
      </c>
      <c r="E357" s="4">
        <v>47.7</v>
      </c>
      <c r="F357" s="4">
        <v>47.7</v>
      </c>
      <c r="G357" s="21"/>
      <c r="H357" s="8">
        <f t="shared" si="49"/>
        <v>203.2</v>
      </c>
      <c r="I357" s="8">
        <f t="shared" si="50"/>
        <v>95.4</v>
      </c>
      <c r="J357" s="9">
        <f t="shared" si="51"/>
        <v>95.4</v>
      </c>
    </row>
    <row r="358" spans="1:10" s="26" customFormat="1" hidden="1" x14ac:dyDescent="0.2">
      <c r="A358" s="24" t="s">
        <v>17</v>
      </c>
      <c r="B358" s="5">
        <v>36</v>
      </c>
      <c r="C358" s="24"/>
      <c r="D358" s="5">
        <v>101.6</v>
      </c>
      <c r="E358" s="5">
        <v>47.4</v>
      </c>
      <c r="F358" s="5">
        <v>0</v>
      </c>
      <c r="G358" s="25"/>
      <c r="H358" s="8">
        <f t="shared" ref="H358" si="52">D358*2</f>
        <v>203.2</v>
      </c>
      <c r="I358" s="8">
        <f t="shared" ref="I358" si="53">E358*2</f>
        <v>94.8</v>
      </c>
      <c r="J358" s="9">
        <f t="shared" ref="J358" si="54">F358*2</f>
        <v>0</v>
      </c>
    </row>
    <row r="359" spans="1:10" s="26" customFormat="1" hidden="1" x14ac:dyDescent="0.2">
      <c r="A359" s="24" t="s">
        <v>17</v>
      </c>
      <c r="B359" s="5">
        <v>628</v>
      </c>
      <c r="C359" s="24" t="s">
        <v>18</v>
      </c>
      <c r="D359" s="5">
        <v>101.6</v>
      </c>
      <c r="E359" s="5">
        <v>45</v>
      </c>
      <c r="F359" s="5">
        <v>1.9</v>
      </c>
      <c r="G359" s="25"/>
      <c r="H359" s="8">
        <f t="shared" ref="H359" si="55">D359*2</f>
        <v>203.2</v>
      </c>
      <c r="I359" s="8">
        <f t="shared" ref="I359" si="56">E359*2</f>
        <v>90</v>
      </c>
      <c r="J359" s="9">
        <f t="shared" ref="J359" si="57">F359*2</f>
        <v>3.8</v>
      </c>
    </row>
    <row r="360" spans="1:10" hidden="1" x14ac:dyDescent="0.2">
      <c r="A360" s="6" t="s">
        <v>14</v>
      </c>
      <c r="B360" s="4">
        <v>188</v>
      </c>
      <c r="C360" s="3" t="s">
        <v>3</v>
      </c>
      <c r="D360" s="4">
        <v>42.3</v>
      </c>
      <c r="E360" s="4">
        <v>14.3</v>
      </c>
      <c r="F360" s="16">
        <f t="shared" ref="F360:F371" si="58">E360</f>
        <v>14.3</v>
      </c>
      <c r="G360" s="20"/>
      <c r="H360" s="8">
        <f t="shared" si="49"/>
        <v>84.6</v>
      </c>
      <c r="I360" s="8">
        <f t="shared" si="50"/>
        <v>28.6</v>
      </c>
      <c r="J360" s="9">
        <f t="shared" si="51"/>
        <v>28.6</v>
      </c>
    </row>
    <row r="361" spans="1:10" hidden="1" x14ac:dyDescent="0.2">
      <c r="A361" s="6" t="s">
        <v>14</v>
      </c>
      <c r="B361" s="4">
        <v>195</v>
      </c>
      <c r="C361" s="3" t="s">
        <v>5</v>
      </c>
      <c r="D361" s="4">
        <v>42.3</v>
      </c>
      <c r="E361" s="4">
        <v>16.7</v>
      </c>
      <c r="F361" s="16">
        <f t="shared" si="58"/>
        <v>16.7</v>
      </c>
      <c r="G361" s="20"/>
      <c r="H361" s="8">
        <f t="shared" si="49"/>
        <v>84.6</v>
      </c>
      <c r="I361" s="8">
        <f t="shared" si="50"/>
        <v>33.4</v>
      </c>
      <c r="J361" s="9">
        <f t="shared" si="51"/>
        <v>33.4</v>
      </c>
    </row>
    <row r="362" spans="1:10" hidden="1" x14ac:dyDescent="0.2">
      <c r="A362" s="6" t="s">
        <v>14</v>
      </c>
      <c r="B362" s="4">
        <v>196</v>
      </c>
      <c r="C362" s="3" t="s">
        <v>5</v>
      </c>
      <c r="D362" s="4">
        <v>42.3</v>
      </c>
      <c r="E362" s="4">
        <v>16.899999999999999</v>
      </c>
      <c r="F362" s="16">
        <f t="shared" si="58"/>
        <v>16.899999999999999</v>
      </c>
      <c r="G362" s="20"/>
      <c r="H362" s="8">
        <f t="shared" si="49"/>
        <v>84.6</v>
      </c>
      <c r="I362" s="8">
        <f t="shared" si="50"/>
        <v>33.799999999999997</v>
      </c>
      <c r="J362" s="9">
        <f t="shared" si="51"/>
        <v>33.799999999999997</v>
      </c>
    </row>
    <row r="363" spans="1:10" hidden="1" x14ac:dyDescent="0.2">
      <c r="A363" s="6" t="s">
        <v>14</v>
      </c>
      <c r="B363" s="6">
        <v>591</v>
      </c>
      <c r="C363" s="3"/>
      <c r="D363" s="6">
        <v>42.3</v>
      </c>
      <c r="E363" s="6">
        <v>14</v>
      </c>
      <c r="F363" s="16">
        <f t="shared" si="58"/>
        <v>14</v>
      </c>
      <c r="G363" s="20"/>
      <c r="H363" s="8">
        <f t="shared" si="49"/>
        <v>84.6</v>
      </c>
      <c r="I363" s="8">
        <f t="shared" si="50"/>
        <v>28</v>
      </c>
      <c r="J363" s="9">
        <f t="shared" si="51"/>
        <v>28</v>
      </c>
    </row>
    <row r="364" spans="1:10" hidden="1" x14ac:dyDescent="0.2">
      <c r="A364" s="6" t="s">
        <v>14</v>
      </c>
      <c r="B364" s="6">
        <v>593</v>
      </c>
      <c r="C364" s="3"/>
      <c r="D364" s="6">
        <v>42.3</v>
      </c>
      <c r="E364" s="6">
        <v>15.9</v>
      </c>
      <c r="F364" s="16">
        <f t="shared" si="58"/>
        <v>15.9</v>
      </c>
      <c r="G364" s="20"/>
      <c r="H364" s="8">
        <f t="shared" si="49"/>
        <v>84.6</v>
      </c>
      <c r="I364" s="8">
        <f t="shared" si="50"/>
        <v>31.8</v>
      </c>
      <c r="J364" s="9">
        <f t="shared" si="51"/>
        <v>31.8</v>
      </c>
    </row>
    <row r="365" spans="1:10" hidden="1" x14ac:dyDescent="0.2">
      <c r="A365" s="3" t="s">
        <v>7</v>
      </c>
      <c r="B365" s="4">
        <v>1</v>
      </c>
      <c r="C365" s="3"/>
      <c r="D365" s="4">
        <v>79</v>
      </c>
      <c r="E365" s="4">
        <v>60</v>
      </c>
      <c r="F365" s="16">
        <f t="shared" si="58"/>
        <v>60</v>
      </c>
      <c r="G365" s="20"/>
      <c r="H365" s="8">
        <f t="shared" si="49"/>
        <v>158</v>
      </c>
      <c r="I365" s="8">
        <f t="shared" si="50"/>
        <v>120</v>
      </c>
      <c r="J365" s="9">
        <f t="shared" si="51"/>
        <v>120</v>
      </c>
    </row>
    <row r="366" spans="1:10" hidden="1" x14ac:dyDescent="0.2">
      <c r="A366" s="3" t="s">
        <v>7</v>
      </c>
      <c r="B366" s="4">
        <v>6</v>
      </c>
      <c r="C366" s="3"/>
      <c r="D366" s="4">
        <v>79</v>
      </c>
      <c r="E366" s="4">
        <v>65.3</v>
      </c>
      <c r="F366" s="16">
        <f t="shared" si="58"/>
        <v>65.3</v>
      </c>
      <c r="G366" s="20"/>
      <c r="H366" s="8">
        <f t="shared" si="49"/>
        <v>158</v>
      </c>
      <c r="I366" s="8">
        <f t="shared" si="50"/>
        <v>130.6</v>
      </c>
      <c r="J366" s="9">
        <f t="shared" si="51"/>
        <v>130.6</v>
      </c>
    </row>
    <row r="367" spans="1:10" hidden="1" x14ac:dyDescent="0.2">
      <c r="A367" s="3" t="s">
        <v>7</v>
      </c>
      <c r="B367" s="4">
        <v>7</v>
      </c>
      <c r="C367" s="3"/>
      <c r="D367" s="4">
        <v>79</v>
      </c>
      <c r="E367" s="4">
        <v>69.7</v>
      </c>
      <c r="F367" s="16">
        <f t="shared" si="58"/>
        <v>69.7</v>
      </c>
      <c r="G367" s="20"/>
      <c r="H367" s="8">
        <f t="shared" si="49"/>
        <v>158</v>
      </c>
      <c r="I367" s="8">
        <f t="shared" si="50"/>
        <v>139.4</v>
      </c>
      <c r="J367" s="9">
        <f t="shared" si="51"/>
        <v>139.4</v>
      </c>
    </row>
    <row r="368" spans="1:10" hidden="1" x14ac:dyDescent="0.2">
      <c r="A368" s="24" t="s">
        <v>7</v>
      </c>
      <c r="B368" s="5">
        <v>8</v>
      </c>
      <c r="C368" s="24" t="s">
        <v>2</v>
      </c>
      <c r="D368" s="5">
        <v>79</v>
      </c>
      <c r="E368" s="5">
        <v>54.3</v>
      </c>
      <c r="F368" s="16">
        <v>0</v>
      </c>
      <c r="G368" s="27"/>
      <c r="H368" s="8">
        <f t="shared" si="49"/>
        <v>158</v>
      </c>
      <c r="I368" s="8">
        <f t="shared" si="50"/>
        <v>108.6</v>
      </c>
      <c r="J368" s="9">
        <f t="shared" si="51"/>
        <v>0</v>
      </c>
    </row>
    <row r="369" spans="1:10" hidden="1" x14ac:dyDescent="0.2">
      <c r="A369" s="3" t="s">
        <v>7</v>
      </c>
      <c r="B369" s="4">
        <v>9</v>
      </c>
      <c r="C369" s="3"/>
      <c r="D369" s="4">
        <v>79</v>
      </c>
      <c r="E369" s="4">
        <v>72.8</v>
      </c>
      <c r="F369" s="6">
        <f t="shared" si="58"/>
        <v>72.8</v>
      </c>
      <c r="G369" s="20"/>
      <c r="H369" s="8">
        <f t="shared" si="49"/>
        <v>158</v>
      </c>
      <c r="I369" s="8">
        <f t="shared" si="50"/>
        <v>145.6</v>
      </c>
      <c r="J369" s="9">
        <f t="shared" si="51"/>
        <v>145.6</v>
      </c>
    </row>
    <row r="370" spans="1:10" hidden="1" x14ac:dyDescent="0.2">
      <c r="A370" s="3" t="s">
        <v>7</v>
      </c>
      <c r="B370" s="4">
        <v>11</v>
      </c>
      <c r="C370" s="3"/>
      <c r="D370" s="4">
        <v>79</v>
      </c>
      <c r="E370" s="6">
        <v>67.5</v>
      </c>
      <c r="F370" s="6">
        <f t="shared" si="58"/>
        <v>67.5</v>
      </c>
      <c r="G370" s="20"/>
      <c r="H370" s="8">
        <f t="shared" si="49"/>
        <v>158</v>
      </c>
      <c r="I370" s="8">
        <f t="shared" si="50"/>
        <v>135</v>
      </c>
      <c r="J370" s="9">
        <f t="shared" si="51"/>
        <v>135</v>
      </c>
    </row>
    <row r="371" spans="1:10" hidden="1" x14ac:dyDescent="0.2">
      <c r="A371" s="3" t="s">
        <v>7</v>
      </c>
      <c r="B371" s="4">
        <v>12</v>
      </c>
      <c r="C371" s="3"/>
      <c r="D371" s="4">
        <v>79</v>
      </c>
      <c r="E371" s="4">
        <v>60</v>
      </c>
      <c r="F371" s="6">
        <f t="shared" si="58"/>
        <v>60</v>
      </c>
      <c r="G371" s="20"/>
      <c r="H371" s="8">
        <f t="shared" si="49"/>
        <v>158</v>
      </c>
      <c r="I371" s="8">
        <f t="shared" si="50"/>
        <v>120</v>
      </c>
      <c r="J371" s="9">
        <f t="shared" si="51"/>
        <v>120</v>
      </c>
    </row>
    <row r="372" spans="1:10" hidden="1" x14ac:dyDescent="0.2">
      <c r="A372" s="3" t="s">
        <v>7</v>
      </c>
      <c r="B372" s="4">
        <v>152</v>
      </c>
      <c r="C372" s="3" t="s">
        <v>5</v>
      </c>
      <c r="D372" s="4">
        <v>79</v>
      </c>
      <c r="E372" s="4">
        <v>71.3</v>
      </c>
      <c r="F372" s="4">
        <v>71.3</v>
      </c>
      <c r="G372" s="21"/>
      <c r="H372" s="8">
        <f t="shared" si="49"/>
        <v>158</v>
      </c>
      <c r="I372" s="8">
        <f t="shared" si="50"/>
        <v>142.6</v>
      </c>
      <c r="J372" s="9">
        <f t="shared" si="51"/>
        <v>142.6</v>
      </c>
    </row>
    <row r="373" spans="1:10" hidden="1" x14ac:dyDescent="0.2">
      <c r="A373" s="3" t="s">
        <v>7</v>
      </c>
      <c r="B373" s="4">
        <v>153</v>
      </c>
      <c r="C373" s="3" t="s">
        <v>5</v>
      </c>
      <c r="D373" s="4">
        <v>79</v>
      </c>
      <c r="E373" s="4">
        <v>64</v>
      </c>
      <c r="F373" s="4">
        <v>64</v>
      </c>
      <c r="G373" s="21"/>
      <c r="H373" s="8">
        <f t="shared" si="49"/>
        <v>158</v>
      </c>
      <c r="I373" s="8">
        <f t="shared" si="50"/>
        <v>128</v>
      </c>
      <c r="J373" s="9">
        <f t="shared" si="51"/>
        <v>128</v>
      </c>
    </row>
    <row r="374" spans="1:10" hidden="1" x14ac:dyDescent="0.2">
      <c r="A374" s="3" t="s">
        <v>7</v>
      </c>
      <c r="B374" s="4">
        <v>154</v>
      </c>
      <c r="C374" s="3" t="s">
        <v>5</v>
      </c>
      <c r="D374" s="4">
        <v>79</v>
      </c>
      <c r="E374" s="4">
        <v>65.099999999999994</v>
      </c>
      <c r="F374" s="4">
        <v>65.099999999999994</v>
      </c>
      <c r="G374" s="21"/>
      <c r="H374" s="8">
        <f t="shared" si="49"/>
        <v>158</v>
      </c>
      <c r="I374" s="8">
        <f t="shared" si="50"/>
        <v>130.19999999999999</v>
      </c>
      <c r="J374" s="9">
        <f t="shared" si="51"/>
        <v>130.19999999999999</v>
      </c>
    </row>
    <row r="375" spans="1:10" hidden="1" x14ac:dyDescent="0.2">
      <c r="A375" s="3" t="s">
        <v>7</v>
      </c>
      <c r="B375" s="4">
        <v>157</v>
      </c>
      <c r="C375" s="3" t="s">
        <v>5</v>
      </c>
      <c r="D375" s="4">
        <v>79</v>
      </c>
      <c r="E375" s="4">
        <v>66.7</v>
      </c>
      <c r="F375" s="6">
        <f>E375</f>
        <v>66.7</v>
      </c>
      <c r="G375" s="20"/>
      <c r="H375" s="8">
        <f t="shared" si="49"/>
        <v>158</v>
      </c>
      <c r="I375" s="8">
        <f t="shared" si="50"/>
        <v>133.4</v>
      </c>
      <c r="J375" s="9">
        <f t="shared" si="51"/>
        <v>133.4</v>
      </c>
    </row>
    <row r="376" spans="1:10" hidden="1" x14ac:dyDescent="0.2">
      <c r="A376" s="3" t="s">
        <v>7</v>
      </c>
      <c r="B376" s="4">
        <v>158</v>
      </c>
      <c r="C376" s="3" t="s">
        <v>5</v>
      </c>
      <c r="D376" s="4">
        <v>79</v>
      </c>
      <c r="E376" s="4">
        <v>75.900000000000006</v>
      </c>
      <c r="F376" s="4">
        <v>75.900000000000006</v>
      </c>
      <c r="G376" s="21"/>
      <c r="H376" s="8">
        <f t="shared" si="49"/>
        <v>158</v>
      </c>
      <c r="I376" s="8">
        <f t="shared" si="50"/>
        <v>151.80000000000001</v>
      </c>
      <c r="J376" s="9">
        <f t="shared" si="51"/>
        <v>151.80000000000001</v>
      </c>
    </row>
    <row r="377" spans="1:10" hidden="1" x14ac:dyDescent="0.2">
      <c r="A377" s="3" t="s">
        <v>7</v>
      </c>
      <c r="B377" s="4">
        <v>160</v>
      </c>
      <c r="C377" s="3" t="s">
        <v>5</v>
      </c>
      <c r="D377" s="4">
        <v>79</v>
      </c>
      <c r="E377" s="4">
        <v>67.099999999999994</v>
      </c>
      <c r="F377" s="4">
        <v>67.099999999999994</v>
      </c>
      <c r="G377" s="21"/>
      <c r="H377" s="8">
        <f t="shared" si="49"/>
        <v>158</v>
      </c>
      <c r="I377" s="8">
        <f t="shared" si="50"/>
        <v>134.19999999999999</v>
      </c>
      <c r="J377" s="9">
        <f t="shared" si="51"/>
        <v>134.19999999999999</v>
      </c>
    </row>
    <row r="378" spans="1:10" hidden="1" x14ac:dyDescent="0.2">
      <c r="A378" s="3" t="s">
        <v>7</v>
      </c>
      <c r="B378" s="4">
        <v>165</v>
      </c>
      <c r="C378" s="3" t="s">
        <v>5</v>
      </c>
      <c r="D378" s="4">
        <v>79</v>
      </c>
      <c r="E378" s="4">
        <v>63.06</v>
      </c>
      <c r="F378" s="4">
        <v>63.06</v>
      </c>
      <c r="G378" s="21"/>
      <c r="H378" s="8">
        <f t="shared" si="49"/>
        <v>158</v>
      </c>
      <c r="I378" s="8">
        <f t="shared" si="50"/>
        <v>126.12</v>
      </c>
      <c r="J378" s="9">
        <f t="shared" si="51"/>
        <v>126.12</v>
      </c>
    </row>
    <row r="379" spans="1:10" hidden="1" x14ac:dyDescent="0.2">
      <c r="A379" s="3" t="s">
        <v>7</v>
      </c>
      <c r="B379" s="4">
        <v>182</v>
      </c>
      <c r="C379" s="3" t="s">
        <v>3</v>
      </c>
      <c r="D379" s="4">
        <v>79</v>
      </c>
      <c r="E379" s="4">
        <v>73</v>
      </c>
      <c r="F379" s="4">
        <v>73</v>
      </c>
      <c r="G379" s="21"/>
      <c r="H379" s="8">
        <f t="shared" si="49"/>
        <v>158</v>
      </c>
      <c r="I379" s="8">
        <f t="shared" si="50"/>
        <v>146</v>
      </c>
      <c r="J379" s="9">
        <f t="shared" si="51"/>
        <v>146</v>
      </c>
    </row>
    <row r="380" spans="1:10" hidden="1" x14ac:dyDescent="0.2">
      <c r="A380" s="3" t="s">
        <v>7</v>
      </c>
      <c r="B380" s="4">
        <v>183</v>
      </c>
      <c r="C380" s="3" t="s">
        <v>5</v>
      </c>
      <c r="D380" s="4">
        <v>79</v>
      </c>
      <c r="E380" s="4">
        <v>72.099999999999994</v>
      </c>
      <c r="F380" s="4">
        <v>72.099999999999994</v>
      </c>
      <c r="G380" s="21"/>
      <c r="H380" s="8">
        <f t="shared" si="49"/>
        <v>158</v>
      </c>
      <c r="I380" s="8">
        <f t="shared" si="50"/>
        <v>144.19999999999999</v>
      </c>
      <c r="J380" s="9">
        <f t="shared" si="51"/>
        <v>144.19999999999999</v>
      </c>
    </row>
    <row r="381" spans="1:10" hidden="1" x14ac:dyDescent="0.2">
      <c r="A381" s="3" t="s">
        <v>7</v>
      </c>
      <c r="B381" s="4">
        <v>300</v>
      </c>
      <c r="C381" s="3" t="s">
        <v>5</v>
      </c>
      <c r="D381" s="4">
        <v>79</v>
      </c>
      <c r="E381" s="4">
        <v>70.2</v>
      </c>
      <c r="F381" s="4">
        <v>70.2</v>
      </c>
      <c r="G381" s="21"/>
      <c r="H381" s="8">
        <f t="shared" si="49"/>
        <v>158</v>
      </c>
      <c r="I381" s="8">
        <f t="shared" si="50"/>
        <v>140.4</v>
      </c>
      <c r="J381" s="9">
        <f t="shared" si="51"/>
        <v>140.4</v>
      </c>
    </row>
    <row r="382" spans="1:10" hidden="1" x14ac:dyDescent="0.2">
      <c r="A382" s="3" t="s">
        <v>7</v>
      </c>
      <c r="B382" s="4">
        <v>301</v>
      </c>
      <c r="C382" s="3" t="s">
        <v>5</v>
      </c>
      <c r="D382" s="4">
        <v>79</v>
      </c>
      <c r="E382" s="4">
        <v>69.2</v>
      </c>
      <c r="F382" s="6">
        <f>E382</f>
        <v>69.2</v>
      </c>
      <c r="G382" s="20"/>
      <c r="H382" s="8">
        <f t="shared" si="49"/>
        <v>158</v>
      </c>
      <c r="I382" s="8">
        <f t="shared" si="50"/>
        <v>138.4</v>
      </c>
      <c r="J382" s="9">
        <f t="shared" si="51"/>
        <v>138.4</v>
      </c>
    </row>
    <row r="383" spans="1:10" hidden="1" x14ac:dyDescent="0.2">
      <c r="A383" s="3" t="s">
        <v>7</v>
      </c>
      <c r="B383" s="4">
        <v>303</v>
      </c>
      <c r="C383" s="3" t="s">
        <v>5</v>
      </c>
      <c r="D383" s="4">
        <v>79</v>
      </c>
      <c r="E383" s="4">
        <v>68.8</v>
      </c>
      <c r="F383" s="4">
        <v>68.8</v>
      </c>
      <c r="G383" s="21"/>
      <c r="H383" s="8">
        <f t="shared" si="49"/>
        <v>158</v>
      </c>
      <c r="I383" s="8">
        <f t="shared" si="50"/>
        <v>137.6</v>
      </c>
      <c r="J383" s="9">
        <f t="shared" si="51"/>
        <v>137.6</v>
      </c>
    </row>
    <row r="384" spans="1:10" hidden="1" x14ac:dyDescent="0.2">
      <c r="A384" s="3" t="s">
        <v>7</v>
      </c>
      <c r="B384" s="4">
        <v>300</v>
      </c>
      <c r="C384" s="3" t="s">
        <v>18</v>
      </c>
      <c r="D384" s="4">
        <v>98.8</v>
      </c>
      <c r="E384" s="4">
        <v>51.9</v>
      </c>
      <c r="F384" s="4">
        <v>51.9</v>
      </c>
      <c r="G384" s="21"/>
      <c r="H384" s="8">
        <f>D384*2</f>
        <v>197.6</v>
      </c>
      <c r="I384" s="8">
        <f>E384*2</f>
        <v>103.8</v>
      </c>
      <c r="J384" s="9">
        <f t="shared" ref="J384" si="59">F384*2</f>
        <v>103.8</v>
      </c>
    </row>
    <row r="385" spans="1:10" hidden="1" x14ac:dyDescent="0.2">
      <c r="A385" s="3" t="s">
        <v>6</v>
      </c>
      <c r="B385" s="4">
        <v>1</v>
      </c>
      <c r="C385" s="3"/>
      <c r="D385" s="4">
        <v>74.8</v>
      </c>
      <c r="E385" s="4">
        <v>40.159999999999997</v>
      </c>
      <c r="F385" s="4">
        <v>40.159999999999997</v>
      </c>
      <c r="G385" s="21"/>
      <c r="H385" s="8">
        <f t="shared" si="49"/>
        <v>149.6</v>
      </c>
      <c r="I385" s="8">
        <f t="shared" si="50"/>
        <v>80.319999999999993</v>
      </c>
      <c r="J385" s="9">
        <f t="shared" si="51"/>
        <v>80.319999999999993</v>
      </c>
    </row>
    <row r="386" spans="1:10" hidden="1" x14ac:dyDescent="0.2">
      <c r="A386" s="3" t="s">
        <v>6</v>
      </c>
      <c r="B386" s="6">
        <v>2</v>
      </c>
      <c r="C386" s="3"/>
      <c r="D386" s="4">
        <v>77.7</v>
      </c>
      <c r="E386" s="4">
        <v>0.3</v>
      </c>
      <c r="F386" s="6">
        <f t="shared" ref="F386:F392" si="60">E386</f>
        <v>0.3</v>
      </c>
      <c r="G386" s="20"/>
      <c r="H386" s="8">
        <f t="shared" si="49"/>
        <v>155.4</v>
      </c>
      <c r="I386" s="8">
        <f t="shared" si="50"/>
        <v>0.6</v>
      </c>
      <c r="J386" s="9">
        <f t="shared" si="51"/>
        <v>0.6</v>
      </c>
    </row>
    <row r="387" spans="1:10" hidden="1" x14ac:dyDescent="0.2">
      <c r="A387" s="3" t="s">
        <v>6</v>
      </c>
      <c r="B387" s="6">
        <v>3</v>
      </c>
      <c r="C387" s="3"/>
      <c r="D387" s="4">
        <v>80.5</v>
      </c>
      <c r="E387" s="4">
        <v>4.8</v>
      </c>
      <c r="F387" s="6">
        <f t="shared" si="60"/>
        <v>4.8</v>
      </c>
      <c r="G387" s="20"/>
      <c r="H387" s="8">
        <f t="shared" si="49"/>
        <v>161</v>
      </c>
      <c r="I387" s="8">
        <f t="shared" si="50"/>
        <v>9.6</v>
      </c>
      <c r="J387" s="9">
        <f t="shared" si="51"/>
        <v>9.6</v>
      </c>
    </row>
    <row r="388" spans="1:10" hidden="1" x14ac:dyDescent="0.2">
      <c r="A388" s="3" t="s">
        <v>6</v>
      </c>
      <c r="B388" s="6">
        <v>4</v>
      </c>
      <c r="C388" s="3"/>
      <c r="D388" s="4">
        <v>76.099999999999994</v>
      </c>
      <c r="E388" s="4">
        <v>0.8</v>
      </c>
      <c r="F388" s="6">
        <f t="shared" si="60"/>
        <v>0.8</v>
      </c>
      <c r="G388" s="20"/>
      <c r="H388" s="8">
        <f t="shared" si="49"/>
        <v>152.19999999999999</v>
      </c>
      <c r="I388" s="8">
        <f t="shared" si="50"/>
        <v>1.6</v>
      </c>
      <c r="J388" s="9">
        <f t="shared" si="51"/>
        <v>1.6</v>
      </c>
    </row>
    <row r="389" spans="1:10" hidden="1" x14ac:dyDescent="0.2">
      <c r="A389" s="3" t="s">
        <v>6</v>
      </c>
      <c r="B389" s="6">
        <v>4</v>
      </c>
      <c r="C389" s="3" t="s">
        <v>2</v>
      </c>
      <c r="D389" s="4">
        <v>72.7</v>
      </c>
      <c r="E389" s="4">
        <v>0.6</v>
      </c>
      <c r="F389" s="6">
        <f t="shared" si="60"/>
        <v>0.6</v>
      </c>
      <c r="G389" s="20"/>
      <c r="H389" s="8">
        <f t="shared" si="49"/>
        <v>145.4</v>
      </c>
      <c r="I389" s="8">
        <f t="shared" si="50"/>
        <v>1.2</v>
      </c>
      <c r="J389" s="9">
        <f t="shared" si="51"/>
        <v>1.2</v>
      </c>
    </row>
    <row r="390" spans="1:10" hidden="1" x14ac:dyDescent="0.2">
      <c r="A390" s="3" t="s">
        <v>6</v>
      </c>
      <c r="B390" s="6">
        <v>5</v>
      </c>
      <c r="C390" s="3"/>
      <c r="D390" s="4">
        <v>78.8</v>
      </c>
      <c r="E390" s="4">
        <v>0.3</v>
      </c>
      <c r="F390" s="6">
        <f t="shared" si="60"/>
        <v>0.3</v>
      </c>
      <c r="G390" s="20"/>
      <c r="H390" s="8">
        <f t="shared" si="49"/>
        <v>157.6</v>
      </c>
      <c r="I390" s="8">
        <f t="shared" si="50"/>
        <v>0.6</v>
      </c>
      <c r="J390" s="9">
        <f t="shared" si="51"/>
        <v>0.6</v>
      </c>
    </row>
    <row r="391" spans="1:10" hidden="1" x14ac:dyDescent="0.2">
      <c r="A391" s="3" t="s">
        <v>6</v>
      </c>
      <c r="B391" s="6">
        <v>6</v>
      </c>
      <c r="C391" s="3"/>
      <c r="D391" s="4">
        <v>80.5</v>
      </c>
      <c r="E391" s="4">
        <v>5.3</v>
      </c>
      <c r="F391" s="6">
        <f t="shared" si="60"/>
        <v>5.3</v>
      </c>
      <c r="G391" s="20"/>
      <c r="H391" s="8">
        <f t="shared" si="49"/>
        <v>161</v>
      </c>
      <c r="I391" s="8">
        <f t="shared" si="50"/>
        <v>10.6</v>
      </c>
      <c r="J391" s="9">
        <f t="shared" si="51"/>
        <v>10.6</v>
      </c>
    </row>
    <row r="392" spans="1:10" hidden="1" x14ac:dyDescent="0.2">
      <c r="A392" s="3" t="s">
        <v>6</v>
      </c>
      <c r="B392" s="6">
        <v>7</v>
      </c>
      <c r="C392" s="3"/>
      <c r="D392" s="4">
        <v>79</v>
      </c>
      <c r="E392" s="4">
        <v>1.5</v>
      </c>
      <c r="F392" s="6">
        <f t="shared" si="60"/>
        <v>1.5</v>
      </c>
      <c r="G392" s="20"/>
      <c r="H392" s="8">
        <f t="shared" si="49"/>
        <v>158</v>
      </c>
      <c r="I392" s="8">
        <f t="shared" si="50"/>
        <v>3</v>
      </c>
      <c r="J392" s="9">
        <f t="shared" si="51"/>
        <v>3</v>
      </c>
    </row>
    <row r="393" spans="1:10" hidden="1" x14ac:dyDescent="0.2">
      <c r="A393" s="3" t="s">
        <v>6</v>
      </c>
      <c r="B393" s="4">
        <v>8</v>
      </c>
      <c r="C393" s="3"/>
      <c r="D393" s="4">
        <v>78.099999999999994</v>
      </c>
      <c r="E393" s="4">
        <v>3</v>
      </c>
      <c r="F393" s="4">
        <v>3</v>
      </c>
      <c r="G393" s="21"/>
      <c r="H393" s="8">
        <f t="shared" si="49"/>
        <v>156.19999999999999</v>
      </c>
      <c r="I393" s="8">
        <f t="shared" si="50"/>
        <v>6</v>
      </c>
      <c r="J393" s="9">
        <f t="shared" si="51"/>
        <v>6</v>
      </c>
    </row>
    <row r="394" spans="1:10" hidden="1" x14ac:dyDescent="0.2">
      <c r="A394" s="3" t="s">
        <v>6</v>
      </c>
      <c r="B394" s="6">
        <v>9</v>
      </c>
      <c r="C394" s="3"/>
      <c r="D394" s="4">
        <v>78.099999999999994</v>
      </c>
      <c r="E394" s="4">
        <v>1.8</v>
      </c>
      <c r="F394" s="6">
        <f>E394</f>
        <v>1.8</v>
      </c>
      <c r="G394" s="20"/>
      <c r="H394" s="8">
        <f t="shared" si="49"/>
        <v>156.19999999999999</v>
      </c>
      <c r="I394" s="8">
        <f t="shared" si="50"/>
        <v>3.6</v>
      </c>
      <c r="J394" s="9">
        <f t="shared" si="51"/>
        <v>3.6</v>
      </c>
    </row>
    <row r="395" spans="1:10" hidden="1" x14ac:dyDescent="0.2">
      <c r="A395" s="3" t="s">
        <v>6</v>
      </c>
      <c r="B395" s="6">
        <v>10</v>
      </c>
      <c r="C395" s="3"/>
      <c r="D395" s="4">
        <v>80.5</v>
      </c>
      <c r="E395" s="4">
        <v>1.9</v>
      </c>
      <c r="F395" s="6">
        <f>E395</f>
        <v>1.9</v>
      </c>
      <c r="G395" s="20"/>
      <c r="H395" s="8">
        <f t="shared" si="49"/>
        <v>161</v>
      </c>
      <c r="I395" s="8">
        <f t="shared" si="50"/>
        <v>3.8</v>
      </c>
      <c r="J395" s="9">
        <f t="shared" si="51"/>
        <v>3.8</v>
      </c>
    </row>
    <row r="396" spans="1:10" hidden="1" x14ac:dyDescent="0.2">
      <c r="A396" s="3" t="s">
        <v>6</v>
      </c>
      <c r="B396" s="6">
        <v>12</v>
      </c>
      <c r="C396" s="3"/>
      <c r="D396" s="4">
        <v>79</v>
      </c>
      <c r="E396" s="4">
        <v>1.9</v>
      </c>
      <c r="F396" s="6">
        <f>E396</f>
        <v>1.9</v>
      </c>
      <c r="G396" s="20"/>
      <c r="H396" s="8">
        <f t="shared" si="49"/>
        <v>158</v>
      </c>
      <c r="I396" s="8">
        <f t="shared" si="50"/>
        <v>3.8</v>
      </c>
      <c r="J396" s="9">
        <f t="shared" si="51"/>
        <v>3.8</v>
      </c>
    </row>
    <row r="397" spans="1:10" hidden="1" x14ac:dyDescent="0.2">
      <c r="A397" s="3" t="s">
        <v>6</v>
      </c>
      <c r="B397" s="4">
        <v>13</v>
      </c>
      <c r="C397" s="3"/>
      <c r="D397" s="4">
        <v>82.4</v>
      </c>
      <c r="E397" s="4">
        <v>1.2</v>
      </c>
      <c r="F397" s="4">
        <v>1.2</v>
      </c>
      <c r="G397" s="21"/>
      <c r="H397" s="8">
        <f t="shared" si="49"/>
        <v>164.8</v>
      </c>
      <c r="I397" s="8">
        <f t="shared" si="50"/>
        <v>2.4</v>
      </c>
      <c r="J397" s="9">
        <f t="shared" si="51"/>
        <v>2.4</v>
      </c>
    </row>
    <row r="398" spans="1:10" hidden="1" x14ac:dyDescent="0.2">
      <c r="A398" s="3" t="s">
        <v>6</v>
      </c>
      <c r="B398" s="4">
        <v>13</v>
      </c>
      <c r="C398" s="3" t="s">
        <v>2</v>
      </c>
      <c r="D398" s="4">
        <v>83.2</v>
      </c>
      <c r="E398" s="4">
        <v>0.4</v>
      </c>
      <c r="F398" s="6">
        <f>E398</f>
        <v>0.4</v>
      </c>
      <c r="G398" s="20"/>
      <c r="H398" s="8">
        <f t="shared" si="49"/>
        <v>166.4</v>
      </c>
      <c r="I398" s="8">
        <f t="shared" si="50"/>
        <v>0.8</v>
      </c>
      <c r="J398" s="9">
        <f t="shared" si="51"/>
        <v>0.8</v>
      </c>
    </row>
    <row r="399" spans="1:10" hidden="1" x14ac:dyDescent="0.2">
      <c r="A399" s="3" t="s">
        <v>6</v>
      </c>
      <c r="B399" s="6">
        <v>14</v>
      </c>
      <c r="C399" s="3"/>
      <c r="D399" s="4">
        <v>82.4</v>
      </c>
      <c r="E399" s="4">
        <v>1.5</v>
      </c>
      <c r="F399" s="6">
        <f>E399</f>
        <v>1.5</v>
      </c>
      <c r="G399" s="20"/>
      <c r="H399" s="8">
        <f t="shared" si="49"/>
        <v>164.8</v>
      </c>
      <c r="I399" s="8">
        <f t="shared" si="50"/>
        <v>3</v>
      </c>
      <c r="J399" s="9">
        <f t="shared" si="51"/>
        <v>3</v>
      </c>
    </row>
    <row r="400" spans="1:10" hidden="1" x14ac:dyDescent="0.2">
      <c r="A400" s="3" t="s">
        <v>6</v>
      </c>
      <c r="B400" s="6">
        <v>15</v>
      </c>
      <c r="C400" s="3"/>
      <c r="D400" s="4">
        <v>80.5</v>
      </c>
      <c r="E400" s="4">
        <v>3.7</v>
      </c>
      <c r="F400" s="6">
        <f>E400</f>
        <v>3.7</v>
      </c>
      <c r="G400" s="20"/>
      <c r="H400" s="8">
        <f t="shared" si="49"/>
        <v>161</v>
      </c>
      <c r="I400" s="8">
        <f t="shared" si="50"/>
        <v>7.4</v>
      </c>
      <c r="J400" s="9">
        <f t="shared" si="51"/>
        <v>7.4</v>
      </c>
    </row>
    <row r="401" spans="1:10" hidden="1" x14ac:dyDescent="0.2">
      <c r="A401" s="3" t="s">
        <v>6</v>
      </c>
      <c r="B401" s="4">
        <v>17</v>
      </c>
      <c r="C401" s="3"/>
      <c r="D401" s="4">
        <v>79</v>
      </c>
      <c r="E401" s="4">
        <v>3.6</v>
      </c>
      <c r="F401" s="4">
        <v>3.6</v>
      </c>
      <c r="G401" s="21"/>
      <c r="H401" s="8">
        <f t="shared" si="49"/>
        <v>158</v>
      </c>
      <c r="I401" s="8">
        <f t="shared" si="50"/>
        <v>7.2</v>
      </c>
      <c r="J401" s="9">
        <f t="shared" si="51"/>
        <v>7.2</v>
      </c>
    </row>
    <row r="402" spans="1:10" hidden="1" x14ac:dyDescent="0.2">
      <c r="A402" s="3" t="s">
        <v>6</v>
      </c>
      <c r="B402" s="4">
        <v>18</v>
      </c>
      <c r="C402" s="3"/>
      <c r="D402" s="4">
        <v>79</v>
      </c>
      <c r="E402" s="4">
        <v>3.5</v>
      </c>
      <c r="F402" s="4">
        <v>3.5</v>
      </c>
      <c r="G402" s="21"/>
      <c r="H402" s="8">
        <f t="shared" si="49"/>
        <v>158</v>
      </c>
      <c r="I402" s="8">
        <f t="shared" si="50"/>
        <v>7</v>
      </c>
      <c r="J402" s="9">
        <f t="shared" si="51"/>
        <v>7</v>
      </c>
    </row>
    <row r="403" spans="1:10" s="26" customFormat="1" hidden="1" x14ac:dyDescent="0.2">
      <c r="A403" s="24" t="s">
        <v>6</v>
      </c>
      <c r="B403" s="5">
        <v>19</v>
      </c>
      <c r="C403" s="24"/>
      <c r="D403" s="5">
        <v>86.9</v>
      </c>
      <c r="E403" s="5">
        <v>0.4</v>
      </c>
      <c r="F403" s="5">
        <v>0</v>
      </c>
      <c r="G403" s="25"/>
      <c r="H403" s="8">
        <f t="shared" ref="H403" si="61">D403*2</f>
        <v>173.8</v>
      </c>
      <c r="I403" s="8">
        <f t="shared" ref="I403" si="62">E403*2</f>
        <v>0.8</v>
      </c>
      <c r="J403" s="9">
        <f t="shared" ref="J403" si="63">F403*2</f>
        <v>0</v>
      </c>
    </row>
    <row r="404" spans="1:10" hidden="1" x14ac:dyDescent="0.2">
      <c r="A404" s="3" t="s">
        <v>6</v>
      </c>
      <c r="B404" s="4">
        <v>19</v>
      </c>
      <c r="C404" s="3" t="s">
        <v>2</v>
      </c>
      <c r="D404" s="4">
        <v>84.9</v>
      </c>
      <c r="E404" s="4">
        <v>0.7</v>
      </c>
      <c r="F404" s="4">
        <v>0.7</v>
      </c>
      <c r="G404" s="21"/>
      <c r="H404" s="8">
        <f t="shared" si="49"/>
        <v>169.8</v>
      </c>
      <c r="I404" s="8">
        <f t="shared" si="50"/>
        <v>1.4</v>
      </c>
      <c r="J404" s="9">
        <f t="shared" si="51"/>
        <v>1.4</v>
      </c>
    </row>
    <row r="405" spans="1:10" hidden="1" x14ac:dyDescent="0.2">
      <c r="A405" s="3" t="s">
        <v>6</v>
      </c>
      <c r="B405" s="4">
        <v>20</v>
      </c>
      <c r="C405" s="3"/>
      <c r="D405" s="4">
        <v>85.1</v>
      </c>
      <c r="E405" s="4">
        <v>2.8</v>
      </c>
      <c r="F405" s="4">
        <v>2.8</v>
      </c>
      <c r="G405" s="21"/>
      <c r="H405" s="8">
        <f t="shared" si="49"/>
        <v>170.2</v>
      </c>
      <c r="I405" s="8">
        <f t="shared" si="50"/>
        <v>5.6</v>
      </c>
      <c r="J405" s="9">
        <f t="shared" si="51"/>
        <v>5.6</v>
      </c>
    </row>
    <row r="406" spans="1:10" hidden="1" x14ac:dyDescent="0.2">
      <c r="A406" s="3" t="s">
        <v>6</v>
      </c>
      <c r="B406" s="4">
        <v>22</v>
      </c>
      <c r="C406" s="3"/>
      <c r="D406" s="4">
        <v>86.8</v>
      </c>
      <c r="E406" s="4">
        <v>6.4</v>
      </c>
      <c r="F406" s="4">
        <v>6.4</v>
      </c>
      <c r="G406" s="21"/>
      <c r="H406" s="8">
        <f t="shared" si="49"/>
        <v>173.6</v>
      </c>
      <c r="I406" s="8">
        <f t="shared" si="50"/>
        <v>12.8</v>
      </c>
      <c r="J406" s="9">
        <f t="shared" si="51"/>
        <v>12.8</v>
      </c>
    </row>
    <row r="407" spans="1:10" hidden="1" x14ac:dyDescent="0.2">
      <c r="A407" s="3" t="s">
        <v>6</v>
      </c>
      <c r="B407" s="4">
        <v>23</v>
      </c>
      <c r="C407" s="3"/>
      <c r="D407" s="4">
        <v>79</v>
      </c>
      <c r="E407" s="4">
        <v>4.4000000000000004</v>
      </c>
      <c r="F407" s="4">
        <v>4.4000000000000004</v>
      </c>
      <c r="G407" s="21"/>
      <c r="H407" s="8">
        <f t="shared" si="49"/>
        <v>158</v>
      </c>
      <c r="I407" s="8">
        <f t="shared" si="50"/>
        <v>8.8000000000000007</v>
      </c>
      <c r="J407" s="9">
        <f t="shared" si="51"/>
        <v>8.8000000000000007</v>
      </c>
    </row>
    <row r="408" spans="1:10" hidden="1" x14ac:dyDescent="0.2">
      <c r="A408" s="3" t="s">
        <v>6</v>
      </c>
      <c r="B408" s="4">
        <v>24</v>
      </c>
      <c r="C408" s="3"/>
      <c r="D408" s="4">
        <v>79</v>
      </c>
      <c r="E408" s="4">
        <v>5.2</v>
      </c>
      <c r="F408" s="4">
        <v>5.2</v>
      </c>
      <c r="G408" s="21"/>
      <c r="H408" s="8">
        <f t="shared" si="49"/>
        <v>158</v>
      </c>
      <c r="I408" s="8">
        <f t="shared" si="50"/>
        <v>10.4</v>
      </c>
      <c r="J408" s="9">
        <f t="shared" si="51"/>
        <v>10.4</v>
      </c>
    </row>
    <row r="409" spans="1:10" hidden="1" x14ac:dyDescent="0.2">
      <c r="A409" s="3" t="s">
        <v>6</v>
      </c>
      <c r="B409" s="4">
        <v>24</v>
      </c>
      <c r="C409" s="3" t="s">
        <v>2</v>
      </c>
      <c r="D409" s="4">
        <v>79</v>
      </c>
      <c r="E409" s="4">
        <v>5.2</v>
      </c>
      <c r="F409" s="6">
        <f>E409</f>
        <v>5.2</v>
      </c>
      <c r="G409" s="20"/>
      <c r="H409" s="8">
        <f t="shared" si="49"/>
        <v>158</v>
      </c>
      <c r="I409" s="8">
        <f t="shared" si="50"/>
        <v>10.4</v>
      </c>
      <c r="J409" s="9">
        <f t="shared" si="51"/>
        <v>10.4</v>
      </c>
    </row>
    <row r="410" spans="1:10" hidden="1" x14ac:dyDescent="0.2">
      <c r="A410" s="3" t="s">
        <v>6</v>
      </c>
      <c r="B410" s="4">
        <v>25</v>
      </c>
      <c r="C410" s="3"/>
      <c r="D410" s="4">
        <v>79</v>
      </c>
      <c r="E410" s="4">
        <v>5.4</v>
      </c>
      <c r="F410" s="4">
        <v>5.4</v>
      </c>
      <c r="G410" s="21"/>
      <c r="H410" s="8">
        <f t="shared" si="49"/>
        <v>158</v>
      </c>
      <c r="I410" s="8">
        <f t="shared" si="50"/>
        <v>10.8</v>
      </c>
      <c r="J410" s="9">
        <f t="shared" si="51"/>
        <v>10.8</v>
      </c>
    </row>
    <row r="411" spans="1:10" hidden="1" x14ac:dyDescent="0.2">
      <c r="A411" s="3" t="s">
        <v>6</v>
      </c>
      <c r="B411" s="4">
        <v>25</v>
      </c>
      <c r="C411" s="3" t="s">
        <v>2</v>
      </c>
      <c r="D411" s="4">
        <v>79</v>
      </c>
      <c r="E411" s="4">
        <v>6.1</v>
      </c>
      <c r="F411" s="6">
        <f>E411</f>
        <v>6.1</v>
      </c>
      <c r="G411" s="20"/>
      <c r="H411" s="8">
        <f t="shared" si="49"/>
        <v>158</v>
      </c>
      <c r="I411" s="8">
        <f t="shared" si="50"/>
        <v>12.2</v>
      </c>
      <c r="J411" s="9">
        <f t="shared" si="51"/>
        <v>12.2</v>
      </c>
    </row>
    <row r="412" spans="1:10" hidden="1" x14ac:dyDescent="0.2">
      <c r="A412" s="3" t="s">
        <v>6</v>
      </c>
      <c r="B412" s="4">
        <v>26</v>
      </c>
      <c r="C412" s="3"/>
      <c r="D412" s="4">
        <v>87.6</v>
      </c>
      <c r="E412" s="4">
        <v>0.7</v>
      </c>
      <c r="F412" s="4">
        <v>0.7</v>
      </c>
      <c r="G412" s="21"/>
      <c r="H412" s="8">
        <f t="shared" si="49"/>
        <v>175.2</v>
      </c>
      <c r="I412" s="8">
        <f t="shared" si="50"/>
        <v>1.4</v>
      </c>
      <c r="J412" s="9">
        <f>F412*2</f>
        <v>1.4</v>
      </c>
    </row>
    <row r="413" spans="1:10" hidden="1" x14ac:dyDescent="0.2">
      <c r="A413" s="3" t="s">
        <v>6</v>
      </c>
      <c r="B413" s="6">
        <v>27</v>
      </c>
      <c r="C413" s="3"/>
      <c r="D413" s="4">
        <v>86.8</v>
      </c>
      <c r="E413" s="4">
        <v>4</v>
      </c>
      <c r="F413" s="6">
        <f>E413</f>
        <v>4</v>
      </c>
      <c r="G413" s="20"/>
      <c r="H413" s="8">
        <f t="shared" ref="H413:H478" si="64">D413*2</f>
        <v>173.6</v>
      </c>
      <c r="I413" s="8">
        <f t="shared" ref="I413:I478" si="65">E413*2</f>
        <v>8</v>
      </c>
      <c r="J413" s="9">
        <f t="shared" ref="J413:J478" si="66">F413*2</f>
        <v>8</v>
      </c>
    </row>
    <row r="414" spans="1:10" hidden="1" x14ac:dyDescent="0.2">
      <c r="A414" s="3" t="s">
        <v>6</v>
      </c>
      <c r="B414" s="6">
        <v>27</v>
      </c>
      <c r="C414" s="3" t="s">
        <v>2</v>
      </c>
      <c r="D414" s="4">
        <v>90.2</v>
      </c>
      <c r="E414" s="4">
        <v>3.9</v>
      </c>
      <c r="F414" s="6">
        <f>E414</f>
        <v>3.9</v>
      </c>
      <c r="G414" s="20"/>
      <c r="H414" s="8">
        <f t="shared" si="64"/>
        <v>180.4</v>
      </c>
      <c r="I414" s="8">
        <f t="shared" si="65"/>
        <v>7.8</v>
      </c>
      <c r="J414" s="9">
        <f t="shared" si="66"/>
        <v>7.8</v>
      </c>
    </row>
    <row r="415" spans="1:10" hidden="1" x14ac:dyDescent="0.2">
      <c r="A415" s="3" t="s">
        <v>6</v>
      </c>
      <c r="B415" s="6">
        <v>28</v>
      </c>
      <c r="C415" s="3"/>
      <c r="D415" s="4">
        <v>86.8</v>
      </c>
      <c r="E415" s="4">
        <v>6.8</v>
      </c>
      <c r="F415" s="6">
        <f>E415</f>
        <v>6.8</v>
      </c>
      <c r="G415" s="20"/>
      <c r="H415" s="8">
        <f t="shared" si="64"/>
        <v>173.6</v>
      </c>
      <c r="I415" s="8">
        <f t="shared" si="65"/>
        <v>13.6</v>
      </c>
      <c r="J415" s="9">
        <f t="shared" si="66"/>
        <v>13.6</v>
      </c>
    </row>
    <row r="416" spans="1:10" hidden="1" x14ac:dyDescent="0.2">
      <c r="A416" s="3" t="s">
        <v>6</v>
      </c>
      <c r="B416" s="16">
        <v>28</v>
      </c>
      <c r="C416" s="3" t="s">
        <v>2</v>
      </c>
      <c r="D416" s="4">
        <v>86.8</v>
      </c>
      <c r="E416" s="4">
        <v>7.1</v>
      </c>
      <c r="F416" s="6">
        <f>E416</f>
        <v>7.1</v>
      </c>
      <c r="G416" s="20"/>
      <c r="H416" s="8">
        <f t="shared" si="64"/>
        <v>173.6</v>
      </c>
      <c r="I416" s="8">
        <f t="shared" si="65"/>
        <v>14.2</v>
      </c>
      <c r="J416" s="9">
        <f t="shared" si="66"/>
        <v>14.2</v>
      </c>
    </row>
    <row r="417" spans="1:10" hidden="1" x14ac:dyDescent="0.2">
      <c r="A417" s="3" t="s">
        <v>6</v>
      </c>
      <c r="B417" s="4">
        <v>28</v>
      </c>
      <c r="C417" s="3" t="s">
        <v>5</v>
      </c>
      <c r="D417" s="4">
        <v>96</v>
      </c>
      <c r="E417" s="4">
        <v>3.5</v>
      </c>
      <c r="F417" s="4">
        <v>3.5</v>
      </c>
      <c r="G417" s="21"/>
      <c r="H417" s="8">
        <f t="shared" si="64"/>
        <v>192</v>
      </c>
      <c r="I417" s="8">
        <f t="shared" si="65"/>
        <v>7</v>
      </c>
      <c r="J417" s="9">
        <f t="shared" si="66"/>
        <v>7</v>
      </c>
    </row>
    <row r="418" spans="1:10" hidden="1" x14ac:dyDescent="0.2">
      <c r="A418" s="3" t="s">
        <v>6</v>
      </c>
      <c r="B418" s="4">
        <v>29</v>
      </c>
      <c r="C418" s="3"/>
      <c r="D418" s="4">
        <v>87.7</v>
      </c>
      <c r="E418" s="4">
        <v>7.7</v>
      </c>
      <c r="F418" s="4">
        <v>7.7</v>
      </c>
      <c r="G418" s="21"/>
      <c r="H418" s="8">
        <f t="shared" si="64"/>
        <v>175.4</v>
      </c>
      <c r="I418" s="8">
        <f t="shared" si="65"/>
        <v>15.4</v>
      </c>
      <c r="J418" s="9">
        <f t="shared" si="66"/>
        <v>15.4</v>
      </c>
    </row>
    <row r="419" spans="1:10" hidden="1" x14ac:dyDescent="0.2">
      <c r="A419" s="3" t="s">
        <v>6</v>
      </c>
      <c r="B419" s="4">
        <v>29</v>
      </c>
      <c r="C419" s="3" t="s">
        <v>2</v>
      </c>
      <c r="D419" s="4">
        <v>87.7</v>
      </c>
      <c r="E419" s="4">
        <v>8.1999999999999993</v>
      </c>
      <c r="F419" s="6">
        <f>E419</f>
        <v>8.1999999999999993</v>
      </c>
      <c r="G419" s="20"/>
      <c r="H419" s="8">
        <f t="shared" si="64"/>
        <v>175.4</v>
      </c>
      <c r="I419" s="8">
        <f t="shared" si="65"/>
        <v>16.399999999999999</v>
      </c>
      <c r="J419" s="9">
        <f t="shared" si="66"/>
        <v>16.399999999999999</v>
      </c>
    </row>
    <row r="420" spans="1:10" hidden="1" x14ac:dyDescent="0.2">
      <c r="A420" s="3" t="s">
        <v>6</v>
      </c>
      <c r="B420" s="4">
        <v>30</v>
      </c>
      <c r="C420" s="3"/>
      <c r="D420" s="4">
        <v>87.7</v>
      </c>
      <c r="E420" s="4">
        <v>5.3</v>
      </c>
      <c r="F420" s="6">
        <f>E420</f>
        <v>5.3</v>
      </c>
      <c r="G420" s="20"/>
      <c r="H420" s="8">
        <f t="shared" si="64"/>
        <v>175.4</v>
      </c>
      <c r="I420" s="8">
        <f t="shared" si="65"/>
        <v>10.6</v>
      </c>
      <c r="J420" s="9">
        <f t="shared" si="66"/>
        <v>10.6</v>
      </c>
    </row>
    <row r="421" spans="1:10" hidden="1" x14ac:dyDescent="0.2">
      <c r="A421" s="3" t="s">
        <v>6</v>
      </c>
      <c r="B421" s="4">
        <v>31</v>
      </c>
      <c r="C421" s="3"/>
      <c r="D421" s="4">
        <v>87.7</v>
      </c>
      <c r="E421" s="4">
        <v>3.2</v>
      </c>
      <c r="F421" s="6">
        <f>E421</f>
        <v>3.2</v>
      </c>
      <c r="G421" s="20"/>
      <c r="H421" s="8">
        <f t="shared" si="64"/>
        <v>175.4</v>
      </c>
      <c r="I421" s="8">
        <f t="shared" si="65"/>
        <v>6.4</v>
      </c>
      <c r="J421" s="9">
        <f t="shared" si="66"/>
        <v>6.4</v>
      </c>
    </row>
    <row r="422" spans="1:10" hidden="1" x14ac:dyDescent="0.2">
      <c r="A422" s="3" t="s">
        <v>6</v>
      </c>
      <c r="B422" s="6">
        <v>32</v>
      </c>
      <c r="C422" s="3"/>
      <c r="D422" s="4">
        <v>89.1</v>
      </c>
      <c r="E422" s="4">
        <v>0.9</v>
      </c>
      <c r="F422" s="6">
        <f>E422</f>
        <v>0.9</v>
      </c>
      <c r="G422" s="20"/>
      <c r="H422" s="8">
        <f t="shared" si="64"/>
        <v>178.2</v>
      </c>
      <c r="I422" s="8">
        <f t="shared" si="65"/>
        <v>1.8</v>
      </c>
      <c r="J422" s="9">
        <f t="shared" si="66"/>
        <v>1.8</v>
      </c>
    </row>
    <row r="423" spans="1:10" hidden="1" x14ac:dyDescent="0.2">
      <c r="A423" s="3" t="s">
        <v>6</v>
      </c>
      <c r="B423" s="6">
        <v>32</v>
      </c>
      <c r="C423" s="3" t="s">
        <v>2</v>
      </c>
      <c r="D423" s="4">
        <v>90.7</v>
      </c>
      <c r="E423" s="4">
        <v>0.9</v>
      </c>
      <c r="F423" s="6">
        <v>0</v>
      </c>
      <c r="G423" s="20"/>
      <c r="H423" s="8">
        <f t="shared" si="64"/>
        <v>181.4</v>
      </c>
      <c r="I423" s="8">
        <f t="shared" si="65"/>
        <v>1.8</v>
      </c>
      <c r="J423" s="9">
        <f t="shared" si="66"/>
        <v>0</v>
      </c>
    </row>
    <row r="424" spans="1:10" hidden="1" x14ac:dyDescent="0.2">
      <c r="A424" s="3" t="s">
        <v>6</v>
      </c>
      <c r="B424" s="4">
        <v>33</v>
      </c>
      <c r="C424" s="3"/>
      <c r="D424" s="4">
        <v>90.2</v>
      </c>
      <c r="E424" s="4">
        <v>1</v>
      </c>
      <c r="F424" s="4">
        <v>1</v>
      </c>
      <c r="G424" s="21"/>
      <c r="H424" s="8">
        <f t="shared" si="64"/>
        <v>180.4</v>
      </c>
      <c r="I424" s="8">
        <f t="shared" si="65"/>
        <v>2</v>
      </c>
      <c r="J424" s="9">
        <f t="shared" si="66"/>
        <v>2</v>
      </c>
    </row>
    <row r="425" spans="1:10" hidden="1" x14ac:dyDescent="0.2">
      <c r="A425" s="3" t="s">
        <v>6</v>
      </c>
      <c r="B425" s="4">
        <v>34</v>
      </c>
      <c r="C425" s="3"/>
      <c r="D425" s="4">
        <v>90.2</v>
      </c>
      <c r="E425" s="4">
        <v>3.6</v>
      </c>
      <c r="F425" s="4">
        <v>3.6</v>
      </c>
      <c r="G425" s="21"/>
      <c r="H425" s="8">
        <f t="shared" si="64"/>
        <v>180.4</v>
      </c>
      <c r="I425" s="8">
        <f t="shared" si="65"/>
        <v>7.2</v>
      </c>
      <c r="J425" s="9">
        <f t="shared" si="66"/>
        <v>7.2</v>
      </c>
    </row>
    <row r="426" spans="1:10" hidden="1" x14ac:dyDescent="0.2">
      <c r="A426" s="3" t="s">
        <v>6</v>
      </c>
      <c r="B426" s="6">
        <v>35</v>
      </c>
      <c r="C426" s="3"/>
      <c r="D426" s="4">
        <v>90.2</v>
      </c>
      <c r="E426" s="4">
        <v>5.8</v>
      </c>
      <c r="F426" s="6">
        <f>E426</f>
        <v>5.8</v>
      </c>
      <c r="G426" s="20"/>
      <c r="H426" s="8">
        <f t="shared" si="64"/>
        <v>180.4</v>
      </c>
      <c r="I426" s="8">
        <f t="shared" si="65"/>
        <v>11.6</v>
      </c>
      <c r="J426" s="9">
        <f t="shared" si="66"/>
        <v>11.6</v>
      </c>
    </row>
    <row r="427" spans="1:10" hidden="1" x14ac:dyDescent="0.2">
      <c r="A427" s="3" t="s">
        <v>6</v>
      </c>
      <c r="B427" s="4">
        <v>36</v>
      </c>
      <c r="C427" s="3"/>
      <c r="D427" s="4">
        <v>90.1</v>
      </c>
      <c r="E427" s="4">
        <v>5.7</v>
      </c>
      <c r="F427" s="4">
        <v>5.7</v>
      </c>
      <c r="G427" s="21"/>
      <c r="H427" s="8">
        <f t="shared" si="64"/>
        <v>180.2</v>
      </c>
      <c r="I427" s="8">
        <f t="shared" si="65"/>
        <v>11.4</v>
      </c>
      <c r="J427" s="9">
        <f t="shared" si="66"/>
        <v>11.4</v>
      </c>
    </row>
    <row r="428" spans="1:10" hidden="1" x14ac:dyDescent="0.2">
      <c r="A428" s="3" t="s">
        <v>6</v>
      </c>
      <c r="B428" s="4">
        <v>36</v>
      </c>
      <c r="C428" s="3" t="s">
        <v>2</v>
      </c>
      <c r="D428" s="4">
        <v>90.1</v>
      </c>
      <c r="E428" s="4">
        <v>6.2</v>
      </c>
      <c r="F428" s="4">
        <v>6.2</v>
      </c>
      <c r="G428" s="21"/>
      <c r="H428" s="8">
        <f t="shared" si="64"/>
        <v>180.2</v>
      </c>
      <c r="I428" s="8">
        <f t="shared" si="65"/>
        <v>12.4</v>
      </c>
      <c r="J428" s="9">
        <f t="shared" si="66"/>
        <v>12.4</v>
      </c>
    </row>
    <row r="429" spans="1:10" hidden="1" x14ac:dyDescent="0.2">
      <c r="A429" s="3" t="s">
        <v>6</v>
      </c>
      <c r="B429" s="4">
        <v>37</v>
      </c>
      <c r="C429" s="3"/>
      <c r="D429" s="4">
        <v>90.1</v>
      </c>
      <c r="E429" s="4">
        <v>11.7</v>
      </c>
      <c r="F429" s="4">
        <v>11.7</v>
      </c>
      <c r="G429" s="21"/>
      <c r="H429" s="8">
        <f t="shared" si="64"/>
        <v>180.2</v>
      </c>
      <c r="I429" s="8">
        <f t="shared" si="65"/>
        <v>23.4</v>
      </c>
      <c r="J429" s="9">
        <f t="shared" si="66"/>
        <v>23.4</v>
      </c>
    </row>
    <row r="430" spans="1:10" hidden="1" x14ac:dyDescent="0.2">
      <c r="A430" s="3" t="s">
        <v>6</v>
      </c>
      <c r="B430" s="6">
        <v>38</v>
      </c>
      <c r="C430" s="3"/>
      <c r="D430" s="4">
        <v>90.1</v>
      </c>
      <c r="E430" s="4">
        <v>3.5</v>
      </c>
      <c r="F430" s="6">
        <f>E430</f>
        <v>3.5</v>
      </c>
      <c r="G430" s="20"/>
      <c r="H430" s="8">
        <f t="shared" si="64"/>
        <v>180.2</v>
      </c>
      <c r="I430" s="8">
        <f t="shared" si="65"/>
        <v>7</v>
      </c>
      <c r="J430" s="9">
        <f t="shared" si="66"/>
        <v>7</v>
      </c>
    </row>
    <row r="431" spans="1:10" hidden="1" x14ac:dyDescent="0.2">
      <c r="A431" s="3" t="s">
        <v>6</v>
      </c>
      <c r="B431" s="4">
        <v>39</v>
      </c>
      <c r="C431" s="3"/>
      <c r="D431" s="4">
        <v>91.2</v>
      </c>
      <c r="E431" s="4">
        <v>1</v>
      </c>
      <c r="F431" s="4">
        <v>1</v>
      </c>
      <c r="G431" s="21"/>
      <c r="H431" s="8">
        <f t="shared" si="64"/>
        <v>182.4</v>
      </c>
      <c r="I431" s="8">
        <f t="shared" si="65"/>
        <v>2</v>
      </c>
      <c r="J431" s="9">
        <f t="shared" si="66"/>
        <v>2</v>
      </c>
    </row>
    <row r="432" spans="1:10" hidden="1" x14ac:dyDescent="0.2">
      <c r="A432" s="3" t="s">
        <v>6</v>
      </c>
      <c r="B432" s="4">
        <v>39</v>
      </c>
      <c r="C432" s="3" t="s">
        <v>2</v>
      </c>
      <c r="D432" s="4">
        <v>91.2</v>
      </c>
      <c r="E432" s="4">
        <v>1.2</v>
      </c>
      <c r="F432" s="4">
        <v>1.2</v>
      </c>
      <c r="G432" s="21"/>
      <c r="H432" s="8">
        <f t="shared" si="64"/>
        <v>182.4</v>
      </c>
      <c r="I432" s="8">
        <f t="shared" si="65"/>
        <v>2.4</v>
      </c>
      <c r="J432" s="9">
        <f t="shared" si="66"/>
        <v>2.4</v>
      </c>
    </row>
    <row r="433" spans="1:10" hidden="1" x14ac:dyDescent="0.2">
      <c r="A433" s="3" t="s">
        <v>6</v>
      </c>
      <c r="B433" s="4">
        <v>40</v>
      </c>
      <c r="C433" s="3"/>
      <c r="D433" s="4">
        <v>92.2</v>
      </c>
      <c r="E433" s="4">
        <v>1.5</v>
      </c>
      <c r="F433" s="4">
        <v>1.5</v>
      </c>
      <c r="G433" s="21"/>
      <c r="H433" s="8">
        <f t="shared" si="64"/>
        <v>184.4</v>
      </c>
      <c r="I433" s="8">
        <f t="shared" si="65"/>
        <v>3</v>
      </c>
      <c r="J433" s="9">
        <f t="shared" si="66"/>
        <v>3</v>
      </c>
    </row>
    <row r="434" spans="1:10" hidden="1" x14ac:dyDescent="0.2">
      <c r="A434" s="3" t="s">
        <v>6</v>
      </c>
      <c r="B434" s="6">
        <v>42</v>
      </c>
      <c r="C434" s="3"/>
      <c r="D434" s="4">
        <v>92.2</v>
      </c>
      <c r="E434" s="4">
        <v>4.5</v>
      </c>
      <c r="F434" s="6">
        <f>E434</f>
        <v>4.5</v>
      </c>
      <c r="G434" s="20"/>
      <c r="H434" s="8">
        <f t="shared" si="64"/>
        <v>184.4</v>
      </c>
      <c r="I434" s="8">
        <f t="shared" si="65"/>
        <v>9</v>
      </c>
      <c r="J434" s="9">
        <f t="shared" si="66"/>
        <v>9</v>
      </c>
    </row>
    <row r="435" spans="1:10" hidden="1" x14ac:dyDescent="0.2">
      <c r="A435" s="3" t="s">
        <v>6</v>
      </c>
      <c r="B435" s="6">
        <v>43</v>
      </c>
      <c r="C435" s="3"/>
      <c r="D435" s="4">
        <v>90.1</v>
      </c>
      <c r="E435" s="4">
        <v>8.3000000000000007</v>
      </c>
      <c r="F435" s="6">
        <f>E435</f>
        <v>8.3000000000000007</v>
      </c>
      <c r="G435" s="20"/>
      <c r="H435" s="8">
        <f t="shared" si="64"/>
        <v>180.2</v>
      </c>
      <c r="I435" s="8">
        <f t="shared" si="65"/>
        <v>16.600000000000001</v>
      </c>
      <c r="J435" s="9">
        <f t="shared" si="66"/>
        <v>16.600000000000001</v>
      </c>
    </row>
    <row r="436" spans="1:10" hidden="1" x14ac:dyDescent="0.2">
      <c r="A436" s="3" t="s">
        <v>6</v>
      </c>
      <c r="B436" s="6">
        <v>43</v>
      </c>
      <c r="C436" s="3" t="s">
        <v>2</v>
      </c>
      <c r="D436" s="4">
        <v>86.8</v>
      </c>
      <c r="E436" s="4">
        <v>2.8</v>
      </c>
      <c r="F436" s="6">
        <f>E436</f>
        <v>2.8</v>
      </c>
      <c r="G436" s="20"/>
      <c r="H436" s="8">
        <f t="shared" si="64"/>
        <v>173.6</v>
      </c>
      <c r="I436" s="8">
        <f t="shared" si="65"/>
        <v>5.6</v>
      </c>
      <c r="J436" s="9">
        <f t="shared" si="66"/>
        <v>5.6</v>
      </c>
    </row>
    <row r="437" spans="1:10" hidden="1" x14ac:dyDescent="0.2">
      <c r="A437" s="3" t="s">
        <v>6</v>
      </c>
      <c r="B437" s="4">
        <v>44</v>
      </c>
      <c r="C437" s="3"/>
      <c r="D437" s="4">
        <v>90.1</v>
      </c>
      <c r="E437" s="4">
        <v>10.5</v>
      </c>
      <c r="F437" s="4">
        <v>10.5</v>
      </c>
      <c r="G437" s="21"/>
      <c r="H437" s="8">
        <f t="shared" si="64"/>
        <v>180.2</v>
      </c>
      <c r="I437" s="8">
        <f t="shared" si="65"/>
        <v>21</v>
      </c>
      <c r="J437" s="9">
        <f t="shared" si="66"/>
        <v>21</v>
      </c>
    </row>
    <row r="438" spans="1:10" hidden="1" x14ac:dyDescent="0.2">
      <c r="A438" s="3" t="s">
        <v>6</v>
      </c>
      <c r="B438" s="4">
        <v>44</v>
      </c>
      <c r="C438" s="3" t="s">
        <v>2</v>
      </c>
      <c r="D438" s="4">
        <v>90.1</v>
      </c>
      <c r="E438" s="4">
        <v>11.8</v>
      </c>
      <c r="F438" s="6">
        <f>E438</f>
        <v>11.8</v>
      </c>
      <c r="G438" s="20"/>
      <c r="H438" s="8">
        <f t="shared" si="64"/>
        <v>180.2</v>
      </c>
      <c r="I438" s="8">
        <f t="shared" si="65"/>
        <v>23.6</v>
      </c>
      <c r="J438" s="9">
        <f t="shared" si="66"/>
        <v>23.6</v>
      </c>
    </row>
    <row r="439" spans="1:10" hidden="1" x14ac:dyDescent="0.2">
      <c r="A439" s="3" t="s">
        <v>6</v>
      </c>
      <c r="B439" s="4">
        <v>44</v>
      </c>
      <c r="C439" s="3" t="s">
        <v>5</v>
      </c>
      <c r="D439" s="4">
        <v>84.9</v>
      </c>
      <c r="E439" s="4">
        <v>0.7</v>
      </c>
      <c r="F439" s="4">
        <v>0.7</v>
      </c>
      <c r="G439" s="21"/>
      <c r="H439" s="8">
        <f t="shared" si="64"/>
        <v>169.8</v>
      </c>
      <c r="I439" s="8">
        <f t="shared" si="65"/>
        <v>1.4</v>
      </c>
      <c r="J439" s="9">
        <f t="shared" si="66"/>
        <v>1.4</v>
      </c>
    </row>
    <row r="440" spans="1:10" hidden="1" x14ac:dyDescent="0.2">
      <c r="A440" s="3" t="s">
        <v>6</v>
      </c>
      <c r="B440" s="4">
        <v>45</v>
      </c>
      <c r="C440" s="3"/>
      <c r="D440" s="4">
        <v>90.1</v>
      </c>
      <c r="E440" s="4">
        <v>5.3</v>
      </c>
      <c r="F440" s="6">
        <f>E440</f>
        <v>5.3</v>
      </c>
      <c r="G440" s="20"/>
      <c r="H440" s="8">
        <f t="shared" si="64"/>
        <v>180.2</v>
      </c>
      <c r="I440" s="8">
        <f t="shared" si="65"/>
        <v>10.6</v>
      </c>
      <c r="J440" s="9">
        <f t="shared" si="66"/>
        <v>10.6</v>
      </c>
    </row>
    <row r="441" spans="1:10" hidden="1" x14ac:dyDescent="0.2">
      <c r="A441" s="3" t="s">
        <v>6</v>
      </c>
      <c r="B441" s="4">
        <v>45</v>
      </c>
      <c r="C441" s="3" t="s">
        <v>2</v>
      </c>
      <c r="D441" s="4">
        <v>90.1</v>
      </c>
      <c r="E441" s="4">
        <v>5.7</v>
      </c>
      <c r="F441" s="4">
        <v>5.7</v>
      </c>
      <c r="G441" s="21"/>
      <c r="H441" s="8">
        <f t="shared" si="64"/>
        <v>180.2</v>
      </c>
      <c r="I441" s="8">
        <f t="shared" si="65"/>
        <v>11.4</v>
      </c>
      <c r="J441" s="9">
        <f t="shared" si="66"/>
        <v>11.4</v>
      </c>
    </row>
    <row r="442" spans="1:10" hidden="1" x14ac:dyDescent="0.2">
      <c r="A442" s="3" t="s">
        <v>6</v>
      </c>
      <c r="B442" s="6">
        <v>46</v>
      </c>
      <c r="C442" s="3"/>
      <c r="D442" s="4">
        <v>94.9</v>
      </c>
      <c r="E442" s="4">
        <v>1.8</v>
      </c>
      <c r="F442" s="6">
        <f>E442</f>
        <v>1.8</v>
      </c>
      <c r="G442" s="20"/>
      <c r="H442" s="8">
        <f t="shared" si="64"/>
        <v>189.8</v>
      </c>
      <c r="I442" s="8">
        <f t="shared" si="65"/>
        <v>3.6</v>
      </c>
      <c r="J442" s="9">
        <f t="shared" si="66"/>
        <v>3.6</v>
      </c>
    </row>
    <row r="443" spans="1:10" hidden="1" x14ac:dyDescent="0.2">
      <c r="A443" s="3" t="s">
        <v>6</v>
      </c>
      <c r="B443" s="6" t="s">
        <v>13</v>
      </c>
      <c r="C443" s="3"/>
      <c r="D443" s="4">
        <v>94.9</v>
      </c>
      <c r="E443" s="4">
        <v>1.3</v>
      </c>
      <c r="F443" s="6">
        <f>E443</f>
        <v>1.3</v>
      </c>
      <c r="G443" s="20"/>
      <c r="H443" s="8">
        <f t="shared" si="64"/>
        <v>189.8</v>
      </c>
      <c r="I443" s="8">
        <f t="shared" si="65"/>
        <v>2.6</v>
      </c>
      <c r="J443" s="9">
        <f t="shared" si="66"/>
        <v>2.6</v>
      </c>
    </row>
    <row r="444" spans="1:10" hidden="1" x14ac:dyDescent="0.2">
      <c r="A444" s="3" t="s">
        <v>6</v>
      </c>
      <c r="B444" s="6">
        <v>47</v>
      </c>
      <c r="C444" s="3"/>
      <c r="D444" s="4">
        <v>93.2</v>
      </c>
      <c r="E444" s="4">
        <v>0.4</v>
      </c>
      <c r="F444" s="6">
        <f>E444</f>
        <v>0.4</v>
      </c>
      <c r="G444" s="20"/>
      <c r="H444" s="8">
        <f t="shared" si="64"/>
        <v>186.4</v>
      </c>
      <c r="I444" s="8">
        <f t="shared" si="65"/>
        <v>0.8</v>
      </c>
      <c r="J444" s="9">
        <f t="shared" si="66"/>
        <v>0.8</v>
      </c>
    </row>
    <row r="445" spans="1:10" hidden="1" x14ac:dyDescent="0.2">
      <c r="A445" s="3" t="s">
        <v>6</v>
      </c>
      <c r="B445" s="6">
        <v>48</v>
      </c>
      <c r="C445" s="3"/>
      <c r="D445" s="4">
        <v>94.6</v>
      </c>
      <c r="E445" s="4">
        <v>2.6</v>
      </c>
      <c r="F445" s="6">
        <f>E445</f>
        <v>2.6</v>
      </c>
      <c r="G445" s="20"/>
      <c r="H445" s="8">
        <f t="shared" si="64"/>
        <v>189.2</v>
      </c>
      <c r="I445" s="8">
        <f t="shared" si="65"/>
        <v>5.2</v>
      </c>
      <c r="J445" s="9">
        <f t="shared" si="66"/>
        <v>5.2</v>
      </c>
    </row>
    <row r="446" spans="1:10" hidden="1" x14ac:dyDescent="0.2">
      <c r="A446" s="3" t="s">
        <v>6</v>
      </c>
      <c r="B446" s="4">
        <v>50</v>
      </c>
      <c r="C446" s="3"/>
      <c r="D446" s="4">
        <v>95.8</v>
      </c>
      <c r="E446" s="4">
        <v>0.8</v>
      </c>
      <c r="F446" s="4">
        <v>0.8</v>
      </c>
      <c r="G446" s="21"/>
      <c r="H446" s="8">
        <f t="shared" si="64"/>
        <v>191.6</v>
      </c>
      <c r="I446" s="8">
        <f t="shared" si="65"/>
        <v>1.6</v>
      </c>
      <c r="J446" s="9">
        <f t="shared" si="66"/>
        <v>1.6</v>
      </c>
    </row>
    <row r="447" spans="1:10" hidden="1" x14ac:dyDescent="0.2">
      <c r="A447" s="3" t="s">
        <v>6</v>
      </c>
      <c r="B447" s="4">
        <v>50</v>
      </c>
      <c r="C447" s="3" t="s">
        <v>2</v>
      </c>
      <c r="D447" s="4">
        <v>83.4</v>
      </c>
      <c r="E447" s="4">
        <v>0.6</v>
      </c>
      <c r="F447" s="6">
        <f>E447</f>
        <v>0.6</v>
      </c>
      <c r="G447" s="20"/>
      <c r="H447" s="8">
        <f t="shared" si="64"/>
        <v>166.8</v>
      </c>
      <c r="I447" s="8">
        <f t="shared" si="65"/>
        <v>1.2</v>
      </c>
      <c r="J447" s="9">
        <f t="shared" si="66"/>
        <v>1.2</v>
      </c>
    </row>
    <row r="448" spans="1:10" hidden="1" x14ac:dyDescent="0.2">
      <c r="A448" s="3" t="s">
        <v>6</v>
      </c>
      <c r="B448" s="4">
        <v>51</v>
      </c>
      <c r="C448" s="3"/>
      <c r="D448" s="4">
        <v>95.8</v>
      </c>
      <c r="E448" s="4">
        <v>3</v>
      </c>
      <c r="F448" s="4">
        <v>3</v>
      </c>
      <c r="G448" s="21"/>
      <c r="H448" s="8">
        <f t="shared" si="64"/>
        <v>191.6</v>
      </c>
      <c r="I448" s="8">
        <f t="shared" si="65"/>
        <v>6</v>
      </c>
      <c r="J448" s="9">
        <f t="shared" si="66"/>
        <v>6</v>
      </c>
    </row>
    <row r="449" spans="1:10" hidden="1" x14ac:dyDescent="0.2">
      <c r="A449" s="3" t="s">
        <v>6</v>
      </c>
      <c r="B449" s="6">
        <v>52</v>
      </c>
      <c r="C449" s="3"/>
      <c r="D449" s="4">
        <v>96</v>
      </c>
      <c r="E449" s="4">
        <v>8.1</v>
      </c>
      <c r="F449" s="6">
        <f>E449</f>
        <v>8.1</v>
      </c>
      <c r="G449" s="20"/>
      <c r="H449" s="8">
        <f t="shared" si="64"/>
        <v>192</v>
      </c>
      <c r="I449" s="8">
        <f t="shared" si="65"/>
        <v>16.2</v>
      </c>
      <c r="J449" s="9">
        <f t="shared" si="66"/>
        <v>16.2</v>
      </c>
    </row>
    <row r="450" spans="1:10" hidden="1" x14ac:dyDescent="0.2">
      <c r="A450" s="3" t="s">
        <v>6</v>
      </c>
      <c r="B450" s="6">
        <v>53</v>
      </c>
      <c r="C450" s="3"/>
      <c r="D450" s="4">
        <v>96</v>
      </c>
      <c r="E450" s="4">
        <v>8.4</v>
      </c>
      <c r="F450" s="6">
        <f>E450</f>
        <v>8.4</v>
      </c>
      <c r="G450" s="20"/>
      <c r="H450" s="8">
        <f t="shared" si="64"/>
        <v>192</v>
      </c>
      <c r="I450" s="8">
        <f t="shared" si="65"/>
        <v>16.8</v>
      </c>
      <c r="J450" s="9">
        <f t="shared" si="66"/>
        <v>16.8</v>
      </c>
    </row>
    <row r="451" spans="1:10" hidden="1" x14ac:dyDescent="0.2">
      <c r="A451" s="3" t="s">
        <v>6</v>
      </c>
      <c r="B451" s="6">
        <v>54</v>
      </c>
      <c r="C451" s="3"/>
      <c r="D451" s="4">
        <v>90.1</v>
      </c>
      <c r="E451" s="4">
        <v>10.199999999999999</v>
      </c>
      <c r="F451" s="6">
        <f>E451</f>
        <v>10.199999999999999</v>
      </c>
      <c r="G451" s="20"/>
      <c r="H451" s="8">
        <f t="shared" si="64"/>
        <v>180.2</v>
      </c>
      <c r="I451" s="8">
        <f t="shared" si="65"/>
        <v>20.399999999999999</v>
      </c>
      <c r="J451" s="9">
        <f t="shared" si="66"/>
        <v>20.399999999999999</v>
      </c>
    </row>
    <row r="452" spans="1:10" hidden="1" x14ac:dyDescent="0.2">
      <c r="A452" s="3" t="s">
        <v>6</v>
      </c>
      <c r="B452" s="6">
        <v>54</v>
      </c>
      <c r="C452" s="3" t="s">
        <v>2</v>
      </c>
      <c r="D452" s="4">
        <v>90.1</v>
      </c>
      <c r="E452" s="4">
        <v>11.2</v>
      </c>
      <c r="F452" s="4">
        <v>11.2</v>
      </c>
      <c r="G452" s="21"/>
      <c r="H452" s="8">
        <f t="shared" si="64"/>
        <v>180.2</v>
      </c>
      <c r="I452" s="8">
        <f t="shared" si="65"/>
        <v>22.4</v>
      </c>
      <c r="J452" s="9">
        <f t="shared" si="66"/>
        <v>22.4</v>
      </c>
    </row>
    <row r="453" spans="1:10" hidden="1" x14ac:dyDescent="0.2">
      <c r="A453" s="3" t="s">
        <v>6</v>
      </c>
      <c r="B453" s="6">
        <v>55</v>
      </c>
      <c r="C453" s="3"/>
      <c r="D453" s="4">
        <v>100</v>
      </c>
      <c r="E453" s="4">
        <v>3.6</v>
      </c>
      <c r="F453" s="6">
        <f>E453</f>
        <v>3.6</v>
      </c>
      <c r="G453" s="20"/>
      <c r="H453" s="8">
        <f t="shared" si="64"/>
        <v>200</v>
      </c>
      <c r="I453" s="8">
        <f t="shared" si="65"/>
        <v>7.2</v>
      </c>
      <c r="J453" s="9">
        <f t="shared" si="66"/>
        <v>7.2</v>
      </c>
    </row>
    <row r="454" spans="1:10" hidden="1" x14ac:dyDescent="0.2">
      <c r="A454" s="3" t="s">
        <v>6</v>
      </c>
      <c r="B454" s="6">
        <v>55</v>
      </c>
      <c r="C454" s="3" t="s">
        <v>5</v>
      </c>
      <c r="D454" s="4">
        <v>77.8</v>
      </c>
      <c r="E454" s="4">
        <v>7.3</v>
      </c>
      <c r="F454" s="4">
        <v>7.3</v>
      </c>
      <c r="G454" s="21"/>
      <c r="H454" s="8">
        <f t="shared" si="64"/>
        <v>155.6</v>
      </c>
      <c r="I454" s="8">
        <f t="shared" si="65"/>
        <v>14.6</v>
      </c>
      <c r="J454" s="9">
        <f t="shared" si="66"/>
        <v>14.6</v>
      </c>
    </row>
    <row r="455" spans="1:10" hidden="1" x14ac:dyDescent="0.2">
      <c r="A455" s="3" t="s">
        <v>6</v>
      </c>
      <c r="B455" s="6">
        <v>56</v>
      </c>
      <c r="C455" s="3"/>
      <c r="D455" s="4">
        <v>100</v>
      </c>
      <c r="E455" s="4">
        <v>4</v>
      </c>
      <c r="F455" s="6">
        <f>E455</f>
        <v>4</v>
      </c>
      <c r="G455" s="20"/>
      <c r="H455" s="8">
        <f t="shared" si="64"/>
        <v>200</v>
      </c>
      <c r="I455" s="8">
        <f t="shared" si="65"/>
        <v>8</v>
      </c>
      <c r="J455" s="9">
        <f t="shared" si="66"/>
        <v>8</v>
      </c>
    </row>
    <row r="456" spans="1:10" hidden="1" x14ac:dyDescent="0.2">
      <c r="A456" s="3" t="s">
        <v>6</v>
      </c>
      <c r="B456" s="6">
        <v>56</v>
      </c>
      <c r="C456" s="3" t="s">
        <v>2</v>
      </c>
      <c r="D456" s="4">
        <v>100</v>
      </c>
      <c r="E456" s="4">
        <v>3.9</v>
      </c>
      <c r="F456" s="6">
        <f>E456</f>
        <v>3.9</v>
      </c>
      <c r="G456" s="20"/>
      <c r="H456" s="8">
        <f t="shared" si="64"/>
        <v>200</v>
      </c>
      <c r="I456" s="8">
        <f t="shared" si="65"/>
        <v>7.8</v>
      </c>
      <c r="J456" s="9">
        <f t="shared" si="66"/>
        <v>7.8</v>
      </c>
    </row>
    <row r="457" spans="1:10" hidden="1" x14ac:dyDescent="0.2">
      <c r="A457" s="3" t="s">
        <v>6</v>
      </c>
      <c r="B457" s="4">
        <v>57</v>
      </c>
      <c r="C457" s="3"/>
      <c r="D457" s="4">
        <v>99.8</v>
      </c>
      <c r="E457" s="4">
        <v>1.3</v>
      </c>
      <c r="F457" s="4">
        <v>1.3</v>
      </c>
      <c r="G457" s="21"/>
      <c r="H457" s="8">
        <f t="shared" si="64"/>
        <v>199.6</v>
      </c>
      <c r="I457" s="8">
        <f t="shared" si="65"/>
        <v>2.6</v>
      </c>
      <c r="J457" s="9">
        <f t="shared" si="66"/>
        <v>2.6</v>
      </c>
    </row>
    <row r="458" spans="1:10" hidden="1" x14ac:dyDescent="0.2">
      <c r="A458" s="3" t="s">
        <v>6</v>
      </c>
      <c r="B458" s="4">
        <v>57</v>
      </c>
      <c r="C458" s="3" t="s">
        <v>2</v>
      </c>
      <c r="D458" s="4">
        <v>82.3</v>
      </c>
      <c r="E458" s="4">
        <v>0.3</v>
      </c>
      <c r="F458" s="6">
        <f>E458</f>
        <v>0.3</v>
      </c>
      <c r="G458" s="20"/>
      <c r="H458" s="8">
        <f t="shared" si="64"/>
        <v>164.6</v>
      </c>
      <c r="I458" s="8">
        <f t="shared" si="65"/>
        <v>0.6</v>
      </c>
      <c r="J458" s="9">
        <f t="shared" si="66"/>
        <v>0.6</v>
      </c>
    </row>
    <row r="459" spans="1:10" hidden="1" x14ac:dyDescent="0.2">
      <c r="A459" s="3" t="s">
        <v>6</v>
      </c>
      <c r="B459" s="4">
        <v>57</v>
      </c>
      <c r="C459" s="3" t="s">
        <v>24</v>
      </c>
      <c r="D459" s="4">
        <v>84.2</v>
      </c>
      <c r="E459" s="4">
        <v>0.4</v>
      </c>
      <c r="F459" s="6">
        <v>0.4</v>
      </c>
      <c r="G459" s="20"/>
      <c r="H459" s="8">
        <f t="shared" ref="H459" si="67">D459*2</f>
        <v>168.4</v>
      </c>
      <c r="I459" s="8">
        <f t="shared" ref="I459" si="68">E459*2</f>
        <v>0.8</v>
      </c>
      <c r="J459" s="9">
        <f t="shared" ref="J459" si="69">F459*2</f>
        <v>0.8</v>
      </c>
    </row>
    <row r="460" spans="1:10" hidden="1" x14ac:dyDescent="0.2">
      <c r="A460" s="3" t="s">
        <v>6</v>
      </c>
      <c r="B460" s="6">
        <v>58</v>
      </c>
      <c r="C460" s="3"/>
      <c r="D460" s="4">
        <v>95.8</v>
      </c>
      <c r="E460" s="4">
        <v>3.4</v>
      </c>
      <c r="F460" s="6">
        <f>E460</f>
        <v>3.4</v>
      </c>
      <c r="G460" s="20"/>
      <c r="H460" s="8">
        <f t="shared" si="64"/>
        <v>191.6</v>
      </c>
      <c r="I460" s="8">
        <f t="shared" si="65"/>
        <v>6.8</v>
      </c>
      <c r="J460" s="9">
        <f t="shared" si="66"/>
        <v>6.8</v>
      </c>
    </row>
    <row r="461" spans="1:10" hidden="1" x14ac:dyDescent="0.2">
      <c r="A461" s="3" t="s">
        <v>6</v>
      </c>
      <c r="B461" s="4">
        <v>59</v>
      </c>
      <c r="C461" s="3"/>
      <c r="D461" s="4">
        <v>95.8</v>
      </c>
      <c r="E461" s="4">
        <v>6.6</v>
      </c>
      <c r="F461" s="4">
        <v>6.6</v>
      </c>
      <c r="G461" s="21"/>
      <c r="H461" s="8">
        <f t="shared" si="64"/>
        <v>191.6</v>
      </c>
      <c r="I461" s="8">
        <f t="shared" si="65"/>
        <v>13.2</v>
      </c>
      <c r="J461" s="9">
        <f t="shared" si="66"/>
        <v>13.2</v>
      </c>
    </row>
    <row r="462" spans="1:10" hidden="1" x14ac:dyDescent="0.2">
      <c r="A462" s="3" t="s">
        <v>6</v>
      </c>
      <c r="B462" s="4">
        <v>59</v>
      </c>
      <c r="C462" s="3" t="s">
        <v>5</v>
      </c>
      <c r="D462" s="4">
        <v>77.7</v>
      </c>
      <c r="E462" s="4">
        <v>9.4</v>
      </c>
      <c r="F462" s="4">
        <v>9.4</v>
      </c>
      <c r="G462" s="21"/>
      <c r="H462" s="8">
        <f t="shared" si="64"/>
        <v>155.4</v>
      </c>
      <c r="I462" s="8">
        <f t="shared" si="65"/>
        <v>18.8</v>
      </c>
      <c r="J462" s="9">
        <f t="shared" si="66"/>
        <v>18.8</v>
      </c>
    </row>
    <row r="463" spans="1:10" hidden="1" x14ac:dyDescent="0.2">
      <c r="A463" s="3" t="s">
        <v>6</v>
      </c>
      <c r="B463" s="6">
        <v>60</v>
      </c>
      <c r="C463" s="3"/>
      <c r="D463" s="4">
        <v>95.8</v>
      </c>
      <c r="E463" s="4">
        <v>4.5</v>
      </c>
      <c r="F463" s="6">
        <f>E463</f>
        <v>4.5</v>
      </c>
      <c r="G463" s="20"/>
      <c r="H463" s="8">
        <f t="shared" si="64"/>
        <v>191.6</v>
      </c>
      <c r="I463" s="8">
        <f t="shared" si="65"/>
        <v>9</v>
      </c>
      <c r="J463" s="9">
        <f t="shared" si="66"/>
        <v>9</v>
      </c>
    </row>
    <row r="464" spans="1:10" hidden="1" x14ac:dyDescent="0.2">
      <c r="A464" s="3" t="s">
        <v>6</v>
      </c>
      <c r="B464" s="6">
        <v>60</v>
      </c>
      <c r="C464" s="3" t="s">
        <v>5</v>
      </c>
      <c r="D464" s="4">
        <v>99.8</v>
      </c>
      <c r="E464" s="4">
        <v>8.6999999999999993</v>
      </c>
      <c r="F464" s="6">
        <f>E464</f>
        <v>8.6999999999999993</v>
      </c>
      <c r="G464" s="20"/>
      <c r="H464" s="8">
        <f t="shared" si="64"/>
        <v>199.6</v>
      </c>
      <c r="I464" s="8">
        <f t="shared" si="65"/>
        <v>17.399999999999999</v>
      </c>
      <c r="J464" s="9">
        <f t="shared" si="66"/>
        <v>17.399999999999999</v>
      </c>
    </row>
    <row r="465" spans="1:10" hidden="1" x14ac:dyDescent="0.2">
      <c r="A465" s="3" t="s">
        <v>6</v>
      </c>
      <c r="B465" s="4">
        <v>61</v>
      </c>
      <c r="C465" s="3"/>
      <c r="D465" s="4">
        <v>94.6</v>
      </c>
      <c r="E465" s="4">
        <v>1.4</v>
      </c>
      <c r="F465" s="4">
        <v>1.4</v>
      </c>
      <c r="G465" s="21"/>
      <c r="H465" s="8">
        <f t="shared" si="64"/>
        <v>189.2</v>
      </c>
      <c r="I465" s="8">
        <f t="shared" si="65"/>
        <v>2.8</v>
      </c>
      <c r="J465" s="9">
        <f t="shared" si="66"/>
        <v>2.8</v>
      </c>
    </row>
    <row r="466" spans="1:10" hidden="1" x14ac:dyDescent="0.2">
      <c r="A466" s="3" t="s">
        <v>6</v>
      </c>
      <c r="B466" s="4">
        <v>61</v>
      </c>
      <c r="C466" s="3" t="s">
        <v>5</v>
      </c>
      <c r="D466" s="4">
        <v>77.7</v>
      </c>
      <c r="E466" s="4">
        <v>13.6</v>
      </c>
      <c r="F466" s="6">
        <f>E466</f>
        <v>13.6</v>
      </c>
      <c r="G466" s="20"/>
      <c r="H466" s="8">
        <f t="shared" si="64"/>
        <v>155.4</v>
      </c>
      <c r="I466" s="8">
        <f t="shared" si="65"/>
        <v>27.2</v>
      </c>
      <c r="J466" s="9">
        <f t="shared" si="66"/>
        <v>27.2</v>
      </c>
    </row>
    <row r="467" spans="1:10" hidden="1" x14ac:dyDescent="0.2">
      <c r="A467" s="3" t="s">
        <v>6</v>
      </c>
      <c r="B467" s="6">
        <v>62</v>
      </c>
      <c r="C467" s="3"/>
      <c r="D467" s="4">
        <v>104.2</v>
      </c>
      <c r="E467" s="4">
        <v>8.8000000000000007</v>
      </c>
      <c r="F467" s="6">
        <f>E467</f>
        <v>8.8000000000000007</v>
      </c>
      <c r="G467" s="20"/>
      <c r="H467" s="8">
        <f t="shared" si="64"/>
        <v>208.4</v>
      </c>
      <c r="I467" s="8">
        <f t="shared" si="65"/>
        <v>17.600000000000001</v>
      </c>
      <c r="J467" s="9">
        <f t="shared" si="66"/>
        <v>17.600000000000001</v>
      </c>
    </row>
    <row r="468" spans="1:10" hidden="1" x14ac:dyDescent="0.2">
      <c r="A468" s="3" t="s">
        <v>6</v>
      </c>
      <c r="B468" s="6">
        <v>62</v>
      </c>
      <c r="C468" s="3" t="s">
        <v>5</v>
      </c>
      <c r="D468" s="4">
        <v>77.7</v>
      </c>
      <c r="E468" s="4">
        <v>14</v>
      </c>
      <c r="F468" s="6">
        <f>E468</f>
        <v>14</v>
      </c>
      <c r="G468" s="20"/>
      <c r="H468" s="8">
        <f t="shared" si="64"/>
        <v>155.4</v>
      </c>
      <c r="I468" s="8">
        <f t="shared" si="65"/>
        <v>28</v>
      </c>
      <c r="J468" s="9">
        <f t="shared" si="66"/>
        <v>28</v>
      </c>
    </row>
    <row r="469" spans="1:10" hidden="1" x14ac:dyDescent="0.2">
      <c r="A469" s="3" t="s">
        <v>6</v>
      </c>
      <c r="B469" s="4">
        <v>63</v>
      </c>
      <c r="C469" s="3"/>
      <c r="D469" s="4">
        <v>99.8</v>
      </c>
      <c r="E469" s="4">
        <v>6.7</v>
      </c>
      <c r="F469" s="4">
        <v>6.7</v>
      </c>
      <c r="G469" s="21"/>
      <c r="H469" s="8">
        <f t="shared" si="64"/>
        <v>199.6</v>
      </c>
      <c r="I469" s="8">
        <f t="shared" si="65"/>
        <v>13.4</v>
      </c>
      <c r="J469" s="9">
        <f t="shared" si="66"/>
        <v>13.4</v>
      </c>
    </row>
    <row r="470" spans="1:10" hidden="1" x14ac:dyDescent="0.2">
      <c r="A470" s="3" t="s">
        <v>6</v>
      </c>
      <c r="B470" s="4">
        <v>63</v>
      </c>
      <c r="C470" s="3" t="s">
        <v>2</v>
      </c>
      <c r="D470" s="4">
        <v>99.8</v>
      </c>
      <c r="E470" s="4">
        <v>4.9000000000000004</v>
      </c>
      <c r="F470" s="6">
        <f>E470</f>
        <v>4.9000000000000004</v>
      </c>
      <c r="G470" s="20"/>
      <c r="H470" s="8">
        <f t="shared" si="64"/>
        <v>199.6</v>
      </c>
      <c r="I470" s="8">
        <f t="shared" si="65"/>
        <v>9.8000000000000007</v>
      </c>
      <c r="J470" s="9">
        <f t="shared" si="66"/>
        <v>9.8000000000000007</v>
      </c>
    </row>
    <row r="471" spans="1:10" hidden="1" x14ac:dyDescent="0.2">
      <c r="A471" s="3" t="s">
        <v>6</v>
      </c>
      <c r="B471" s="6">
        <v>64</v>
      </c>
      <c r="C471" s="3"/>
      <c r="D471" s="4">
        <v>99.8</v>
      </c>
      <c r="E471" s="4">
        <v>4.9000000000000004</v>
      </c>
      <c r="F471" s="6">
        <f>E471</f>
        <v>4.9000000000000004</v>
      </c>
      <c r="G471" s="20"/>
      <c r="H471" s="8">
        <f t="shared" si="64"/>
        <v>199.6</v>
      </c>
      <c r="I471" s="8">
        <f t="shared" si="65"/>
        <v>9.8000000000000007</v>
      </c>
      <c r="J471" s="9">
        <f t="shared" si="66"/>
        <v>9.8000000000000007</v>
      </c>
    </row>
    <row r="472" spans="1:10" hidden="1" x14ac:dyDescent="0.2">
      <c r="A472" s="3" t="s">
        <v>6</v>
      </c>
      <c r="B472" s="6">
        <v>64</v>
      </c>
      <c r="C472" s="3" t="s">
        <v>5</v>
      </c>
      <c r="D472" s="4">
        <v>77.7</v>
      </c>
      <c r="E472" s="4">
        <v>17.600000000000001</v>
      </c>
      <c r="F472" s="6">
        <f>E472</f>
        <v>17.600000000000001</v>
      </c>
      <c r="G472" s="20"/>
      <c r="H472" s="8">
        <f t="shared" si="64"/>
        <v>155.4</v>
      </c>
      <c r="I472" s="8">
        <f t="shared" si="65"/>
        <v>35.200000000000003</v>
      </c>
      <c r="J472" s="9">
        <f t="shared" si="66"/>
        <v>35.200000000000003</v>
      </c>
    </row>
    <row r="473" spans="1:10" hidden="1" x14ac:dyDescent="0.2">
      <c r="A473" s="24" t="s">
        <v>6</v>
      </c>
      <c r="B473" s="16">
        <v>65</v>
      </c>
      <c r="C473" s="24"/>
      <c r="D473" s="5">
        <v>99.8</v>
      </c>
      <c r="E473" s="5">
        <v>0</v>
      </c>
      <c r="F473" s="16">
        <f>E473</f>
        <v>0</v>
      </c>
      <c r="G473" s="27"/>
      <c r="H473" s="8">
        <f t="shared" si="64"/>
        <v>199.6</v>
      </c>
      <c r="I473" s="8">
        <f t="shared" si="65"/>
        <v>0</v>
      </c>
      <c r="J473" s="9">
        <f t="shared" si="66"/>
        <v>0</v>
      </c>
    </row>
    <row r="474" spans="1:10" hidden="1" x14ac:dyDescent="0.2">
      <c r="A474" s="3" t="s">
        <v>6</v>
      </c>
      <c r="B474" s="4">
        <v>66</v>
      </c>
      <c r="C474" s="3"/>
      <c r="D474" s="4">
        <v>99.8</v>
      </c>
      <c r="E474" s="4">
        <v>0.1</v>
      </c>
      <c r="F474" s="16">
        <f>E474</f>
        <v>0.1</v>
      </c>
      <c r="G474" s="20"/>
      <c r="H474" s="8">
        <f t="shared" si="64"/>
        <v>199.6</v>
      </c>
      <c r="I474" s="8">
        <f t="shared" si="65"/>
        <v>0.2</v>
      </c>
      <c r="J474" s="9">
        <f t="shared" si="66"/>
        <v>0.2</v>
      </c>
    </row>
    <row r="475" spans="1:10" hidden="1" x14ac:dyDescent="0.2">
      <c r="A475" s="3" t="s">
        <v>6</v>
      </c>
      <c r="B475" s="4">
        <v>66</v>
      </c>
      <c r="C475" s="3" t="s">
        <v>3</v>
      </c>
      <c r="D475" s="4">
        <v>116</v>
      </c>
      <c r="E475" s="4">
        <v>10</v>
      </c>
      <c r="F475" s="5">
        <v>10</v>
      </c>
      <c r="G475" s="21"/>
      <c r="H475" s="8">
        <f t="shared" si="64"/>
        <v>232</v>
      </c>
      <c r="I475" s="8">
        <f t="shared" si="65"/>
        <v>20</v>
      </c>
      <c r="J475" s="9">
        <f t="shared" si="66"/>
        <v>20</v>
      </c>
    </row>
    <row r="476" spans="1:10" hidden="1" x14ac:dyDescent="0.2">
      <c r="A476" s="3" t="s">
        <v>6</v>
      </c>
      <c r="B476" s="4">
        <v>67</v>
      </c>
      <c r="C476" s="3"/>
      <c r="D476" s="4">
        <v>104.2</v>
      </c>
      <c r="E476" s="4">
        <v>4.5999999999999996</v>
      </c>
      <c r="F476" s="5">
        <v>4.5999999999999996</v>
      </c>
      <c r="G476" s="21"/>
      <c r="H476" s="8">
        <f t="shared" si="64"/>
        <v>208.4</v>
      </c>
      <c r="I476" s="8">
        <f t="shared" si="65"/>
        <v>9.1999999999999993</v>
      </c>
      <c r="J476" s="9">
        <f t="shared" si="66"/>
        <v>9.1999999999999993</v>
      </c>
    </row>
    <row r="477" spans="1:10" hidden="1" x14ac:dyDescent="0.2">
      <c r="A477" s="3" t="s">
        <v>6</v>
      </c>
      <c r="B477" s="4">
        <v>67</v>
      </c>
      <c r="C477" s="3" t="s">
        <v>5</v>
      </c>
      <c r="D477" s="4">
        <v>77.7</v>
      </c>
      <c r="E477" s="4">
        <v>18</v>
      </c>
      <c r="F477" s="16">
        <f t="shared" ref="F477:F488" si="70">E477</f>
        <v>18</v>
      </c>
      <c r="G477" s="20"/>
      <c r="H477" s="8">
        <f t="shared" si="64"/>
        <v>155.4</v>
      </c>
      <c r="I477" s="8">
        <f t="shared" si="65"/>
        <v>36</v>
      </c>
      <c r="J477" s="9">
        <f t="shared" si="66"/>
        <v>36</v>
      </c>
    </row>
    <row r="478" spans="1:10" hidden="1" x14ac:dyDescent="0.2">
      <c r="A478" s="3" t="s">
        <v>6</v>
      </c>
      <c r="B478" s="6">
        <v>68</v>
      </c>
      <c r="C478" s="3"/>
      <c r="D478" s="4">
        <v>104.2</v>
      </c>
      <c r="E478" s="4">
        <v>10</v>
      </c>
      <c r="F478" s="16">
        <f t="shared" si="70"/>
        <v>10</v>
      </c>
      <c r="G478" s="20"/>
      <c r="H478" s="8">
        <f t="shared" si="64"/>
        <v>208.4</v>
      </c>
      <c r="I478" s="8">
        <f t="shared" si="65"/>
        <v>20</v>
      </c>
      <c r="J478" s="9">
        <f t="shared" si="66"/>
        <v>20</v>
      </c>
    </row>
    <row r="479" spans="1:10" hidden="1" x14ac:dyDescent="0.2">
      <c r="A479" s="3" t="s">
        <v>6</v>
      </c>
      <c r="B479" s="6">
        <v>69</v>
      </c>
      <c r="C479" s="3"/>
      <c r="D479" s="4">
        <v>104.2</v>
      </c>
      <c r="E479" s="4">
        <v>8.4</v>
      </c>
      <c r="F479" s="16">
        <f t="shared" si="70"/>
        <v>8.4</v>
      </c>
      <c r="G479" s="20"/>
      <c r="H479" s="8">
        <f t="shared" ref="H479:H545" si="71">D479*2</f>
        <v>208.4</v>
      </c>
      <c r="I479" s="8">
        <f t="shared" ref="I479:I545" si="72">E479*2</f>
        <v>16.8</v>
      </c>
      <c r="J479" s="9">
        <f t="shared" ref="J479:J545" si="73">F479*2</f>
        <v>16.8</v>
      </c>
    </row>
    <row r="480" spans="1:10" hidden="1" x14ac:dyDescent="0.2">
      <c r="A480" s="3" t="s">
        <v>6</v>
      </c>
      <c r="B480" s="6">
        <v>70</v>
      </c>
      <c r="C480" s="3"/>
      <c r="D480" s="4">
        <v>99.8</v>
      </c>
      <c r="E480" s="4">
        <v>7.3</v>
      </c>
      <c r="F480" s="16">
        <f t="shared" si="70"/>
        <v>7.3</v>
      </c>
      <c r="G480" s="20"/>
      <c r="H480" s="8">
        <f t="shared" si="71"/>
        <v>199.6</v>
      </c>
      <c r="I480" s="8">
        <f t="shared" si="72"/>
        <v>14.6</v>
      </c>
      <c r="J480" s="9">
        <f t="shared" si="73"/>
        <v>14.6</v>
      </c>
    </row>
    <row r="481" spans="1:10" hidden="1" x14ac:dyDescent="0.2">
      <c r="A481" s="3" t="s">
        <v>6</v>
      </c>
      <c r="B481" s="6">
        <v>70</v>
      </c>
      <c r="C481" s="3" t="s">
        <v>2</v>
      </c>
      <c r="D481" s="4">
        <v>104.2</v>
      </c>
      <c r="E481" s="4">
        <v>6</v>
      </c>
      <c r="F481" s="16">
        <f t="shared" si="70"/>
        <v>6</v>
      </c>
      <c r="G481" s="20"/>
      <c r="H481" s="8">
        <f t="shared" si="71"/>
        <v>208.4</v>
      </c>
      <c r="I481" s="8">
        <f t="shared" si="72"/>
        <v>12</v>
      </c>
      <c r="J481" s="9">
        <f t="shared" si="73"/>
        <v>12</v>
      </c>
    </row>
    <row r="482" spans="1:10" hidden="1" x14ac:dyDescent="0.2">
      <c r="A482" s="3" t="s">
        <v>6</v>
      </c>
      <c r="B482" s="6">
        <v>70</v>
      </c>
      <c r="C482" s="3" t="s">
        <v>5</v>
      </c>
      <c r="D482" s="4">
        <v>90.2</v>
      </c>
      <c r="E482" s="4">
        <v>8.6</v>
      </c>
      <c r="F482" s="16">
        <f t="shared" si="70"/>
        <v>8.6</v>
      </c>
      <c r="G482" s="20"/>
      <c r="H482" s="8">
        <f t="shared" si="71"/>
        <v>180.4</v>
      </c>
      <c r="I482" s="8">
        <f t="shared" si="72"/>
        <v>17.2</v>
      </c>
      <c r="J482" s="9">
        <f t="shared" si="73"/>
        <v>17.2</v>
      </c>
    </row>
    <row r="483" spans="1:10" hidden="1" x14ac:dyDescent="0.2">
      <c r="A483" s="3" t="s">
        <v>6</v>
      </c>
      <c r="B483" s="6">
        <v>71</v>
      </c>
      <c r="C483" s="3"/>
      <c r="D483" s="4">
        <v>108.3</v>
      </c>
      <c r="E483" s="4">
        <v>6.2</v>
      </c>
      <c r="F483" s="16">
        <f t="shared" si="70"/>
        <v>6.2</v>
      </c>
      <c r="G483" s="20"/>
      <c r="H483" s="8">
        <f t="shared" si="71"/>
        <v>216.6</v>
      </c>
      <c r="I483" s="8">
        <f t="shared" si="72"/>
        <v>12.4</v>
      </c>
      <c r="J483" s="9">
        <f t="shared" si="73"/>
        <v>12.4</v>
      </c>
    </row>
    <row r="484" spans="1:10" hidden="1" x14ac:dyDescent="0.2">
      <c r="A484" s="3" t="s">
        <v>6</v>
      </c>
      <c r="B484" s="6">
        <v>72</v>
      </c>
      <c r="C484" s="3"/>
      <c r="D484" s="4">
        <v>108.3</v>
      </c>
      <c r="E484" s="4">
        <v>5.5</v>
      </c>
      <c r="F484" s="16">
        <f t="shared" si="70"/>
        <v>5.5</v>
      </c>
      <c r="G484" s="20"/>
      <c r="H484" s="8">
        <f t="shared" si="71"/>
        <v>216.6</v>
      </c>
      <c r="I484" s="8">
        <f t="shared" si="72"/>
        <v>11</v>
      </c>
      <c r="J484" s="9">
        <f t="shared" si="73"/>
        <v>11</v>
      </c>
    </row>
    <row r="485" spans="1:10" hidden="1" x14ac:dyDescent="0.2">
      <c r="A485" s="3" t="s">
        <v>6</v>
      </c>
      <c r="B485" s="6">
        <v>72</v>
      </c>
      <c r="C485" s="3" t="s">
        <v>5</v>
      </c>
      <c r="D485" s="4">
        <v>116</v>
      </c>
      <c r="E485" s="4">
        <v>9.9</v>
      </c>
      <c r="F485" s="16">
        <f t="shared" si="70"/>
        <v>9.9</v>
      </c>
      <c r="G485" s="20"/>
      <c r="H485" s="8">
        <f t="shared" si="71"/>
        <v>232</v>
      </c>
      <c r="I485" s="8">
        <f t="shared" si="72"/>
        <v>19.8</v>
      </c>
      <c r="J485" s="9">
        <f t="shared" si="73"/>
        <v>19.8</v>
      </c>
    </row>
    <row r="486" spans="1:10" hidden="1" x14ac:dyDescent="0.2">
      <c r="A486" s="3" t="s">
        <v>6</v>
      </c>
      <c r="B486" s="6">
        <v>73</v>
      </c>
      <c r="C486" s="3"/>
      <c r="D486" s="4">
        <v>102.3</v>
      </c>
      <c r="E486" s="4">
        <v>1.1000000000000001</v>
      </c>
      <c r="F486" s="16">
        <v>0</v>
      </c>
      <c r="G486" s="20"/>
      <c r="H486" s="8">
        <f t="shared" si="71"/>
        <v>204.6</v>
      </c>
      <c r="I486" s="8">
        <f t="shared" si="72"/>
        <v>2.2000000000000002</v>
      </c>
      <c r="J486" s="9">
        <f t="shared" si="73"/>
        <v>0</v>
      </c>
    </row>
    <row r="487" spans="1:10" hidden="1" x14ac:dyDescent="0.2">
      <c r="A487" s="3" t="s">
        <v>6</v>
      </c>
      <c r="B487" s="6">
        <v>73</v>
      </c>
      <c r="C487" s="3" t="s">
        <v>2</v>
      </c>
      <c r="D487" s="4">
        <v>102.3</v>
      </c>
      <c r="E487" s="4">
        <v>1.5</v>
      </c>
      <c r="F487" s="16">
        <v>0</v>
      </c>
      <c r="G487" s="20"/>
      <c r="H487" s="8">
        <f t="shared" si="71"/>
        <v>204.6</v>
      </c>
      <c r="I487" s="8">
        <f t="shared" si="72"/>
        <v>3</v>
      </c>
      <c r="J487" s="9">
        <f t="shared" si="73"/>
        <v>0</v>
      </c>
    </row>
    <row r="488" spans="1:10" hidden="1" x14ac:dyDescent="0.2">
      <c r="A488" s="3" t="s">
        <v>6</v>
      </c>
      <c r="B488" s="4">
        <v>74</v>
      </c>
      <c r="C488" s="3"/>
      <c r="D488" s="4">
        <v>101.5</v>
      </c>
      <c r="E488" s="4">
        <v>0.3</v>
      </c>
      <c r="F488" s="16">
        <f t="shared" si="70"/>
        <v>0.3</v>
      </c>
      <c r="G488" s="20"/>
      <c r="H488" s="8">
        <f t="shared" si="71"/>
        <v>203</v>
      </c>
      <c r="I488" s="8">
        <f t="shared" si="72"/>
        <v>0.6</v>
      </c>
      <c r="J488" s="9">
        <f t="shared" si="73"/>
        <v>0.6</v>
      </c>
    </row>
    <row r="489" spans="1:10" hidden="1" x14ac:dyDescent="0.2">
      <c r="A489" s="3" t="s">
        <v>6</v>
      </c>
      <c r="B489" s="4">
        <v>74</v>
      </c>
      <c r="C489" s="3" t="s">
        <v>5</v>
      </c>
      <c r="D489" s="4">
        <v>116</v>
      </c>
      <c r="E489" s="4">
        <v>11</v>
      </c>
      <c r="F489" s="5">
        <v>11</v>
      </c>
      <c r="G489" s="21"/>
      <c r="H489" s="8">
        <f t="shared" si="71"/>
        <v>232</v>
      </c>
      <c r="I489" s="8">
        <f t="shared" si="72"/>
        <v>22</v>
      </c>
      <c r="J489" s="9">
        <f t="shared" si="73"/>
        <v>22</v>
      </c>
    </row>
    <row r="490" spans="1:10" hidden="1" x14ac:dyDescent="0.2">
      <c r="A490" s="3" t="s">
        <v>6</v>
      </c>
      <c r="B490" s="4">
        <v>75</v>
      </c>
      <c r="C490" s="3"/>
      <c r="D490" s="4">
        <v>104.2</v>
      </c>
      <c r="E490" s="4">
        <v>1</v>
      </c>
      <c r="F490" s="16">
        <f>E490</f>
        <v>1</v>
      </c>
      <c r="G490" s="20"/>
      <c r="H490" s="8">
        <f t="shared" si="71"/>
        <v>208.4</v>
      </c>
      <c r="I490" s="8">
        <f t="shared" si="72"/>
        <v>2</v>
      </c>
      <c r="J490" s="9">
        <f t="shared" si="73"/>
        <v>2</v>
      </c>
    </row>
    <row r="491" spans="1:10" hidden="1" x14ac:dyDescent="0.2">
      <c r="A491" s="3" t="s">
        <v>6</v>
      </c>
      <c r="B491" s="4">
        <v>75</v>
      </c>
      <c r="C491" s="3" t="s">
        <v>2</v>
      </c>
      <c r="D491" s="4">
        <v>104.2</v>
      </c>
      <c r="E491" s="4">
        <v>3.9</v>
      </c>
      <c r="F491" s="5">
        <v>3.9</v>
      </c>
      <c r="G491" s="21"/>
      <c r="H491" s="8">
        <f t="shared" si="71"/>
        <v>208.4</v>
      </c>
      <c r="I491" s="8">
        <f t="shared" si="72"/>
        <v>7.8</v>
      </c>
      <c r="J491" s="9">
        <f t="shared" si="73"/>
        <v>7.8</v>
      </c>
    </row>
    <row r="492" spans="1:10" hidden="1" x14ac:dyDescent="0.2">
      <c r="A492" s="3" t="s">
        <v>6</v>
      </c>
      <c r="B492" s="4">
        <v>76</v>
      </c>
      <c r="C492" s="3"/>
      <c r="D492" s="4">
        <v>104.2</v>
      </c>
      <c r="E492" s="4">
        <v>2.2999999999999998</v>
      </c>
      <c r="F492" s="5">
        <v>2.2999999999999998</v>
      </c>
      <c r="G492" s="21"/>
      <c r="H492" s="8">
        <f t="shared" si="71"/>
        <v>208.4</v>
      </c>
      <c r="I492" s="8">
        <f t="shared" si="72"/>
        <v>4.5999999999999996</v>
      </c>
      <c r="J492" s="9">
        <f t="shared" si="73"/>
        <v>4.5999999999999996</v>
      </c>
    </row>
    <row r="493" spans="1:10" hidden="1" x14ac:dyDescent="0.2">
      <c r="A493" s="3" t="s">
        <v>6</v>
      </c>
      <c r="B493" s="4">
        <v>77</v>
      </c>
      <c r="C493" s="3"/>
      <c r="D493" s="4">
        <v>104.2</v>
      </c>
      <c r="E493" s="4">
        <v>4.7</v>
      </c>
      <c r="F493" s="5">
        <v>4.7</v>
      </c>
      <c r="G493" s="21"/>
      <c r="H493" s="8">
        <f t="shared" si="71"/>
        <v>208.4</v>
      </c>
      <c r="I493" s="8">
        <f t="shared" si="72"/>
        <v>9.4</v>
      </c>
      <c r="J493" s="9">
        <f t="shared" si="73"/>
        <v>9.4</v>
      </c>
    </row>
    <row r="494" spans="1:10" hidden="1" x14ac:dyDescent="0.2">
      <c r="A494" s="3" t="s">
        <v>6</v>
      </c>
      <c r="B494" s="4">
        <v>77</v>
      </c>
      <c r="C494" s="3" t="s">
        <v>5</v>
      </c>
      <c r="D494" s="4">
        <v>116</v>
      </c>
      <c r="E494" s="4">
        <v>12</v>
      </c>
      <c r="F494" s="16">
        <f>E494</f>
        <v>12</v>
      </c>
      <c r="G494" s="20"/>
      <c r="H494" s="8">
        <f t="shared" si="71"/>
        <v>232</v>
      </c>
      <c r="I494" s="8">
        <f t="shared" si="72"/>
        <v>24</v>
      </c>
      <c r="J494" s="9">
        <f t="shared" si="73"/>
        <v>24</v>
      </c>
    </row>
    <row r="495" spans="1:10" hidden="1" x14ac:dyDescent="0.2">
      <c r="A495" s="24" t="s">
        <v>6</v>
      </c>
      <c r="B495" s="16">
        <v>78</v>
      </c>
      <c r="C495" s="24"/>
      <c r="D495" s="4">
        <v>110</v>
      </c>
      <c r="E495" s="4">
        <v>4.5999999999999996</v>
      </c>
      <c r="F495" s="16">
        <v>0</v>
      </c>
      <c r="G495" s="27"/>
      <c r="H495" s="8">
        <f t="shared" si="71"/>
        <v>220</v>
      </c>
      <c r="I495" s="8">
        <f t="shared" si="72"/>
        <v>9.1999999999999993</v>
      </c>
      <c r="J495" s="9">
        <f t="shared" si="73"/>
        <v>0</v>
      </c>
    </row>
    <row r="496" spans="1:10" hidden="1" x14ac:dyDescent="0.2">
      <c r="A496" s="24" t="s">
        <v>6</v>
      </c>
      <c r="B496" s="16">
        <v>78</v>
      </c>
      <c r="C496" s="24" t="s">
        <v>2</v>
      </c>
      <c r="D496" s="4">
        <v>110</v>
      </c>
      <c r="E496" s="4">
        <v>4.7</v>
      </c>
      <c r="F496" s="16">
        <v>0</v>
      </c>
      <c r="G496" s="27"/>
      <c r="H496" s="8">
        <f t="shared" si="71"/>
        <v>220</v>
      </c>
      <c r="I496" s="8">
        <f t="shared" si="72"/>
        <v>9.4</v>
      </c>
      <c r="J496" s="9">
        <f t="shared" si="73"/>
        <v>0</v>
      </c>
    </row>
    <row r="497" spans="1:10" hidden="1" x14ac:dyDescent="0.2">
      <c r="A497" s="24" t="s">
        <v>6</v>
      </c>
      <c r="B497" s="16">
        <v>78</v>
      </c>
      <c r="C497" s="24" t="s">
        <v>24</v>
      </c>
      <c r="D497" s="4">
        <v>110</v>
      </c>
      <c r="E497" s="4">
        <v>6</v>
      </c>
      <c r="F497" s="16">
        <v>0</v>
      </c>
      <c r="G497" s="27"/>
      <c r="H497" s="8">
        <f t="shared" si="71"/>
        <v>220</v>
      </c>
      <c r="I497" s="8">
        <f t="shared" si="72"/>
        <v>12</v>
      </c>
      <c r="J497" s="9">
        <f t="shared" si="73"/>
        <v>0</v>
      </c>
    </row>
    <row r="498" spans="1:10" hidden="1" x14ac:dyDescent="0.2">
      <c r="A498" s="3" t="s">
        <v>6</v>
      </c>
      <c r="B498" s="6">
        <v>79</v>
      </c>
      <c r="C498" s="3"/>
      <c r="D498" s="4">
        <v>108.3</v>
      </c>
      <c r="E498" s="4">
        <v>5.2</v>
      </c>
      <c r="F498" s="16">
        <f>E498</f>
        <v>5.2</v>
      </c>
      <c r="G498" s="20"/>
      <c r="H498" s="8">
        <f t="shared" si="71"/>
        <v>216.6</v>
      </c>
      <c r="I498" s="8">
        <f t="shared" si="72"/>
        <v>10.4</v>
      </c>
      <c r="J498" s="9">
        <f t="shared" si="73"/>
        <v>10.4</v>
      </c>
    </row>
    <row r="499" spans="1:10" hidden="1" x14ac:dyDescent="0.2">
      <c r="A499" s="3" t="s">
        <v>6</v>
      </c>
      <c r="B499" s="4">
        <v>80</v>
      </c>
      <c r="C499" s="3"/>
      <c r="D499" s="4">
        <v>104.4</v>
      </c>
      <c r="E499" s="4">
        <v>2.2000000000000002</v>
      </c>
      <c r="F499" s="4">
        <v>2.2000000000000002</v>
      </c>
      <c r="G499" s="21"/>
      <c r="H499" s="8">
        <f t="shared" si="71"/>
        <v>208.8</v>
      </c>
      <c r="I499" s="8">
        <f t="shared" si="72"/>
        <v>4.4000000000000004</v>
      </c>
      <c r="J499" s="9">
        <f t="shared" si="73"/>
        <v>4.4000000000000004</v>
      </c>
    </row>
    <row r="500" spans="1:10" hidden="1" x14ac:dyDescent="0.2">
      <c r="A500" s="3" t="s">
        <v>6</v>
      </c>
      <c r="B500" s="4">
        <v>80</v>
      </c>
      <c r="C500" s="3" t="s">
        <v>3</v>
      </c>
      <c r="D500" s="4">
        <v>68.5</v>
      </c>
      <c r="E500" s="4">
        <v>5.9</v>
      </c>
      <c r="F500" s="6">
        <f t="shared" ref="F500:F506" si="74">E500</f>
        <v>5.9</v>
      </c>
      <c r="G500" s="20"/>
      <c r="H500" s="8">
        <f t="shared" si="71"/>
        <v>137</v>
      </c>
      <c r="I500" s="8">
        <f t="shared" si="72"/>
        <v>11.8</v>
      </c>
      <c r="J500" s="9">
        <f t="shared" si="73"/>
        <v>11.8</v>
      </c>
    </row>
    <row r="501" spans="1:10" hidden="1" x14ac:dyDescent="0.2">
      <c r="A501" s="3" t="s">
        <v>6</v>
      </c>
      <c r="B501" s="6">
        <v>81</v>
      </c>
      <c r="C501" s="3"/>
      <c r="D501" s="4">
        <v>77.5</v>
      </c>
      <c r="E501" s="4">
        <v>1</v>
      </c>
      <c r="F501" s="6">
        <f t="shared" si="74"/>
        <v>1</v>
      </c>
      <c r="G501" s="20"/>
      <c r="H501" s="8">
        <f t="shared" si="71"/>
        <v>155</v>
      </c>
      <c r="I501" s="8">
        <f t="shared" si="72"/>
        <v>2</v>
      </c>
      <c r="J501" s="9">
        <f t="shared" si="73"/>
        <v>2</v>
      </c>
    </row>
    <row r="502" spans="1:10" hidden="1" x14ac:dyDescent="0.2">
      <c r="A502" s="3" t="s">
        <v>6</v>
      </c>
      <c r="B502" s="6">
        <v>82</v>
      </c>
      <c r="C502" s="3"/>
      <c r="D502" s="4">
        <v>77.599999999999994</v>
      </c>
      <c r="E502" s="4">
        <v>0.2</v>
      </c>
      <c r="F502" s="6">
        <f t="shared" si="74"/>
        <v>0.2</v>
      </c>
      <c r="G502" s="20"/>
      <c r="H502" s="8">
        <f t="shared" si="71"/>
        <v>155.19999999999999</v>
      </c>
      <c r="I502" s="8">
        <f t="shared" si="72"/>
        <v>0.4</v>
      </c>
      <c r="J502" s="9">
        <f t="shared" si="73"/>
        <v>0.4</v>
      </c>
    </row>
    <row r="503" spans="1:10" hidden="1" x14ac:dyDescent="0.2">
      <c r="A503" s="3" t="s">
        <v>6</v>
      </c>
      <c r="B503" s="6">
        <v>82</v>
      </c>
      <c r="C503" s="3" t="s">
        <v>2</v>
      </c>
      <c r="D503" s="4">
        <v>77.5</v>
      </c>
      <c r="E503" s="4">
        <v>0.6</v>
      </c>
      <c r="F503" s="6">
        <f t="shared" si="74"/>
        <v>0.6</v>
      </c>
      <c r="G503" s="20"/>
      <c r="H503" s="8">
        <f t="shared" si="71"/>
        <v>155</v>
      </c>
      <c r="I503" s="8">
        <f t="shared" si="72"/>
        <v>1.2</v>
      </c>
      <c r="J503" s="9">
        <f t="shared" si="73"/>
        <v>1.2</v>
      </c>
    </row>
    <row r="504" spans="1:10" hidden="1" x14ac:dyDescent="0.2">
      <c r="A504" s="3" t="s">
        <v>6</v>
      </c>
      <c r="B504" s="6">
        <v>82</v>
      </c>
      <c r="C504" s="3" t="s">
        <v>5</v>
      </c>
      <c r="D504" s="4">
        <v>68.3</v>
      </c>
      <c r="E504" s="4">
        <v>2.9</v>
      </c>
      <c r="F504" s="6">
        <f t="shared" si="74"/>
        <v>2.9</v>
      </c>
      <c r="G504" s="20"/>
      <c r="H504" s="8">
        <f t="shared" si="71"/>
        <v>136.6</v>
      </c>
      <c r="I504" s="8">
        <f t="shared" si="72"/>
        <v>5.8</v>
      </c>
      <c r="J504" s="9">
        <f t="shared" si="73"/>
        <v>5.8</v>
      </c>
    </row>
    <row r="505" spans="1:10" hidden="1" x14ac:dyDescent="0.2">
      <c r="A505" s="3" t="s">
        <v>6</v>
      </c>
      <c r="B505" s="6">
        <v>83</v>
      </c>
      <c r="C505" s="3"/>
      <c r="D505" s="4">
        <v>104.4</v>
      </c>
      <c r="E505" s="4">
        <v>0.15</v>
      </c>
      <c r="F505" s="6">
        <f t="shared" si="74"/>
        <v>0.15</v>
      </c>
      <c r="G505" s="20"/>
      <c r="H505" s="8">
        <f t="shared" si="71"/>
        <v>208.8</v>
      </c>
      <c r="I505" s="8">
        <f t="shared" si="72"/>
        <v>0.3</v>
      </c>
      <c r="J505" s="9">
        <f t="shared" si="73"/>
        <v>0.3</v>
      </c>
    </row>
    <row r="506" spans="1:10" hidden="1" x14ac:dyDescent="0.2">
      <c r="A506" s="3" t="s">
        <v>6</v>
      </c>
      <c r="B506" s="6">
        <v>83</v>
      </c>
      <c r="C506" s="3" t="s">
        <v>5</v>
      </c>
      <c r="D506" s="4">
        <v>68.5</v>
      </c>
      <c r="E506" s="4">
        <v>1</v>
      </c>
      <c r="F506" s="6">
        <f t="shared" si="74"/>
        <v>1</v>
      </c>
      <c r="G506" s="20"/>
      <c r="H506" s="8">
        <f t="shared" si="71"/>
        <v>137</v>
      </c>
      <c r="I506" s="8">
        <f t="shared" si="72"/>
        <v>2</v>
      </c>
      <c r="J506" s="9">
        <f t="shared" si="73"/>
        <v>2</v>
      </c>
    </row>
    <row r="507" spans="1:10" hidden="1" x14ac:dyDescent="0.2">
      <c r="A507" s="24" t="s">
        <v>6</v>
      </c>
      <c r="B507" s="5">
        <v>84</v>
      </c>
      <c r="C507" s="24"/>
      <c r="D507" s="5">
        <v>107.1</v>
      </c>
      <c r="E507" s="5">
        <v>1</v>
      </c>
      <c r="F507" s="5">
        <v>0</v>
      </c>
      <c r="G507" s="25"/>
      <c r="H507" s="8">
        <f t="shared" si="71"/>
        <v>214.2</v>
      </c>
      <c r="I507" s="8">
        <f t="shared" si="72"/>
        <v>2</v>
      </c>
      <c r="J507" s="9">
        <f t="shared" si="73"/>
        <v>0</v>
      </c>
    </row>
    <row r="508" spans="1:10" s="26" customFormat="1" hidden="1" x14ac:dyDescent="0.2">
      <c r="A508" s="24" t="s">
        <v>6</v>
      </c>
      <c r="B508" s="5">
        <v>84</v>
      </c>
      <c r="C508" s="24" t="s">
        <v>2</v>
      </c>
      <c r="D508" s="5">
        <v>107.1</v>
      </c>
      <c r="E508" s="5">
        <v>1.9</v>
      </c>
      <c r="F508" s="5">
        <v>0</v>
      </c>
      <c r="G508" s="25"/>
      <c r="H508" s="8">
        <f t="shared" ref="H508" si="75">D508*2</f>
        <v>214.2</v>
      </c>
      <c r="I508" s="8">
        <f t="shared" ref="I508" si="76">E508*2</f>
        <v>3.8</v>
      </c>
      <c r="J508" s="9">
        <f t="shared" ref="J508" si="77">F508*2</f>
        <v>0</v>
      </c>
    </row>
    <row r="509" spans="1:10" hidden="1" x14ac:dyDescent="0.2">
      <c r="A509" s="3" t="s">
        <v>6</v>
      </c>
      <c r="B509" s="6">
        <v>85</v>
      </c>
      <c r="C509" s="3"/>
      <c r="D509" s="4">
        <v>106.6</v>
      </c>
      <c r="E509" s="4">
        <v>0.4</v>
      </c>
      <c r="F509" s="16">
        <f>E509</f>
        <v>0.4</v>
      </c>
      <c r="G509" s="20"/>
      <c r="H509" s="8">
        <f t="shared" si="71"/>
        <v>213.2</v>
      </c>
      <c r="I509" s="8">
        <f t="shared" si="72"/>
        <v>0.8</v>
      </c>
      <c r="J509" s="9">
        <f t="shared" si="73"/>
        <v>0.8</v>
      </c>
    </row>
    <row r="510" spans="1:10" hidden="1" x14ac:dyDescent="0.2">
      <c r="A510" s="24" t="s">
        <v>6</v>
      </c>
      <c r="B510" s="5">
        <v>86</v>
      </c>
      <c r="C510" s="24"/>
      <c r="D510" s="5">
        <v>108.3</v>
      </c>
      <c r="E510" s="5">
        <v>0</v>
      </c>
      <c r="F510" s="16">
        <f>E510</f>
        <v>0</v>
      </c>
      <c r="G510" s="27"/>
      <c r="H510" s="8">
        <f t="shared" si="71"/>
        <v>216.6</v>
      </c>
      <c r="I510" s="8">
        <f t="shared" si="72"/>
        <v>0</v>
      </c>
      <c r="J510" s="9">
        <f t="shared" si="73"/>
        <v>0</v>
      </c>
    </row>
    <row r="511" spans="1:10" hidden="1" x14ac:dyDescent="0.2">
      <c r="A511" s="3" t="s">
        <v>6</v>
      </c>
      <c r="B511" s="6">
        <v>86</v>
      </c>
      <c r="C511" s="3" t="s">
        <v>2</v>
      </c>
      <c r="D511" s="4">
        <v>108.3</v>
      </c>
      <c r="E511" s="4">
        <v>0.8</v>
      </c>
      <c r="F511" s="16">
        <f>E511</f>
        <v>0.8</v>
      </c>
      <c r="G511" s="20"/>
      <c r="H511" s="8">
        <f t="shared" si="71"/>
        <v>216.6</v>
      </c>
      <c r="I511" s="8">
        <f t="shared" si="72"/>
        <v>1.6</v>
      </c>
      <c r="J511" s="9">
        <f t="shared" si="73"/>
        <v>1.6</v>
      </c>
    </row>
    <row r="512" spans="1:10" hidden="1" x14ac:dyDescent="0.2">
      <c r="A512" s="3" t="s">
        <v>6</v>
      </c>
      <c r="B512" s="6">
        <v>86</v>
      </c>
      <c r="C512" s="3" t="s">
        <v>3</v>
      </c>
      <c r="D512" s="4">
        <v>68.5</v>
      </c>
      <c r="E512" s="4">
        <v>8.1</v>
      </c>
      <c r="F512" s="6">
        <f>E512</f>
        <v>8.1</v>
      </c>
      <c r="G512" s="20"/>
      <c r="H512" s="8">
        <f t="shared" si="71"/>
        <v>137</v>
      </c>
      <c r="I512" s="8">
        <f t="shared" si="72"/>
        <v>16.2</v>
      </c>
      <c r="J512" s="9">
        <f t="shared" si="73"/>
        <v>16.2</v>
      </c>
    </row>
    <row r="513" spans="1:10" hidden="1" x14ac:dyDescent="0.2">
      <c r="A513" s="3" t="s">
        <v>6</v>
      </c>
      <c r="B513" s="6">
        <v>87</v>
      </c>
      <c r="C513" s="3"/>
      <c r="D513" s="4">
        <v>108.3</v>
      </c>
      <c r="E513" s="4">
        <v>3.8</v>
      </c>
      <c r="F513" s="4">
        <v>3.8</v>
      </c>
      <c r="G513" s="21"/>
      <c r="H513" s="8">
        <f t="shared" si="71"/>
        <v>216.6</v>
      </c>
      <c r="I513" s="8">
        <f t="shared" si="72"/>
        <v>7.6</v>
      </c>
      <c r="J513" s="9">
        <f t="shared" si="73"/>
        <v>7.6</v>
      </c>
    </row>
    <row r="514" spans="1:10" hidden="1" x14ac:dyDescent="0.2">
      <c r="A514" s="3" t="s">
        <v>6</v>
      </c>
      <c r="B514" s="4">
        <v>87</v>
      </c>
      <c r="C514" s="3" t="s">
        <v>5</v>
      </c>
      <c r="D514" s="4">
        <v>68.5</v>
      </c>
      <c r="E514" s="4">
        <v>14.6</v>
      </c>
      <c r="F514" s="4">
        <v>14.6</v>
      </c>
      <c r="G514" s="21"/>
      <c r="H514" s="8">
        <f t="shared" si="71"/>
        <v>137</v>
      </c>
      <c r="I514" s="8">
        <f t="shared" si="72"/>
        <v>29.2</v>
      </c>
      <c r="J514" s="9">
        <f t="shared" si="73"/>
        <v>29.2</v>
      </c>
    </row>
    <row r="515" spans="1:10" hidden="1" x14ac:dyDescent="0.2">
      <c r="A515" s="3" t="s">
        <v>6</v>
      </c>
      <c r="B515" s="6">
        <v>88</v>
      </c>
      <c r="C515" s="3"/>
      <c r="D515" s="4">
        <v>104.4</v>
      </c>
      <c r="E515" s="4">
        <v>4.5999999999999996</v>
      </c>
      <c r="F515" s="6">
        <f>E515</f>
        <v>4.5999999999999996</v>
      </c>
      <c r="G515" s="20"/>
      <c r="H515" s="8">
        <f t="shared" si="71"/>
        <v>208.8</v>
      </c>
      <c r="I515" s="8">
        <f t="shared" si="72"/>
        <v>9.1999999999999993</v>
      </c>
      <c r="J515" s="9">
        <f t="shared" si="73"/>
        <v>9.1999999999999993</v>
      </c>
    </row>
    <row r="516" spans="1:10" hidden="1" x14ac:dyDescent="0.2">
      <c r="A516" s="3" t="s">
        <v>6</v>
      </c>
      <c r="B516" s="6">
        <v>88</v>
      </c>
      <c r="C516" s="3" t="s">
        <v>3</v>
      </c>
      <c r="D516" s="4">
        <v>116</v>
      </c>
      <c r="E516" s="4">
        <v>13.7</v>
      </c>
      <c r="F516" s="4">
        <v>13.7</v>
      </c>
      <c r="G516" s="21"/>
      <c r="H516" s="8">
        <f t="shared" si="71"/>
        <v>232</v>
      </c>
      <c r="I516" s="8">
        <f t="shared" si="72"/>
        <v>27.4</v>
      </c>
      <c r="J516" s="9">
        <f t="shared" si="73"/>
        <v>27.4</v>
      </c>
    </row>
    <row r="517" spans="1:10" hidden="1" x14ac:dyDescent="0.2">
      <c r="A517" s="3" t="s">
        <v>6</v>
      </c>
      <c r="B517" s="4">
        <v>89</v>
      </c>
      <c r="C517" s="3"/>
      <c r="D517" s="4">
        <v>105.2</v>
      </c>
      <c r="E517" s="4">
        <v>1.5</v>
      </c>
      <c r="F517" s="4">
        <v>1.5</v>
      </c>
      <c r="G517" s="21"/>
      <c r="H517" s="8">
        <f t="shared" si="71"/>
        <v>210.4</v>
      </c>
      <c r="I517" s="8">
        <f t="shared" si="72"/>
        <v>3</v>
      </c>
      <c r="J517" s="9">
        <f t="shared" si="73"/>
        <v>3</v>
      </c>
    </row>
    <row r="518" spans="1:10" hidden="1" x14ac:dyDescent="0.2">
      <c r="A518" s="3" t="s">
        <v>6</v>
      </c>
      <c r="B518" s="4">
        <v>89</v>
      </c>
      <c r="C518" s="3" t="s">
        <v>2</v>
      </c>
      <c r="D518" s="4">
        <v>105.2</v>
      </c>
      <c r="E518" s="4">
        <v>1.7</v>
      </c>
      <c r="F518" s="4">
        <v>1.7</v>
      </c>
      <c r="G518" s="21"/>
      <c r="H518" s="8">
        <f t="shared" si="71"/>
        <v>210.4</v>
      </c>
      <c r="I518" s="8">
        <f t="shared" si="72"/>
        <v>3.4</v>
      </c>
      <c r="J518" s="9">
        <f t="shared" si="73"/>
        <v>3.4</v>
      </c>
    </row>
    <row r="519" spans="1:10" hidden="1" x14ac:dyDescent="0.2">
      <c r="A519" s="3" t="s">
        <v>6</v>
      </c>
      <c r="B519" s="4">
        <v>89</v>
      </c>
      <c r="C519" s="3" t="s">
        <v>3</v>
      </c>
      <c r="D519" s="4">
        <v>77.7</v>
      </c>
      <c r="E519" s="4">
        <v>19.899999999999999</v>
      </c>
      <c r="F519" s="4">
        <v>19.899999999999999</v>
      </c>
      <c r="G519" s="21"/>
      <c r="H519" s="8">
        <f t="shared" si="71"/>
        <v>155.4</v>
      </c>
      <c r="I519" s="8">
        <f t="shared" si="72"/>
        <v>39.799999999999997</v>
      </c>
      <c r="J519" s="9">
        <f t="shared" si="73"/>
        <v>39.799999999999997</v>
      </c>
    </row>
    <row r="520" spans="1:10" hidden="1" x14ac:dyDescent="0.2">
      <c r="A520" s="3" t="s">
        <v>6</v>
      </c>
      <c r="B520" s="6">
        <v>90</v>
      </c>
      <c r="C520" s="3"/>
      <c r="D520" s="4">
        <v>105.3</v>
      </c>
      <c r="E520" s="4">
        <v>3</v>
      </c>
      <c r="F520" s="4">
        <v>3</v>
      </c>
      <c r="G520" s="21"/>
      <c r="H520" s="8">
        <f t="shared" si="71"/>
        <v>210.6</v>
      </c>
      <c r="I520" s="8">
        <f t="shared" si="72"/>
        <v>6</v>
      </c>
      <c r="J520" s="9">
        <f t="shared" si="73"/>
        <v>6</v>
      </c>
    </row>
    <row r="521" spans="1:10" hidden="1" x14ac:dyDescent="0.2">
      <c r="A521" s="3" t="s">
        <v>6</v>
      </c>
      <c r="B521" s="6">
        <v>90</v>
      </c>
      <c r="C521" s="3" t="s">
        <v>2</v>
      </c>
      <c r="D521" s="4">
        <v>105.3</v>
      </c>
      <c r="E521" s="4">
        <v>4.5</v>
      </c>
      <c r="F521" s="4">
        <v>4.5</v>
      </c>
      <c r="G521" s="21"/>
      <c r="H521" s="8">
        <f t="shared" si="71"/>
        <v>210.6</v>
      </c>
      <c r="I521" s="8">
        <f t="shared" si="72"/>
        <v>9</v>
      </c>
      <c r="J521" s="9">
        <f t="shared" si="73"/>
        <v>9</v>
      </c>
    </row>
    <row r="522" spans="1:10" hidden="1" x14ac:dyDescent="0.2">
      <c r="A522" s="3" t="s">
        <v>6</v>
      </c>
      <c r="B522" s="4">
        <v>91</v>
      </c>
      <c r="C522" s="3"/>
      <c r="D522" s="4">
        <v>108.3</v>
      </c>
      <c r="E522" s="4">
        <v>2.2999999999999998</v>
      </c>
      <c r="F522" s="4">
        <v>2.2999999999999998</v>
      </c>
      <c r="G522" s="21"/>
      <c r="H522" s="8">
        <f t="shared" si="71"/>
        <v>216.6</v>
      </c>
      <c r="I522" s="8">
        <f t="shared" si="72"/>
        <v>4.5999999999999996</v>
      </c>
      <c r="J522" s="9">
        <f t="shared" si="73"/>
        <v>4.5999999999999996</v>
      </c>
    </row>
    <row r="523" spans="1:10" hidden="1" x14ac:dyDescent="0.2">
      <c r="A523" s="3" t="s">
        <v>6</v>
      </c>
      <c r="B523" s="4">
        <v>91</v>
      </c>
      <c r="C523" s="3" t="s">
        <v>2</v>
      </c>
      <c r="D523" s="4">
        <v>108.3</v>
      </c>
      <c r="E523" s="4">
        <v>2.1</v>
      </c>
      <c r="F523" s="4">
        <v>2.1</v>
      </c>
      <c r="G523" s="21"/>
      <c r="H523" s="8">
        <f t="shared" si="71"/>
        <v>216.6</v>
      </c>
      <c r="I523" s="8">
        <f t="shared" si="72"/>
        <v>4.2</v>
      </c>
      <c r="J523" s="9">
        <f t="shared" si="73"/>
        <v>4.2</v>
      </c>
    </row>
    <row r="524" spans="1:10" hidden="1" x14ac:dyDescent="0.2">
      <c r="A524" s="24" t="s">
        <v>6</v>
      </c>
      <c r="B524" s="16">
        <v>93</v>
      </c>
      <c r="C524" s="24"/>
      <c r="D524" s="5">
        <v>111</v>
      </c>
      <c r="E524" s="5">
        <v>0</v>
      </c>
      <c r="F524" s="5">
        <v>0</v>
      </c>
      <c r="G524" s="25"/>
      <c r="H524" s="8">
        <f t="shared" si="71"/>
        <v>222</v>
      </c>
      <c r="I524" s="8">
        <f t="shared" si="72"/>
        <v>0</v>
      </c>
      <c r="J524" s="9">
        <f t="shared" si="73"/>
        <v>0</v>
      </c>
    </row>
    <row r="525" spans="1:10" hidden="1" x14ac:dyDescent="0.2">
      <c r="A525" s="3" t="s">
        <v>6</v>
      </c>
      <c r="B525" s="4">
        <v>92</v>
      </c>
      <c r="C525" s="3"/>
      <c r="D525" s="4">
        <v>111</v>
      </c>
      <c r="E525" s="4">
        <v>1.6</v>
      </c>
      <c r="F525" s="5">
        <v>1.6</v>
      </c>
      <c r="G525" s="21"/>
      <c r="H525" s="8">
        <f t="shared" si="71"/>
        <v>222</v>
      </c>
      <c r="I525" s="8">
        <f t="shared" si="72"/>
        <v>3.2</v>
      </c>
      <c r="J525" s="9">
        <f t="shared" si="73"/>
        <v>3.2</v>
      </c>
    </row>
    <row r="526" spans="1:10" hidden="1" x14ac:dyDescent="0.2">
      <c r="A526" s="3" t="s">
        <v>6</v>
      </c>
      <c r="B526" s="6">
        <v>95</v>
      </c>
      <c r="C526" s="3"/>
      <c r="D526" s="4">
        <v>74.8</v>
      </c>
      <c r="E526" s="4">
        <v>3.5</v>
      </c>
      <c r="F526" s="5">
        <v>3.5</v>
      </c>
      <c r="G526" s="21"/>
      <c r="H526" s="8">
        <f t="shared" si="71"/>
        <v>149.6</v>
      </c>
      <c r="I526" s="8">
        <f t="shared" si="72"/>
        <v>7</v>
      </c>
      <c r="J526" s="9">
        <f t="shared" si="73"/>
        <v>7</v>
      </c>
    </row>
    <row r="527" spans="1:10" hidden="1" x14ac:dyDescent="0.2">
      <c r="A527" s="3" t="s">
        <v>6</v>
      </c>
      <c r="B527" s="4">
        <v>94</v>
      </c>
      <c r="C527" s="3"/>
      <c r="D527" s="4">
        <v>74.3</v>
      </c>
      <c r="E527" s="4">
        <v>1.1000000000000001</v>
      </c>
      <c r="F527" s="5">
        <v>1.1000000000000001</v>
      </c>
      <c r="G527" s="21"/>
      <c r="H527" s="8">
        <f t="shared" si="71"/>
        <v>148.6</v>
      </c>
      <c r="I527" s="8">
        <f t="shared" si="72"/>
        <v>2.2000000000000002</v>
      </c>
      <c r="J527" s="9">
        <f t="shared" si="73"/>
        <v>2.2000000000000002</v>
      </c>
    </row>
    <row r="528" spans="1:10" hidden="1" x14ac:dyDescent="0.2">
      <c r="A528" s="3" t="s">
        <v>6</v>
      </c>
      <c r="B528" s="4">
        <v>94</v>
      </c>
      <c r="C528" s="3" t="s">
        <v>2</v>
      </c>
      <c r="D528" s="4">
        <v>74.8</v>
      </c>
      <c r="E528" s="4">
        <v>3</v>
      </c>
      <c r="F528" s="16">
        <f>E528</f>
        <v>3</v>
      </c>
      <c r="G528" s="20"/>
      <c r="H528" s="8">
        <f t="shared" si="71"/>
        <v>149.6</v>
      </c>
      <c r="I528" s="8">
        <f t="shared" si="72"/>
        <v>6</v>
      </c>
      <c r="J528" s="9">
        <f t="shared" si="73"/>
        <v>6</v>
      </c>
    </row>
    <row r="529" spans="1:10" hidden="1" x14ac:dyDescent="0.2">
      <c r="A529" s="3" t="s">
        <v>6</v>
      </c>
      <c r="B529" s="6">
        <v>96</v>
      </c>
      <c r="C529" s="3"/>
      <c r="D529" s="4">
        <v>77.7</v>
      </c>
      <c r="E529" s="4">
        <v>4.3</v>
      </c>
      <c r="F529" s="5">
        <v>4.3</v>
      </c>
      <c r="G529" s="21"/>
      <c r="H529" s="8">
        <f t="shared" si="71"/>
        <v>155.4</v>
      </c>
      <c r="I529" s="8">
        <f t="shared" si="72"/>
        <v>8.6</v>
      </c>
      <c r="J529" s="9">
        <f t="shared" si="73"/>
        <v>8.6</v>
      </c>
    </row>
    <row r="530" spans="1:10" hidden="1" x14ac:dyDescent="0.2">
      <c r="A530" s="3" t="s">
        <v>6</v>
      </c>
      <c r="B530" s="6">
        <v>97</v>
      </c>
      <c r="C530" s="3"/>
      <c r="D530" s="4">
        <v>77.7</v>
      </c>
      <c r="E530" s="4">
        <v>1.9</v>
      </c>
      <c r="F530" s="5">
        <v>1.9</v>
      </c>
      <c r="G530" s="21"/>
      <c r="H530" s="8">
        <f t="shared" si="71"/>
        <v>155.4</v>
      </c>
      <c r="I530" s="8">
        <f t="shared" si="72"/>
        <v>3.8</v>
      </c>
      <c r="J530" s="9">
        <f t="shared" si="73"/>
        <v>3.8</v>
      </c>
    </row>
    <row r="531" spans="1:10" hidden="1" x14ac:dyDescent="0.2">
      <c r="A531" s="3" t="s">
        <v>6</v>
      </c>
      <c r="B531" s="6">
        <v>97</v>
      </c>
      <c r="C531" s="3" t="s">
        <v>2</v>
      </c>
      <c r="D531" s="4">
        <v>79.900000000000006</v>
      </c>
      <c r="E531" s="4">
        <v>2.8</v>
      </c>
      <c r="F531" s="5">
        <v>0.5</v>
      </c>
      <c r="G531" s="21"/>
      <c r="H531" s="8">
        <f t="shared" ref="H531" si="78">D531*2</f>
        <v>159.80000000000001</v>
      </c>
      <c r="I531" s="8">
        <f t="shared" ref="I531" si="79">E531*2</f>
        <v>5.6</v>
      </c>
      <c r="J531" s="9">
        <f t="shared" ref="J531" si="80">F531*2</f>
        <v>1</v>
      </c>
    </row>
    <row r="532" spans="1:10" hidden="1" x14ac:dyDescent="0.2">
      <c r="A532" s="3" t="s">
        <v>6</v>
      </c>
      <c r="B532" s="6">
        <v>98</v>
      </c>
      <c r="C532" s="3"/>
      <c r="D532" s="4">
        <v>77.7</v>
      </c>
      <c r="E532" s="4">
        <v>4.3</v>
      </c>
      <c r="F532" s="5">
        <v>4.3</v>
      </c>
      <c r="G532" s="21"/>
      <c r="H532" s="8">
        <f t="shared" si="71"/>
        <v>155.4</v>
      </c>
      <c r="I532" s="8">
        <f t="shared" si="72"/>
        <v>8.6</v>
      </c>
      <c r="J532" s="9">
        <f t="shared" si="73"/>
        <v>8.6</v>
      </c>
    </row>
    <row r="533" spans="1:10" hidden="1" x14ac:dyDescent="0.2">
      <c r="A533" s="3" t="s">
        <v>6</v>
      </c>
      <c r="B533" s="6">
        <v>99</v>
      </c>
      <c r="C533" s="3" t="s">
        <v>5</v>
      </c>
      <c r="D533" s="4">
        <v>110.3</v>
      </c>
      <c r="E533" s="4">
        <v>0.5</v>
      </c>
      <c r="F533" s="5">
        <v>0.5</v>
      </c>
      <c r="G533" s="21"/>
      <c r="H533" s="8">
        <f t="shared" si="71"/>
        <v>220.6</v>
      </c>
      <c r="I533" s="8">
        <f t="shared" si="72"/>
        <v>1</v>
      </c>
      <c r="J533" s="9">
        <f t="shared" si="73"/>
        <v>1</v>
      </c>
    </row>
    <row r="534" spans="1:10" hidden="1" x14ac:dyDescent="0.2">
      <c r="A534" s="3" t="s">
        <v>6</v>
      </c>
      <c r="B534" s="4">
        <v>100</v>
      </c>
      <c r="C534" s="3"/>
      <c r="D534" s="4">
        <v>114.8</v>
      </c>
      <c r="E534" s="4">
        <v>2.5</v>
      </c>
      <c r="F534" s="5">
        <v>2.5</v>
      </c>
      <c r="G534" s="21"/>
      <c r="H534" s="8">
        <f t="shared" si="71"/>
        <v>229.6</v>
      </c>
      <c r="I534" s="8">
        <f t="shared" si="72"/>
        <v>5</v>
      </c>
      <c r="J534" s="9">
        <f t="shared" si="73"/>
        <v>5</v>
      </c>
    </row>
    <row r="535" spans="1:10" hidden="1" x14ac:dyDescent="0.2">
      <c r="A535" s="3" t="s">
        <v>6</v>
      </c>
      <c r="B535" s="6">
        <v>101</v>
      </c>
      <c r="C535" s="3"/>
      <c r="D535" s="4">
        <v>108.3</v>
      </c>
      <c r="E535" s="4">
        <v>6.5</v>
      </c>
      <c r="F535" s="5">
        <v>6.5</v>
      </c>
      <c r="G535" s="21"/>
      <c r="H535" s="8">
        <f t="shared" si="71"/>
        <v>216.6</v>
      </c>
      <c r="I535" s="8">
        <f t="shared" si="72"/>
        <v>13</v>
      </c>
      <c r="J535" s="9">
        <f t="shared" si="73"/>
        <v>13</v>
      </c>
    </row>
    <row r="536" spans="1:10" s="26" customFormat="1" hidden="1" x14ac:dyDescent="0.2">
      <c r="A536" s="24" t="s">
        <v>6</v>
      </c>
      <c r="B536" s="16">
        <v>103</v>
      </c>
      <c r="C536" s="24"/>
      <c r="D536" s="5">
        <v>107.3</v>
      </c>
      <c r="E536" s="5">
        <v>6.3</v>
      </c>
      <c r="F536" s="5">
        <v>0</v>
      </c>
      <c r="G536" s="25"/>
      <c r="H536" s="8">
        <f t="shared" ref="H536" si="81">D536*2</f>
        <v>214.6</v>
      </c>
      <c r="I536" s="8">
        <f t="shared" ref="I536" si="82">E536*2</f>
        <v>12.6</v>
      </c>
      <c r="J536" s="9">
        <f t="shared" ref="J536" si="83">F536*2</f>
        <v>0</v>
      </c>
    </row>
    <row r="537" spans="1:10" hidden="1" x14ac:dyDescent="0.2">
      <c r="A537" s="24" t="s">
        <v>6</v>
      </c>
      <c r="B537" s="5">
        <v>103</v>
      </c>
      <c r="C537" s="24" t="s">
        <v>2</v>
      </c>
      <c r="D537" s="5">
        <v>107.3</v>
      </c>
      <c r="E537" s="5">
        <v>5.5</v>
      </c>
      <c r="F537" s="5">
        <v>0</v>
      </c>
      <c r="G537" s="25"/>
      <c r="H537" s="8">
        <f t="shared" si="71"/>
        <v>214.6</v>
      </c>
      <c r="I537" s="8">
        <f t="shared" si="72"/>
        <v>11</v>
      </c>
      <c r="J537" s="9">
        <f t="shared" si="73"/>
        <v>0</v>
      </c>
    </row>
    <row r="538" spans="1:10" hidden="1" x14ac:dyDescent="0.2">
      <c r="A538" s="3" t="s">
        <v>6</v>
      </c>
      <c r="B538" s="6">
        <v>104</v>
      </c>
      <c r="C538" s="3"/>
      <c r="D538" s="4">
        <v>108.3</v>
      </c>
      <c r="E538" s="4">
        <v>4.8</v>
      </c>
      <c r="F538" s="4">
        <v>4.8</v>
      </c>
      <c r="G538" s="21"/>
      <c r="H538" s="8">
        <f t="shared" si="71"/>
        <v>216.6</v>
      </c>
      <c r="I538" s="8">
        <f t="shared" si="72"/>
        <v>9.6</v>
      </c>
      <c r="J538" s="9">
        <f t="shared" si="73"/>
        <v>9.6</v>
      </c>
    </row>
    <row r="539" spans="1:10" hidden="1" x14ac:dyDescent="0.2">
      <c r="A539" s="3" t="s">
        <v>6</v>
      </c>
      <c r="B539" s="6">
        <v>104</v>
      </c>
      <c r="C539" s="3" t="s">
        <v>2</v>
      </c>
      <c r="D539" s="4">
        <v>108.3</v>
      </c>
      <c r="E539" s="4">
        <v>4.5999999999999996</v>
      </c>
      <c r="F539" s="4">
        <v>4.5999999999999996</v>
      </c>
      <c r="G539" s="21"/>
      <c r="H539" s="8">
        <f t="shared" si="71"/>
        <v>216.6</v>
      </c>
      <c r="I539" s="8">
        <f t="shared" si="72"/>
        <v>9.1999999999999993</v>
      </c>
      <c r="J539" s="9">
        <f t="shared" si="73"/>
        <v>9.1999999999999993</v>
      </c>
    </row>
    <row r="540" spans="1:10" hidden="1" x14ac:dyDescent="0.2">
      <c r="A540" s="3" t="s">
        <v>6</v>
      </c>
      <c r="B540" s="16">
        <v>104</v>
      </c>
      <c r="C540" s="3" t="s">
        <v>5</v>
      </c>
      <c r="D540" s="4">
        <v>99.8</v>
      </c>
      <c r="E540" s="4">
        <v>27.6</v>
      </c>
      <c r="F540" s="4">
        <v>27.6</v>
      </c>
      <c r="G540" s="21"/>
      <c r="H540" s="8">
        <f t="shared" si="71"/>
        <v>199.6</v>
      </c>
      <c r="I540" s="8">
        <f t="shared" si="72"/>
        <v>55.2</v>
      </c>
      <c r="J540" s="9">
        <f t="shared" si="73"/>
        <v>55.2</v>
      </c>
    </row>
    <row r="541" spans="1:10" hidden="1" x14ac:dyDescent="0.2">
      <c r="A541" s="3" t="s">
        <v>6</v>
      </c>
      <c r="B541" s="6">
        <v>105</v>
      </c>
      <c r="C541" s="3"/>
      <c r="D541" s="4">
        <v>114.8</v>
      </c>
      <c r="E541" s="4">
        <v>8.3000000000000007</v>
      </c>
      <c r="F541" s="4">
        <v>8.3000000000000007</v>
      </c>
      <c r="G541" s="21"/>
      <c r="H541" s="8">
        <f t="shared" si="71"/>
        <v>229.6</v>
      </c>
      <c r="I541" s="8">
        <f t="shared" si="72"/>
        <v>16.600000000000001</v>
      </c>
      <c r="J541" s="9">
        <f t="shared" si="73"/>
        <v>16.600000000000001</v>
      </c>
    </row>
    <row r="542" spans="1:10" ht="13.5" hidden="1" customHeight="1" x14ac:dyDescent="0.2">
      <c r="A542" s="3" t="s">
        <v>6</v>
      </c>
      <c r="B542" s="6">
        <v>105</v>
      </c>
      <c r="C542" s="3" t="s">
        <v>2</v>
      </c>
      <c r="D542" s="4">
        <v>114.8</v>
      </c>
      <c r="E542" s="4">
        <v>8.6999999999999993</v>
      </c>
      <c r="F542" s="4">
        <v>8.6999999999999993</v>
      </c>
      <c r="G542" s="21"/>
      <c r="H542" s="8">
        <f t="shared" si="71"/>
        <v>229.6</v>
      </c>
      <c r="I542" s="8">
        <f t="shared" si="72"/>
        <v>17.399999999999999</v>
      </c>
      <c r="J542" s="9">
        <f t="shared" si="73"/>
        <v>17.399999999999999</v>
      </c>
    </row>
    <row r="543" spans="1:10" hidden="1" x14ac:dyDescent="0.2">
      <c r="A543" s="3" t="s">
        <v>6</v>
      </c>
      <c r="B543" s="4">
        <v>106</v>
      </c>
      <c r="C543" s="3"/>
      <c r="D543" s="4">
        <v>108.3</v>
      </c>
      <c r="E543" s="4">
        <v>10</v>
      </c>
      <c r="F543" s="4">
        <v>10</v>
      </c>
      <c r="G543" s="21"/>
      <c r="H543" s="8">
        <f t="shared" si="71"/>
        <v>216.6</v>
      </c>
      <c r="I543" s="8">
        <f t="shared" si="72"/>
        <v>20</v>
      </c>
      <c r="J543" s="9">
        <f t="shared" si="73"/>
        <v>20</v>
      </c>
    </row>
    <row r="544" spans="1:10" hidden="1" x14ac:dyDescent="0.2">
      <c r="A544" s="3" t="s">
        <v>6</v>
      </c>
      <c r="B544" s="4">
        <v>106</v>
      </c>
      <c r="C544" s="3" t="s">
        <v>2</v>
      </c>
      <c r="D544" s="4">
        <v>108.3</v>
      </c>
      <c r="E544" s="4">
        <v>10</v>
      </c>
      <c r="F544" s="4">
        <v>10</v>
      </c>
      <c r="G544" s="21"/>
      <c r="H544" s="8">
        <f t="shared" si="71"/>
        <v>216.6</v>
      </c>
      <c r="I544" s="8">
        <f t="shared" si="72"/>
        <v>20</v>
      </c>
      <c r="J544" s="9">
        <f t="shared" si="73"/>
        <v>20</v>
      </c>
    </row>
    <row r="545" spans="1:10" hidden="1" x14ac:dyDescent="0.2">
      <c r="A545" s="3" t="s">
        <v>6</v>
      </c>
      <c r="B545" s="6">
        <v>107</v>
      </c>
      <c r="C545" s="3"/>
      <c r="D545" s="4">
        <v>114.8</v>
      </c>
      <c r="E545" s="4">
        <v>3.7</v>
      </c>
      <c r="F545" s="4">
        <v>3.7</v>
      </c>
      <c r="G545" s="21"/>
      <c r="H545" s="8">
        <f t="shared" si="71"/>
        <v>229.6</v>
      </c>
      <c r="I545" s="8">
        <f t="shared" si="72"/>
        <v>7.4</v>
      </c>
      <c r="J545" s="9">
        <f t="shared" si="73"/>
        <v>7.4</v>
      </c>
    </row>
    <row r="546" spans="1:10" hidden="1" x14ac:dyDescent="0.2">
      <c r="A546" s="3" t="s">
        <v>6</v>
      </c>
      <c r="B546" s="6">
        <v>107</v>
      </c>
      <c r="C546" s="3" t="s">
        <v>2</v>
      </c>
      <c r="D546" s="4">
        <v>114.8</v>
      </c>
      <c r="E546" s="4">
        <v>4</v>
      </c>
      <c r="F546" s="4">
        <v>4</v>
      </c>
      <c r="G546" s="21"/>
      <c r="H546" s="8">
        <f t="shared" ref="H546:H612" si="84">D546*2</f>
        <v>229.6</v>
      </c>
      <c r="I546" s="8">
        <f t="shared" ref="I546:I612" si="85">E546*2</f>
        <v>8</v>
      </c>
      <c r="J546" s="9">
        <f t="shared" ref="J546:J612" si="86">F546*2</f>
        <v>8</v>
      </c>
    </row>
    <row r="547" spans="1:10" hidden="1" x14ac:dyDescent="0.2">
      <c r="A547" s="3" t="s">
        <v>6</v>
      </c>
      <c r="B547" s="6">
        <v>109</v>
      </c>
      <c r="C547" s="3"/>
      <c r="D547" s="4">
        <v>108.3</v>
      </c>
      <c r="E547" s="4">
        <v>11</v>
      </c>
      <c r="F547" s="4">
        <v>11</v>
      </c>
      <c r="G547" s="21"/>
      <c r="H547" s="8">
        <f t="shared" si="84"/>
        <v>216.6</v>
      </c>
      <c r="I547" s="8">
        <f t="shared" si="85"/>
        <v>22</v>
      </c>
      <c r="J547" s="9">
        <f t="shared" si="86"/>
        <v>22</v>
      </c>
    </row>
    <row r="548" spans="1:10" hidden="1" x14ac:dyDescent="0.2">
      <c r="A548" s="3" t="s">
        <v>6</v>
      </c>
      <c r="B548" s="4">
        <v>108</v>
      </c>
      <c r="C548" s="3"/>
      <c r="D548" s="4">
        <v>114.8</v>
      </c>
      <c r="E548" s="4">
        <v>1.7</v>
      </c>
      <c r="F548" s="4">
        <v>1.7</v>
      </c>
      <c r="G548" s="21"/>
      <c r="H548" s="8">
        <f t="shared" si="84"/>
        <v>229.6</v>
      </c>
      <c r="I548" s="8">
        <f t="shared" si="85"/>
        <v>3.4</v>
      </c>
      <c r="J548" s="9">
        <f t="shared" si="86"/>
        <v>3.4</v>
      </c>
    </row>
    <row r="549" spans="1:10" hidden="1" x14ac:dyDescent="0.2">
      <c r="A549" s="3" t="s">
        <v>6</v>
      </c>
      <c r="B549" s="4">
        <v>110</v>
      </c>
      <c r="C549" s="3"/>
      <c r="D549" s="4">
        <v>108.3</v>
      </c>
      <c r="E549" s="4">
        <v>8.4</v>
      </c>
      <c r="F549" s="4">
        <v>8.4</v>
      </c>
      <c r="G549" s="21"/>
      <c r="H549" s="8">
        <f t="shared" si="84"/>
        <v>216.6</v>
      </c>
      <c r="I549" s="8">
        <f t="shared" si="85"/>
        <v>16.8</v>
      </c>
      <c r="J549" s="9">
        <f t="shared" si="86"/>
        <v>16.8</v>
      </c>
    </row>
    <row r="550" spans="1:10" hidden="1" x14ac:dyDescent="0.2">
      <c r="A550" s="3" t="s">
        <v>6</v>
      </c>
      <c r="B550" s="6">
        <v>111</v>
      </c>
      <c r="C550" s="3"/>
      <c r="D550" s="4">
        <v>108.3</v>
      </c>
      <c r="E550" s="4">
        <v>10</v>
      </c>
      <c r="F550" s="4">
        <v>10</v>
      </c>
      <c r="G550" s="21"/>
      <c r="H550" s="8">
        <f t="shared" si="84"/>
        <v>216.6</v>
      </c>
      <c r="I550" s="8">
        <f t="shared" si="85"/>
        <v>20</v>
      </c>
      <c r="J550" s="9">
        <f t="shared" si="86"/>
        <v>20</v>
      </c>
    </row>
    <row r="551" spans="1:10" hidden="1" x14ac:dyDescent="0.2">
      <c r="A551" s="3" t="s">
        <v>6</v>
      </c>
      <c r="B551" s="4">
        <v>113</v>
      </c>
      <c r="C551" s="3"/>
      <c r="D551" s="4">
        <v>114.8</v>
      </c>
      <c r="E551" s="4">
        <v>7.2</v>
      </c>
      <c r="F551" s="4">
        <v>7.2</v>
      </c>
      <c r="G551" s="21"/>
      <c r="H551" s="8">
        <f t="shared" si="84"/>
        <v>229.6</v>
      </c>
      <c r="I551" s="8">
        <f t="shared" si="85"/>
        <v>14.4</v>
      </c>
      <c r="J551" s="9">
        <f t="shared" si="86"/>
        <v>14.4</v>
      </c>
    </row>
    <row r="552" spans="1:10" x14ac:dyDescent="0.2">
      <c r="A552" s="3" t="s">
        <v>6</v>
      </c>
      <c r="B552" s="4">
        <v>114</v>
      </c>
      <c r="C552" s="3"/>
      <c r="D552" s="4">
        <v>114.8</v>
      </c>
      <c r="E552" s="4">
        <v>6</v>
      </c>
      <c r="F552" s="4">
        <v>6</v>
      </c>
      <c r="G552" s="21"/>
      <c r="H552" s="8">
        <f t="shared" si="84"/>
        <v>229.6</v>
      </c>
      <c r="I552" s="8">
        <f t="shared" si="85"/>
        <v>12</v>
      </c>
      <c r="J552" s="9">
        <f t="shared" si="86"/>
        <v>12</v>
      </c>
    </row>
    <row r="553" spans="1:10" x14ac:dyDescent="0.2">
      <c r="A553" s="3" t="s">
        <v>6</v>
      </c>
      <c r="B553" s="4">
        <v>114</v>
      </c>
      <c r="C553" s="3" t="s">
        <v>2</v>
      </c>
      <c r="D553" s="4">
        <v>114.8</v>
      </c>
      <c r="E553" s="4">
        <v>4.5999999999999996</v>
      </c>
      <c r="F553" s="4">
        <v>4.5999999999999996</v>
      </c>
      <c r="G553" s="21"/>
      <c r="H553" s="8">
        <f t="shared" si="84"/>
        <v>229.6</v>
      </c>
      <c r="I553" s="8">
        <f t="shared" si="85"/>
        <v>9.1999999999999993</v>
      </c>
      <c r="J553" s="9">
        <f t="shared" si="86"/>
        <v>9.1999999999999993</v>
      </c>
    </row>
    <row r="554" spans="1:10" hidden="1" x14ac:dyDescent="0.2">
      <c r="A554" s="3" t="s">
        <v>6</v>
      </c>
      <c r="B554" s="6">
        <v>115</v>
      </c>
      <c r="C554" s="3"/>
      <c r="D554" s="4">
        <v>114.8</v>
      </c>
      <c r="E554" s="4">
        <v>3</v>
      </c>
      <c r="F554" s="4">
        <v>3</v>
      </c>
      <c r="G554" s="21"/>
      <c r="H554" s="8">
        <f t="shared" si="84"/>
        <v>229.6</v>
      </c>
      <c r="I554" s="8">
        <f t="shared" si="85"/>
        <v>6</v>
      </c>
      <c r="J554" s="9">
        <f t="shared" si="86"/>
        <v>6</v>
      </c>
    </row>
    <row r="555" spans="1:10" hidden="1" x14ac:dyDescent="0.2">
      <c r="A555" s="3" t="s">
        <v>6</v>
      </c>
      <c r="B555" s="6">
        <v>115</v>
      </c>
      <c r="C555" s="3" t="s">
        <v>2</v>
      </c>
      <c r="D555" s="4">
        <v>114.8</v>
      </c>
      <c r="E555" s="4">
        <v>2.7</v>
      </c>
      <c r="F555" s="4">
        <v>2.7</v>
      </c>
      <c r="G555" s="21"/>
      <c r="H555" s="8">
        <f t="shared" si="84"/>
        <v>229.6</v>
      </c>
      <c r="I555" s="8">
        <f t="shared" si="85"/>
        <v>5.4</v>
      </c>
      <c r="J555" s="9">
        <f t="shared" si="86"/>
        <v>5.4</v>
      </c>
    </row>
    <row r="556" spans="1:10" hidden="1" x14ac:dyDescent="0.2">
      <c r="A556" s="24" t="s">
        <v>6</v>
      </c>
      <c r="B556" s="5">
        <v>116</v>
      </c>
      <c r="C556" s="24"/>
      <c r="D556" s="5">
        <v>116.2</v>
      </c>
      <c r="E556" s="5">
        <v>0</v>
      </c>
      <c r="F556" s="16">
        <f>E556</f>
        <v>0</v>
      </c>
      <c r="G556" s="27"/>
      <c r="H556" s="8">
        <f t="shared" si="84"/>
        <v>232.4</v>
      </c>
      <c r="I556" s="8">
        <f t="shared" si="85"/>
        <v>0</v>
      </c>
      <c r="J556" s="9">
        <f t="shared" si="86"/>
        <v>0</v>
      </c>
    </row>
    <row r="557" spans="1:10" hidden="1" x14ac:dyDescent="0.2">
      <c r="A557" s="3" t="s">
        <v>6</v>
      </c>
      <c r="B557" s="6">
        <v>117</v>
      </c>
      <c r="C557" s="3"/>
      <c r="D557" s="4">
        <v>116</v>
      </c>
      <c r="E557" s="4">
        <v>5.6</v>
      </c>
      <c r="F557" s="4">
        <v>5.6</v>
      </c>
      <c r="G557" s="21"/>
      <c r="H557" s="8">
        <f t="shared" si="84"/>
        <v>232</v>
      </c>
      <c r="I557" s="8">
        <f t="shared" si="85"/>
        <v>11.2</v>
      </c>
      <c r="J557" s="9">
        <f t="shared" si="86"/>
        <v>11.2</v>
      </c>
    </row>
    <row r="558" spans="1:10" hidden="1" x14ac:dyDescent="0.2">
      <c r="A558" s="3" t="s">
        <v>6</v>
      </c>
      <c r="B558" s="4">
        <v>118</v>
      </c>
      <c r="C558" s="3"/>
      <c r="D558" s="4">
        <v>114.8</v>
      </c>
      <c r="E558" s="4">
        <v>7.9</v>
      </c>
      <c r="F558" s="4">
        <v>7.9</v>
      </c>
      <c r="G558" s="21"/>
      <c r="H558" s="8">
        <f t="shared" si="84"/>
        <v>229.6</v>
      </c>
      <c r="I558" s="8">
        <f t="shared" si="85"/>
        <v>15.8</v>
      </c>
      <c r="J558" s="9">
        <f t="shared" si="86"/>
        <v>15.8</v>
      </c>
    </row>
    <row r="559" spans="1:10" hidden="1" x14ac:dyDescent="0.2">
      <c r="A559" s="3" t="s">
        <v>6</v>
      </c>
      <c r="B559" s="6">
        <v>119</v>
      </c>
      <c r="C559" s="3"/>
      <c r="D559" s="4">
        <v>114.8</v>
      </c>
      <c r="E559" s="4">
        <v>5.6</v>
      </c>
      <c r="F559" s="4">
        <v>5.6</v>
      </c>
      <c r="G559" s="21"/>
      <c r="H559" s="8">
        <f t="shared" si="84"/>
        <v>229.6</v>
      </c>
      <c r="I559" s="8">
        <f t="shared" si="85"/>
        <v>11.2</v>
      </c>
      <c r="J559" s="9">
        <f t="shared" si="86"/>
        <v>11.2</v>
      </c>
    </row>
    <row r="560" spans="1:10" hidden="1" x14ac:dyDescent="0.2">
      <c r="A560" s="3" t="s">
        <v>6</v>
      </c>
      <c r="B560" s="6">
        <v>119</v>
      </c>
      <c r="C560" s="3" t="s">
        <v>5</v>
      </c>
      <c r="D560" s="4">
        <v>116</v>
      </c>
      <c r="E560" s="4">
        <v>10.6</v>
      </c>
      <c r="F560" s="4">
        <v>10.6</v>
      </c>
      <c r="G560" s="21"/>
      <c r="H560" s="8">
        <f t="shared" si="84"/>
        <v>232</v>
      </c>
      <c r="I560" s="8">
        <f t="shared" si="85"/>
        <v>21.2</v>
      </c>
      <c r="J560" s="9">
        <f t="shared" si="86"/>
        <v>21.2</v>
      </c>
    </row>
    <row r="561" spans="1:10" hidden="1" x14ac:dyDescent="0.2">
      <c r="A561" s="3" t="s">
        <v>6</v>
      </c>
      <c r="B561" s="6">
        <v>120</v>
      </c>
      <c r="C561" s="3"/>
      <c r="D561" s="4">
        <v>116</v>
      </c>
      <c r="E561" s="4">
        <v>3</v>
      </c>
      <c r="F561" s="4">
        <v>3</v>
      </c>
      <c r="G561" s="21"/>
      <c r="H561" s="8">
        <f t="shared" si="84"/>
        <v>232</v>
      </c>
      <c r="I561" s="8">
        <f t="shared" si="85"/>
        <v>6</v>
      </c>
      <c r="J561" s="9">
        <f t="shared" si="86"/>
        <v>6</v>
      </c>
    </row>
    <row r="562" spans="1:10" hidden="1" x14ac:dyDescent="0.2">
      <c r="A562" s="3" t="s">
        <v>6</v>
      </c>
      <c r="B562" s="6">
        <v>121</v>
      </c>
      <c r="C562" s="3"/>
      <c r="D562" s="4">
        <v>116</v>
      </c>
      <c r="E562" s="4">
        <v>4.3</v>
      </c>
      <c r="F562" s="4">
        <v>4.3</v>
      </c>
      <c r="G562" s="21"/>
      <c r="H562" s="8">
        <f t="shared" si="84"/>
        <v>232</v>
      </c>
      <c r="I562" s="8">
        <f t="shared" si="85"/>
        <v>8.6</v>
      </c>
      <c r="J562" s="9">
        <f t="shared" si="86"/>
        <v>8.6</v>
      </c>
    </row>
    <row r="563" spans="1:10" s="26" customFormat="1" hidden="1" x14ac:dyDescent="0.2">
      <c r="A563" s="24" t="s">
        <v>6</v>
      </c>
      <c r="B563" s="16">
        <v>121</v>
      </c>
      <c r="C563" s="24" t="s">
        <v>5</v>
      </c>
      <c r="D563" s="5">
        <v>88.4</v>
      </c>
      <c r="E563" s="5">
        <v>9.8000000000000007</v>
      </c>
      <c r="F563" s="5">
        <v>1.6</v>
      </c>
      <c r="G563" s="25"/>
      <c r="H563" s="8">
        <f t="shared" si="84"/>
        <v>176.8</v>
      </c>
      <c r="I563" s="8">
        <f t="shared" si="85"/>
        <v>19.600000000000001</v>
      </c>
      <c r="J563" s="9">
        <f t="shared" si="86"/>
        <v>3.2</v>
      </c>
    </row>
    <row r="564" spans="1:10" hidden="1" x14ac:dyDescent="0.2">
      <c r="A564" s="3" t="s">
        <v>6</v>
      </c>
      <c r="B564" s="6">
        <v>122</v>
      </c>
      <c r="C564" s="3"/>
      <c r="D564" s="4">
        <v>114.8</v>
      </c>
      <c r="E564" s="4">
        <v>12.3</v>
      </c>
      <c r="F564" s="4">
        <v>12.3</v>
      </c>
      <c r="G564" s="21"/>
      <c r="H564" s="8">
        <f t="shared" si="84"/>
        <v>229.6</v>
      </c>
      <c r="I564" s="8">
        <f t="shared" si="85"/>
        <v>24.6</v>
      </c>
      <c r="J564" s="9">
        <f t="shared" si="86"/>
        <v>24.6</v>
      </c>
    </row>
    <row r="565" spans="1:10" hidden="1" x14ac:dyDescent="0.2">
      <c r="A565" s="3" t="s">
        <v>6</v>
      </c>
      <c r="B565" s="6">
        <v>123</v>
      </c>
      <c r="C565" s="3"/>
      <c r="D565" s="4">
        <v>114.8</v>
      </c>
      <c r="E565" s="4">
        <v>10.7</v>
      </c>
      <c r="F565" s="4">
        <v>10.7</v>
      </c>
      <c r="G565" s="21"/>
      <c r="H565" s="8">
        <f t="shared" si="84"/>
        <v>229.6</v>
      </c>
      <c r="I565" s="8">
        <f t="shared" si="85"/>
        <v>21.4</v>
      </c>
      <c r="J565" s="9">
        <f t="shared" si="86"/>
        <v>21.4</v>
      </c>
    </row>
    <row r="566" spans="1:10" hidden="1" x14ac:dyDescent="0.2">
      <c r="A566" s="3" t="s">
        <v>6</v>
      </c>
      <c r="B566" s="4">
        <v>124</v>
      </c>
      <c r="C566" s="3"/>
      <c r="D566" s="4">
        <v>114.8</v>
      </c>
      <c r="E566" s="4">
        <v>7.4</v>
      </c>
      <c r="F566" s="4">
        <v>7.4</v>
      </c>
      <c r="G566" s="21"/>
      <c r="H566" s="8">
        <f t="shared" si="84"/>
        <v>229.6</v>
      </c>
      <c r="I566" s="8">
        <f t="shared" si="85"/>
        <v>14.8</v>
      </c>
      <c r="J566" s="9">
        <f t="shared" si="86"/>
        <v>14.8</v>
      </c>
    </row>
    <row r="567" spans="1:10" hidden="1" x14ac:dyDescent="0.2">
      <c r="A567" s="3" t="s">
        <v>6</v>
      </c>
      <c r="B567" s="6">
        <v>125</v>
      </c>
      <c r="C567" s="3"/>
      <c r="D567" s="4">
        <v>116</v>
      </c>
      <c r="E567" s="4">
        <v>4.2</v>
      </c>
      <c r="F567" s="4">
        <v>4.2</v>
      </c>
      <c r="G567" s="21"/>
      <c r="H567" s="8">
        <f t="shared" si="84"/>
        <v>232</v>
      </c>
      <c r="I567" s="8">
        <f t="shared" si="85"/>
        <v>8.4</v>
      </c>
      <c r="J567" s="9">
        <f t="shared" si="86"/>
        <v>8.4</v>
      </c>
    </row>
    <row r="568" spans="1:10" hidden="1" x14ac:dyDescent="0.2">
      <c r="A568" s="3" t="s">
        <v>6</v>
      </c>
      <c r="B568" s="4">
        <v>126</v>
      </c>
      <c r="C568" s="3"/>
      <c r="D568" s="4">
        <v>116</v>
      </c>
      <c r="E568" s="4">
        <v>5.6</v>
      </c>
      <c r="F568" s="4">
        <v>5.6</v>
      </c>
      <c r="G568" s="21"/>
      <c r="H568" s="8">
        <f t="shared" si="84"/>
        <v>232</v>
      </c>
      <c r="I568" s="8">
        <f t="shared" si="85"/>
        <v>11.2</v>
      </c>
      <c r="J568" s="9">
        <f t="shared" si="86"/>
        <v>11.2</v>
      </c>
    </row>
    <row r="569" spans="1:10" hidden="1" x14ac:dyDescent="0.2">
      <c r="A569" s="3" t="s">
        <v>6</v>
      </c>
      <c r="B569" s="6">
        <v>127</v>
      </c>
      <c r="C569" s="3"/>
      <c r="D569" s="4">
        <v>114.8</v>
      </c>
      <c r="E569" s="4">
        <v>11.3</v>
      </c>
      <c r="F569" s="4">
        <v>11.3</v>
      </c>
      <c r="G569" s="21"/>
      <c r="H569" s="8">
        <f t="shared" si="84"/>
        <v>229.6</v>
      </c>
      <c r="I569" s="8">
        <f t="shared" si="85"/>
        <v>22.6</v>
      </c>
      <c r="J569" s="9">
        <f t="shared" si="86"/>
        <v>22.6</v>
      </c>
    </row>
    <row r="570" spans="1:10" hidden="1" x14ac:dyDescent="0.2">
      <c r="A570" s="3" t="s">
        <v>6</v>
      </c>
      <c r="B570" s="4">
        <v>128</v>
      </c>
      <c r="C570" s="3"/>
      <c r="D570" s="4">
        <v>104.4</v>
      </c>
      <c r="E570" s="4">
        <v>6.2</v>
      </c>
      <c r="F570" s="4">
        <v>6.2</v>
      </c>
      <c r="G570" s="21"/>
      <c r="H570" s="8">
        <f t="shared" si="84"/>
        <v>208.8</v>
      </c>
      <c r="I570" s="8">
        <f t="shared" si="85"/>
        <v>12.4</v>
      </c>
      <c r="J570" s="9">
        <f t="shared" si="86"/>
        <v>12.4</v>
      </c>
    </row>
    <row r="571" spans="1:10" hidden="1" x14ac:dyDescent="0.2">
      <c r="A571" s="3" t="s">
        <v>6</v>
      </c>
      <c r="B571" s="4">
        <v>129</v>
      </c>
      <c r="C571" s="3"/>
      <c r="D571" s="4">
        <v>116</v>
      </c>
      <c r="E571" s="4">
        <v>7.2</v>
      </c>
      <c r="F571" s="4">
        <v>7.2</v>
      </c>
      <c r="G571" s="21"/>
      <c r="H571" s="8">
        <f t="shared" si="84"/>
        <v>232</v>
      </c>
      <c r="I571" s="8">
        <f t="shared" si="85"/>
        <v>14.4</v>
      </c>
      <c r="J571" s="9">
        <f t="shared" si="86"/>
        <v>14.4</v>
      </c>
    </row>
    <row r="572" spans="1:10" hidden="1" x14ac:dyDescent="0.2">
      <c r="A572" s="3" t="s">
        <v>6</v>
      </c>
      <c r="B572" s="6">
        <v>130</v>
      </c>
      <c r="C572" s="3"/>
      <c r="D572" s="4">
        <v>116</v>
      </c>
      <c r="E572" s="4">
        <v>5.8</v>
      </c>
      <c r="F572" s="6">
        <f>E572</f>
        <v>5.8</v>
      </c>
      <c r="G572" s="20"/>
      <c r="H572" s="8">
        <f t="shared" si="84"/>
        <v>232</v>
      </c>
      <c r="I572" s="8">
        <f t="shared" si="85"/>
        <v>11.6</v>
      </c>
      <c r="J572" s="9">
        <f t="shared" si="86"/>
        <v>11.6</v>
      </c>
    </row>
    <row r="573" spans="1:10" hidden="1" x14ac:dyDescent="0.2">
      <c r="A573" s="3" t="s">
        <v>6</v>
      </c>
      <c r="B573" s="6">
        <v>131</v>
      </c>
      <c r="C573" s="3"/>
      <c r="D573" s="4">
        <v>116</v>
      </c>
      <c r="E573" s="4">
        <v>8</v>
      </c>
      <c r="F573" s="6">
        <f>E573</f>
        <v>8</v>
      </c>
      <c r="G573" s="20"/>
      <c r="H573" s="8">
        <f t="shared" si="84"/>
        <v>232</v>
      </c>
      <c r="I573" s="8">
        <f t="shared" si="85"/>
        <v>16</v>
      </c>
      <c r="J573" s="9">
        <f t="shared" si="86"/>
        <v>16</v>
      </c>
    </row>
    <row r="574" spans="1:10" hidden="1" x14ac:dyDescent="0.2">
      <c r="A574" s="3" t="s">
        <v>6</v>
      </c>
      <c r="B574" s="6">
        <v>133</v>
      </c>
      <c r="C574" s="3"/>
      <c r="D574" s="4">
        <v>116</v>
      </c>
      <c r="E574" s="4">
        <v>7.8</v>
      </c>
      <c r="F574" s="6">
        <f>E574</f>
        <v>7.8</v>
      </c>
      <c r="G574" s="20"/>
      <c r="H574" s="8">
        <f t="shared" si="84"/>
        <v>232</v>
      </c>
      <c r="I574" s="8">
        <f t="shared" si="85"/>
        <v>15.6</v>
      </c>
      <c r="J574" s="9">
        <f t="shared" si="86"/>
        <v>15.6</v>
      </c>
    </row>
    <row r="575" spans="1:10" hidden="1" x14ac:dyDescent="0.2">
      <c r="A575" s="3" t="s">
        <v>6</v>
      </c>
      <c r="B575" s="6">
        <v>135</v>
      </c>
      <c r="C575" s="3"/>
      <c r="D575" s="4">
        <v>116</v>
      </c>
      <c r="E575" s="4">
        <v>9.6999999999999993</v>
      </c>
      <c r="F575" s="4">
        <v>9.6999999999999993</v>
      </c>
      <c r="G575" s="21"/>
      <c r="H575" s="8">
        <f t="shared" si="84"/>
        <v>232</v>
      </c>
      <c r="I575" s="8">
        <f t="shared" si="85"/>
        <v>19.399999999999999</v>
      </c>
      <c r="J575" s="9">
        <f t="shared" si="86"/>
        <v>19.399999999999999</v>
      </c>
    </row>
    <row r="576" spans="1:10" hidden="1" x14ac:dyDescent="0.2">
      <c r="A576" s="3" t="s">
        <v>6</v>
      </c>
      <c r="B576" s="6">
        <v>138</v>
      </c>
      <c r="C576" s="3"/>
      <c r="D576" s="4">
        <v>116</v>
      </c>
      <c r="E576" s="4">
        <v>10.4</v>
      </c>
      <c r="F576" s="4">
        <v>10.4</v>
      </c>
      <c r="G576" s="21"/>
      <c r="H576" s="8">
        <f t="shared" si="84"/>
        <v>232</v>
      </c>
      <c r="I576" s="8">
        <f t="shared" si="85"/>
        <v>20.8</v>
      </c>
      <c r="J576" s="9">
        <f t="shared" si="86"/>
        <v>20.8</v>
      </c>
    </row>
    <row r="577" spans="1:10" hidden="1" x14ac:dyDescent="0.2">
      <c r="A577" s="3" t="s">
        <v>6</v>
      </c>
      <c r="B577" s="6">
        <v>140</v>
      </c>
      <c r="C577" s="3"/>
      <c r="D577" s="4">
        <v>71.900000000000006</v>
      </c>
      <c r="E577" s="4">
        <v>1</v>
      </c>
      <c r="F577" s="6">
        <f t="shared" ref="F577:F584" si="87">E577</f>
        <v>1</v>
      </c>
      <c r="G577" s="20"/>
      <c r="H577" s="8">
        <f t="shared" si="84"/>
        <v>143.80000000000001</v>
      </c>
      <c r="I577" s="8">
        <f t="shared" si="85"/>
        <v>2</v>
      </c>
      <c r="J577" s="9">
        <f t="shared" si="86"/>
        <v>2</v>
      </c>
    </row>
    <row r="578" spans="1:10" hidden="1" x14ac:dyDescent="0.2">
      <c r="A578" s="3" t="s">
        <v>6</v>
      </c>
      <c r="B578" s="6">
        <v>141</v>
      </c>
      <c r="C578" s="3"/>
      <c r="D578" s="4">
        <v>71.900000000000006</v>
      </c>
      <c r="E578" s="4">
        <v>2.7</v>
      </c>
      <c r="F578" s="6">
        <f t="shared" si="87"/>
        <v>2.7</v>
      </c>
      <c r="G578" s="20"/>
      <c r="H578" s="8">
        <f t="shared" si="84"/>
        <v>143.80000000000001</v>
      </c>
      <c r="I578" s="8">
        <f t="shared" si="85"/>
        <v>5.4</v>
      </c>
      <c r="J578" s="9">
        <f t="shared" si="86"/>
        <v>5.4</v>
      </c>
    </row>
    <row r="579" spans="1:10" s="26" customFormat="1" hidden="1" x14ac:dyDescent="0.2">
      <c r="A579" s="24" t="s">
        <v>6</v>
      </c>
      <c r="B579" s="16">
        <v>141</v>
      </c>
      <c r="C579" s="24" t="s">
        <v>2</v>
      </c>
      <c r="D579" s="5">
        <v>77.2</v>
      </c>
      <c r="E579" s="5">
        <v>2.7</v>
      </c>
      <c r="F579" s="16">
        <v>0</v>
      </c>
      <c r="G579" s="27"/>
      <c r="H579" s="8">
        <f t="shared" ref="H579" si="88">D579*2</f>
        <v>154.4</v>
      </c>
      <c r="I579" s="8">
        <f t="shared" ref="I579" si="89">E579*2</f>
        <v>5.4</v>
      </c>
      <c r="J579" s="9">
        <f t="shared" ref="J579" si="90">F579*2</f>
        <v>0</v>
      </c>
    </row>
    <row r="580" spans="1:10" hidden="1" x14ac:dyDescent="0.2">
      <c r="A580" s="3" t="s">
        <v>6</v>
      </c>
      <c r="B580" s="6">
        <v>142</v>
      </c>
      <c r="C580" s="3"/>
      <c r="D580" s="4">
        <v>104.4</v>
      </c>
      <c r="E580" s="4">
        <v>7.7</v>
      </c>
      <c r="F580" s="6">
        <f t="shared" si="87"/>
        <v>7.7</v>
      </c>
      <c r="G580" s="20"/>
      <c r="H580" s="8">
        <f t="shared" si="84"/>
        <v>208.8</v>
      </c>
      <c r="I580" s="8">
        <f t="shared" si="85"/>
        <v>15.4</v>
      </c>
      <c r="J580" s="9">
        <f t="shared" si="86"/>
        <v>15.4</v>
      </c>
    </row>
    <row r="581" spans="1:10" hidden="1" x14ac:dyDescent="0.2">
      <c r="A581" s="3" t="s">
        <v>6</v>
      </c>
      <c r="B581" s="6">
        <v>142</v>
      </c>
      <c r="C581" s="3" t="s">
        <v>2</v>
      </c>
      <c r="D581" s="4">
        <v>104.4</v>
      </c>
      <c r="E581" s="4">
        <v>9.6999999999999993</v>
      </c>
      <c r="F581" s="6">
        <f t="shared" si="87"/>
        <v>9.6999999999999993</v>
      </c>
      <c r="G581" s="20"/>
      <c r="H581" s="8">
        <f t="shared" si="84"/>
        <v>208.8</v>
      </c>
      <c r="I581" s="8">
        <f t="shared" si="85"/>
        <v>19.399999999999999</v>
      </c>
      <c r="J581" s="9">
        <f t="shared" si="86"/>
        <v>19.399999999999999</v>
      </c>
    </row>
    <row r="582" spans="1:10" hidden="1" x14ac:dyDescent="0.2">
      <c r="A582" s="3" t="s">
        <v>6</v>
      </c>
      <c r="B582" s="6">
        <v>143</v>
      </c>
      <c r="C582" s="3"/>
      <c r="D582" s="4">
        <v>79</v>
      </c>
      <c r="E582" s="4">
        <v>3.6</v>
      </c>
      <c r="F582" s="6">
        <f t="shared" si="87"/>
        <v>3.6</v>
      </c>
      <c r="G582" s="20"/>
      <c r="H582" s="8">
        <f t="shared" si="84"/>
        <v>158</v>
      </c>
      <c r="I582" s="8">
        <f t="shared" si="85"/>
        <v>7.2</v>
      </c>
      <c r="J582" s="9">
        <f t="shared" si="86"/>
        <v>7.2</v>
      </c>
    </row>
    <row r="583" spans="1:10" hidden="1" x14ac:dyDescent="0.2">
      <c r="A583" s="3" t="s">
        <v>6</v>
      </c>
      <c r="B583" s="6">
        <v>144</v>
      </c>
      <c r="C583" s="3"/>
      <c r="D583" s="4">
        <v>79</v>
      </c>
      <c r="E583" s="4">
        <v>3.2</v>
      </c>
      <c r="F583" s="6">
        <f t="shared" si="87"/>
        <v>3.2</v>
      </c>
      <c r="G583" s="20"/>
      <c r="H583" s="8">
        <f t="shared" si="84"/>
        <v>158</v>
      </c>
      <c r="I583" s="8">
        <f t="shared" si="85"/>
        <v>6.4</v>
      </c>
      <c r="J583" s="9">
        <f t="shared" si="86"/>
        <v>6.4</v>
      </c>
    </row>
    <row r="584" spans="1:10" hidden="1" x14ac:dyDescent="0.2">
      <c r="A584" s="3" t="s">
        <v>6</v>
      </c>
      <c r="B584" s="6">
        <v>146</v>
      </c>
      <c r="C584" s="3"/>
      <c r="D584" s="4">
        <v>90.1</v>
      </c>
      <c r="E584" s="4">
        <v>9.5</v>
      </c>
      <c r="F584" s="6">
        <f t="shared" si="87"/>
        <v>9.5</v>
      </c>
      <c r="G584" s="20"/>
      <c r="H584" s="8">
        <f t="shared" si="84"/>
        <v>180.2</v>
      </c>
      <c r="I584" s="8">
        <f t="shared" si="85"/>
        <v>19</v>
      </c>
      <c r="J584" s="9">
        <f t="shared" si="86"/>
        <v>19</v>
      </c>
    </row>
    <row r="585" spans="1:10" hidden="1" x14ac:dyDescent="0.2">
      <c r="A585" s="3" t="s">
        <v>6</v>
      </c>
      <c r="B585" s="4">
        <v>147</v>
      </c>
      <c r="C585" s="3"/>
      <c r="D585" s="4">
        <v>74.8</v>
      </c>
      <c r="E585" s="4">
        <v>5</v>
      </c>
      <c r="F585" s="4">
        <v>5</v>
      </c>
      <c r="G585" s="21"/>
      <c r="H585" s="8">
        <f t="shared" si="84"/>
        <v>149.6</v>
      </c>
      <c r="I585" s="8">
        <f t="shared" si="85"/>
        <v>10</v>
      </c>
      <c r="J585" s="9">
        <f t="shared" si="86"/>
        <v>10</v>
      </c>
    </row>
    <row r="586" spans="1:10" hidden="1" x14ac:dyDescent="0.2">
      <c r="A586" s="3" t="s">
        <v>6</v>
      </c>
      <c r="B586" s="4">
        <v>148</v>
      </c>
      <c r="C586" s="3"/>
      <c r="D586" s="4">
        <v>79</v>
      </c>
      <c r="E586" s="4">
        <v>5.4</v>
      </c>
      <c r="F586" s="4">
        <v>5.4</v>
      </c>
      <c r="G586" s="21"/>
      <c r="H586" s="8">
        <f t="shared" si="84"/>
        <v>158</v>
      </c>
      <c r="I586" s="8">
        <f t="shared" si="85"/>
        <v>10.8</v>
      </c>
      <c r="J586" s="9">
        <f t="shared" si="86"/>
        <v>10.8</v>
      </c>
    </row>
    <row r="587" spans="1:10" hidden="1" x14ac:dyDescent="0.2">
      <c r="A587" s="3" t="s">
        <v>6</v>
      </c>
      <c r="B587" s="6">
        <v>149</v>
      </c>
      <c r="C587" s="3"/>
      <c r="D587" s="4">
        <v>79</v>
      </c>
      <c r="E587" s="4">
        <v>6.8</v>
      </c>
      <c r="F587" s="6">
        <f t="shared" ref="F587:F592" si="91">E587</f>
        <v>6.8</v>
      </c>
      <c r="G587" s="20"/>
      <c r="H587" s="8">
        <f t="shared" si="84"/>
        <v>158</v>
      </c>
      <c r="I587" s="8">
        <f t="shared" si="85"/>
        <v>13.6</v>
      </c>
      <c r="J587" s="9">
        <f t="shared" si="86"/>
        <v>13.6</v>
      </c>
    </row>
    <row r="588" spans="1:10" hidden="1" x14ac:dyDescent="0.2">
      <c r="A588" s="3" t="s">
        <v>6</v>
      </c>
      <c r="B588" s="6">
        <v>150</v>
      </c>
      <c r="C588" s="3"/>
      <c r="D588" s="4">
        <v>79</v>
      </c>
      <c r="E588" s="4">
        <v>5.2</v>
      </c>
      <c r="F588" s="6">
        <f t="shared" si="91"/>
        <v>5.2</v>
      </c>
      <c r="G588" s="20"/>
      <c r="H588" s="8">
        <f t="shared" si="84"/>
        <v>158</v>
      </c>
      <c r="I588" s="8">
        <f t="shared" si="85"/>
        <v>10.4</v>
      </c>
      <c r="J588" s="9">
        <f t="shared" si="86"/>
        <v>10.4</v>
      </c>
    </row>
    <row r="589" spans="1:10" hidden="1" x14ac:dyDescent="0.2">
      <c r="A589" s="3" t="s">
        <v>6</v>
      </c>
      <c r="B589" s="6">
        <v>151</v>
      </c>
      <c r="C589" s="3"/>
      <c r="D589" s="4">
        <v>74.8</v>
      </c>
      <c r="E589" s="4">
        <v>6.8</v>
      </c>
      <c r="F589" s="6">
        <f t="shared" si="91"/>
        <v>6.8</v>
      </c>
      <c r="G589" s="20"/>
      <c r="H589" s="8">
        <f t="shared" si="84"/>
        <v>149.6</v>
      </c>
      <c r="I589" s="8">
        <f t="shared" si="85"/>
        <v>13.6</v>
      </c>
      <c r="J589" s="9">
        <f t="shared" si="86"/>
        <v>13.6</v>
      </c>
    </row>
    <row r="590" spans="1:10" hidden="1" x14ac:dyDescent="0.2">
      <c r="A590" s="3" t="s">
        <v>6</v>
      </c>
      <c r="B590" s="6">
        <v>152</v>
      </c>
      <c r="C590" s="3"/>
      <c r="D590" s="4">
        <v>71.2</v>
      </c>
      <c r="E590" s="4">
        <v>1.2</v>
      </c>
      <c r="F590" s="6">
        <f t="shared" si="91"/>
        <v>1.2</v>
      </c>
      <c r="G590" s="20"/>
      <c r="H590" s="8">
        <f t="shared" si="84"/>
        <v>142.4</v>
      </c>
      <c r="I590" s="8">
        <f t="shared" si="85"/>
        <v>2.4</v>
      </c>
      <c r="J590" s="9">
        <f t="shared" si="86"/>
        <v>2.4</v>
      </c>
    </row>
    <row r="591" spans="1:10" hidden="1" x14ac:dyDescent="0.2">
      <c r="A591" s="3" t="s">
        <v>6</v>
      </c>
      <c r="B591" s="6">
        <v>153</v>
      </c>
      <c r="C591" s="3"/>
      <c r="D591" s="4">
        <v>74.8</v>
      </c>
      <c r="E591" s="4">
        <v>7.5</v>
      </c>
      <c r="F591" s="6">
        <f t="shared" si="91"/>
        <v>7.5</v>
      </c>
      <c r="G591" s="20"/>
      <c r="H591" s="8">
        <f t="shared" si="84"/>
        <v>149.6</v>
      </c>
      <c r="I591" s="8">
        <f t="shared" si="85"/>
        <v>15</v>
      </c>
      <c r="J591" s="9">
        <f t="shared" si="86"/>
        <v>15</v>
      </c>
    </row>
    <row r="592" spans="1:10" hidden="1" x14ac:dyDescent="0.2">
      <c r="A592" s="3" t="s">
        <v>6</v>
      </c>
      <c r="B592" s="6">
        <v>154</v>
      </c>
      <c r="C592" s="3"/>
      <c r="D592" s="4">
        <v>74.8</v>
      </c>
      <c r="E592" s="4">
        <v>5.5</v>
      </c>
      <c r="F592" s="6">
        <f t="shared" si="91"/>
        <v>5.5</v>
      </c>
      <c r="G592" s="20"/>
      <c r="H592" s="8">
        <f t="shared" si="84"/>
        <v>149.6</v>
      </c>
      <c r="I592" s="8">
        <f t="shared" si="85"/>
        <v>11</v>
      </c>
      <c r="J592" s="9">
        <f t="shared" si="86"/>
        <v>11</v>
      </c>
    </row>
    <row r="593" spans="1:10" hidden="1" x14ac:dyDescent="0.2">
      <c r="A593" s="3" t="s">
        <v>6</v>
      </c>
      <c r="B593" s="4">
        <v>155</v>
      </c>
      <c r="C593" s="3"/>
      <c r="D593" s="4">
        <v>77.7</v>
      </c>
      <c r="E593" s="4">
        <v>5.6</v>
      </c>
      <c r="F593" s="4">
        <v>5.6</v>
      </c>
      <c r="G593" s="21"/>
      <c r="H593" s="8">
        <f t="shared" si="84"/>
        <v>155.4</v>
      </c>
      <c r="I593" s="8">
        <f t="shared" si="85"/>
        <v>11.2</v>
      </c>
      <c r="J593" s="9">
        <f t="shared" si="86"/>
        <v>11.2</v>
      </c>
    </row>
    <row r="594" spans="1:10" hidden="1" x14ac:dyDescent="0.2">
      <c r="A594" s="3" t="s">
        <v>6</v>
      </c>
      <c r="B594" s="4">
        <v>156</v>
      </c>
      <c r="C594" s="3"/>
      <c r="D594" s="4">
        <v>90.1</v>
      </c>
      <c r="E594" s="4">
        <v>1.9</v>
      </c>
      <c r="F594" s="4">
        <v>1.9</v>
      </c>
      <c r="G594" s="21"/>
      <c r="H594" s="8">
        <f t="shared" si="84"/>
        <v>180.2</v>
      </c>
      <c r="I594" s="8">
        <f t="shared" si="85"/>
        <v>3.8</v>
      </c>
      <c r="J594" s="9">
        <f t="shared" si="86"/>
        <v>3.8</v>
      </c>
    </row>
    <row r="595" spans="1:10" hidden="1" x14ac:dyDescent="0.2">
      <c r="A595" s="3" t="s">
        <v>6</v>
      </c>
      <c r="B595" s="6">
        <v>157</v>
      </c>
      <c r="C595" s="3"/>
      <c r="D595" s="4">
        <v>89.1</v>
      </c>
      <c r="E595" s="4">
        <v>1.4</v>
      </c>
      <c r="F595" s="6">
        <f>E595</f>
        <v>1.4</v>
      </c>
      <c r="G595" s="20"/>
      <c r="H595" s="8">
        <f t="shared" si="84"/>
        <v>178.2</v>
      </c>
      <c r="I595" s="8">
        <f t="shared" si="85"/>
        <v>2.8</v>
      </c>
      <c r="J595" s="9">
        <f t="shared" si="86"/>
        <v>2.8</v>
      </c>
    </row>
    <row r="596" spans="1:10" hidden="1" x14ac:dyDescent="0.2">
      <c r="A596" s="3" t="s">
        <v>6</v>
      </c>
      <c r="B596" s="6">
        <v>158</v>
      </c>
      <c r="C596" s="3"/>
      <c r="D596" s="4">
        <v>79</v>
      </c>
      <c r="E596" s="4">
        <v>1.5</v>
      </c>
      <c r="F596" s="6">
        <f>E596</f>
        <v>1.5</v>
      </c>
      <c r="G596" s="20"/>
      <c r="H596" s="8">
        <f t="shared" si="84"/>
        <v>158</v>
      </c>
      <c r="I596" s="8">
        <f t="shared" si="85"/>
        <v>3</v>
      </c>
      <c r="J596" s="9">
        <f t="shared" si="86"/>
        <v>3</v>
      </c>
    </row>
    <row r="597" spans="1:10" hidden="1" x14ac:dyDescent="0.2">
      <c r="A597" s="3" t="s">
        <v>6</v>
      </c>
      <c r="B597" s="4">
        <v>158</v>
      </c>
      <c r="C597" s="3" t="s">
        <v>2</v>
      </c>
      <c r="D597" s="4">
        <v>78.599999999999994</v>
      </c>
      <c r="E597" s="4">
        <v>0.2</v>
      </c>
      <c r="F597" s="4">
        <v>0.2</v>
      </c>
      <c r="G597" s="21"/>
      <c r="H597" s="8">
        <f t="shared" si="84"/>
        <v>157.19999999999999</v>
      </c>
      <c r="I597" s="8">
        <f t="shared" si="85"/>
        <v>0.4</v>
      </c>
      <c r="J597" s="9">
        <f t="shared" si="86"/>
        <v>0.4</v>
      </c>
    </row>
    <row r="598" spans="1:10" hidden="1" x14ac:dyDescent="0.2">
      <c r="A598" s="3" t="s">
        <v>6</v>
      </c>
      <c r="B598" s="6">
        <v>159</v>
      </c>
      <c r="C598" s="3"/>
      <c r="D598" s="4">
        <v>74.8</v>
      </c>
      <c r="E598" s="4">
        <v>9.6</v>
      </c>
      <c r="F598" s="6">
        <f>E598</f>
        <v>9.6</v>
      </c>
      <c r="G598" s="20"/>
      <c r="H598" s="8">
        <f t="shared" si="84"/>
        <v>149.6</v>
      </c>
      <c r="I598" s="8">
        <f t="shared" si="85"/>
        <v>19.2</v>
      </c>
      <c r="J598" s="9">
        <f t="shared" si="86"/>
        <v>19.2</v>
      </c>
    </row>
    <row r="599" spans="1:10" hidden="1" x14ac:dyDescent="0.2">
      <c r="A599" s="3" t="s">
        <v>6</v>
      </c>
      <c r="B599" s="6">
        <v>159</v>
      </c>
      <c r="C599" s="3" t="s">
        <v>2</v>
      </c>
      <c r="D599" s="4">
        <v>74.8</v>
      </c>
      <c r="E599" s="4">
        <v>9.8000000000000007</v>
      </c>
      <c r="F599" s="6">
        <f>E599</f>
        <v>9.8000000000000007</v>
      </c>
      <c r="G599" s="20"/>
      <c r="H599" s="8">
        <f t="shared" si="84"/>
        <v>149.6</v>
      </c>
      <c r="I599" s="8">
        <f t="shared" si="85"/>
        <v>19.600000000000001</v>
      </c>
      <c r="J599" s="9">
        <f t="shared" si="86"/>
        <v>19.600000000000001</v>
      </c>
    </row>
    <row r="600" spans="1:10" hidden="1" x14ac:dyDescent="0.2">
      <c r="A600" s="3" t="s">
        <v>6</v>
      </c>
      <c r="B600" s="4">
        <v>160</v>
      </c>
      <c r="C600" s="3"/>
      <c r="D600" s="4">
        <v>77.7</v>
      </c>
      <c r="E600" s="4">
        <v>10.8</v>
      </c>
      <c r="F600" s="4">
        <v>10.8</v>
      </c>
      <c r="G600" s="21"/>
      <c r="H600" s="8">
        <f t="shared" si="84"/>
        <v>155.4</v>
      </c>
      <c r="I600" s="8">
        <f t="shared" si="85"/>
        <v>21.6</v>
      </c>
      <c r="J600" s="9">
        <f t="shared" si="86"/>
        <v>21.6</v>
      </c>
    </row>
    <row r="601" spans="1:10" hidden="1" x14ac:dyDescent="0.2">
      <c r="A601" s="3" t="s">
        <v>6</v>
      </c>
      <c r="B601" s="6">
        <v>161</v>
      </c>
      <c r="C601" s="3"/>
      <c r="D601" s="4">
        <v>77.7</v>
      </c>
      <c r="E601" s="4">
        <v>14</v>
      </c>
      <c r="F601" s="6">
        <f>E601</f>
        <v>14</v>
      </c>
      <c r="G601" s="20"/>
      <c r="H601" s="8">
        <f t="shared" si="84"/>
        <v>155.4</v>
      </c>
      <c r="I601" s="8">
        <f t="shared" si="85"/>
        <v>28</v>
      </c>
      <c r="J601" s="9">
        <f t="shared" si="86"/>
        <v>28</v>
      </c>
    </row>
    <row r="602" spans="1:10" hidden="1" x14ac:dyDescent="0.2">
      <c r="A602" s="3" t="s">
        <v>6</v>
      </c>
      <c r="B602" s="6">
        <v>162</v>
      </c>
      <c r="C602" s="3"/>
      <c r="D602" s="4">
        <v>77.7</v>
      </c>
      <c r="E602" s="4">
        <v>15.9</v>
      </c>
      <c r="F602" s="6">
        <f>E602</f>
        <v>15.9</v>
      </c>
      <c r="G602" s="20"/>
      <c r="H602" s="8">
        <f t="shared" si="84"/>
        <v>155.4</v>
      </c>
      <c r="I602" s="8">
        <f t="shared" si="85"/>
        <v>31.8</v>
      </c>
      <c r="J602" s="9">
        <f t="shared" si="86"/>
        <v>31.8</v>
      </c>
    </row>
    <row r="603" spans="1:10" hidden="1" x14ac:dyDescent="0.2">
      <c r="A603" s="3" t="s">
        <v>6</v>
      </c>
      <c r="B603" s="4">
        <v>163</v>
      </c>
      <c r="C603" s="3"/>
      <c r="D603" s="4">
        <v>76.8</v>
      </c>
      <c r="E603" s="4">
        <v>0.5</v>
      </c>
      <c r="F603" s="4">
        <v>0.5</v>
      </c>
      <c r="G603" s="21"/>
      <c r="H603" s="8">
        <f t="shared" si="84"/>
        <v>153.6</v>
      </c>
      <c r="I603" s="8">
        <f t="shared" si="85"/>
        <v>1</v>
      </c>
      <c r="J603" s="9">
        <f t="shared" si="86"/>
        <v>1</v>
      </c>
    </row>
    <row r="604" spans="1:10" hidden="1" x14ac:dyDescent="0.2">
      <c r="A604" s="3" t="s">
        <v>6</v>
      </c>
      <c r="B604" s="6">
        <v>164</v>
      </c>
      <c r="C604" s="3"/>
      <c r="D604" s="4">
        <v>77.7</v>
      </c>
      <c r="E604" s="4">
        <v>1.6</v>
      </c>
      <c r="F604" s="6">
        <f>E604</f>
        <v>1.6</v>
      </c>
      <c r="G604" s="20"/>
      <c r="H604" s="8">
        <f t="shared" si="84"/>
        <v>155.4</v>
      </c>
      <c r="I604" s="8">
        <f t="shared" si="85"/>
        <v>3.2</v>
      </c>
      <c r="J604" s="9">
        <f t="shared" si="86"/>
        <v>3.2</v>
      </c>
    </row>
    <row r="605" spans="1:10" hidden="1" x14ac:dyDescent="0.2">
      <c r="A605" s="3" t="s">
        <v>6</v>
      </c>
      <c r="B605" s="4">
        <v>165</v>
      </c>
      <c r="C605" s="3"/>
      <c r="D605" s="4">
        <v>79</v>
      </c>
      <c r="E605" s="4">
        <v>2.7</v>
      </c>
      <c r="F605" s="4">
        <v>2.7</v>
      </c>
      <c r="G605" s="21"/>
      <c r="H605" s="8">
        <f t="shared" si="84"/>
        <v>158</v>
      </c>
      <c r="I605" s="8">
        <f t="shared" si="85"/>
        <v>5.4</v>
      </c>
      <c r="J605" s="9">
        <f t="shared" si="86"/>
        <v>5.4</v>
      </c>
    </row>
    <row r="606" spans="1:10" hidden="1" x14ac:dyDescent="0.2">
      <c r="A606" s="24" t="s">
        <v>6</v>
      </c>
      <c r="B606" s="5">
        <v>166</v>
      </c>
      <c r="C606" s="24"/>
      <c r="D606" s="5">
        <v>83.4</v>
      </c>
      <c r="E606" s="5">
        <v>0</v>
      </c>
      <c r="F606" s="16">
        <f>E606</f>
        <v>0</v>
      </c>
      <c r="G606" s="27"/>
      <c r="H606" s="8">
        <f t="shared" si="84"/>
        <v>166.8</v>
      </c>
      <c r="I606" s="8">
        <f t="shared" si="85"/>
        <v>0</v>
      </c>
      <c r="J606" s="9">
        <f t="shared" si="86"/>
        <v>0</v>
      </c>
    </row>
    <row r="607" spans="1:10" hidden="1" x14ac:dyDescent="0.2">
      <c r="A607" s="3" t="s">
        <v>6</v>
      </c>
      <c r="B607" s="4">
        <v>167</v>
      </c>
      <c r="C607" s="3" t="s">
        <v>2</v>
      </c>
      <c r="D607" s="4">
        <v>77.7</v>
      </c>
      <c r="E607" s="4">
        <v>15.2</v>
      </c>
      <c r="F607" s="6">
        <f>E607</f>
        <v>15.2</v>
      </c>
      <c r="G607" s="20"/>
      <c r="H607" s="8">
        <f t="shared" si="84"/>
        <v>155.4</v>
      </c>
      <c r="I607" s="8">
        <f t="shared" si="85"/>
        <v>30.4</v>
      </c>
      <c r="J607" s="9">
        <f t="shared" si="86"/>
        <v>30.4</v>
      </c>
    </row>
    <row r="608" spans="1:10" hidden="1" x14ac:dyDescent="0.2">
      <c r="A608" s="3" t="s">
        <v>6</v>
      </c>
      <c r="B608" s="6">
        <v>168</v>
      </c>
      <c r="C608" s="3"/>
      <c r="D608" s="4">
        <v>77.7</v>
      </c>
      <c r="E608" s="4">
        <v>8.5</v>
      </c>
      <c r="F608" s="6">
        <f>E608</f>
        <v>8.5</v>
      </c>
      <c r="G608" s="20"/>
      <c r="H608" s="8">
        <f t="shared" si="84"/>
        <v>155.4</v>
      </c>
      <c r="I608" s="8">
        <f t="shared" si="85"/>
        <v>17</v>
      </c>
      <c r="J608" s="9">
        <f t="shared" si="86"/>
        <v>17</v>
      </c>
    </row>
    <row r="609" spans="1:10" hidden="1" x14ac:dyDescent="0.2">
      <c r="A609" s="3" t="s">
        <v>6</v>
      </c>
      <c r="B609" s="6">
        <v>169</v>
      </c>
      <c r="C609" s="3"/>
      <c r="D609" s="4">
        <v>77.7</v>
      </c>
      <c r="E609" s="4">
        <v>23.1</v>
      </c>
      <c r="F609" s="4">
        <v>23.1</v>
      </c>
      <c r="G609" s="21"/>
      <c r="H609" s="8">
        <f t="shared" si="84"/>
        <v>155.4</v>
      </c>
      <c r="I609" s="8">
        <f t="shared" si="85"/>
        <v>46.2</v>
      </c>
      <c r="J609" s="9">
        <f t="shared" si="86"/>
        <v>46.2</v>
      </c>
    </row>
    <row r="610" spans="1:10" hidden="1" x14ac:dyDescent="0.2">
      <c r="A610" s="3" t="s">
        <v>6</v>
      </c>
      <c r="B610" s="4">
        <v>173</v>
      </c>
      <c r="C610" s="3"/>
      <c r="D610" s="4">
        <v>77.7</v>
      </c>
      <c r="E610" s="4">
        <v>19.399999999999999</v>
      </c>
      <c r="F610" s="4">
        <v>19.399999999999999</v>
      </c>
      <c r="G610" s="21"/>
      <c r="H610" s="8">
        <f t="shared" si="84"/>
        <v>155.4</v>
      </c>
      <c r="I610" s="8">
        <f t="shared" si="85"/>
        <v>38.799999999999997</v>
      </c>
      <c r="J610" s="9">
        <f t="shared" si="86"/>
        <v>38.799999999999997</v>
      </c>
    </row>
    <row r="611" spans="1:10" hidden="1" x14ac:dyDescent="0.2">
      <c r="A611" s="24" t="s">
        <v>6</v>
      </c>
      <c r="B611" s="5">
        <v>174</v>
      </c>
      <c r="C611" s="24" t="s">
        <v>2</v>
      </c>
      <c r="D611" s="5">
        <v>79.900000000000006</v>
      </c>
      <c r="E611" s="5">
        <v>23.3</v>
      </c>
      <c r="F611" s="5">
        <v>0.5</v>
      </c>
      <c r="G611" s="25"/>
      <c r="H611" s="8">
        <f t="shared" ref="H611" si="92">D611*2</f>
        <v>159.80000000000001</v>
      </c>
      <c r="I611" s="8">
        <f t="shared" ref="I611" si="93">E611*2</f>
        <v>46.6</v>
      </c>
      <c r="J611" s="9">
        <f t="shared" ref="J611" si="94">F611*2</f>
        <v>1</v>
      </c>
    </row>
    <row r="612" spans="1:10" hidden="1" x14ac:dyDescent="0.2">
      <c r="A612" s="3" t="s">
        <v>6</v>
      </c>
      <c r="B612" s="4">
        <v>177</v>
      </c>
      <c r="C612" s="3"/>
      <c r="D612" s="4">
        <v>95.8</v>
      </c>
      <c r="E612" s="4">
        <v>4.4000000000000004</v>
      </c>
      <c r="F612" s="4">
        <v>4.4000000000000004</v>
      </c>
      <c r="G612" s="21"/>
      <c r="H612" s="8">
        <f t="shared" si="84"/>
        <v>191.6</v>
      </c>
      <c r="I612" s="8">
        <f t="shared" si="85"/>
        <v>8.8000000000000007</v>
      </c>
      <c r="J612" s="9">
        <f t="shared" si="86"/>
        <v>8.8000000000000007</v>
      </c>
    </row>
    <row r="613" spans="1:10" hidden="1" x14ac:dyDescent="0.2">
      <c r="A613" s="3" t="s">
        <v>6</v>
      </c>
      <c r="B613" s="6">
        <v>179</v>
      </c>
      <c r="C613" s="3"/>
      <c r="D613" s="4">
        <v>74.8</v>
      </c>
      <c r="E613" s="4">
        <v>9.6999999999999993</v>
      </c>
      <c r="F613" s="6">
        <f>E613</f>
        <v>9.6999999999999993</v>
      </c>
      <c r="G613" s="20"/>
      <c r="H613" s="8">
        <f t="shared" ref="H613:H682" si="95">D613*2</f>
        <v>149.6</v>
      </c>
      <c r="I613" s="8">
        <f t="shared" ref="I613:I682" si="96">E613*2</f>
        <v>19.399999999999999</v>
      </c>
      <c r="J613" s="9">
        <f t="shared" ref="J613:J682" si="97">F613*2</f>
        <v>19.399999999999999</v>
      </c>
    </row>
    <row r="614" spans="1:10" hidden="1" x14ac:dyDescent="0.2">
      <c r="A614" s="3" t="s">
        <v>6</v>
      </c>
      <c r="B614" s="6">
        <v>180</v>
      </c>
      <c r="C614" s="3"/>
      <c r="D614" s="4">
        <v>104.2</v>
      </c>
      <c r="E614" s="4">
        <v>10.7</v>
      </c>
      <c r="F614" s="6">
        <f>E614</f>
        <v>10.7</v>
      </c>
      <c r="G614" s="20"/>
      <c r="H614" s="8">
        <f t="shared" si="95"/>
        <v>208.4</v>
      </c>
      <c r="I614" s="8">
        <f t="shared" si="96"/>
        <v>21.4</v>
      </c>
      <c r="J614" s="9">
        <f t="shared" si="97"/>
        <v>21.4</v>
      </c>
    </row>
    <row r="615" spans="1:10" hidden="1" x14ac:dyDescent="0.2">
      <c r="A615" s="3" t="s">
        <v>6</v>
      </c>
      <c r="B615" s="6">
        <v>180</v>
      </c>
      <c r="C615" s="3" t="s">
        <v>2</v>
      </c>
      <c r="D615" s="4">
        <v>104.2</v>
      </c>
      <c r="E615" s="4">
        <v>8.4</v>
      </c>
      <c r="F615" s="6">
        <f>E615</f>
        <v>8.4</v>
      </c>
      <c r="G615" s="20"/>
      <c r="H615" s="8">
        <f t="shared" si="95"/>
        <v>208.4</v>
      </c>
      <c r="I615" s="8">
        <f t="shared" si="96"/>
        <v>16.8</v>
      </c>
      <c r="J615" s="9">
        <f t="shared" si="97"/>
        <v>16.8</v>
      </c>
    </row>
    <row r="616" spans="1:10" hidden="1" x14ac:dyDescent="0.2">
      <c r="A616" s="3" t="s">
        <v>6</v>
      </c>
      <c r="B616" s="4">
        <v>181</v>
      </c>
      <c r="C616" s="3"/>
      <c r="D616" s="4">
        <v>74.8</v>
      </c>
      <c r="E616" s="4">
        <v>8</v>
      </c>
      <c r="F616" s="4">
        <v>8</v>
      </c>
      <c r="G616" s="21"/>
      <c r="H616" s="8">
        <f t="shared" si="95"/>
        <v>149.6</v>
      </c>
      <c r="I616" s="8">
        <f t="shared" si="96"/>
        <v>16</v>
      </c>
      <c r="J616" s="9">
        <f t="shared" si="97"/>
        <v>16</v>
      </c>
    </row>
    <row r="617" spans="1:10" hidden="1" x14ac:dyDescent="0.2">
      <c r="A617" s="3" t="s">
        <v>6</v>
      </c>
      <c r="B617" s="4">
        <v>181</v>
      </c>
      <c r="C617" s="3" t="s">
        <v>2</v>
      </c>
      <c r="D617" s="4">
        <v>77.7</v>
      </c>
      <c r="E617" s="4">
        <v>8.8000000000000007</v>
      </c>
      <c r="F617" s="6">
        <f>E617</f>
        <v>8.8000000000000007</v>
      </c>
      <c r="G617" s="20"/>
      <c r="H617" s="8">
        <f t="shared" si="95"/>
        <v>155.4</v>
      </c>
      <c r="I617" s="8">
        <f t="shared" si="96"/>
        <v>17.600000000000001</v>
      </c>
      <c r="J617" s="9">
        <f t="shared" si="97"/>
        <v>17.600000000000001</v>
      </c>
    </row>
    <row r="618" spans="1:10" hidden="1" x14ac:dyDescent="0.2">
      <c r="A618" s="3" t="s">
        <v>6</v>
      </c>
      <c r="B618" s="6">
        <v>182</v>
      </c>
      <c r="C618" s="3"/>
      <c r="D618" s="4">
        <v>76.8</v>
      </c>
      <c r="E618" s="4">
        <v>6.8</v>
      </c>
      <c r="F618" s="6">
        <f>E618</f>
        <v>6.8</v>
      </c>
      <c r="G618" s="20"/>
      <c r="H618" s="8">
        <f t="shared" si="95"/>
        <v>153.6</v>
      </c>
      <c r="I618" s="8">
        <f t="shared" si="96"/>
        <v>13.6</v>
      </c>
      <c r="J618" s="9">
        <f t="shared" si="97"/>
        <v>13.6</v>
      </c>
    </row>
    <row r="619" spans="1:10" hidden="1" x14ac:dyDescent="0.2">
      <c r="A619" s="3" t="s">
        <v>6</v>
      </c>
      <c r="B619" s="6">
        <v>201</v>
      </c>
      <c r="C619" s="3"/>
      <c r="D619" s="4">
        <v>105.1</v>
      </c>
      <c r="E619" s="4">
        <v>0.2</v>
      </c>
      <c r="F619" s="6">
        <f>E619</f>
        <v>0.2</v>
      </c>
      <c r="G619" s="20"/>
      <c r="H619" s="8">
        <f t="shared" si="95"/>
        <v>210.2</v>
      </c>
      <c r="I619" s="8">
        <f t="shared" si="96"/>
        <v>0.4</v>
      </c>
      <c r="J619" s="9">
        <f t="shared" si="97"/>
        <v>0.4</v>
      </c>
    </row>
    <row r="620" spans="1:10" hidden="1" x14ac:dyDescent="0.2">
      <c r="A620" s="3" t="s">
        <v>6</v>
      </c>
      <c r="B620" s="4">
        <v>202</v>
      </c>
      <c r="C620" s="3"/>
      <c r="D620" s="4">
        <v>106.3</v>
      </c>
      <c r="E620" s="4">
        <v>0.9</v>
      </c>
      <c r="F620" s="4">
        <v>0.9</v>
      </c>
      <c r="G620" s="21"/>
      <c r="H620" s="8">
        <f t="shared" si="95"/>
        <v>212.6</v>
      </c>
      <c r="I620" s="8">
        <f t="shared" si="96"/>
        <v>1.8</v>
      </c>
      <c r="J620" s="9">
        <f t="shared" si="97"/>
        <v>1.8</v>
      </c>
    </row>
    <row r="621" spans="1:10" hidden="1" x14ac:dyDescent="0.2">
      <c r="A621" s="3" t="s">
        <v>6</v>
      </c>
      <c r="B621" s="6">
        <v>203</v>
      </c>
      <c r="C621" s="3"/>
      <c r="D621" s="4">
        <v>104.4</v>
      </c>
      <c r="E621" s="4">
        <v>0.4</v>
      </c>
      <c r="F621" s="6">
        <f>E621</f>
        <v>0.4</v>
      </c>
      <c r="G621" s="20"/>
      <c r="H621" s="8">
        <f t="shared" si="95"/>
        <v>208.8</v>
      </c>
      <c r="I621" s="8">
        <f t="shared" si="96"/>
        <v>0.8</v>
      </c>
      <c r="J621" s="9">
        <f t="shared" si="97"/>
        <v>0.8</v>
      </c>
    </row>
    <row r="622" spans="1:10" hidden="1" x14ac:dyDescent="0.2">
      <c r="A622" s="3" t="s">
        <v>6</v>
      </c>
      <c r="B622" s="6">
        <v>204</v>
      </c>
      <c r="C622" s="3"/>
      <c r="D622" s="4">
        <v>103.3</v>
      </c>
      <c r="E622" s="4">
        <v>0.3</v>
      </c>
      <c r="F622" s="6">
        <f>E622</f>
        <v>0.3</v>
      </c>
      <c r="G622" s="20"/>
      <c r="H622" s="8">
        <f t="shared" si="95"/>
        <v>206.6</v>
      </c>
      <c r="I622" s="8">
        <f t="shared" si="96"/>
        <v>0.6</v>
      </c>
      <c r="J622" s="9">
        <f t="shared" si="97"/>
        <v>0.6</v>
      </c>
    </row>
    <row r="623" spans="1:10" hidden="1" x14ac:dyDescent="0.2">
      <c r="A623" s="3" t="s">
        <v>6</v>
      </c>
      <c r="B623" s="6">
        <v>205</v>
      </c>
      <c r="C623" s="3"/>
      <c r="D623" s="4">
        <v>104.2</v>
      </c>
      <c r="E623" s="4">
        <v>2</v>
      </c>
      <c r="F623" s="6">
        <f>E623</f>
        <v>2</v>
      </c>
      <c r="G623" s="20"/>
      <c r="H623" s="8">
        <f t="shared" si="95"/>
        <v>208.4</v>
      </c>
      <c r="I623" s="8">
        <f t="shared" si="96"/>
        <v>4</v>
      </c>
      <c r="J623" s="9">
        <f t="shared" si="97"/>
        <v>4</v>
      </c>
    </row>
    <row r="624" spans="1:10" hidden="1" x14ac:dyDescent="0.2">
      <c r="A624" s="3" t="s">
        <v>6</v>
      </c>
      <c r="B624" s="6">
        <v>209</v>
      </c>
      <c r="C624" s="3"/>
      <c r="D624" s="4">
        <v>100</v>
      </c>
      <c r="E624" s="4">
        <v>10.1</v>
      </c>
      <c r="F624" s="6">
        <f>E624</f>
        <v>10.1</v>
      </c>
      <c r="G624" s="20"/>
      <c r="H624" s="8">
        <f t="shared" si="95"/>
        <v>200</v>
      </c>
      <c r="I624" s="8">
        <f t="shared" si="96"/>
        <v>20.2</v>
      </c>
      <c r="J624" s="9">
        <f t="shared" si="97"/>
        <v>20.2</v>
      </c>
    </row>
    <row r="625" spans="1:10" hidden="1" x14ac:dyDescent="0.2">
      <c r="A625" s="3" t="s">
        <v>6</v>
      </c>
      <c r="B625" s="6">
        <v>210</v>
      </c>
      <c r="C625" s="3"/>
      <c r="D625" s="4">
        <v>92.2</v>
      </c>
      <c r="E625" s="4">
        <v>5.4</v>
      </c>
      <c r="F625" s="6">
        <f>E625</f>
        <v>5.4</v>
      </c>
      <c r="G625" s="20"/>
      <c r="H625" s="8">
        <f t="shared" si="95"/>
        <v>184.4</v>
      </c>
      <c r="I625" s="8">
        <f t="shared" si="96"/>
        <v>10.8</v>
      </c>
      <c r="J625" s="9">
        <f t="shared" si="97"/>
        <v>10.8</v>
      </c>
    </row>
    <row r="626" spans="1:10" hidden="1" x14ac:dyDescent="0.2">
      <c r="A626" s="3" t="s">
        <v>6</v>
      </c>
      <c r="B626" s="6">
        <v>210</v>
      </c>
      <c r="C626" s="3" t="s">
        <v>2</v>
      </c>
      <c r="D626" s="4">
        <v>92.2</v>
      </c>
      <c r="E626" s="4">
        <v>3.3</v>
      </c>
      <c r="F626" s="4">
        <v>3.3</v>
      </c>
      <c r="G626" s="21"/>
      <c r="H626" s="8">
        <f t="shared" si="95"/>
        <v>184.4</v>
      </c>
      <c r="I626" s="8">
        <f t="shared" si="96"/>
        <v>6.6</v>
      </c>
      <c r="J626" s="9">
        <f t="shared" si="97"/>
        <v>6.6</v>
      </c>
    </row>
    <row r="627" spans="1:10" hidden="1" x14ac:dyDescent="0.2">
      <c r="A627" s="3" t="s">
        <v>6</v>
      </c>
      <c r="B627" s="6">
        <v>211</v>
      </c>
      <c r="C627" s="3"/>
      <c r="D627" s="4">
        <v>90.2</v>
      </c>
      <c r="E627" s="4">
        <v>8.3000000000000007</v>
      </c>
      <c r="F627" s="4">
        <v>8.3000000000000007</v>
      </c>
      <c r="G627" s="21"/>
      <c r="H627" s="8">
        <f t="shared" si="95"/>
        <v>180.4</v>
      </c>
      <c r="I627" s="8">
        <f t="shared" si="96"/>
        <v>16.600000000000001</v>
      </c>
      <c r="J627" s="9">
        <f t="shared" si="97"/>
        <v>16.600000000000001</v>
      </c>
    </row>
    <row r="628" spans="1:10" hidden="1" x14ac:dyDescent="0.2">
      <c r="A628" s="3" t="s">
        <v>6</v>
      </c>
      <c r="B628" s="6">
        <v>211</v>
      </c>
      <c r="C628" s="3" t="s">
        <v>2</v>
      </c>
      <c r="D628" s="4">
        <v>91.9</v>
      </c>
      <c r="E628" s="4">
        <v>9.6999999999999993</v>
      </c>
      <c r="F628" s="4">
        <v>0</v>
      </c>
      <c r="G628" s="21"/>
      <c r="H628" s="8">
        <f t="shared" si="95"/>
        <v>183.8</v>
      </c>
      <c r="I628" s="8">
        <f t="shared" si="96"/>
        <v>19.399999999999999</v>
      </c>
      <c r="J628" s="9">
        <f t="shared" si="97"/>
        <v>0</v>
      </c>
    </row>
    <row r="629" spans="1:10" hidden="1" x14ac:dyDescent="0.2">
      <c r="A629" s="3" t="s">
        <v>6</v>
      </c>
      <c r="B629" s="6">
        <v>215</v>
      </c>
      <c r="C629" s="3"/>
      <c r="D629" s="4">
        <v>93.2</v>
      </c>
      <c r="E629" s="4">
        <v>3.8</v>
      </c>
      <c r="F629" s="4"/>
      <c r="G629" s="21"/>
      <c r="H629" s="8">
        <f t="shared" si="95"/>
        <v>186.4</v>
      </c>
      <c r="I629" s="8">
        <f t="shared" si="96"/>
        <v>7.6</v>
      </c>
      <c r="J629" s="9"/>
    </row>
    <row r="630" spans="1:10" hidden="1" x14ac:dyDescent="0.2">
      <c r="A630" s="3" t="s">
        <v>6</v>
      </c>
      <c r="B630" s="6">
        <v>301</v>
      </c>
      <c r="C630" s="3"/>
      <c r="D630" s="4">
        <v>105.3</v>
      </c>
      <c r="E630" s="4">
        <v>5.4</v>
      </c>
      <c r="F630" s="6">
        <f>E630</f>
        <v>5.4</v>
      </c>
      <c r="G630" s="20"/>
      <c r="H630" s="8">
        <f t="shared" si="95"/>
        <v>210.6</v>
      </c>
      <c r="I630" s="8">
        <f t="shared" si="96"/>
        <v>10.8</v>
      </c>
      <c r="J630" s="9">
        <f t="shared" si="97"/>
        <v>10.8</v>
      </c>
    </row>
    <row r="631" spans="1:10" hidden="1" x14ac:dyDescent="0.2">
      <c r="A631" s="3" t="s">
        <v>6</v>
      </c>
      <c r="B631" s="6">
        <v>302</v>
      </c>
      <c r="C631" s="3"/>
      <c r="D631" s="4">
        <v>114.8</v>
      </c>
      <c r="E631" s="4">
        <v>1</v>
      </c>
      <c r="F631" s="6">
        <f>E631</f>
        <v>1</v>
      </c>
      <c r="G631" s="20"/>
      <c r="H631" s="8">
        <f t="shared" si="95"/>
        <v>229.6</v>
      </c>
      <c r="I631" s="8">
        <f t="shared" si="96"/>
        <v>2</v>
      </c>
      <c r="J631" s="9">
        <f t="shared" si="97"/>
        <v>2</v>
      </c>
    </row>
    <row r="632" spans="1:10" hidden="1" x14ac:dyDescent="0.2">
      <c r="A632" s="24" t="s">
        <v>6</v>
      </c>
      <c r="B632" s="5">
        <v>303</v>
      </c>
      <c r="C632" s="24"/>
      <c r="D632" s="5">
        <v>115</v>
      </c>
      <c r="E632" s="5">
        <v>0</v>
      </c>
      <c r="F632" s="16">
        <f>E632</f>
        <v>0</v>
      </c>
      <c r="G632" s="27"/>
      <c r="H632" s="8">
        <f t="shared" si="95"/>
        <v>230</v>
      </c>
      <c r="I632" s="8">
        <f t="shared" si="96"/>
        <v>0</v>
      </c>
      <c r="J632" s="9">
        <f t="shared" si="97"/>
        <v>0</v>
      </c>
    </row>
    <row r="633" spans="1:10" hidden="1" x14ac:dyDescent="0.2">
      <c r="A633" s="3" t="s">
        <v>6</v>
      </c>
      <c r="B633" s="4">
        <v>304</v>
      </c>
      <c r="C633" s="3" t="s">
        <v>5</v>
      </c>
      <c r="D633" s="4">
        <v>77.7</v>
      </c>
      <c r="E633" s="4">
        <v>23</v>
      </c>
      <c r="F633" s="4">
        <v>23</v>
      </c>
      <c r="G633" s="21"/>
      <c r="H633" s="8">
        <f t="shared" si="95"/>
        <v>155.4</v>
      </c>
      <c r="I633" s="8">
        <f t="shared" si="96"/>
        <v>46</v>
      </c>
      <c r="J633" s="9">
        <f t="shared" si="97"/>
        <v>46</v>
      </c>
    </row>
    <row r="634" spans="1:10" hidden="1" x14ac:dyDescent="0.2">
      <c r="A634" s="3" t="s">
        <v>6</v>
      </c>
      <c r="B634" s="4">
        <v>304</v>
      </c>
      <c r="C634" s="3" t="s">
        <v>3</v>
      </c>
      <c r="D634" s="4">
        <v>77</v>
      </c>
      <c r="E634" s="4">
        <v>23.3</v>
      </c>
      <c r="F634" s="4">
        <v>23.3</v>
      </c>
      <c r="G634" s="21"/>
      <c r="H634" s="8">
        <f>D634*2</f>
        <v>154</v>
      </c>
      <c r="I634" s="8">
        <f>E634*2</f>
        <v>46.6</v>
      </c>
      <c r="J634" s="9">
        <f>F634*2</f>
        <v>46.6</v>
      </c>
    </row>
    <row r="635" spans="1:10" hidden="1" x14ac:dyDescent="0.2">
      <c r="A635" s="3" t="s">
        <v>6</v>
      </c>
      <c r="B635" s="6">
        <v>305</v>
      </c>
      <c r="C635" s="3"/>
      <c r="D635" s="4">
        <v>105.3</v>
      </c>
      <c r="E635" s="4">
        <v>0.7</v>
      </c>
      <c r="F635" s="6">
        <f t="shared" ref="F635:F643" si="98">E635</f>
        <v>0.7</v>
      </c>
      <c r="G635" s="20"/>
      <c r="H635" s="8">
        <f t="shared" si="95"/>
        <v>210.6</v>
      </c>
      <c r="I635" s="8">
        <f t="shared" si="96"/>
        <v>1.4</v>
      </c>
      <c r="J635" s="9">
        <f t="shared" si="97"/>
        <v>1.4</v>
      </c>
    </row>
    <row r="636" spans="1:10" hidden="1" x14ac:dyDescent="0.2">
      <c r="A636" s="3" t="s">
        <v>6</v>
      </c>
      <c r="B636" s="6">
        <v>305</v>
      </c>
      <c r="C636" s="3" t="s">
        <v>3</v>
      </c>
      <c r="D636" s="4">
        <v>77.7</v>
      </c>
      <c r="E636" s="4">
        <v>11.3</v>
      </c>
      <c r="F636" s="6">
        <f t="shared" si="98"/>
        <v>11.3</v>
      </c>
      <c r="G636" s="20"/>
      <c r="H636" s="8">
        <f t="shared" si="95"/>
        <v>155.4</v>
      </c>
      <c r="I636" s="8">
        <f t="shared" si="96"/>
        <v>22.6</v>
      </c>
      <c r="J636" s="9">
        <f t="shared" si="97"/>
        <v>22.6</v>
      </c>
    </row>
    <row r="637" spans="1:10" hidden="1" x14ac:dyDescent="0.2">
      <c r="A637" s="3" t="s">
        <v>6</v>
      </c>
      <c r="B637" s="6">
        <v>306</v>
      </c>
      <c r="C637" s="3"/>
      <c r="D637" s="4">
        <v>105.1</v>
      </c>
      <c r="E637" s="4">
        <v>2.4</v>
      </c>
      <c r="F637" s="6">
        <f t="shared" si="98"/>
        <v>2.4</v>
      </c>
      <c r="G637" s="20"/>
      <c r="H637" s="8">
        <f t="shared" si="95"/>
        <v>210.2</v>
      </c>
      <c r="I637" s="8">
        <f t="shared" si="96"/>
        <v>4.8</v>
      </c>
      <c r="J637" s="9">
        <f t="shared" si="97"/>
        <v>4.8</v>
      </c>
    </row>
    <row r="638" spans="1:10" hidden="1" x14ac:dyDescent="0.2">
      <c r="A638" s="3" t="s">
        <v>6</v>
      </c>
      <c r="B638" s="6">
        <v>306</v>
      </c>
      <c r="C638" s="3" t="s">
        <v>5</v>
      </c>
      <c r="D638" s="4">
        <v>77.7</v>
      </c>
      <c r="E638" s="4">
        <v>9.9</v>
      </c>
      <c r="F638" s="6">
        <f t="shared" si="98"/>
        <v>9.9</v>
      </c>
      <c r="G638" s="20"/>
      <c r="H638" s="8">
        <f t="shared" si="95"/>
        <v>155.4</v>
      </c>
      <c r="I638" s="8">
        <f t="shared" si="96"/>
        <v>19.8</v>
      </c>
      <c r="J638" s="9">
        <f t="shared" si="97"/>
        <v>19.8</v>
      </c>
    </row>
    <row r="639" spans="1:10" hidden="1" x14ac:dyDescent="0.2">
      <c r="A639" s="3" t="s">
        <v>6</v>
      </c>
      <c r="B639" s="6">
        <v>307</v>
      </c>
      <c r="C639" s="3"/>
      <c r="D639" s="4">
        <v>105.1</v>
      </c>
      <c r="E639" s="4">
        <v>0.2</v>
      </c>
      <c r="F639" s="6">
        <f t="shared" si="98"/>
        <v>0.2</v>
      </c>
      <c r="G639" s="20"/>
      <c r="H639" s="8">
        <f t="shared" si="95"/>
        <v>210.2</v>
      </c>
      <c r="I639" s="8">
        <f t="shared" si="96"/>
        <v>0.4</v>
      </c>
      <c r="J639" s="9">
        <f t="shared" si="97"/>
        <v>0.4</v>
      </c>
    </row>
    <row r="640" spans="1:10" hidden="1" x14ac:dyDescent="0.2">
      <c r="A640" s="3" t="s">
        <v>6</v>
      </c>
      <c r="B640" s="6">
        <v>308</v>
      </c>
      <c r="C640" s="3"/>
      <c r="D640" s="4">
        <v>105.3</v>
      </c>
      <c r="E640" s="4">
        <v>3.7</v>
      </c>
      <c r="F640" s="6">
        <f t="shared" si="98"/>
        <v>3.7</v>
      </c>
      <c r="G640" s="20"/>
      <c r="H640" s="8">
        <f t="shared" si="95"/>
        <v>210.6</v>
      </c>
      <c r="I640" s="8">
        <f t="shared" si="96"/>
        <v>7.4</v>
      </c>
      <c r="J640" s="9">
        <f t="shared" si="97"/>
        <v>7.4</v>
      </c>
    </row>
    <row r="641" spans="1:10" hidden="1" x14ac:dyDescent="0.2">
      <c r="A641" s="3" t="s">
        <v>6</v>
      </c>
      <c r="B641" s="6">
        <v>309</v>
      </c>
      <c r="C641" s="3"/>
      <c r="D641" s="4">
        <v>105.1</v>
      </c>
      <c r="E641" s="4">
        <v>3.1</v>
      </c>
      <c r="F641" s="6">
        <f t="shared" si="98"/>
        <v>3.1</v>
      </c>
      <c r="G641" s="20"/>
      <c r="H641" s="8">
        <f t="shared" si="95"/>
        <v>210.2</v>
      </c>
      <c r="I641" s="8">
        <f t="shared" si="96"/>
        <v>6.2</v>
      </c>
      <c r="J641" s="9">
        <f t="shared" si="97"/>
        <v>6.2</v>
      </c>
    </row>
    <row r="642" spans="1:10" hidden="1" x14ac:dyDescent="0.2">
      <c r="A642" s="3" t="s">
        <v>6</v>
      </c>
      <c r="B642" s="6">
        <v>311</v>
      </c>
      <c r="C642" s="3"/>
      <c r="D642" s="4">
        <v>107.1</v>
      </c>
      <c r="E642" s="4">
        <v>1.3</v>
      </c>
      <c r="F642" s="6">
        <f t="shared" si="98"/>
        <v>1.3</v>
      </c>
      <c r="G642" s="20"/>
      <c r="H642" s="8">
        <f t="shared" si="95"/>
        <v>214.2</v>
      </c>
      <c r="I642" s="8">
        <f t="shared" si="96"/>
        <v>2.6</v>
      </c>
      <c r="J642" s="9">
        <f t="shared" si="97"/>
        <v>2.6</v>
      </c>
    </row>
    <row r="643" spans="1:10" hidden="1" x14ac:dyDescent="0.2">
      <c r="A643" s="3" t="s">
        <v>6</v>
      </c>
      <c r="B643" s="6">
        <v>312</v>
      </c>
      <c r="C643" s="3"/>
      <c r="D643" s="4">
        <v>104.2</v>
      </c>
      <c r="E643" s="4">
        <v>8</v>
      </c>
      <c r="F643" s="6">
        <f t="shared" si="98"/>
        <v>8</v>
      </c>
      <c r="G643" s="20"/>
      <c r="H643" s="8">
        <f t="shared" si="95"/>
        <v>208.4</v>
      </c>
      <c r="I643" s="8">
        <f t="shared" si="96"/>
        <v>16</v>
      </c>
      <c r="J643" s="9">
        <f t="shared" si="97"/>
        <v>16</v>
      </c>
    </row>
    <row r="644" spans="1:10" hidden="1" x14ac:dyDescent="0.2">
      <c r="A644" s="3" t="s">
        <v>6</v>
      </c>
      <c r="B644" s="4">
        <v>317</v>
      </c>
      <c r="C644" s="3"/>
      <c r="D644" s="4">
        <v>108.3</v>
      </c>
      <c r="E644" s="4">
        <v>6.4</v>
      </c>
      <c r="F644" s="4">
        <v>6.4</v>
      </c>
      <c r="G644" s="21"/>
      <c r="H644" s="8">
        <f t="shared" si="95"/>
        <v>216.6</v>
      </c>
      <c r="I644" s="8">
        <f t="shared" si="96"/>
        <v>12.8</v>
      </c>
      <c r="J644" s="9">
        <f t="shared" si="97"/>
        <v>12.8</v>
      </c>
    </row>
    <row r="645" spans="1:10" hidden="1" x14ac:dyDescent="0.2">
      <c r="A645" s="3" t="s">
        <v>6</v>
      </c>
      <c r="B645" s="6">
        <v>318</v>
      </c>
      <c r="C645" s="3"/>
      <c r="D645" s="4">
        <v>114.8</v>
      </c>
      <c r="E645" s="4">
        <v>10.7</v>
      </c>
      <c r="F645" s="6">
        <f>E645</f>
        <v>10.7</v>
      </c>
      <c r="G645" s="20"/>
      <c r="H645" s="8">
        <f t="shared" si="95"/>
        <v>229.6</v>
      </c>
      <c r="I645" s="8">
        <f t="shared" si="96"/>
        <v>21.4</v>
      </c>
      <c r="J645" s="9">
        <f t="shared" si="97"/>
        <v>21.4</v>
      </c>
    </row>
    <row r="646" spans="1:10" hidden="1" x14ac:dyDescent="0.2">
      <c r="A646" s="3" t="s">
        <v>6</v>
      </c>
      <c r="B646" s="6">
        <v>319</v>
      </c>
      <c r="C646" s="3"/>
      <c r="D646" s="4">
        <v>114.8</v>
      </c>
      <c r="E646" s="4">
        <v>13.6</v>
      </c>
      <c r="F646" s="6">
        <f>E646</f>
        <v>13.6</v>
      </c>
      <c r="G646" s="20"/>
      <c r="H646" s="8">
        <f t="shared" si="95"/>
        <v>229.6</v>
      </c>
      <c r="I646" s="8">
        <f t="shared" si="96"/>
        <v>27.2</v>
      </c>
      <c r="J646" s="9">
        <f t="shared" si="97"/>
        <v>27.2</v>
      </c>
    </row>
    <row r="647" spans="1:10" hidden="1" x14ac:dyDescent="0.2">
      <c r="A647" s="3" t="s">
        <v>6</v>
      </c>
      <c r="B647" s="6">
        <v>402</v>
      </c>
      <c r="C647" s="3"/>
      <c r="D647" s="4">
        <v>100</v>
      </c>
      <c r="E647" s="4">
        <v>8.8000000000000007</v>
      </c>
      <c r="F647" s="6">
        <f>E647</f>
        <v>8.8000000000000007</v>
      </c>
      <c r="G647" s="20"/>
      <c r="H647" s="8">
        <f t="shared" si="95"/>
        <v>200</v>
      </c>
      <c r="I647" s="8">
        <f t="shared" si="96"/>
        <v>17.600000000000001</v>
      </c>
      <c r="J647" s="9">
        <f t="shared" si="97"/>
        <v>17.600000000000001</v>
      </c>
    </row>
    <row r="648" spans="1:10" hidden="1" x14ac:dyDescent="0.2">
      <c r="A648" s="3" t="s">
        <v>6</v>
      </c>
      <c r="B648" s="6">
        <v>408</v>
      </c>
      <c r="C648" s="3"/>
      <c r="D648" s="4">
        <v>100</v>
      </c>
      <c r="E648" s="4">
        <v>10.7</v>
      </c>
      <c r="F648" s="6">
        <f>E648</f>
        <v>10.7</v>
      </c>
      <c r="G648" s="20"/>
      <c r="H648" s="8">
        <f t="shared" si="95"/>
        <v>200</v>
      </c>
      <c r="I648" s="8">
        <f t="shared" si="96"/>
        <v>21.4</v>
      </c>
      <c r="J648" s="9">
        <f t="shared" si="97"/>
        <v>21.4</v>
      </c>
    </row>
    <row r="649" spans="1:10" hidden="1" x14ac:dyDescent="0.2">
      <c r="A649" s="3" t="s">
        <v>6</v>
      </c>
      <c r="B649" s="6">
        <v>409</v>
      </c>
      <c r="C649" s="3"/>
      <c r="D649" s="4">
        <v>104.4</v>
      </c>
      <c r="E649" s="4">
        <v>5.0999999999999996</v>
      </c>
      <c r="F649" s="6">
        <f>E649</f>
        <v>5.0999999999999996</v>
      </c>
      <c r="G649" s="20"/>
      <c r="H649" s="8">
        <f t="shared" si="95"/>
        <v>208.8</v>
      </c>
      <c r="I649" s="8">
        <f t="shared" si="96"/>
        <v>10.199999999999999</v>
      </c>
      <c r="J649" s="9">
        <f t="shared" si="97"/>
        <v>10.199999999999999</v>
      </c>
    </row>
    <row r="650" spans="1:10" hidden="1" x14ac:dyDescent="0.2">
      <c r="A650" s="3" t="s">
        <v>6</v>
      </c>
      <c r="B650" s="4">
        <v>410</v>
      </c>
      <c r="C650" s="3"/>
      <c r="D650" s="4">
        <v>104.4</v>
      </c>
      <c r="E650" s="4">
        <v>6.4</v>
      </c>
      <c r="F650" s="4">
        <v>6.4</v>
      </c>
      <c r="G650" s="21"/>
      <c r="H650" s="8">
        <f t="shared" si="95"/>
        <v>208.8</v>
      </c>
      <c r="I650" s="8">
        <f t="shared" si="96"/>
        <v>12.8</v>
      </c>
      <c r="J650" s="9">
        <f t="shared" si="97"/>
        <v>12.8</v>
      </c>
    </row>
    <row r="651" spans="1:10" hidden="1" x14ac:dyDescent="0.2">
      <c r="A651" s="3" t="s">
        <v>6</v>
      </c>
      <c r="B651" s="6">
        <v>411</v>
      </c>
      <c r="C651" s="3"/>
      <c r="D651" s="4">
        <v>104.4</v>
      </c>
      <c r="E651" s="4">
        <v>7.3</v>
      </c>
      <c r="F651" s="6">
        <f>E651</f>
        <v>7.3</v>
      </c>
      <c r="G651" s="20"/>
      <c r="H651" s="8">
        <f t="shared" si="95"/>
        <v>208.8</v>
      </c>
      <c r="I651" s="8">
        <f t="shared" si="96"/>
        <v>14.6</v>
      </c>
      <c r="J651" s="9">
        <f t="shared" si="97"/>
        <v>14.6</v>
      </c>
    </row>
    <row r="652" spans="1:10" hidden="1" x14ac:dyDescent="0.2">
      <c r="A652" s="3" t="s">
        <v>6</v>
      </c>
      <c r="B652" s="6">
        <v>414</v>
      </c>
      <c r="C652" s="3"/>
      <c r="D652" s="4">
        <v>105.1</v>
      </c>
      <c r="E652" s="4">
        <v>4.8</v>
      </c>
      <c r="F652" s="6">
        <f>E652</f>
        <v>4.8</v>
      </c>
      <c r="G652" s="20"/>
      <c r="H652" s="8">
        <f t="shared" si="95"/>
        <v>210.2</v>
      </c>
      <c r="I652" s="8">
        <f t="shared" si="96"/>
        <v>9.6</v>
      </c>
      <c r="J652" s="9">
        <f t="shared" si="97"/>
        <v>9.6</v>
      </c>
    </row>
    <row r="653" spans="1:10" hidden="1" x14ac:dyDescent="0.2">
      <c r="A653" s="3" t="s">
        <v>6</v>
      </c>
      <c r="B653" s="6">
        <v>415</v>
      </c>
      <c r="C653" s="3"/>
      <c r="D653" s="4">
        <v>105.1</v>
      </c>
      <c r="E653" s="4">
        <v>3.8</v>
      </c>
      <c r="F653" s="6">
        <f>E653</f>
        <v>3.8</v>
      </c>
      <c r="G653" s="20"/>
      <c r="H653" s="8">
        <f t="shared" si="95"/>
        <v>210.2</v>
      </c>
      <c r="I653" s="8">
        <f t="shared" si="96"/>
        <v>7.6</v>
      </c>
      <c r="J653" s="9">
        <f t="shared" si="97"/>
        <v>7.6</v>
      </c>
    </row>
    <row r="654" spans="1:10" hidden="1" x14ac:dyDescent="0.2">
      <c r="A654" s="3" t="s">
        <v>6</v>
      </c>
      <c r="B654" s="6">
        <v>418</v>
      </c>
      <c r="C654" s="3"/>
      <c r="D654" s="4">
        <v>104.4</v>
      </c>
      <c r="E654" s="4">
        <v>5</v>
      </c>
      <c r="F654" s="6">
        <f>E654</f>
        <v>5</v>
      </c>
      <c r="G654" s="20"/>
      <c r="H654" s="8">
        <f t="shared" si="95"/>
        <v>208.8</v>
      </c>
      <c r="I654" s="8">
        <f t="shared" si="96"/>
        <v>10</v>
      </c>
      <c r="J654" s="9">
        <f t="shared" si="97"/>
        <v>10</v>
      </c>
    </row>
    <row r="655" spans="1:10" hidden="1" x14ac:dyDescent="0.2">
      <c r="A655" s="3" t="s">
        <v>6</v>
      </c>
      <c r="B655" s="4">
        <v>419</v>
      </c>
      <c r="C655" s="3"/>
      <c r="D655" s="4">
        <v>104.4</v>
      </c>
      <c r="E655" s="4">
        <v>4.2</v>
      </c>
      <c r="F655" s="4">
        <v>4.2</v>
      </c>
      <c r="G655" s="21"/>
      <c r="H655" s="8">
        <f t="shared" si="95"/>
        <v>208.8</v>
      </c>
      <c r="I655" s="8">
        <f t="shared" si="96"/>
        <v>8.4</v>
      </c>
      <c r="J655" s="9">
        <f t="shared" si="97"/>
        <v>8.4</v>
      </c>
    </row>
    <row r="656" spans="1:10" hidden="1" x14ac:dyDescent="0.2">
      <c r="A656" s="3" t="s">
        <v>6</v>
      </c>
      <c r="B656" s="6">
        <v>420</v>
      </c>
      <c r="C656" s="3"/>
      <c r="D656" s="4">
        <v>105.3</v>
      </c>
      <c r="E656" s="4">
        <v>2.1</v>
      </c>
      <c r="F656" s="6">
        <f>E656</f>
        <v>2.1</v>
      </c>
      <c r="G656" s="20"/>
      <c r="H656" s="8">
        <f t="shared" si="95"/>
        <v>210.6</v>
      </c>
      <c r="I656" s="8">
        <f t="shared" si="96"/>
        <v>4.2</v>
      </c>
      <c r="J656" s="9">
        <f t="shared" si="97"/>
        <v>4.2</v>
      </c>
    </row>
    <row r="657" spans="1:10" hidden="1" x14ac:dyDescent="0.2">
      <c r="A657" s="3" t="s">
        <v>6</v>
      </c>
      <c r="B657" s="6">
        <v>421</v>
      </c>
      <c r="C657" s="3"/>
      <c r="D657" s="4">
        <v>105.3</v>
      </c>
      <c r="E657" s="4">
        <v>3.7</v>
      </c>
      <c r="F657" s="6">
        <f>E657</f>
        <v>3.7</v>
      </c>
      <c r="G657" s="20"/>
      <c r="H657" s="8">
        <f t="shared" si="95"/>
        <v>210.6</v>
      </c>
      <c r="I657" s="8">
        <f t="shared" si="96"/>
        <v>7.4</v>
      </c>
      <c r="J657" s="9">
        <f t="shared" si="97"/>
        <v>7.4</v>
      </c>
    </row>
    <row r="658" spans="1:10" hidden="1" x14ac:dyDescent="0.2">
      <c r="A658" s="3" t="s">
        <v>6</v>
      </c>
      <c r="B658" s="6">
        <v>422</v>
      </c>
      <c r="C658" s="3"/>
      <c r="D658" s="4">
        <v>105.3</v>
      </c>
      <c r="E658" s="4">
        <v>3.3</v>
      </c>
      <c r="F658" s="6">
        <f>E658</f>
        <v>3.3</v>
      </c>
      <c r="G658" s="20"/>
      <c r="H658" s="8">
        <f t="shared" si="95"/>
        <v>210.6</v>
      </c>
      <c r="I658" s="8">
        <f t="shared" si="96"/>
        <v>6.6</v>
      </c>
      <c r="J658" s="9">
        <f t="shared" si="97"/>
        <v>6.6</v>
      </c>
    </row>
    <row r="659" spans="1:10" hidden="1" x14ac:dyDescent="0.2">
      <c r="A659" s="3" t="s">
        <v>6</v>
      </c>
      <c r="B659" s="4">
        <v>424</v>
      </c>
      <c r="C659" s="3"/>
      <c r="D659" s="4">
        <v>99.8</v>
      </c>
      <c r="E659" s="4">
        <v>9</v>
      </c>
      <c r="F659" s="4">
        <v>9</v>
      </c>
      <c r="G659" s="21"/>
      <c r="H659" s="8">
        <f t="shared" si="95"/>
        <v>199.6</v>
      </c>
      <c r="I659" s="8">
        <f t="shared" si="96"/>
        <v>18</v>
      </c>
      <c r="J659" s="9">
        <f t="shared" si="97"/>
        <v>18</v>
      </c>
    </row>
    <row r="660" spans="1:10" hidden="1" x14ac:dyDescent="0.2">
      <c r="A660" s="3" t="s">
        <v>6</v>
      </c>
      <c r="B660" s="4">
        <v>425</v>
      </c>
      <c r="C660" s="3"/>
      <c r="D660" s="4">
        <v>104.4</v>
      </c>
      <c r="E660" s="4">
        <v>3.3</v>
      </c>
      <c r="F660" s="4">
        <v>3.3</v>
      </c>
      <c r="G660" s="21"/>
      <c r="H660" s="8">
        <f t="shared" si="95"/>
        <v>208.8</v>
      </c>
      <c r="I660" s="8">
        <f t="shared" si="96"/>
        <v>6.6</v>
      </c>
      <c r="J660" s="9">
        <f t="shared" si="97"/>
        <v>6.6</v>
      </c>
    </row>
    <row r="661" spans="1:10" hidden="1" x14ac:dyDescent="0.2">
      <c r="A661" s="3" t="s">
        <v>6</v>
      </c>
      <c r="B661" s="4">
        <v>426</v>
      </c>
      <c r="C661" s="3"/>
      <c r="D661" s="4">
        <v>104.4</v>
      </c>
      <c r="E661" s="4">
        <v>2.7</v>
      </c>
      <c r="F661" s="4">
        <v>2.7</v>
      </c>
      <c r="G661" s="21"/>
      <c r="H661" s="8">
        <f t="shared" si="95"/>
        <v>208.8</v>
      </c>
      <c r="I661" s="8">
        <f t="shared" si="96"/>
        <v>5.4</v>
      </c>
      <c r="J661" s="9">
        <f t="shared" si="97"/>
        <v>5.4</v>
      </c>
    </row>
    <row r="662" spans="1:10" hidden="1" x14ac:dyDescent="0.2">
      <c r="A662" s="3" t="s">
        <v>6</v>
      </c>
      <c r="B662" s="6">
        <v>427</v>
      </c>
      <c r="C662" s="3"/>
      <c r="D662" s="4">
        <v>105.3</v>
      </c>
      <c r="E662" s="4">
        <v>1</v>
      </c>
      <c r="F662" s="6">
        <f t="shared" ref="F662:F667" si="99">E662</f>
        <v>1</v>
      </c>
      <c r="G662" s="20"/>
      <c r="H662" s="8">
        <f t="shared" si="95"/>
        <v>210.6</v>
      </c>
      <c r="I662" s="8">
        <f t="shared" si="96"/>
        <v>2</v>
      </c>
      <c r="J662" s="9">
        <f t="shared" si="97"/>
        <v>2</v>
      </c>
    </row>
    <row r="663" spans="1:10" hidden="1" x14ac:dyDescent="0.2">
      <c r="A663" s="3" t="s">
        <v>6</v>
      </c>
      <c r="B663" s="6">
        <v>429</v>
      </c>
      <c r="C663" s="3"/>
      <c r="D663" s="4">
        <v>99.8</v>
      </c>
      <c r="E663" s="4">
        <v>8.1</v>
      </c>
      <c r="F663" s="6">
        <f t="shared" si="99"/>
        <v>8.1</v>
      </c>
      <c r="G663" s="20"/>
      <c r="H663" s="8">
        <f t="shared" si="95"/>
        <v>199.6</v>
      </c>
      <c r="I663" s="8">
        <f t="shared" si="96"/>
        <v>16.2</v>
      </c>
      <c r="J663" s="9">
        <f t="shared" si="97"/>
        <v>16.2</v>
      </c>
    </row>
    <row r="664" spans="1:10" hidden="1" x14ac:dyDescent="0.2">
      <c r="A664" s="3" t="s">
        <v>6</v>
      </c>
      <c r="B664" s="6">
        <v>430</v>
      </c>
      <c r="C664" s="3"/>
      <c r="D664" s="4">
        <v>104.4</v>
      </c>
      <c r="E664" s="4">
        <v>1.7</v>
      </c>
      <c r="F664" s="6">
        <f t="shared" si="99"/>
        <v>1.7</v>
      </c>
      <c r="G664" s="20"/>
      <c r="H664" s="8">
        <f t="shared" si="95"/>
        <v>208.8</v>
      </c>
      <c r="I664" s="8">
        <f t="shared" si="96"/>
        <v>3.4</v>
      </c>
      <c r="J664" s="9">
        <f t="shared" si="97"/>
        <v>3.4</v>
      </c>
    </row>
    <row r="665" spans="1:10" hidden="1" x14ac:dyDescent="0.2">
      <c r="A665" s="3" t="s">
        <v>6</v>
      </c>
      <c r="B665" s="6">
        <v>431</v>
      </c>
      <c r="C665" s="3"/>
      <c r="D665" s="4">
        <v>104.4</v>
      </c>
      <c r="E665" s="4">
        <v>0.6</v>
      </c>
      <c r="F665" s="6">
        <f t="shared" si="99"/>
        <v>0.6</v>
      </c>
      <c r="G665" s="20"/>
      <c r="H665" s="8">
        <f t="shared" si="95"/>
        <v>208.8</v>
      </c>
      <c r="I665" s="8">
        <f t="shared" si="96"/>
        <v>1.2</v>
      </c>
      <c r="J665" s="9">
        <f t="shared" si="97"/>
        <v>1.2</v>
      </c>
    </row>
    <row r="666" spans="1:10" hidden="1" x14ac:dyDescent="0.2">
      <c r="A666" s="3" t="s">
        <v>6</v>
      </c>
      <c r="B666" s="6">
        <v>432</v>
      </c>
      <c r="C666" s="3"/>
      <c r="D666" s="4">
        <v>104.4</v>
      </c>
      <c r="E666" s="4">
        <v>2.2000000000000002</v>
      </c>
      <c r="F666" s="6">
        <f t="shared" si="99"/>
        <v>2.2000000000000002</v>
      </c>
      <c r="G666" s="20"/>
      <c r="H666" s="8">
        <f t="shared" si="95"/>
        <v>208.8</v>
      </c>
      <c r="I666" s="8">
        <f t="shared" si="96"/>
        <v>4.4000000000000004</v>
      </c>
      <c r="J666" s="9">
        <f t="shared" si="97"/>
        <v>4.4000000000000004</v>
      </c>
    </row>
    <row r="667" spans="1:10" hidden="1" x14ac:dyDescent="0.2">
      <c r="A667" s="3" t="s">
        <v>6</v>
      </c>
      <c r="B667" s="6">
        <v>433</v>
      </c>
      <c r="C667" s="3"/>
      <c r="D667" s="4">
        <v>100</v>
      </c>
      <c r="E667" s="4">
        <v>7.8</v>
      </c>
      <c r="F667" s="6">
        <f t="shared" si="99"/>
        <v>7.8</v>
      </c>
      <c r="G667" s="20"/>
      <c r="H667" s="8">
        <f t="shared" si="95"/>
        <v>200</v>
      </c>
      <c r="I667" s="8">
        <f t="shared" si="96"/>
        <v>15.6</v>
      </c>
      <c r="J667" s="9">
        <f t="shared" si="97"/>
        <v>15.6</v>
      </c>
    </row>
    <row r="668" spans="1:10" hidden="1" x14ac:dyDescent="0.2">
      <c r="A668" s="3" t="s">
        <v>6</v>
      </c>
      <c r="B668" s="6">
        <v>436</v>
      </c>
      <c r="C668" s="3"/>
      <c r="D668" s="4">
        <v>68.5</v>
      </c>
      <c r="E668" s="4">
        <v>15.9</v>
      </c>
      <c r="F668" s="6">
        <v>0</v>
      </c>
      <c r="G668" s="20"/>
      <c r="H668" s="8">
        <f t="shared" si="95"/>
        <v>137</v>
      </c>
      <c r="I668" s="8">
        <f t="shared" si="96"/>
        <v>31.8</v>
      </c>
      <c r="J668" s="9">
        <f t="shared" si="97"/>
        <v>0</v>
      </c>
    </row>
    <row r="669" spans="1:10" hidden="1" x14ac:dyDescent="0.2">
      <c r="A669" s="3" t="s">
        <v>6</v>
      </c>
      <c r="B669" s="6">
        <v>436</v>
      </c>
      <c r="C669" s="3" t="s">
        <v>2</v>
      </c>
      <c r="D669" s="4">
        <v>70.599999999999994</v>
      </c>
      <c r="E669" s="4">
        <v>17.899999999999999</v>
      </c>
      <c r="F669" s="6">
        <v>0</v>
      </c>
      <c r="G669" s="20"/>
      <c r="H669" s="8">
        <f t="shared" si="95"/>
        <v>141.19999999999999</v>
      </c>
      <c r="I669" s="8">
        <f t="shared" si="96"/>
        <v>35.799999999999997</v>
      </c>
      <c r="J669" s="9">
        <f t="shared" si="97"/>
        <v>0</v>
      </c>
    </row>
    <row r="670" spans="1:10" hidden="1" x14ac:dyDescent="0.2">
      <c r="A670" s="3" t="s">
        <v>6</v>
      </c>
      <c r="B670" s="6">
        <v>437</v>
      </c>
      <c r="C670" s="3"/>
      <c r="D670" s="4">
        <v>68.5</v>
      </c>
      <c r="E670" s="4">
        <v>13.8</v>
      </c>
      <c r="F670" s="6">
        <v>0</v>
      </c>
      <c r="G670" s="20"/>
      <c r="H670" s="8">
        <f t="shared" si="95"/>
        <v>137</v>
      </c>
      <c r="I670" s="8">
        <f t="shared" si="96"/>
        <v>27.6</v>
      </c>
      <c r="J670" s="9">
        <f t="shared" si="97"/>
        <v>0</v>
      </c>
    </row>
    <row r="671" spans="1:10" hidden="1" x14ac:dyDescent="0.2">
      <c r="A671" s="3" t="s">
        <v>6</v>
      </c>
      <c r="B671" s="6">
        <v>437</v>
      </c>
      <c r="C671" s="3" t="s">
        <v>2</v>
      </c>
      <c r="D671" s="4">
        <v>70.599999999999994</v>
      </c>
      <c r="E671" s="4">
        <v>17</v>
      </c>
      <c r="F671" s="6">
        <v>0</v>
      </c>
      <c r="G671" s="20"/>
      <c r="H671" s="8">
        <f t="shared" si="95"/>
        <v>141.19999999999999</v>
      </c>
      <c r="I671" s="8">
        <f t="shared" si="96"/>
        <v>34</v>
      </c>
      <c r="J671" s="9">
        <f t="shared" si="97"/>
        <v>0</v>
      </c>
    </row>
    <row r="672" spans="1:10" hidden="1" x14ac:dyDescent="0.2">
      <c r="A672" s="3" t="s">
        <v>6</v>
      </c>
      <c r="B672" s="6">
        <v>438</v>
      </c>
      <c r="C672" s="3"/>
      <c r="D672" s="4">
        <v>68.5</v>
      </c>
      <c r="E672" s="4">
        <v>12.9</v>
      </c>
      <c r="F672" s="6">
        <v>0</v>
      </c>
      <c r="G672" s="20"/>
      <c r="H672" s="8">
        <f t="shared" si="95"/>
        <v>137</v>
      </c>
      <c r="I672" s="8">
        <f t="shared" si="96"/>
        <v>25.8</v>
      </c>
      <c r="J672" s="9">
        <f t="shared" si="97"/>
        <v>0</v>
      </c>
    </row>
    <row r="673" spans="1:10" hidden="1" x14ac:dyDescent="0.2">
      <c r="A673" s="3" t="s">
        <v>6</v>
      </c>
      <c r="B673" s="4">
        <v>439</v>
      </c>
      <c r="C673" s="3"/>
      <c r="D673" s="4">
        <v>68.5</v>
      </c>
      <c r="E673" s="4">
        <v>11.2</v>
      </c>
      <c r="F673" s="4">
        <v>0</v>
      </c>
      <c r="G673" s="21"/>
      <c r="H673" s="8">
        <f t="shared" si="95"/>
        <v>137</v>
      </c>
      <c r="I673" s="8">
        <f t="shared" si="96"/>
        <v>22.4</v>
      </c>
      <c r="J673" s="9">
        <f t="shared" si="97"/>
        <v>0</v>
      </c>
    </row>
    <row r="674" spans="1:10" hidden="1" x14ac:dyDescent="0.2">
      <c r="A674" s="3" t="s">
        <v>6</v>
      </c>
      <c r="B674" s="4">
        <v>439</v>
      </c>
      <c r="C674" s="3" t="s">
        <v>2</v>
      </c>
      <c r="D674" s="4">
        <v>78.5</v>
      </c>
      <c r="E674" s="4">
        <v>9</v>
      </c>
      <c r="F674" s="4">
        <v>0.5</v>
      </c>
      <c r="G674" s="21"/>
      <c r="H674" s="8">
        <f t="shared" si="95"/>
        <v>157</v>
      </c>
      <c r="I674" s="8">
        <f t="shared" si="96"/>
        <v>18</v>
      </c>
      <c r="J674" s="9">
        <f t="shared" si="97"/>
        <v>1</v>
      </c>
    </row>
    <row r="675" spans="1:10" hidden="1" x14ac:dyDescent="0.2">
      <c r="A675" s="3" t="s">
        <v>6</v>
      </c>
      <c r="B675" s="4">
        <v>440</v>
      </c>
      <c r="C675" s="3"/>
      <c r="D675" s="4">
        <v>68.5</v>
      </c>
      <c r="E675" s="4">
        <v>9.1</v>
      </c>
      <c r="F675" s="4">
        <v>0</v>
      </c>
      <c r="G675" s="21"/>
      <c r="H675" s="8">
        <f t="shared" si="95"/>
        <v>137</v>
      </c>
      <c r="I675" s="8">
        <f t="shared" si="96"/>
        <v>18.2</v>
      </c>
      <c r="J675" s="9">
        <f t="shared" si="97"/>
        <v>0</v>
      </c>
    </row>
    <row r="676" spans="1:10" hidden="1" x14ac:dyDescent="0.2">
      <c r="A676" s="3" t="s">
        <v>6</v>
      </c>
      <c r="B676" s="4">
        <v>440</v>
      </c>
      <c r="C676" s="3" t="s">
        <v>2</v>
      </c>
      <c r="D676" s="4">
        <v>68.5</v>
      </c>
      <c r="E676" s="4">
        <v>11.7</v>
      </c>
      <c r="F676" s="6">
        <v>0</v>
      </c>
      <c r="G676" s="20"/>
      <c r="H676" s="8">
        <f t="shared" si="95"/>
        <v>137</v>
      </c>
      <c r="I676" s="8">
        <f t="shared" si="96"/>
        <v>23.4</v>
      </c>
      <c r="J676" s="9">
        <f t="shared" si="97"/>
        <v>0</v>
      </c>
    </row>
    <row r="677" spans="1:10" hidden="1" x14ac:dyDescent="0.2">
      <c r="A677" s="3" t="s">
        <v>6</v>
      </c>
      <c r="B677" s="6">
        <v>441</v>
      </c>
      <c r="C677" s="3"/>
      <c r="D677" s="4">
        <v>68.5</v>
      </c>
      <c r="E677" s="4">
        <v>9.1999999999999993</v>
      </c>
      <c r="F677" s="6">
        <v>0</v>
      </c>
      <c r="G677" s="20"/>
      <c r="H677" s="8">
        <f t="shared" si="95"/>
        <v>137</v>
      </c>
      <c r="I677" s="8">
        <f t="shared" si="96"/>
        <v>18.399999999999999</v>
      </c>
      <c r="J677" s="9">
        <f t="shared" si="97"/>
        <v>0</v>
      </c>
    </row>
    <row r="678" spans="1:10" hidden="1" x14ac:dyDescent="0.2">
      <c r="A678" s="3" t="s">
        <v>6</v>
      </c>
      <c r="B678" s="4">
        <v>442</v>
      </c>
      <c r="C678" s="3"/>
      <c r="D678" s="4">
        <v>68.5</v>
      </c>
      <c r="E678" s="4">
        <v>6.6</v>
      </c>
      <c r="F678" s="4">
        <v>0</v>
      </c>
      <c r="G678" s="21"/>
      <c r="H678" s="8">
        <f t="shared" si="95"/>
        <v>137</v>
      </c>
      <c r="I678" s="8">
        <f t="shared" si="96"/>
        <v>13.2</v>
      </c>
      <c r="J678" s="9">
        <f t="shared" si="97"/>
        <v>0</v>
      </c>
    </row>
    <row r="679" spans="1:10" hidden="1" x14ac:dyDescent="0.2">
      <c r="A679" s="3" t="s">
        <v>6</v>
      </c>
      <c r="B679" s="6">
        <v>443</v>
      </c>
      <c r="C679" s="3"/>
      <c r="D679" s="4">
        <v>68.5</v>
      </c>
      <c r="E679" s="4">
        <v>7.5</v>
      </c>
      <c r="F679" s="6">
        <v>0</v>
      </c>
      <c r="G679" s="20"/>
      <c r="H679" s="8">
        <f t="shared" si="95"/>
        <v>137</v>
      </c>
      <c r="I679" s="8">
        <f t="shared" si="96"/>
        <v>15</v>
      </c>
      <c r="J679" s="9">
        <f t="shared" si="97"/>
        <v>0</v>
      </c>
    </row>
    <row r="680" spans="1:10" hidden="1" x14ac:dyDescent="0.2">
      <c r="A680" s="3" t="s">
        <v>6</v>
      </c>
      <c r="B680" s="6">
        <v>444</v>
      </c>
      <c r="C680" s="3"/>
      <c r="D680" s="4">
        <v>68.5</v>
      </c>
      <c r="E680" s="4">
        <v>9.8000000000000007</v>
      </c>
      <c r="F680" s="6">
        <v>0</v>
      </c>
      <c r="G680" s="20"/>
      <c r="H680" s="8">
        <f t="shared" si="95"/>
        <v>137</v>
      </c>
      <c r="I680" s="8">
        <f t="shared" si="96"/>
        <v>19.600000000000001</v>
      </c>
      <c r="J680" s="9">
        <f t="shared" si="97"/>
        <v>0</v>
      </c>
    </row>
    <row r="681" spans="1:10" hidden="1" x14ac:dyDescent="0.2">
      <c r="A681" s="3" t="s">
        <v>6</v>
      </c>
      <c r="B681" s="6">
        <v>445</v>
      </c>
      <c r="C681" s="3"/>
      <c r="D681" s="4">
        <v>68.5</v>
      </c>
      <c r="E681" s="4">
        <v>5.2</v>
      </c>
      <c r="F681" s="6">
        <v>0</v>
      </c>
      <c r="G681" s="20"/>
      <c r="H681" s="8">
        <f t="shared" si="95"/>
        <v>137</v>
      </c>
      <c r="I681" s="8">
        <f t="shared" si="96"/>
        <v>10.4</v>
      </c>
      <c r="J681" s="9">
        <f t="shared" si="97"/>
        <v>0</v>
      </c>
    </row>
    <row r="682" spans="1:10" hidden="1" x14ac:dyDescent="0.2">
      <c r="A682" s="3" t="s">
        <v>6</v>
      </c>
      <c r="B682" s="6">
        <v>446</v>
      </c>
      <c r="C682" s="3"/>
      <c r="D682" s="4">
        <v>68.5</v>
      </c>
      <c r="E682" s="4">
        <v>5.9</v>
      </c>
      <c r="F682" s="6">
        <v>0</v>
      </c>
      <c r="G682" s="20"/>
      <c r="H682" s="8">
        <f t="shared" si="95"/>
        <v>137</v>
      </c>
      <c r="I682" s="8">
        <f t="shared" si="96"/>
        <v>11.8</v>
      </c>
      <c r="J682" s="9">
        <f t="shared" si="97"/>
        <v>0</v>
      </c>
    </row>
    <row r="683" spans="1:10" hidden="1" x14ac:dyDescent="0.2">
      <c r="A683" s="3" t="s">
        <v>6</v>
      </c>
      <c r="B683" s="4">
        <v>447</v>
      </c>
      <c r="C683" s="3"/>
      <c r="D683" s="4">
        <v>68.5</v>
      </c>
      <c r="E683" s="4">
        <v>2.7</v>
      </c>
      <c r="F683" s="4">
        <v>0</v>
      </c>
      <c r="G683" s="21"/>
      <c r="H683" s="8">
        <f t="shared" ref="H683:H750" si="100">D683*2</f>
        <v>137</v>
      </c>
      <c r="I683" s="8">
        <f t="shared" ref="I683:I750" si="101">E683*2</f>
        <v>5.4</v>
      </c>
      <c r="J683" s="9">
        <f t="shared" ref="J683:J750" si="102">F683*2</f>
        <v>0</v>
      </c>
    </row>
    <row r="684" spans="1:10" hidden="1" x14ac:dyDescent="0.2">
      <c r="A684" s="3" t="s">
        <v>6</v>
      </c>
      <c r="B684" s="4">
        <v>448</v>
      </c>
      <c r="C684" s="3"/>
      <c r="D684" s="4">
        <v>68.5</v>
      </c>
      <c r="E684" s="4">
        <v>1.2</v>
      </c>
      <c r="F684" s="4">
        <v>0</v>
      </c>
      <c r="G684" s="21"/>
      <c r="H684" s="8">
        <f t="shared" si="100"/>
        <v>137</v>
      </c>
      <c r="I684" s="8">
        <f t="shared" si="101"/>
        <v>2.4</v>
      </c>
      <c r="J684" s="9">
        <f t="shared" si="102"/>
        <v>0</v>
      </c>
    </row>
    <row r="685" spans="1:10" hidden="1" x14ac:dyDescent="0.2">
      <c r="A685" s="3" t="s">
        <v>6</v>
      </c>
      <c r="B685" s="6">
        <v>452</v>
      </c>
      <c r="C685" s="3"/>
      <c r="D685" s="4">
        <v>68.3</v>
      </c>
      <c r="E685" s="4">
        <v>4.4000000000000004</v>
      </c>
      <c r="F685" s="6">
        <v>0</v>
      </c>
      <c r="G685" s="20"/>
      <c r="H685" s="8">
        <f t="shared" si="100"/>
        <v>136.6</v>
      </c>
      <c r="I685" s="8">
        <f t="shared" si="101"/>
        <v>8.8000000000000007</v>
      </c>
      <c r="J685" s="9">
        <f t="shared" si="102"/>
        <v>0</v>
      </c>
    </row>
    <row r="686" spans="1:10" hidden="1" x14ac:dyDescent="0.2">
      <c r="A686" s="3" t="s">
        <v>6</v>
      </c>
      <c r="B686" s="6">
        <v>453</v>
      </c>
      <c r="C686" s="3"/>
      <c r="D686" s="4">
        <v>68.3</v>
      </c>
      <c r="E686" s="4">
        <v>4</v>
      </c>
      <c r="F686" s="4">
        <v>0</v>
      </c>
      <c r="G686" s="21"/>
      <c r="H686" s="8">
        <f t="shared" si="100"/>
        <v>136.6</v>
      </c>
      <c r="I686" s="8">
        <f t="shared" si="101"/>
        <v>8</v>
      </c>
      <c r="J686" s="9">
        <f t="shared" si="102"/>
        <v>0</v>
      </c>
    </row>
    <row r="687" spans="1:10" hidden="1" x14ac:dyDescent="0.2">
      <c r="A687" s="3" t="s">
        <v>6</v>
      </c>
      <c r="B687" s="6">
        <v>455</v>
      </c>
      <c r="C687" s="3"/>
      <c r="D687" s="4">
        <v>68.5</v>
      </c>
      <c r="E687" s="4">
        <v>9</v>
      </c>
      <c r="F687" s="4">
        <v>0</v>
      </c>
      <c r="G687" s="21"/>
      <c r="H687" s="8">
        <f t="shared" si="100"/>
        <v>137</v>
      </c>
      <c r="I687" s="8">
        <f t="shared" si="101"/>
        <v>18</v>
      </c>
      <c r="J687" s="9">
        <f t="shared" si="102"/>
        <v>0</v>
      </c>
    </row>
    <row r="688" spans="1:10" hidden="1" x14ac:dyDescent="0.2">
      <c r="A688" s="3" t="s">
        <v>6</v>
      </c>
      <c r="B688" s="6">
        <v>457</v>
      </c>
      <c r="C688" s="3"/>
      <c r="D688" s="4">
        <v>78.5</v>
      </c>
      <c r="E688" s="4">
        <v>12.6</v>
      </c>
      <c r="F688" s="4">
        <v>0.3</v>
      </c>
      <c r="G688" s="21"/>
      <c r="H688" s="8">
        <f t="shared" si="100"/>
        <v>157</v>
      </c>
      <c r="I688" s="8">
        <f t="shared" si="101"/>
        <v>25.2</v>
      </c>
      <c r="J688" s="9">
        <f t="shared" si="102"/>
        <v>0.6</v>
      </c>
    </row>
    <row r="689" spans="1:10" hidden="1" x14ac:dyDescent="0.2">
      <c r="A689" s="3" t="s">
        <v>6</v>
      </c>
      <c r="B689" s="6">
        <v>501</v>
      </c>
      <c r="C689" s="3"/>
      <c r="D689" s="4">
        <v>105.5</v>
      </c>
      <c r="E689" s="4">
        <v>15.9</v>
      </c>
      <c r="F689" s="4">
        <v>0.9</v>
      </c>
      <c r="G689" s="21"/>
      <c r="H689" s="8">
        <f t="shared" si="100"/>
        <v>211</v>
      </c>
      <c r="I689" s="8">
        <f t="shared" si="101"/>
        <v>31.8</v>
      </c>
      <c r="J689" s="9">
        <f t="shared" si="102"/>
        <v>1.8</v>
      </c>
    </row>
    <row r="690" spans="1:10" hidden="1" x14ac:dyDescent="0.2">
      <c r="A690" s="24" t="s">
        <v>6</v>
      </c>
      <c r="B690" s="16">
        <v>502</v>
      </c>
      <c r="C690" s="24"/>
      <c r="D690" s="5">
        <v>97.5</v>
      </c>
      <c r="E690" s="5">
        <v>15.6</v>
      </c>
      <c r="F690" s="5">
        <v>1.4</v>
      </c>
      <c r="G690" s="25"/>
      <c r="H690" s="8">
        <f t="shared" ref="H690" si="103">D690*2</f>
        <v>195</v>
      </c>
      <c r="I690" s="8">
        <f t="shared" ref="I690" si="104">E690*2</f>
        <v>31.2</v>
      </c>
      <c r="J690" s="9">
        <f t="shared" ref="J690" si="105">F690*2</f>
        <v>2.8</v>
      </c>
    </row>
    <row r="691" spans="1:10" hidden="1" x14ac:dyDescent="0.2">
      <c r="A691" s="3" t="s">
        <v>8</v>
      </c>
      <c r="B691" s="4">
        <v>1</v>
      </c>
      <c r="C691" s="3"/>
      <c r="D691" s="4">
        <v>61.4</v>
      </c>
      <c r="E691" s="4">
        <v>12.9</v>
      </c>
      <c r="F691" s="4">
        <v>12.9</v>
      </c>
      <c r="G691" s="21"/>
      <c r="H691" s="8">
        <f t="shared" si="100"/>
        <v>122.8</v>
      </c>
      <c r="I691" s="8">
        <f t="shared" si="101"/>
        <v>25.8</v>
      </c>
      <c r="J691" s="9">
        <f t="shared" si="102"/>
        <v>25.8</v>
      </c>
    </row>
    <row r="692" spans="1:10" hidden="1" x14ac:dyDescent="0.2">
      <c r="A692" s="3" t="s">
        <v>8</v>
      </c>
      <c r="B692" s="4">
        <v>101</v>
      </c>
      <c r="C692" s="3" t="s">
        <v>5</v>
      </c>
      <c r="D692" s="4">
        <v>61.4</v>
      </c>
      <c r="E692" s="4">
        <v>26</v>
      </c>
      <c r="F692" s="4">
        <v>26</v>
      </c>
      <c r="G692" s="21"/>
      <c r="H692" s="8">
        <f t="shared" si="100"/>
        <v>122.8</v>
      </c>
      <c r="I692" s="8">
        <f t="shared" si="101"/>
        <v>52</v>
      </c>
      <c r="J692" s="9">
        <f t="shared" si="102"/>
        <v>52</v>
      </c>
    </row>
    <row r="693" spans="1:10" hidden="1" x14ac:dyDescent="0.2">
      <c r="A693" s="3" t="s">
        <v>8</v>
      </c>
      <c r="B693" s="4">
        <v>104</v>
      </c>
      <c r="C693" s="3" t="s">
        <v>5</v>
      </c>
      <c r="D693" s="4">
        <v>61.4</v>
      </c>
      <c r="E693" s="4">
        <v>12.8</v>
      </c>
      <c r="F693" s="4">
        <v>12.8</v>
      </c>
      <c r="G693" s="21"/>
      <c r="H693" s="8">
        <f t="shared" si="100"/>
        <v>122.8</v>
      </c>
      <c r="I693" s="8">
        <f t="shared" si="101"/>
        <v>25.6</v>
      </c>
      <c r="J693" s="9">
        <f t="shared" si="102"/>
        <v>25.6</v>
      </c>
    </row>
    <row r="694" spans="1:10" hidden="1" x14ac:dyDescent="0.2">
      <c r="A694" s="3" t="s">
        <v>8</v>
      </c>
      <c r="B694" s="4">
        <v>105</v>
      </c>
      <c r="C694" s="3" t="s">
        <v>3</v>
      </c>
      <c r="D694" s="4">
        <v>61.4</v>
      </c>
      <c r="E694" s="4">
        <v>14.4</v>
      </c>
      <c r="F694" s="6">
        <f>E694</f>
        <v>14.4</v>
      </c>
      <c r="G694" s="20"/>
      <c r="H694" s="8">
        <f t="shared" si="100"/>
        <v>122.8</v>
      </c>
      <c r="I694" s="8">
        <f t="shared" si="101"/>
        <v>28.8</v>
      </c>
      <c r="J694" s="9">
        <f t="shared" si="102"/>
        <v>28.8</v>
      </c>
    </row>
    <row r="695" spans="1:10" hidden="1" x14ac:dyDescent="0.2">
      <c r="A695" s="3" t="s">
        <v>25</v>
      </c>
      <c r="B695" s="4">
        <v>1</v>
      </c>
      <c r="C695" s="3" t="s">
        <v>5</v>
      </c>
      <c r="D695" s="4">
        <v>98.5</v>
      </c>
      <c r="E695" s="4">
        <v>26</v>
      </c>
      <c r="F695" s="4">
        <v>26</v>
      </c>
      <c r="G695" s="21"/>
      <c r="H695" s="8">
        <f t="shared" si="100"/>
        <v>197</v>
      </c>
      <c r="I695" s="8">
        <f t="shared" si="101"/>
        <v>52</v>
      </c>
      <c r="J695" s="9">
        <f t="shared" si="102"/>
        <v>52</v>
      </c>
    </row>
    <row r="696" spans="1:10" hidden="1" x14ac:dyDescent="0.2">
      <c r="A696" s="3" t="s">
        <v>25</v>
      </c>
      <c r="B696" s="4">
        <v>1</v>
      </c>
      <c r="C696" s="3"/>
      <c r="D696" s="4">
        <v>98.5</v>
      </c>
      <c r="E696" s="4">
        <v>27.6</v>
      </c>
      <c r="F696" s="4">
        <v>27.6</v>
      </c>
      <c r="G696" s="21"/>
      <c r="H696" s="8">
        <f t="shared" si="100"/>
        <v>197</v>
      </c>
      <c r="I696" s="8">
        <f t="shared" si="101"/>
        <v>55.2</v>
      </c>
      <c r="J696" s="9">
        <f t="shared" si="102"/>
        <v>55.2</v>
      </c>
    </row>
    <row r="697" spans="1:10" hidden="1" x14ac:dyDescent="0.2">
      <c r="A697" s="3" t="s">
        <v>25</v>
      </c>
      <c r="B697" s="4">
        <v>1</v>
      </c>
      <c r="C697" s="3" t="s">
        <v>2</v>
      </c>
      <c r="D697" s="4">
        <v>98.5</v>
      </c>
      <c r="E697" s="4">
        <v>25.9</v>
      </c>
      <c r="F697" s="4"/>
      <c r="G697" s="21"/>
      <c r="H697" s="8">
        <f t="shared" si="100"/>
        <v>197</v>
      </c>
      <c r="I697" s="8">
        <f t="shared" si="101"/>
        <v>51.8</v>
      </c>
      <c r="J697" s="9"/>
    </row>
    <row r="698" spans="1:10" hidden="1" x14ac:dyDescent="0.2">
      <c r="A698" s="3" t="s">
        <v>25</v>
      </c>
      <c r="B698" s="4">
        <v>2</v>
      </c>
      <c r="C698" s="3"/>
      <c r="D698" s="4">
        <v>98.5</v>
      </c>
      <c r="E698" s="4">
        <v>23.8</v>
      </c>
      <c r="F698" s="4">
        <v>23.8</v>
      </c>
      <c r="G698" s="21"/>
      <c r="H698" s="8">
        <f t="shared" si="100"/>
        <v>197</v>
      </c>
      <c r="I698" s="8">
        <f t="shared" si="101"/>
        <v>47.6</v>
      </c>
      <c r="J698" s="9">
        <f t="shared" si="102"/>
        <v>47.6</v>
      </c>
    </row>
    <row r="699" spans="1:10" hidden="1" x14ac:dyDescent="0.2">
      <c r="A699" s="3" t="s">
        <v>25</v>
      </c>
      <c r="B699" s="4">
        <v>2</v>
      </c>
      <c r="C699" s="3" t="s">
        <v>5</v>
      </c>
      <c r="D699" s="4">
        <v>98.5</v>
      </c>
      <c r="E699" s="4">
        <v>23.1</v>
      </c>
      <c r="F699" s="4">
        <v>23.1</v>
      </c>
      <c r="G699" s="21"/>
      <c r="H699" s="8">
        <f t="shared" si="100"/>
        <v>197</v>
      </c>
      <c r="I699" s="8">
        <f t="shared" si="101"/>
        <v>46.2</v>
      </c>
      <c r="J699" s="9">
        <f t="shared" si="102"/>
        <v>46.2</v>
      </c>
    </row>
    <row r="700" spans="1:10" hidden="1" x14ac:dyDescent="0.2">
      <c r="A700" s="3" t="s">
        <v>25</v>
      </c>
      <c r="B700" s="4">
        <v>3</v>
      </c>
      <c r="C700" s="3" t="s">
        <v>5</v>
      </c>
      <c r="D700" s="4">
        <v>98.5</v>
      </c>
      <c r="E700" s="4">
        <v>18.2</v>
      </c>
      <c r="F700" s="6">
        <f>E700</f>
        <v>18.2</v>
      </c>
      <c r="G700" s="20"/>
      <c r="H700" s="8">
        <f t="shared" si="100"/>
        <v>197</v>
      </c>
      <c r="I700" s="8">
        <f t="shared" si="101"/>
        <v>36.4</v>
      </c>
      <c r="J700" s="9">
        <f t="shared" si="102"/>
        <v>36.4</v>
      </c>
    </row>
    <row r="701" spans="1:10" hidden="1" x14ac:dyDescent="0.2">
      <c r="A701" s="3" t="s">
        <v>25</v>
      </c>
      <c r="B701" s="4">
        <v>4</v>
      </c>
      <c r="C701" s="3"/>
      <c r="D701" s="4">
        <v>98.5</v>
      </c>
      <c r="E701" s="4">
        <v>21.7</v>
      </c>
      <c r="F701" s="4">
        <v>21.7</v>
      </c>
      <c r="G701" s="21"/>
      <c r="H701" s="8">
        <f t="shared" si="100"/>
        <v>197</v>
      </c>
      <c r="I701" s="8">
        <f t="shared" si="101"/>
        <v>43.4</v>
      </c>
      <c r="J701" s="9">
        <f t="shared" si="102"/>
        <v>43.4</v>
      </c>
    </row>
    <row r="702" spans="1:10" hidden="1" x14ac:dyDescent="0.2">
      <c r="A702" s="3" t="s">
        <v>25</v>
      </c>
      <c r="B702" s="4">
        <v>5</v>
      </c>
      <c r="C702" s="3"/>
      <c r="D702" s="4">
        <v>98.5</v>
      </c>
      <c r="E702" s="4">
        <v>24.2</v>
      </c>
      <c r="F702" s="4">
        <v>24.2</v>
      </c>
      <c r="G702" s="21"/>
      <c r="H702" s="8">
        <f t="shared" si="100"/>
        <v>197</v>
      </c>
      <c r="I702" s="8">
        <f t="shared" si="101"/>
        <v>48.4</v>
      </c>
      <c r="J702" s="9">
        <f t="shared" si="102"/>
        <v>48.4</v>
      </c>
    </row>
    <row r="703" spans="1:10" hidden="1" x14ac:dyDescent="0.2">
      <c r="A703" s="3" t="s">
        <v>25</v>
      </c>
      <c r="B703" s="4">
        <v>5</v>
      </c>
      <c r="C703" s="3" t="s">
        <v>5</v>
      </c>
      <c r="D703" s="4">
        <v>98.5</v>
      </c>
      <c r="E703" s="4">
        <v>19.100000000000001</v>
      </c>
      <c r="F703" s="6">
        <f>E703</f>
        <v>19.100000000000001</v>
      </c>
      <c r="G703" s="20"/>
      <c r="H703" s="8">
        <f t="shared" si="100"/>
        <v>197</v>
      </c>
      <c r="I703" s="8">
        <f t="shared" si="101"/>
        <v>38.200000000000003</v>
      </c>
      <c r="J703" s="9">
        <f t="shared" si="102"/>
        <v>38.200000000000003</v>
      </c>
    </row>
    <row r="704" spans="1:10" hidden="1" x14ac:dyDescent="0.2">
      <c r="A704" s="3" t="s">
        <v>25</v>
      </c>
      <c r="B704" s="4">
        <v>6</v>
      </c>
      <c r="C704" s="3"/>
      <c r="D704" s="4">
        <v>98.5</v>
      </c>
      <c r="E704" s="4">
        <v>19.3</v>
      </c>
      <c r="F704" s="4">
        <v>19.3</v>
      </c>
      <c r="G704" s="21"/>
      <c r="H704" s="8">
        <f t="shared" si="100"/>
        <v>197</v>
      </c>
      <c r="I704" s="8">
        <f t="shared" si="101"/>
        <v>38.6</v>
      </c>
      <c r="J704" s="9">
        <f t="shared" si="102"/>
        <v>38.6</v>
      </c>
    </row>
    <row r="705" spans="1:10" hidden="1" x14ac:dyDescent="0.2">
      <c r="A705" s="3" t="s">
        <v>25</v>
      </c>
      <c r="B705" s="4">
        <v>7</v>
      </c>
      <c r="C705" s="3"/>
      <c r="D705" s="4">
        <v>98.5</v>
      </c>
      <c r="E705" s="4">
        <v>21.9</v>
      </c>
      <c r="F705" s="4">
        <v>21.9</v>
      </c>
      <c r="G705" s="21"/>
      <c r="H705" s="8">
        <f t="shared" si="100"/>
        <v>197</v>
      </c>
      <c r="I705" s="8">
        <f t="shared" si="101"/>
        <v>43.8</v>
      </c>
      <c r="J705" s="9">
        <f t="shared" si="102"/>
        <v>43.8</v>
      </c>
    </row>
    <row r="706" spans="1:10" hidden="1" x14ac:dyDescent="0.2">
      <c r="A706" s="3" t="s">
        <v>25</v>
      </c>
      <c r="B706" s="4">
        <v>8</v>
      </c>
      <c r="C706" s="3"/>
      <c r="D706" s="4">
        <v>98.5</v>
      </c>
      <c r="E706" s="4">
        <v>23.2</v>
      </c>
      <c r="F706" s="4">
        <v>23.2</v>
      </c>
      <c r="G706" s="21"/>
      <c r="H706" s="8">
        <f t="shared" si="100"/>
        <v>197</v>
      </c>
      <c r="I706" s="8">
        <f t="shared" si="101"/>
        <v>46.4</v>
      </c>
      <c r="J706" s="9">
        <f t="shared" si="102"/>
        <v>46.4</v>
      </c>
    </row>
    <row r="707" spans="1:10" hidden="1" x14ac:dyDescent="0.2">
      <c r="A707" s="3" t="s">
        <v>25</v>
      </c>
      <c r="B707" s="4">
        <v>9</v>
      </c>
      <c r="C707" s="3"/>
      <c r="D707" s="4">
        <v>98.5</v>
      </c>
      <c r="E707" s="4">
        <v>29.4</v>
      </c>
      <c r="F707" s="4">
        <v>29.4</v>
      </c>
      <c r="G707" s="21"/>
      <c r="H707" s="8">
        <f t="shared" si="100"/>
        <v>197</v>
      </c>
      <c r="I707" s="8">
        <f t="shared" si="101"/>
        <v>58.8</v>
      </c>
      <c r="J707" s="9">
        <f t="shared" si="102"/>
        <v>58.8</v>
      </c>
    </row>
    <row r="708" spans="1:10" hidden="1" x14ac:dyDescent="0.2">
      <c r="A708" s="3" t="s">
        <v>25</v>
      </c>
      <c r="B708" s="4">
        <v>10</v>
      </c>
      <c r="C708" s="3"/>
      <c r="D708" s="4">
        <v>98.5</v>
      </c>
      <c r="E708" s="4">
        <v>21.3</v>
      </c>
      <c r="F708" s="4">
        <v>21.3</v>
      </c>
      <c r="G708" s="21"/>
      <c r="H708" s="8">
        <f t="shared" si="100"/>
        <v>197</v>
      </c>
      <c r="I708" s="8">
        <f t="shared" si="101"/>
        <v>42.6</v>
      </c>
      <c r="J708" s="9">
        <f t="shared" si="102"/>
        <v>42.6</v>
      </c>
    </row>
    <row r="709" spans="1:10" hidden="1" x14ac:dyDescent="0.2">
      <c r="A709" s="3" t="s">
        <v>25</v>
      </c>
      <c r="B709" s="4">
        <v>11</v>
      </c>
      <c r="C709" s="3"/>
      <c r="D709" s="4">
        <v>98.5</v>
      </c>
      <c r="E709" s="4">
        <v>29.6</v>
      </c>
      <c r="F709" s="4">
        <v>29.6</v>
      </c>
      <c r="G709" s="21"/>
      <c r="H709" s="8">
        <f t="shared" si="100"/>
        <v>197</v>
      </c>
      <c r="I709" s="8">
        <f t="shared" si="101"/>
        <v>59.2</v>
      </c>
      <c r="J709" s="9">
        <f t="shared" si="102"/>
        <v>59.2</v>
      </c>
    </row>
    <row r="710" spans="1:10" hidden="1" x14ac:dyDescent="0.2">
      <c r="A710" s="3" t="s">
        <v>25</v>
      </c>
      <c r="B710" s="6">
        <v>12</v>
      </c>
      <c r="C710" s="3"/>
      <c r="D710" s="4">
        <v>98.5</v>
      </c>
      <c r="E710" s="4">
        <v>27</v>
      </c>
      <c r="F710" s="6">
        <f>E710</f>
        <v>27</v>
      </c>
      <c r="G710" s="20"/>
      <c r="H710" s="8">
        <f t="shared" si="100"/>
        <v>197</v>
      </c>
      <c r="I710" s="8">
        <f t="shared" si="101"/>
        <v>54</v>
      </c>
      <c r="J710" s="9">
        <f t="shared" si="102"/>
        <v>54</v>
      </c>
    </row>
    <row r="711" spans="1:10" hidden="1" x14ac:dyDescent="0.2">
      <c r="A711" s="3" t="s">
        <v>25</v>
      </c>
      <c r="B711" s="4">
        <v>12</v>
      </c>
      <c r="C711" s="3" t="s">
        <v>2</v>
      </c>
      <c r="D711" s="4">
        <v>101.6</v>
      </c>
      <c r="E711" s="4">
        <v>27.3</v>
      </c>
      <c r="F711" s="4">
        <v>0</v>
      </c>
      <c r="G711" s="21"/>
      <c r="H711" s="8">
        <f t="shared" si="100"/>
        <v>203.2</v>
      </c>
      <c r="I711" s="8">
        <f t="shared" si="101"/>
        <v>54.6</v>
      </c>
      <c r="J711" s="9">
        <f t="shared" si="102"/>
        <v>0</v>
      </c>
    </row>
    <row r="712" spans="1:10" hidden="1" x14ac:dyDescent="0.2">
      <c r="A712" s="3" t="s">
        <v>25</v>
      </c>
      <c r="B712" s="4">
        <v>13</v>
      </c>
      <c r="C712" s="3"/>
      <c r="D712" s="4">
        <v>98.5</v>
      </c>
      <c r="E712" s="4">
        <v>24.2</v>
      </c>
      <c r="F712" s="4">
        <v>24.2</v>
      </c>
      <c r="G712" s="21"/>
      <c r="H712" s="8">
        <f t="shared" si="100"/>
        <v>197</v>
      </c>
      <c r="I712" s="8">
        <f t="shared" si="101"/>
        <v>48.4</v>
      </c>
      <c r="J712" s="9">
        <f t="shared" si="102"/>
        <v>48.4</v>
      </c>
    </row>
    <row r="713" spans="1:10" hidden="1" x14ac:dyDescent="0.2">
      <c r="A713" s="3" t="s">
        <v>25</v>
      </c>
      <c r="B713" s="4">
        <v>14</v>
      </c>
      <c r="C713" s="3"/>
      <c r="D713" s="4">
        <v>98.5</v>
      </c>
      <c r="E713" s="4">
        <v>22.1</v>
      </c>
      <c r="F713" s="4">
        <f>E713</f>
        <v>22.1</v>
      </c>
      <c r="G713" s="21"/>
      <c r="H713" s="8">
        <f t="shared" si="100"/>
        <v>197</v>
      </c>
      <c r="I713" s="8">
        <f t="shared" si="101"/>
        <v>44.2</v>
      </c>
      <c r="J713" s="9">
        <f t="shared" si="102"/>
        <v>44.2</v>
      </c>
    </row>
    <row r="714" spans="1:10" hidden="1" x14ac:dyDescent="0.2">
      <c r="A714" s="3" t="s">
        <v>25</v>
      </c>
      <c r="B714" s="4">
        <v>17</v>
      </c>
      <c r="C714" s="3"/>
      <c r="D714" s="4">
        <v>98.5</v>
      </c>
      <c r="E714" s="4">
        <v>29.4</v>
      </c>
      <c r="F714" s="4">
        <f>E714</f>
        <v>29.4</v>
      </c>
      <c r="G714" s="21"/>
      <c r="H714" s="8">
        <f t="shared" si="100"/>
        <v>197</v>
      </c>
      <c r="I714" s="8">
        <f t="shared" si="101"/>
        <v>58.8</v>
      </c>
      <c r="J714" s="9">
        <f t="shared" si="102"/>
        <v>58.8</v>
      </c>
    </row>
    <row r="715" spans="1:10" hidden="1" x14ac:dyDescent="0.2">
      <c r="A715" s="3" t="s">
        <v>25</v>
      </c>
      <c r="B715" s="4">
        <v>18</v>
      </c>
      <c r="C715" s="3"/>
      <c r="D715" s="4">
        <v>102</v>
      </c>
      <c r="E715" s="4">
        <v>29.2</v>
      </c>
      <c r="F715" s="4">
        <v>0</v>
      </c>
      <c r="G715" s="21"/>
      <c r="H715" s="8">
        <f t="shared" si="100"/>
        <v>204</v>
      </c>
      <c r="I715" s="8">
        <f t="shared" si="101"/>
        <v>58.4</v>
      </c>
      <c r="J715" s="9">
        <f t="shared" si="102"/>
        <v>0</v>
      </c>
    </row>
    <row r="716" spans="1:10" hidden="1" x14ac:dyDescent="0.2">
      <c r="A716" s="3" t="s">
        <v>25</v>
      </c>
      <c r="B716" s="4">
        <v>20</v>
      </c>
      <c r="C716" s="3"/>
      <c r="D716" s="4">
        <v>101.6</v>
      </c>
      <c r="E716" s="4">
        <v>32.9</v>
      </c>
      <c r="F716" s="4">
        <v>0</v>
      </c>
      <c r="G716" s="21"/>
      <c r="H716" s="8">
        <f t="shared" si="100"/>
        <v>203.2</v>
      </c>
      <c r="I716" s="8">
        <f t="shared" si="101"/>
        <v>65.8</v>
      </c>
      <c r="J716" s="9">
        <f t="shared" si="102"/>
        <v>0</v>
      </c>
    </row>
    <row r="717" spans="1:10" hidden="1" x14ac:dyDescent="0.2">
      <c r="A717" s="3" t="s">
        <v>25</v>
      </c>
      <c r="B717" s="4">
        <v>21</v>
      </c>
      <c r="C717" s="3"/>
      <c r="D717" s="4">
        <v>98.5</v>
      </c>
      <c r="E717" s="4">
        <v>30</v>
      </c>
      <c r="F717" s="4">
        <v>30</v>
      </c>
      <c r="G717" s="21"/>
      <c r="H717" s="8">
        <f t="shared" si="100"/>
        <v>197</v>
      </c>
      <c r="I717" s="8">
        <f t="shared" si="101"/>
        <v>60</v>
      </c>
      <c r="J717" s="9">
        <f t="shared" si="102"/>
        <v>60</v>
      </c>
    </row>
    <row r="718" spans="1:10" hidden="1" x14ac:dyDescent="0.2">
      <c r="A718" s="3" t="s">
        <v>25</v>
      </c>
      <c r="B718" s="4">
        <v>22</v>
      </c>
      <c r="C718" s="3"/>
      <c r="D718" s="4">
        <v>98.5</v>
      </c>
      <c r="E718" s="4">
        <v>32.799999999999997</v>
      </c>
      <c r="F718" s="4">
        <f>E718</f>
        <v>32.799999999999997</v>
      </c>
      <c r="G718" s="21"/>
      <c r="H718" s="8">
        <f t="shared" si="100"/>
        <v>197</v>
      </c>
      <c r="I718" s="8">
        <f t="shared" si="101"/>
        <v>65.599999999999994</v>
      </c>
      <c r="J718" s="9">
        <f t="shared" si="102"/>
        <v>65.599999999999994</v>
      </c>
    </row>
    <row r="719" spans="1:10" hidden="1" x14ac:dyDescent="0.2">
      <c r="A719" s="3" t="s">
        <v>25</v>
      </c>
      <c r="B719" s="4">
        <v>23</v>
      </c>
      <c r="C719" s="3"/>
      <c r="D719" s="4">
        <v>98.5</v>
      </c>
      <c r="E719" s="4">
        <v>31.9</v>
      </c>
      <c r="F719" s="4">
        <f>E719</f>
        <v>31.9</v>
      </c>
      <c r="G719" s="21"/>
      <c r="H719" s="8">
        <f t="shared" si="100"/>
        <v>197</v>
      </c>
      <c r="I719" s="8">
        <f t="shared" si="101"/>
        <v>63.8</v>
      </c>
      <c r="J719" s="9">
        <f t="shared" si="102"/>
        <v>63.8</v>
      </c>
    </row>
    <row r="720" spans="1:10" hidden="1" x14ac:dyDescent="0.2">
      <c r="A720" s="3" t="s">
        <v>25</v>
      </c>
      <c r="B720" s="4">
        <v>24</v>
      </c>
      <c r="C720" s="3"/>
      <c r="D720" s="4">
        <v>98.5</v>
      </c>
      <c r="E720" s="4">
        <v>37.200000000000003</v>
      </c>
      <c r="F720" s="4">
        <v>37.200000000000003</v>
      </c>
      <c r="G720" s="21"/>
      <c r="H720" s="8">
        <f t="shared" si="100"/>
        <v>197</v>
      </c>
      <c r="I720" s="8">
        <f t="shared" si="101"/>
        <v>74.400000000000006</v>
      </c>
      <c r="J720" s="9">
        <f t="shared" si="102"/>
        <v>74.400000000000006</v>
      </c>
    </row>
    <row r="721" spans="1:10" hidden="1" x14ac:dyDescent="0.2">
      <c r="A721" s="3" t="s">
        <v>25</v>
      </c>
      <c r="B721" s="4">
        <v>25</v>
      </c>
      <c r="C721" s="3"/>
      <c r="D721" s="4">
        <v>98.5</v>
      </c>
      <c r="E721" s="4">
        <v>35.4</v>
      </c>
      <c r="F721" s="4">
        <v>35.4</v>
      </c>
      <c r="G721" s="21"/>
      <c r="H721" s="8">
        <f t="shared" si="100"/>
        <v>197</v>
      </c>
      <c r="I721" s="8">
        <f t="shared" si="101"/>
        <v>70.8</v>
      </c>
      <c r="J721" s="9">
        <f t="shared" si="102"/>
        <v>70.8</v>
      </c>
    </row>
    <row r="722" spans="1:10" hidden="1" x14ac:dyDescent="0.2">
      <c r="A722" s="3" t="s">
        <v>25</v>
      </c>
      <c r="B722" s="6">
        <v>27</v>
      </c>
      <c r="C722" s="3"/>
      <c r="D722" s="4">
        <v>98.5</v>
      </c>
      <c r="E722" s="4">
        <v>23.1</v>
      </c>
      <c r="F722" s="6">
        <f>E722</f>
        <v>23.1</v>
      </c>
      <c r="G722" s="20"/>
      <c r="H722" s="8">
        <f t="shared" si="100"/>
        <v>197</v>
      </c>
      <c r="I722" s="8">
        <f t="shared" si="101"/>
        <v>46.2</v>
      </c>
      <c r="J722" s="9">
        <f t="shared" si="102"/>
        <v>46.2</v>
      </c>
    </row>
    <row r="723" spans="1:10" hidden="1" x14ac:dyDescent="0.2">
      <c r="A723" s="3" t="s">
        <v>25</v>
      </c>
      <c r="B723" s="6">
        <v>28</v>
      </c>
      <c r="C723" s="3"/>
      <c r="D723" s="4">
        <v>98.5</v>
      </c>
      <c r="E723" s="4">
        <v>25.1</v>
      </c>
      <c r="F723" s="4">
        <v>25.1</v>
      </c>
      <c r="G723" s="21"/>
      <c r="H723" s="8">
        <f t="shared" si="100"/>
        <v>197</v>
      </c>
      <c r="I723" s="8">
        <f t="shared" si="101"/>
        <v>50.2</v>
      </c>
      <c r="J723" s="9">
        <f t="shared" si="102"/>
        <v>50.2</v>
      </c>
    </row>
    <row r="724" spans="1:10" hidden="1" x14ac:dyDescent="0.2">
      <c r="A724" s="3" t="s">
        <v>25</v>
      </c>
      <c r="B724" s="6">
        <v>29</v>
      </c>
      <c r="C724" s="3"/>
      <c r="D724" s="4">
        <v>98.5</v>
      </c>
      <c r="E724" s="4">
        <v>26.4</v>
      </c>
      <c r="F724" s="6">
        <f>E724</f>
        <v>26.4</v>
      </c>
      <c r="G724" s="20"/>
      <c r="H724" s="8">
        <f t="shared" si="100"/>
        <v>197</v>
      </c>
      <c r="I724" s="8">
        <f t="shared" si="101"/>
        <v>52.8</v>
      </c>
      <c r="J724" s="9">
        <f t="shared" si="102"/>
        <v>52.8</v>
      </c>
    </row>
    <row r="725" spans="1:10" hidden="1" x14ac:dyDescent="0.2">
      <c r="A725" s="3" t="s">
        <v>25</v>
      </c>
      <c r="B725" s="4">
        <v>31</v>
      </c>
      <c r="C725" s="3"/>
      <c r="D725" s="4">
        <v>98.5</v>
      </c>
      <c r="E725" s="4">
        <v>24.6</v>
      </c>
      <c r="F725" s="4">
        <v>24.6</v>
      </c>
      <c r="G725" s="21"/>
      <c r="H725" s="8">
        <f t="shared" si="100"/>
        <v>197</v>
      </c>
      <c r="I725" s="8">
        <f t="shared" si="101"/>
        <v>49.2</v>
      </c>
      <c r="J725" s="9">
        <f t="shared" si="102"/>
        <v>49.2</v>
      </c>
    </row>
    <row r="726" spans="1:10" hidden="1" x14ac:dyDescent="0.2">
      <c r="A726" s="3" t="s">
        <v>25</v>
      </c>
      <c r="B726" s="4">
        <v>32</v>
      </c>
      <c r="C726" s="3"/>
      <c r="D726" s="4">
        <v>98.5</v>
      </c>
      <c r="E726" s="4">
        <v>15.9</v>
      </c>
      <c r="F726" s="4">
        <v>15.9</v>
      </c>
      <c r="G726" s="21"/>
      <c r="H726" s="8">
        <f t="shared" si="100"/>
        <v>197</v>
      </c>
      <c r="I726" s="8">
        <f t="shared" si="101"/>
        <v>31.8</v>
      </c>
      <c r="J726" s="9">
        <f t="shared" si="102"/>
        <v>31.8</v>
      </c>
    </row>
    <row r="727" spans="1:10" hidden="1" x14ac:dyDescent="0.2">
      <c r="A727" s="3" t="s">
        <v>25</v>
      </c>
      <c r="B727" s="4">
        <v>33</v>
      </c>
      <c r="C727" s="3"/>
      <c r="D727" s="4">
        <v>98.5</v>
      </c>
      <c r="E727" s="4">
        <v>21.3</v>
      </c>
      <c r="F727" s="6">
        <f>E727</f>
        <v>21.3</v>
      </c>
      <c r="G727" s="20"/>
      <c r="H727" s="8">
        <f t="shared" si="100"/>
        <v>197</v>
      </c>
      <c r="I727" s="8">
        <f t="shared" si="101"/>
        <v>42.6</v>
      </c>
      <c r="J727" s="9">
        <f t="shared" si="102"/>
        <v>42.6</v>
      </c>
    </row>
    <row r="728" spans="1:10" hidden="1" x14ac:dyDescent="0.2">
      <c r="A728" s="3" t="s">
        <v>25</v>
      </c>
      <c r="B728" s="4">
        <v>34</v>
      </c>
      <c r="C728" s="3"/>
      <c r="D728" s="4">
        <v>98.5</v>
      </c>
      <c r="E728" s="4">
        <v>19</v>
      </c>
      <c r="F728" s="6">
        <f>E728</f>
        <v>19</v>
      </c>
      <c r="G728" s="20"/>
      <c r="H728" s="8">
        <f t="shared" si="100"/>
        <v>197</v>
      </c>
      <c r="I728" s="8">
        <f t="shared" si="101"/>
        <v>38</v>
      </c>
      <c r="J728" s="9">
        <f t="shared" si="102"/>
        <v>38</v>
      </c>
    </row>
    <row r="729" spans="1:10" hidden="1" x14ac:dyDescent="0.2">
      <c r="A729" s="3" t="s">
        <v>25</v>
      </c>
      <c r="B729" s="6">
        <v>38</v>
      </c>
      <c r="C729" s="3"/>
      <c r="D729" s="4">
        <v>98.5</v>
      </c>
      <c r="E729" s="4">
        <v>18.2</v>
      </c>
      <c r="F729" s="6">
        <f>E729</f>
        <v>18.2</v>
      </c>
      <c r="G729" s="20"/>
      <c r="H729" s="8">
        <f t="shared" si="100"/>
        <v>197</v>
      </c>
      <c r="I729" s="8">
        <f t="shared" si="101"/>
        <v>36.4</v>
      </c>
      <c r="J729" s="9">
        <f t="shared" si="102"/>
        <v>36.4</v>
      </c>
    </row>
    <row r="730" spans="1:10" s="26" customFormat="1" hidden="1" x14ac:dyDescent="0.2">
      <c r="A730" s="3" t="s">
        <v>25</v>
      </c>
      <c r="B730" s="16">
        <v>40</v>
      </c>
      <c r="C730" s="24"/>
      <c r="D730" s="5">
        <v>98.5</v>
      </c>
      <c r="E730" s="5">
        <v>29</v>
      </c>
      <c r="F730" s="16">
        <v>0</v>
      </c>
      <c r="G730" s="27"/>
      <c r="H730" s="8">
        <f t="shared" ref="H730" si="106">D730*2</f>
        <v>197</v>
      </c>
      <c r="I730" s="8">
        <f t="shared" ref="I730" si="107">E730*2</f>
        <v>58</v>
      </c>
      <c r="J730" s="9">
        <f t="shared" ref="J730" si="108">F730*2</f>
        <v>0</v>
      </c>
    </row>
    <row r="731" spans="1:10" hidden="1" x14ac:dyDescent="0.2">
      <c r="A731" s="3" t="s">
        <v>25</v>
      </c>
      <c r="B731" s="4">
        <v>154</v>
      </c>
      <c r="C731" s="3" t="s">
        <v>5</v>
      </c>
      <c r="D731" s="4">
        <v>98.5</v>
      </c>
      <c r="E731" s="4">
        <v>51.1</v>
      </c>
      <c r="F731" s="4">
        <v>51.1</v>
      </c>
      <c r="G731" s="21"/>
      <c r="H731" s="8">
        <f t="shared" si="100"/>
        <v>197</v>
      </c>
      <c r="I731" s="8">
        <f t="shared" si="101"/>
        <v>102.2</v>
      </c>
      <c r="J731" s="9">
        <f t="shared" si="102"/>
        <v>102.2</v>
      </c>
    </row>
    <row r="732" spans="1:10" hidden="1" x14ac:dyDescent="0.2">
      <c r="A732" s="3" t="s">
        <v>25</v>
      </c>
      <c r="B732" s="4">
        <v>172</v>
      </c>
      <c r="C732" s="3" t="s">
        <v>5</v>
      </c>
      <c r="D732" s="4">
        <v>98.5</v>
      </c>
      <c r="E732" s="4">
        <v>33.1</v>
      </c>
      <c r="F732" s="4">
        <v>33.1</v>
      </c>
      <c r="G732" s="21"/>
      <c r="H732" s="8">
        <f t="shared" si="100"/>
        <v>197</v>
      </c>
      <c r="I732" s="8">
        <f t="shared" si="101"/>
        <v>66.2</v>
      </c>
      <c r="J732" s="9">
        <f t="shared" si="102"/>
        <v>66.2</v>
      </c>
    </row>
    <row r="733" spans="1:10" hidden="1" x14ac:dyDescent="0.2">
      <c r="A733" s="3" t="s">
        <v>25</v>
      </c>
      <c r="B733" s="4">
        <v>174</v>
      </c>
      <c r="C733" s="3" t="s">
        <v>5</v>
      </c>
      <c r="D733" s="4">
        <v>98.5</v>
      </c>
      <c r="E733" s="4">
        <v>24.6</v>
      </c>
      <c r="F733" s="4">
        <v>24.6</v>
      </c>
      <c r="G733" s="21"/>
      <c r="H733" s="8">
        <f t="shared" si="100"/>
        <v>197</v>
      </c>
      <c r="I733" s="8">
        <f t="shared" si="101"/>
        <v>49.2</v>
      </c>
      <c r="J733" s="9">
        <f t="shared" si="102"/>
        <v>49.2</v>
      </c>
    </row>
    <row r="734" spans="1:10" hidden="1" x14ac:dyDescent="0.2">
      <c r="A734" s="3" t="s">
        <v>25</v>
      </c>
      <c r="B734" s="4">
        <v>175</v>
      </c>
      <c r="C734" s="3" t="s">
        <v>5</v>
      </c>
      <c r="D734" s="4">
        <v>98.5</v>
      </c>
      <c r="E734" s="4">
        <v>27.8</v>
      </c>
      <c r="F734" s="4">
        <v>27.8</v>
      </c>
      <c r="G734" s="21"/>
      <c r="H734" s="8">
        <f t="shared" si="100"/>
        <v>197</v>
      </c>
      <c r="I734" s="8">
        <f t="shared" si="101"/>
        <v>55.6</v>
      </c>
      <c r="J734" s="9">
        <f t="shared" si="102"/>
        <v>55.6</v>
      </c>
    </row>
    <row r="735" spans="1:10" hidden="1" x14ac:dyDescent="0.2">
      <c r="A735" s="3" t="s">
        <v>25</v>
      </c>
      <c r="B735" s="4">
        <v>192</v>
      </c>
      <c r="C735" s="3" t="s">
        <v>5</v>
      </c>
      <c r="D735" s="4">
        <v>98.5</v>
      </c>
      <c r="E735" s="4">
        <v>17</v>
      </c>
      <c r="F735" s="4">
        <v>17</v>
      </c>
      <c r="G735" s="21"/>
      <c r="H735" s="8">
        <f t="shared" si="100"/>
        <v>197</v>
      </c>
      <c r="I735" s="8">
        <f t="shared" si="101"/>
        <v>34</v>
      </c>
      <c r="J735" s="9">
        <f t="shared" si="102"/>
        <v>34</v>
      </c>
    </row>
    <row r="736" spans="1:10" hidden="1" x14ac:dyDescent="0.2">
      <c r="A736" s="3" t="s">
        <v>25</v>
      </c>
      <c r="B736" s="4">
        <v>194</v>
      </c>
      <c r="C736" s="3" t="s">
        <v>5</v>
      </c>
      <c r="D736" s="4">
        <v>98.5</v>
      </c>
      <c r="E736" s="4">
        <v>32.200000000000003</v>
      </c>
      <c r="F736" s="4">
        <v>32.200000000000003</v>
      </c>
      <c r="G736" s="21"/>
      <c r="H736" s="8">
        <f t="shared" si="100"/>
        <v>197</v>
      </c>
      <c r="I736" s="8">
        <f t="shared" si="101"/>
        <v>64.400000000000006</v>
      </c>
      <c r="J736" s="9">
        <f t="shared" si="102"/>
        <v>64.400000000000006</v>
      </c>
    </row>
    <row r="737" spans="1:20" hidden="1" x14ac:dyDescent="0.2">
      <c r="A737" s="3" t="s">
        <v>25</v>
      </c>
      <c r="B737" s="4">
        <v>215</v>
      </c>
      <c r="C737" s="3" t="s">
        <v>5</v>
      </c>
      <c r="D737" s="4">
        <v>98.5</v>
      </c>
      <c r="E737" s="4">
        <v>36.200000000000003</v>
      </c>
      <c r="F737" s="4">
        <v>36.200000000000003</v>
      </c>
      <c r="G737" s="21"/>
      <c r="H737" s="8">
        <f t="shared" si="100"/>
        <v>197</v>
      </c>
      <c r="I737" s="8">
        <f t="shared" si="101"/>
        <v>72.400000000000006</v>
      </c>
      <c r="J737" s="9">
        <f t="shared" si="102"/>
        <v>72.400000000000006</v>
      </c>
    </row>
    <row r="738" spans="1:20" hidden="1" x14ac:dyDescent="0.2">
      <c r="A738" s="3" t="s">
        <v>25</v>
      </c>
      <c r="B738" s="4">
        <v>216</v>
      </c>
      <c r="C738" s="3" t="s">
        <v>5</v>
      </c>
      <c r="D738" s="4">
        <v>98.5</v>
      </c>
      <c r="E738" s="4">
        <v>36.5</v>
      </c>
      <c r="F738" s="4">
        <v>36.5</v>
      </c>
      <c r="G738" s="21"/>
      <c r="H738" s="8">
        <f t="shared" si="100"/>
        <v>197</v>
      </c>
      <c r="I738" s="8">
        <f t="shared" si="101"/>
        <v>73</v>
      </c>
      <c r="J738" s="9">
        <f t="shared" si="102"/>
        <v>73</v>
      </c>
    </row>
    <row r="739" spans="1:20" hidden="1" x14ac:dyDescent="0.2">
      <c r="A739" s="3" t="s">
        <v>25</v>
      </c>
      <c r="B739" s="4">
        <v>217</v>
      </c>
      <c r="C739" s="3" t="s">
        <v>5</v>
      </c>
      <c r="D739" s="4">
        <v>98.5</v>
      </c>
      <c r="E739" s="4">
        <v>38.6</v>
      </c>
      <c r="F739" s="4">
        <v>38.6</v>
      </c>
      <c r="G739" s="21"/>
      <c r="H739" s="8">
        <f t="shared" si="100"/>
        <v>197</v>
      </c>
      <c r="I739" s="8">
        <f t="shared" si="101"/>
        <v>77.2</v>
      </c>
      <c r="J739" s="9">
        <f t="shared" si="102"/>
        <v>77.2</v>
      </c>
    </row>
    <row r="740" spans="1:20" hidden="1" x14ac:dyDescent="0.2">
      <c r="A740" s="3" t="s">
        <v>25</v>
      </c>
      <c r="B740" s="4">
        <v>231</v>
      </c>
      <c r="C740" s="3" t="s">
        <v>5</v>
      </c>
      <c r="D740" s="4">
        <v>98.5</v>
      </c>
      <c r="E740" s="4">
        <v>24.8</v>
      </c>
      <c r="F740" s="4">
        <v>24.8</v>
      </c>
      <c r="G740" s="21"/>
      <c r="H740" s="8">
        <f t="shared" si="100"/>
        <v>197</v>
      </c>
      <c r="I740" s="8">
        <f t="shared" si="101"/>
        <v>49.6</v>
      </c>
      <c r="J740" s="9">
        <f t="shared" si="102"/>
        <v>49.6</v>
      </c>
    </row>
    <row r="741" spans="1:20" s="26" customFormat="1" hidden="1" x14ac:dyDescent="0.2">
      <c r="A741" s="24" t="s">
        <v>22</v>
      </c>
      <c r="B741" s="5">
        <v>1</v>
      </c>
      <c r="C741" s="24"/>
      <c r="D741" s="5">
        <v>80.2</v>
      </c>
      <c r="E741" s="5">
        <v>34.799999999999997</v>
      </c>
      <c r="F741" s="5">
        <v>0</v>
      </c>
      <c r="G741" s="25"/>
      <c r="H741" s="8">
        <f t="shared" si="100"/>
        <v>160.4</v>
      </c>
      <c r="I741" s="8">
        <f t="shared" si="101"/>
        <v>69.599999999999994</v>
      </c>
      <c r="J741" s="9">
        <f t="shared" si="102"/>
        <v>0</v>
      </c>
    </row>
    <row r="742" spans="1:20" s="28" customFormat="1" hidden="1" x14ac:dyDescent="0.2">
      <c r="A742" s="24" t="s">
        <v>22</v>
      </c>
      <c r="B742" s="5">
        <v>2</v>
      </c>
      <c r="C742" s="24"/>
      <c r="D742" s="5">
        <v>80.2</v>
      </c>
      <c r="E742" s="5">
        <v>34.700000000000003</v>
      </c>
      <c r="F742" s="5">
        <v>0</v>
      </c>
      <c r="G742" s="25"/>
      <c r="H742" s="8">
        <f t="shared" ref="H742:H743" si="109">D742*2</f>
        <v>160.4</v>
      </c>
      <c r="I742" s="8">
        <f t="shared" ref="I742:I743" si="110">E742*2</f>
        <v>69.400000000000006</v>
      </c>
      <c r="J742" s="9">
        <f t="shared" ref="J742:J743" si="111">F742*2</f>
        <v>0</v>
      </c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 spans="1:20" s="26" customFormat="1" hidden="1" x14ac:dyDescent="0.2">
      <c r="A743" s="24" t="s">
        <v>22</v>
      </c>
      <c r="B743" s="5">
        <v>3</v>
      </c>
      <c r="C743" s="24"/>
      <c r="D743" s="5">
        <v>80.2</v>
      </c>
      <c r="E743" s="5">
        <v>35.799999999999997</v>
      </c>
      <c r="F743" s="5">
        <v>0</v>
      </c>
      <c r="G743" s="25"/>
      <c r="H743" s="8">
        <f t="shared" si="109"/>
        <v>160.4</v>
      </c>
      <c r="I743" s="8">
        <f t="shared" si="110"/>
        <v>71.599999999999994</v>
      </c>
      <c r="J743" s="9">
        <f t="shared" si="111"/>
        <v>0</v>
      </c>
    </row>
    <row r="744" spans="1:20" s="26" customFormat="1" hidden="1" x14ac:dyDescent="0.2">
      <c r="A744" s="24" t="s">
        <v>22</v>
      </c>
      <c r="B744" s="5">
        <v>4</v>
      </c>
      <c r="C744" s="24"/>
      <c r="D744" s="5">
        <v>79.900000000000006</v>
      </c>
      <c r="E744" s="5">
        <v>32</v>
      </c>
      <c r="F744" s="5">
        <v>0.8</v>
      </c>
      <c r="G744" s="25"/>
      <c r="H744" s="8">
        <f t="shared" ref="H744" si="112">D744*2</f>
        <v>159.80000000000001</v>
      </c>
      <c r="I744" s="8">
        <f t="shared" ref="I744" si="113">E744*2</f>
        <v>64</v>
      </c>
      <c r="J744" s="9">
        <f t="shared" ref="J744" si="114">F744*2</f>
        <v>1.6</v>
      </c>
    </row>
    <row r="745" spans="1:20" hidden="1" x14ac:dyDescent="0.2">
      <c r="A745" s="16" t="s">
        <v>22</v>
      </c>
      <c r="B745" s="16">
        <v>38</v>
      </c>
      <c r="C745" s="16" t="s">
        <v>5</v>
      </c>
      <c r="D745" s="24">
        <v>80.2</v>
      </c>
      <c r="E745" s="16">
        <v>34.5</v>
      </c>
      <c r="F745" s="16">
        <v>0</v>
      </c>
      <c r="H745" s="8">
        <f t="shared" si="100"/>
        <v>160.4</v>
      </c>
      <c r="I745" s="8">
        <f t="shared" si="101"/>
        <v>69</v>
      </c>
      <c r="J745" s="9">
        <f t="shared" si="102"/>
        <v>0</v>
      </c>
    </row>
    <row r="746" spans="1:20" hidden="1" x14ac:dyDescent="0.2">
      <c r="A746" s="3" t="s">
        <v>6</v>
      </c>
      <c r="B746" s="4">
        <v>39</v>
      </c>
      <c r="C746" s="3" t="s">
        <v>5</v>
      </c>
      <c r="D746" s="4">
        <v>79.900000000000006</v>
      </c>
      <c r="E746" s="4">
        <v>24.3</v>
      </c>
      <c r="F746" s="4">
        <v>0</v>
      </c>
      <c r="G746" s="21"/>
      <c r="H746" s="8">
        <f t="shared" si="100"/>
        <v>159.80000000000001</v>
      </c>
      <c r="I746" s="8">
        <f t="shared" si="101"/>
        <v>48.6</v>
      </c>
      <c r="J746" s="9">
        <f t="shared" si="102"/>
        <v>0</v>
      </c>
    </row>
    <row r="747" spans="1:20" hidden="1" x14ac:dyDescent="0.2">
      <c r="A747" s="16" t="s">
        <v>22</v>
      </c>
      <c r="B747" s="16">
        <v>39</v>
      </c>
      <c r="C747" s="16" t="s">
        <v>5</v>
      </c>
      <c r="D747" s="24">
        <v>80.2</v>
      </c>
      <c r="E747" s="16">
        <v>34.5</v>
      </c>
      <c r="F747" s="16">
        <v>0</v>
      </c>
      <c r="H747" s="8">
        <f t="shared" si="100"/>
        <v>160.4</v>
      </c>
      <c r="I747" s="8">
        <f t="shared" si="101"/>
        <v>69</v>
      </c>
      <c r="J747" s="9">
        <f t="shared" si="102"/>
        <v>0</v>
      </c>
    </row>
    <row r="748" spans="1:20" hidden="1" x14ac:dyDescent="0.2">
      <c r="A748" s="16" t="s">
        <v>22</v>
      </c>
      <c r="B748" s="16">
        <v>34</v>
      </c>
      <c r="C748" s="16" t="s">
        <v>5</v>
      </c>
      <c r="D748" s="24">
        <v>80.2</v>
      </c>
      <c r="E748" s="16">
        <v>34.4</v>
      </c>
      <c r="F748" s="16">
        <v>0</v>
      </c>
      <c r="H748" s="8">
        <f t="shared" si="100"/>
        <v>160.4</v>
      </c>
      <c r="I748" s="8">
        <f t="shared" si="101"/>
        <v>68.8</v>
      </c>
      <c r="J748" s="9">
        <f t="shared" si="102"/>
        <v>0</v>
      </c>
    </row>
    <row r="749" spans="1:20" hidden="1" x14ac:dyDescent="0.2">
      <c r="A749" s="16" t="s">
        <v>22</v>
      </c>
      <c r="B749" s="16">
        <v>25</v>
      </c>
      <c r="C749" s="16" t="s">
        <v>5</v>
      </c>
      <c r="D749" s="24">
        <v>80.2</v>
      </c>
      <c r="E749" s="16">
        <v>26.2</v>
      </c>
      <c r="F749" s="16">
        <v>0.5</v>
      </c>
      <c r="H749" s="8">
        <f t="shared" si="100"/>
        <v>160.4</v>
      </c>
      <c r="I749" s="8">
        <f t="shared" si="101"/>
        <v>52.4</v>
      </c>
      <c r="J749" s="9">
        <f t="shared" si="102"/>
        <v>1</v>
      </c>
    </row>
    <row r="750" spans="1:20" hidden="1" x14ac:dyDescent="0.2">
      <c r="A750" s="16" t="s">
        <v>22</v>
      </c>
      <c r="B750" s="16">
        <v>21</v>
      </c>
      <c r="C750" s="16" t="s">
        <v>3</v>
      </c>
      <c r="D750" s="24">
        <v>80.2</v>
      </c>
      <c r="E750" s="16">
        <v>34.4</v>
      </c>
      <c r="F750" s="16">
        <v>0</v>
      </c>
      <c r="H750" s="8">
        <f t="shared" si="100"/>
        <v>160.4</v>
      </c>
      <c r="I750" s="8">
        <f t="shared" si="101"/>
        <v>68.8</v>
      </c>
      <c r="J750" s="9">
        <f t="shared" si="102"/>
        <v>0</v>
      </c>
    </row>
    <row r="751" spans="1:20" hidden="1" x14ac:dyDescent="0.2">
      <c r="A751" s="31" t="s">
        <v>6</v>
      </c>
      <c r="B751" s="32">
        <v>85</v>
      </c>
      <c r="C751" s="32" t="s">
        <v>2</v>
      </c>
      <c r="D751" s="32">
        <v>103.8</v>
      </c>
      <c r="E751" s="32">
        <v>0.35</v>
      </c>
      <c r="F751" s="32"/>
      <c r="G751" s="29"/>
      <c r="H751" s="8">
        <f t="shared" ref="H751:H756" si="115">D751*2</f>
        <v>207.6</v>
      </c>
      <c r="I751" s="8">
        <f t="shared" ref="I751:I756" si="116">E751*2</f>
        <v>0.7</v>
      </c>
      <c r="J751" s="9">
        <f t="shared" ref="J751:J756" si="117">F751*2</f>
        <v>0</v>
      </c>
    </row>
    <row r="752" spans="1:20" hidden="1" x14ac:dyDescent="0.2">
      <c r="A752" s="16" t="s">
        <v>6</v>
      </c>
      <c r="B752" s="16">
        <v>213</v>
      </c>
      <c r="C752" s="30"/>
      <c r="D752" s="16">
        <v>85.6</v>
      </c>
      <c r="E752" s="16">
        <v>4.7</v>
      </c>
      <c r="F752" s="16">
        <v>0</v>
      </c>
      <c r="G752" s="29"/>
      <c r="H752" s="8">
        <f t="shared" si="115"/>
        <v>171.2</v>
      </c>
      <c r="I752" s="8">
        <f t="shared" si="116"/>
        <v>9.4</v>
      </c>
      <c r="J752" s="9">
        <f t="shared" si="117"/>
        <v>0</v>
      </c>
    </row>
    <row r="753" spans="1:10" hidden="1" x14ac:dyDescent="0.2">
      <c r="A753" s="16" t="s">
        <v>6</v>
      </c>
      <c r="B753" s="16">
        <v>19</v>
      </c>
      <c r="C753" s="16" t="s">
        <v>24</v>
      </c>
      <c r="D753" s="16">
        <v>84.3</v>
      </c>
      <c r="E753" s="16">
        <v>0.3</v>
      </c>
      <c r="F753" s="16">
        <v>0.3</v>
      </c>
      <c r="G753" s="29"/>
      <c r="H753" s="8">
        <f t="shared" si="115"/>
        <v>168.6</v>
      </c>
      <c r="I753" s="8">
        <f t="shared" si="116"/>
        <v>0.6</v>
      </c>
      <c r="J753" s="9">
        <f t="shared" si="117"/>
        <v>0.6</v>
      </c>
    </row>
    <row r="754" spans="1:10" hidden="1" x14ac:dyDescent="0.2">
      <c r="A754" s="16" t="s">
        <v>1</v>
      </c>
      <c r="B754" s="16">
        <v>29</v>
      </c>
      <c r="C754" s="16" t="s">
        <v>2</v>
      </c>
      <c r="D754" s="16">
        <v>59</v>
      </c>
      <c r="E754" s="16">
        <v>0.2</v>
      </c>
      <c r="F754" s="16">
        <v>0.2</v>
      </c>
      <c r="G754" s="29"/>
      <c r="H754" s="8">
        <f t="shared" si="115"/>
        <v>118</v>
      </c>
      <c r="I754" s="8">
        <f t="shared" si="116"/>
        <v>0.4</v>
      </c>
      <c r="J754" s="9">
        <f t="shared" si="117"/>
        <v>0.4</v>
      </c>
    </row>
    <row r="755" spans="1:10" hidden="1" x14ac:dyDescent="0.2">
      <c r="A755" s="6" t="s">
        <v>1</v>
      </c>
      <c r="B755" s="6">
        <v>609</v>
      </c>
      <c r="C755" s="6"/>
      <c r="D755" s="6">
        <v>72</v>
      </c>
      <c r="E755" s="6">
        <v>1.8</v>
      </c>
      <c r="F755" s="6">
        <v>1.8</v>
      </c>
      <c r="H755" s="8">
        <f t="shared" si="115"/>
        <v>144</v>
      </c>
      <c r="I755" s="8">
        <f t="shared" si="116"/>
        <v>3.6</v>
      </c>
      <c r="J755" s="9">
        <f t="shared" si="117"/>
        <v>3.6</v>
      </c>
    </row>
    <row r="756" spans="1:10" x14ac:dyDescent="0.2">
      <c r="A756" s="2"/>
      <c r="B756" s="2"/>
      <c r="C756" s="2"/>
      <c r="D756" s="2"/>
      <c r="E756" s="6"/>
      <c r="F756" s="6"/>
      <c r="H756" s="8">
        <f t="shared" si="115"/>
        <v>0</v>
      </c>
      <c r="I756" s="8">
        <f t="shared" si="116"/>
        <v>0</v>
      </c>
      <c r="J756" s="9">
        <f t="shared" si="117"/>
        <v>0</v>
      </c>
    </row>
    <row r="912" spans="7:7" x14ac:dyDescent="0.2">
      <c r="G912" s="33"/>
    </row>
    <row r="2064" spans="6:6" x14ac:dyDescent="0.2">
      <c r="F2064" s="33" t="s">
        <v>6</v>
      </c>
    </row>
  </sheetData>
  <autoFilter ref="A2:M755">
    <filterColumn colId="1">
      <filters>
        <filter val="114"/>
      </filters>
    </filterColumn>
  </autoFilter>
  <mergeCells count="1">
    <mergeCell ref="A1:F1"/>
  </mergeCells>
  <pageMargins left="0.7" right="0.7" top="0.75" bottom="0.75" header="0.3" footer="0.3"/>
  <pageSetup paperSize="9" scale="45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C2:I217"/>
  <sheetViews>
    <sheetView workbookViewId="0">
      <pane ySplit="8" topLeftCell="A9" activePane="bottomLeft" state="frozen"/>
      <selection pane="bottomLeft" activeCell="D74" sqref="D74"/>
    </sheetView>
  </sheetViews>
  <sheetFormatPr defaultRowHeight="12.75" x14ac:dyDescent="0.2"/>
  <cols>
    <col min="3" max="3" width="9.42578125" bestFit="1" customWidth="1"/>
    <col min="4" max="4" width="85" bestFit="1" customWidth="1"/>
    <col min="6" max="6" width="19.28515625" customWidth="1"/>
    <col min="7" max="7" width="19.7109375" customWidth="1"/>
    <col min="8" max="8" width="20.85546875" customWidth="1"/>
  </cols>
  <sheetData>
    <row r="2" spans="3:8" ht="15" x14ac:dyDescent="0.25">
      <c r="C2" s="34"/>
      <c r="D2" s="35" t="s">
        <v>31</v>
      </c>
      <c r="E2" s="34"/>
      <c r="F2" s="34"/>
      <c r="G2" s="34"/>
      <c r="H2" s="34"/>
    </row>
    <row r="3" spans="3:8" ht="15" x14ac:dyDescent="0.25">
      <c r="C3" s="34"/>
      <c r="D3" s="36" t="s">
        <v>32</v>
      </c>
      <c r="E3" s="34"/>
      <c r="F3" s="34"/>
      <c r="G3" s="34"/>
      <c r="H3" s="34"/>
    </row>
    <row r="4" spans="3:8" ht="15" x14ac:dyDescent="0.25">
      <c r="C4" s="34"/>
      <c r="D4" s="36" t="s">
        <v>33</v>
      </c>
      <c r="E4" s="34"/>
      <c r="F4" s="34"/>
      <c r="G4" s="34"/>
      <c r="H4" s="34"/>
    </row>
    <row r="5" spans="3:8" ht="15.75" thickBot="1" x14ac:dyDescent="0.3">
      <c r="C5" s="34"/>
      <c r="D5" s="34"/>
      <c r="E5" s="34"/>
      <c r="F5" s="34"/>
      <c r="G5" s="34"/>
      <c r="H5" s="34"/>
    </row>
    <row r="6" spans="3:8" ht="14.25" x14ac:dyDescent="0.2">
      <c r="C6" s="71" t="s">
        <v>34</v>
      </c>
      <c r="D6" s="71" t="s">
        <v>35</v>
      </c>
      <c r="E6" s="71" t="s">
        <v>36</v>
      </c>
      <c r="F6" s="37" t="s">
        <v>37</v>
      </c>
      <c r="G6" s="38" t="s">
        <v>37</v>
      </c>
      <c r="H6" s="38" t="s">
        <v>37</v>
      </c>
    </row>
    <row r="7" spans="3:8" ht="14.25" x14ac:dyDescent="0.2">
      <c r="C7" s="72"/>
      <c r="D7" s="72"/>
      <c r="E7" s="72"/>
      <c r="F7" s="39" t="s">
        <v>38</v>
      </c>
      <c r="G7" s="40" t="s">
        <v>39</v>
      </c>
      <c r="H7" s="40" t="s">
        <v>40</v>
      </c>
    </row>
    <row r="8" spans="3:8" ht="15" thickBot="1" x14ac:dyDescent="0.25">
      <c r="C8" s="73"/>
      <c r="D8" s="73"/>
      <c r="E8" s="73"/>
      <c r="F8" s="41" t="s">
        <v>41</v>
      </c>
      <c r="G8" s="42" t="s">
        <v>41</v>
      </c>
      <c r="H8" s="42" t="s">
        <v>41</v>
      </c>
    </row>
    <row r="9" spans="3:8" ht="15.75" hidden="1" thickBot="1" x14ac:dyDescent="0.25">
      <c r="C9" s="43">
        <v>1807</v>
      </c>
      <c r="D9" s="44" t="s">
        <v>42</v>
      </c>
      <c r="E9" s="45" t="s">
        <v>43</v>
      </c>
      <c r="F9" s="46">
        <v>264442.90999999997</v>
      </c>
      <c r="G9" s="46">
        <v>272376.19</v>
      </c>
      <c r="H9" s="46">
        <v>280547.48</v>
      </c>
    </row>
    <row r="10" spans="3:8" ht="15.75" hidden="1" thickBot="1" x14ac:dyDescent="0.25">
      <c r="C10" s="43">
        <v>1813</v>
      </c>
      <c r="D10" s="44" t="s">
        <v>44</v>
      </c>
      <c r="E10" s="45" t="s">
        <v>43</v>
      </c>
      <c r="F10" s="46">
        <v>338268</v>
      </c>
      <c r="G10" s="46">
        <v>348416.04</v>
      </c>
      <c r="H10" s="46">
        <v>358868.52</v>
      </c>
    </row>
    <row r="11" spans="3:8" ht="15.75" hidden="1" thickBot="1" x14ac:dyDescent="0.25">
      <c r="C11" s="43">
        <v>1819</v>
      </c>
      <c r="D11" s="44" t="s">
        <v>45</v>
      </c>
      <c r="E11" s="45" t="s">
        <v>46</v>
      </c>
      <c r="F11" s="45">
        <v>80.5</v>
      </c>
      <c r="G11" s="45">
        <v>82.91</v>
      </c>
      <c r="H11" s="45">
        <v>85.4</v>
      </c>
    </row>
    <row r="12" spans="3:8" ht="15.75" hidden="1" thickBot="1" x14ac:dyDescent="0.25">
      <c r="C12" s="43">
        <v>1820</v>
      </c>
      <c r="D12" s="44" t="s">
        <v>47</v>
      </c>
      <c r="E12" s="45" t="s">
        <v>46</v>
      </c>
      <c r="F12" s="45">
        <v>127.94</v>
      </c>
      <c r="G12" s="45">
        <v>131.78</v>
      </c>
      <c r="H12" s="45">
        <v>135.74</v>
      </c>
    </row>
    <row r="13" spans="3:8" ht="15.75" hidden="1" thickBot="1" x14ac:dyDescent="0.25">
      <c r="C13" s="43">
        <v>1821</v>
      </c>
      <c r="D13" s="44" t="s">
        <v>48</v>
      </c>
      <c r="E13" s="45" t="s">
        <v>46</v>
      </c>
      <c r="F13" s="45">
        <v>80.5</v>
      </c>
      <c r="G13" s="45">
        <v>82.91</v>
      </c>
      <c r="H13" s="45">
        <v>85.4</v>
      </c>
    </row>
    <row r="14" spans="3:8" ht="15.75" hidden="1" thickBot="1" x14ac:dyDescent="0.25">
      <c r="C14" s="43">
        <v>1831</v>
      </c>
      <c r="D14" s="44" t="s">
        <v>49</v>
      </c>
      <c r="E14" s="45" t="s">
        <v>43</v>
      </c>
      <c r="F14" s="46">
        <v>211893.35</v>
      </c>
      <c r="G14" s="46">
        <v>218250.15</v>
      </c>
      <c r="H14" s="46">
        <v>224797.65</v>
      </c>
    </row>
    <row r="15" spans="3:8" ht="15.75" hidden="1" thickBot="1" x14ac:dyDescent="0.25">
      <c r="C15" s="43" t="s">
        <v>50</v>
      </c>
      <c r="D15" s="44" t="s">
        <v>51</v>
      </c>
      <c r="E15" s="45" t="s">
        <v>43</v>
      </c>
      <c r="F15" s="46">
        <v>132891</v>
      </c>
      <c r="G15" s="46">
        <v>136877.73000000001</v>
      </c>
      <c r="H15" s="46">
        <v>140984.06</v>
      </c>
    </row>
    <row r="16" spans="3:8" ht="15.75" hidden="1" thickBot="1" x14ac:dyDescent="0.25">
      <c r="C16" s="43">
        <v>1836</v>
      </c>
      <c r="D16" s="44" t="s">
        <v>52</v>
      </c>
      <c r="E16" s="45" t="s">
        <v>46</v>
      </c>
      <c r="F16" s="45">
        <v>132.21</v>
      </c>
      <c r="G16" s="45">
        <v>136.18</v>
      </c>
      <c r="H16" s="45">
        <v>140.27000000000001</v>
      </c>
    </row>
    <row r="17" spans="3:8" ht="15.75" hidden="1" thickBot="1" x14ac:dyDescent="0.25">
      <c r="C17" s="43">
        <v>1837</v>
      </c>
      <c r="D17" s="44" t="s">
        <v>53</v>
      </c>
      <c r="E17" s="45" t="s">
        <v>46</v>
      </c>
      <c r="F17" s="46">
        <v>5933.02</v>
      </c>
      <c r="G17" s="46">
        <v>6111.01</v>
      </c>
      <c r="H17" s="46">
        <v>6294.34</v>
      </c>
    </row>
    <row r="18" spans="3:8" ht="15.75" hidden="1" thickBot="1" x14ac:dyDescent="0.25">
      <c r="C18" s="43">
        <v>1838</v>
      </c>
      <c r="D18" s="44" t="s">
        <v>54</v>
      </c>
      <c r="E18" s="45" t="s">
        <v>46</v>
      </c>
      <c r="F18" s="46">
        <v>1610.39</v>
      </c>
      <c r="G18" s="46">
        <v>1658.7</v>
      </c>
      <c r="H18" s="46">
        <v>1708.46</v>
      </c>
    </row>
    <row r="19" spans="3:8" ht="15.75" hidden="1" thickBot="1" x14ac:dyDescent="0.25">
      <c r="C19" s="43">
        <v>1845</v>
      </c>
      <c r="D19" s="44" t="s">
        <v>55</v>
      </c>
      <c r="E19" s="45" t="s">
        <v>46</v>
      </c>
      <c r="F19" s="45">
        <v>271.73</v>
      </c>
      <c r="G19" s="45">
        <v>279.88</v>
      </c>
      <c r="H19" s="45">
        <v>288.27</v>
      </c>
    </row>
    <row r="20" spans="3:8" ht="30.75" hidden="1" thickBot="1" x14ac:dyDescent="0.25">
      <c r="C20" s="43">
        <v>1846</v>
      </c>
      <c r="D20" s="44" t="s">
        <v>56</v>
      </c>
      <c r="E20" s="45" t="s">
        <v>43</v>
      </c>
      <c r="F20" s="46">
        <v>388887.39</v>
      </c>
      <c r="G20" s="46">
        <v>400554.01</v>
      </c>
      <c r="H20" s="46">
        <v>412570.63</v>
      </c>
    </row>
    <row r="21" spans="3:8" ht="15.75" hidden="1" thickBot="1" x14ac:dyDescent="0.25">
      <c r="C21" s="43">
        <v>1859</v>
      </c>
      <c r="D21" s="44" t="s">
        <v>57</v>
      </c>
      <c r="E21" s="45" t="s">
        <v>46</v>
      </c>
      <c r="F21" s="45">
        <v>195.8</v>
      </c>
      <c r="G21" s="45">
        <v>201.67</v>
      </c>
      <c r="H21" s="45">
        <v>207.72</v>
      </c>
    </row>
    <row r="22" spans="3:8" ht="15.75" hidden="1" thickBot="1" x14ac:dyDescent="0.25">
      <c r="C22" s="43">
        <v>1868</v>
      </c>
      <c r="D22" s="44" t="s">
        <v>58</v>
      </c>
      <c r="E22" s="45" t="s">
        <v>46</v>
      </c>
      <c r="F22" s="45">
        <v>61.88</v>
      </c>
      <c r="G22" s="45">
        <v>63.74</v>
      </c>
      <c r="H22" s="45">
        <v>65.650000000000006</v>
      </c>
    </row>
    <row r="23" spans="3:8" ht="15.75" hidden="1" thickBot="1" x14ac:dyDescent="0.25">
      <c r="C23" s="43">
        <v>1870</v>
      </c>
      <c r="D23" s="44" t="s">
        <v>59</v>
      </c>
      <c r="E23" s="45" t="s">
        <v>43</v>
      </c>
      <c r="F23" s="46">
        <v>90607.5</v>
      </c>
      <c r="G23" s="46">
        <v>93325.73</v>
      </c>
      <c r="H23" s="46">
        <v>96125.5</v>
      </c>
    </row>
    <row r="24" spans="3:8" ht="15.75" hidden="1" thickBot="1" x14ac:dyDescent="0.25">
      <c r="C24" s="83" t="s">
        <v>60</v>
      </c>
      <c r="D24" s="83"/>
      <c r="E24" s="47"/>
      <c r="F24" s="47"/>
      <c r="G24" s="47"/>
      <c r="H24" s="47"/>
    </row>
    <row r="25" spans="3:8" ht="14.25" hidden="1" x14ac:dyDescent="0.2">
      <c r="C25" s="71" t="s">
        <v>34</v>
      </c>
      <c r="D25" s="71" t="s">
        <v>35</v>
      </c>
      <c r="E25" s="71" t="s">
        <v>36</v>
      </c>
      <c r="F25" s="38" t="s">
        <v>37</v>
      </c>
      <c r="G25" s="38" t="s">
        <v>37</v>
      </c>
      <c r="H25" s="38" t="s">
        <v>37</v>
      </c>
    </row>
    <row r="26" spans="3:8" ht="14.25" hidden="1" x14ac:dyDescent="0.2">
      <c r="C26" s="72"/>
      <c r="D26" s="72"/>
      <c r="E26" s="72"/>
      <c r="F26" s="40" t="s">
        <v>38</v>
      </c>
      <c r="G26" s="40" t="s">
        <v>39</v>
      </c>
      <c r="H26" s="40" t="s">
        <v>40</v>
      </c>
    </row>
    <row r="27" spans="3:8" ht="15" hidden="1" thickBot="1" x14ac:dyDescent="0.25">
      <c r="C27" s="73"/>
      <c r="D27" s="73"/>
      <c r="E27" s="73"/>
      <c r="F27" s="42" t="s">
        <v>41</v>
      </c>
      <c r="G27" s="42" t="s">
        <v>41</v>
      </c>
      <c r="H27" s="42" t="s">
        <v>41</v>
      </c>
    </row>
    <row r="28" spans="3:8" ht="15.75" hidden="1" thickBot="1" x14ac:dyDescent="0.25">
      <c r="C28" s="43">
        <v>1120</v>
      </c>
      <c r="D28" s="44" t="s">
        <v>61</v>
      </c>
      <c r="E28" s="45" t="s">
        <v>62</v>
      </c>
      <c r="F28" s="46">
        <v>6653.45</v>
      </c>
      <c r="G28" s="46">
        <v>6853.06</v>
      </c>
      <c r="H28" s="46">
        <v>7058.65</v>
      </c>
    </row>
    <row r="29" spans="3:8" ht="30.75" hidden="1" thickBot="1" x14ac:dyDescent="0.25">
      <c r="C29" s="43">
        <v>1121</v>
      </c>
      <c r="D29" s="44" t="s">
        <v>63</v>
      </c>
      <c r="E29" s="45" t="s">
        <v>62</v>
      </c>
      <c r="F29" s="46">
        <v>5254.95</v>
      </c>
      <c r="G29" s="46">
        <v>5412.59</v>
      </c>
      <c r="H29" s="46">
        <v>5574.97</v>
      </c>
    </row>
    <row r="30" spans="3:8" ht="15.75" hidden="1" thickBot="1" x14ac:dyDescent="0.25">
      <c r="C30" s="83" t="s">
        <v>64</v>
      </c>
      <c r="D30" s="83"/>
      <c r="E30" s="47"/>
      <c r="F30" s="47"/>
      <c r="G30" s="47"/>
      <c r="H30" s="47"/>
    </row>
    <row r="31" spans="3:8" ht="14.25" hidden="1" x14ac:dyDescent="0.2">
      <c r="C31" s="71" t="s">
        <v>34</v>
      </c>
      <c r="D31" s="84" t="s">
        <v>35</v>
      </c>
      <c r="E31" s="84" t="s">
        <v>36</v>
      </c>
      <c r="F31" s="38" t="s">
        <v>37</v>
      </c>
      <c r="G31" s="38" t="s">
        <v>37</v>
      </c>
      <c r="H31" s="38" t="s">
        <v>65</v>
      </c>
    </row>
    <row r="32" spans="3:8" ht="14.25" hidden="1" x14ac:dyDescent="0.2">
      <c r="C32" s="72"/>
      <c r="D32" s="85"/>
      <c r="E32" s="85"/>
      <c r="F32" s="40" t="s">
        <v>38</v>
      </c>
      <c r="G32" s="40" t="s">
        <v>39</v>
      </c>
      <c r="H32" s="40" t="s">
        <v>66</v>
      </c>
    </row>
    <row r="33" spans="3:8" ht="15" hidden="1" thickBot="1" x14ac:dyDescent="0.25">
      <c r="C33" s="73"/>
      <c r="D33" s="86"/>
      <c r="E33" s="86"/>
      <c r="F33" s="42" t="s">
        <v>41</v>
      </c>
      <c r="G33" s="42" t="s">
        <v>41</v>
      </c>
      <c r="H33" s="42" t="s">
        <v>41</v>
      </c>
    </row>
    <row r="34" spans="3:8" hidden="1" x14ac:dyDescent="0.2">
      <c r="C34" s="87" t="s">
        <v>67</v>
      </c>
      <c r="D34" s="88"/>
      <c r="E34" s="91"/>
      <c r="F34" s="77"/>
      <c r="G34" s="79"/>
      <c r="H34" s="79"/>
    </row>
    <row r="35" spans="3:8" ht="13.5" hidden="1" thickBot="1" x14ac:dyDescent="0.25">
      <c r="C35" s="89"/>
      <c r="D35" s="90"/>
      <c r="E35" s="92"/>
      <c r="F35" s="78"/>
      <c r="G35" s="80"/>
      <c r="H35" s="80"/>
    </row>
    <row r="36" spans="3:8" ht="15.75" hidden="1" thickBot="1" x14ac:dyDescent="0.25">
      <c r="C36" s="43">
        <v>1002</v>
      </c>
      <c r="D36" s="44" t="s">
        <v>68</v>
      </c>
      <c r="E36" s="45" t="s">
        <v>43</v>
      </c>
      <c r="F36" s="46">
        <v>757319.3</v>
      </c>
      <c r="G36" s="46">
        <v>780038.88</v>
      </c>
      <c r="H36" s="46">
        <v>803440.05</v>
      </c>
    </row>
    <row r="37" spans="3:8" ht="15.75" hidden="1" thickBot="1" x14ac:dyDescent="0.25">
      <c r="C37" s="43">
        <v>1003</v>
      </c>
      <c r="D37" s="44" t="s">
        <v>69</v>
      </c>
      <c r="E37" s="45" t="s">
        <v>70</v>
      </c>
      <c r="F37" s="46">
        <v>1514.72</v>
      </c>
      <c r="G37" s="46">
        <v>1560.16</v>
      </c>
      <c r="H37" s="46">
        <v>1606.96</v>
      </c>
    </row>
    <row r="38" spans="3:8" ht="15.75" hidden="1" thickBot="1" x14ac:dyDescent="0.25">
      <c r="C38" s="43">
        <v>1033</v>
      </c>
      <c r="D38" s="44" t="s">
        <v>71</v>
      </c>
      <c r="E38" s="45" t="s">
        <v>43</v>
      </c>
      <c r="F38" s="46">
        <v>1976520.16</v>
      </c>
      <c r="G38" s="46">
        <v>2035815.76</v>
      </c>
      <c r="H38" s="46">
        <v>2096890.24</v>
      </c>
    </row>
    <row r="39" spans="3:8" ht="15.75" hidden="1" thickBot="1" x14ac:dyDescent="0.25">
      <c r="C39" s="43">
        <v>1005</v>
      </c>
      <c r="D39" s="44" t="s">
        <v>72</v>
      </c>
      <c r="E39" s="45" t="s">
        <v>43</v>
      </c>
      <c r="F39" s="46">
        <v>649220.28</v>
      </c>
      <c r="G39" s="46">
        <v>668696.88</v>
      </c>
      <c r="H39" s="46">
        <v>688757.79</v>
      </c>
    </row>
    <row r="40" spans="3:8" ht="15.75" hidden="1" thickBot="1" x14ac:dyDescent="0.25">
      <c r="C40" s="74" t="s">
        <v>73</v>
      </c>
      <c r="D40" s="75"/>
      <c r="E40" s="48"/>
      <c r="F40" s="49"/>
      <c r="G40" s="49"/>
      <c r="H40" s="49"/>
    </row>
    <row r="41" spans="3:8" ht="15.75" hidden="1" thickBot="1" x14ac:dyDescent="0.25">
      <c r="C41" s="43">
        <v>1305</v>
      </c>
      <c r="D41" s="44" t="s">
        <v>74</v>
      </c>
      <c r="E41" s="45" t="s">
        <v>43</v>
      </c>
      <c r="F41" s="46">
        <v>685939.86</v>
      </c>
      <c r="G41" s="46">
        <v>706518.06</v>
      </c>
      <c r="H41" s="46">
        <v>727713.6</v>
      </c>
    </row>
    <row r="42" spans="3:8" ht="15.75" hidden="1" thickBot="1" x14ac:dyDescent="0.25">
      <c r="C42" s="43">
        <v>1331</v>
      </c>
      <c r="D42" s="44" t="s">
        <v>75</v>
      </c>
      <c r="E42" s="45" t="s">
        <v>43</v>
      </c>
      <c r="F42" s="46">
        <v>254272.03</v>
      </c>
      <c r="G42" s="46">
        <v>261900.19</v>
      </c>
      <c r="H42" s="46">
        <v>269757.2</v>
      </c>
    </row>
    <row r="43" spans="3:8" ht="15.75" hidden="1" thickBot="1" x14ac:dyDescent="0.25">
      <c r="C43" s="43">
        <v>1355</v>
      </c>
      <c r="D43" s="44" t="s">
        <v>76</v>
      </c>
      <c r="E43" s="45" t="s">
        <v>43</v>
      </c>
      <c r="F43" s="46">
        <v>3888873.9</v>
      </c>
      <c r="G43" s="46">
        <v>4005540.12</v>
      </c>
      <c r="H43" s="46">
        <v>4125706.32</v>
      </c>
    </row>
    <row r="44" spans="3:8" ht="30.75" hidden="1" thickBot="1" x14ac:dyDescent="0.25">
      <c r="C44" s="43" t="s">
        <v>77</v>
      </c>
      <c r="D44" s="44" t="s">
        <v>78</v>
      </c>
      <c r="E44" s="45" t="s">
        <v>43</v>
      </c>
      <c r="F44" s="46">
        <v>213888.06</v>
      </c>
      <c r="G44" s="46">
        <v>220304.71</v>
      </c>
      <c r="H44" s="46">
        <v>226913.85</v>
      </c>
    </row>
    <row r="45" spans="3:8" ht="15.75" hidden="1" thickBot="1" x14ac:dyDescent="0.25">
      <c r="C45" s="43">
        <v>1306</v>
      </c>
      <c r="D45" s="44" t="s">
        <v>79</v>
      </c>
      <c r="E45" s="45" t="s">
        <v>43</v>
      </c>
      <c r="F45" s="46">
        <v>1146076.9099999999</v>
      </c>
      <c r="G45" s="46">
        <v>1180459.21</v>
      </c>
      <c r="H45" s="46">
        <v>1215872.99</v>
      </c>
    </row>
    <row r="46" spans="3:8" ht="30.75" hidden="1" thickBot="1" x14ac:dyDescent="0.25">
      <c r="C46" s="43" t="s">
        <v>80</v>
      </c>
      <c r="D46" s="44" t="s">
        <v>81</v>
      </c>
      <c r="E46" s="45" t="s">
        <v>43</v>
      </c>
      <c r="F46" s="46">
        <v>1262464.5</v>
      </c>
      <c r="G46" s="46">
        <v>1300338.44</v>
      </c>
      <c r="H46" s="46">
        <v>1339348.5900000001</v>
      </c>
    </row>
    <row r="47" spans="3:8" ht="15.75" hidden="1" thickBot="1" x14ac:dyDescent="0.25">
      <c r="C47" s="43">
        <v>1307</v>
      </c>
      <c r="D47" s="44" t="s">
        <v>82</v>
      </c>
      <c r="E47" s="45" t="s">
        <v>43</v>
      </c>
      <c r="F47" s="46">
        <v>330553.63</v>
      </c>
      <c r="G47" s="46">
        <v>340470.24</v>
      </c>
      <c r="H47" s="46">
        <v>350684.35</v>
      </c>
    </row>
    <row r="48" spans="3:8" ht="15.75" hidden="1" thickBot="1" x14ac:dyDescent="0.25">
      <c r="C48" s="43">
        <v>1308</v>
      </c>
      <c r="D48" s="44" t="s">
        <v>83</v>
      </c>
      <c r="E48" s="45" t="s">
        <v>43</v>
      </c>
      <c r="F48" s="46">
        <v>705277.71</v>
      </c>
      <c r="G48" s="46">
        <v>726436.05</v>
      </c>
      <c r="H48" s="46">
        <v>748229.13</v>
      </c>
    </row>
    <row r="49" spans="3:8" ht="30.75" hidden="1" thickBot="1" x14ac:dyDescent="0.25">
      <c r="C49" s="43">
        <v>1309</v>
      </c>
      <c r="D49" s="44" t="s">
        <v>84</v>
      </c>
      <c r="E49" s="45" t="s">
        <v>43</v>
      </c>
      <c r="F49" s="46">
        <v>696461.25</v>
      </c>
      <c r="G49" s="46">
        <v>717355.09</v>
      </c>
      <c r="H49" s="46">
        <v>738875.74</v>
      </c>
    </row>
    <row r="50" spans="3:8" ht="15.75" hidden="1" thickBot="1" x14ac:dyDescent="0.25">
      <c r="C50" s="43">
        <v>1310</v>
      </c>
      <c r="D50" s="44" t="s">
        <v>85</v>
      </c>
      <c r="E50" s="45" t="s">
        <v>43</v>
      </c>
      <c r="F50" s="46">
        <v>593301.39</v>
      </c>
      <c r="G50" s="46">
        <v>611100.43000000005</v>
      </c>
      <c r="H50" s="46">
        <v>629433.43999999994</v>
      </c>
    </row>
    <row r="51" spans="3:8" ht="15.75" hidden="1" thickBot="1" x14ac:dyDescent="0.25">
      <c r="C51" s="43">
        <v>1311</v>
      </c>
      <c r="D51" s="44" t="s">
        <v>86</v>
      </c>
      <c r="E51" s="45" t="s">
        <v>43</v>
      </c>
      <c r="F51" s="46">
        <v>388887.39</v>
      </c>
      <c r="G51" s="46">
        <v>400554.01</v>
      </c>
      <c r="H51" s="46">
        <v>412570.63</v>
      </c>
    </row>
    <row r="52" spans="3:8" ht="15.75" hidden="1" thickBot="1" x14ac:dyDescent="0.25">
      <c r="C52" s="43">
        <v>1312</v>
      </c>
      <c r="D52" s="44" t="s">
        <v>87</v>
      </c>
      <c r="E52" s="45" t="s">
        <v>43</v>
      </c>
      <c r="F52" s="46">
        <v>533978.03</v>
      </c>
      <c r="G52" s="46">
        <v>549997.37</v>
      </c>
      <c r="H52" s="46">
        <v>566497.29</v>
      </c>
    </row>
    <row r="53" spans="3:8" ht="15.75" hidden="1" thickBot="1" x14ac:dyDescent="0.25">
      <c r="C53" s="43">
        <v>1315</v>
      </c>
      <c r="D53" s="44" t="s">
        <v>88</v>
      </c>
      <c r="E53" s="45" t="s">
        <v>43</v>
      </c>
      <c r="F53" s="46">
        <v>621559.49</v>
      </c>
      <c r="G53" s="46">
        <v>640206.27</v>
      </c>
      <c r="H53" s="46">
        <v>659412.46</v>
      </c>
    </row>
    <row r="54" spans="3:8" ht="30.75" hidden="1" thickBot="1" x14ac:dyDescent="0.25">
      <c r="C54" s="43">
        <v>1316</v>
      </c>
      <c r="D54" s="44" t="s">
        <v>89</v>
      </c>
      <c r="E54" s="45" t="s">
        <v>43</v>
      </c>
      <c r="F54" s="46">
        <v>53397.13</v>
      </c>
      <c r="G54" s="46">
        <v>54999.040000000001</v>
      </c>
      <c r="H54" s="46">
        <v>56649.01</v>
      </c>
    </row>
    <row r="55" spans="3:8" ht="15.75" hidden="1" thickBot="1" x14ac:dyDescent="0.25">
      <c r="C55" s="43">
        <v>1321</v>
      </c>
      <c r="D55" s="44" t="s">
        <v>90</v>
      </c>
      <c r="E55" s="45" t="s">
        <v>43</v>
      </c>
      <c r="F55" s="46">
        <v>544142.15</v>
      </c>
      <c r="G55" s="46">
        <v>560466.41</v>
      </c>
      <c r="H55" s="46">
        <v>577280.4</v>
      </c>
    </row>
    <row r="56" spans="3:8" ht="15.75" hidden="1" thickBot="1" x14ac:dyDescent="0.25">
      <c r="C56" s="43">
        <v>1323</v>
      </c>
      <c r="D56" s="44" t="s">
        <v>91</v>
      </c>
      <c r="E56" s="45" t="s">
        <v>43</v>
      </c>
      <c r="F56" s="46">
        <v>544142.15</v>
      </c>
      <c r="G56" s="46">
        <v>560466.41</v>
      </c>
      <c r="H56" s="46">
        <v>577280.4</v>
      </c>
    </row>
    <row r="57" spans="3:8" ht="15.75" hidden="1" thickBot="1" x14ac:dyDescent="0.25">
      <c r="C57" s="43">
        <v>1324</v>
      </c>
      <c r="D57" s="44" t="s">
        <v>92</v>
      </c>
      <c r="E57" s="45" t="s">
        <v>43</v>
      </c>
      <c r="F57" s="46">
        <v>842487.99</v>
      </c>
      <c r="G57" s="46">
        <v>867762.62</v>
      </c>
      <c r="H57" s="46">
        <v>893795.5</v>
      </c>
    </row>
    <row r="58" spans="3:8" ht="15.75" hidden="1" thickBot="1" x14ac:dyDescent="0.25">
      <c r="C58" s="43">
        <v>1330</v>
      </c>
      <c r="D58" s="44" t="s">
        <v>93</v>
      </c>
      <c r="E58" s="45" t="s">
        <v>43</v>
      </c>
      <c r="F58" s="46">
        <v>583331.09</v>
      </c>
      <c r="G58" s="46">
        <v>600831.02</v>
      </c>
      <c r="H58" s="46">
        <v>618855.94999999995</v>
      </c>
    </row>
    <row r="59" spans="3:8" ht="15.75" hidden="1" thickBot="1" x14ac:dyDescent="0.25">
      <c r="C59" s="43">
        <v>1314</v>
      </c>
      <c r="D59" s="44" t="s">
        <v>94</v>
      </c>
      <c r="E59" s="45" t="s">
        <v>43</v>
      </c>
      <c r="F59" s="46">
        <v>370270.93</v>
      </c>
      <c r="G59" s="46">
        <v>381379.06</v>
      </c>
      <c r="H59" s="46">
        <v>392820.43</v>
      </c>
    </row>
    <row r="60" spans="3:8" ht="15.75" hidden="1" thickBot="1" x14ac:dyDescent="0.25">
      <c r="C60" s="43">
        <v>1352</v>
      </c>
      <c r="D60" s="44" t="s">
        <v>95</v>
      </c>
      <c r="E60" s="45" t="s">
        <v>43</v>
      </c>
      <c r="F60" s="46">
        <v>777774.78</v>
      </c>
      <c r="G60" s="46">
        <v>801108.02</v>
      </c>
      <c r="H60" s="46">
        <v>825141.26</v>
      </c>
    </row>
    <row r="61" spans="3:8" ht="15.75" hidden="1" thickBot="1" x14ac:dyDescent="0.25">
      <c r="C61" s="43">
        <v>1338</v>
      </c>
      <c r="D61" s="44" t="s">
        <v>96</v>
      </c>
      <c r="E61" s="45" t="s">
        <v>43</v>
      </c>
      <c r="F61" s="46">
        <v>678058.74</v>
      </c>
      <c r="G61" s="46">
        <v>698400.5</v>
      </c>
      <c r="H61" s="46">
        <v>719352.51</v>
      </c>
    </row>
    <row r="62" spans="3:8" ht="30.75" hidden="1" thickBot="1" x14ac:dyDescent="0.25">
      <c r="C62" s="43">
        <v>1345</v>
      </c>
      <c r="D62" s="44" t="s">
        <v>97</v>
      </c>
      <c r="E62" s="45" t="s">
        <v>43</v>
      </c>
      <c r="F62" s="46">
        <v>2083972.5</v>
      </c>
      <c r="G62" s="46">
        <v>2146491.6800000002</v>
      </c>
      <c r="H62" s="46">
        <v>2210886.4300000002</v>
      </c>
    </row>
    <row r="63" spans="3:8" ht="30.75" hidden="1" thickBot="1" x14ac:dyDescent="0.25">
      <c r="C63" s="43">
        <v>1340</v>
      </c>
      <c r="D63" s="44" t="s">
        <v>98</v>
      </c>
      <c r="E63" s="45" t="s">
        <v>43</v>
      </c>
      <c r="F63" s="46">
        <v>388887.39</v>
      </c>
      <c r="G63" s="46">
        <v>400554.01</v>
      </c>
      <c r="H63" s="46">
        <v>412570.63</v>
      </c>
    </row>
    <row r="64" spans="3:8" ht="30.75" hidden="1" thickBot="1" x14ac:dyDescent="0.25">
      <c r="C64" s="43">
        <v>1341</v>
      </c>
      <c r="D64" s="44" t="s">
        <v>99</v>
      </c>
      <c r="E64" s="45" t="s">
        <v>43</v>
      </c>
      <c r="F64" s="46">
        <v>76281.61</v>
      </c>
      <c r="G64" s="46">
        <v>78570.06</v>
      </c>
      <c r="H64" s="46">
        <v>80927.16</v>
      </c>
    </row>
    <row r="65" spans="3:8" ht="15.75" hidden="1" thickBot="1" x14ac:dyDescent="0.25">
      <c r="C65" s="43">
        <v>1347</v>
      </c>
      <c r="D65" s="44" t="s">
        <v>100</v>
      </c>
      <c r="E65" s="45" t="s">
        <v>43</v>
      </c>
      <c r="F65" s="46">
        <v>996746.35</v>
      </c>
      <c r="G65" s="46">
        <v>1026648.74</v>
      </c>
      <c r="H65" s="46">
        <v>1057448.2</v>
      </c>
    </row>
    <row r="66" spans="3:8" ht="30.75" hidden="1" thickBot="1" x14ac:dyDescent="0.25">
      <c r="C66" s="43">
        <v>1357</v>
      </c>
      <c r="D66" s="44" t="s">
        <v>101</v>
      </c>
      <c r="E66" s="45" t="s">
        <v>43</v>
      </c>
      <c r="F66" s="46">
        <v>2083972.5</v>
      </c>
      <c r="G66" s="46">
        <v>2146491.6800000002</v>
      </c>
      <c r="H66" s="46">
        <v>2210886.4300000002</v>
      </c>
    </row>
    <row r="67" spans="3:8" ht="45.75" hidden="1" thickBot="1" x14ac:dyDescent="0.25">
      <c r="C67" s="43" t="s">
        <v>102</v>
      </c>
      <c r="D67" s="44" t="s">
        <v>103</v>
      </c>
      <c r="E67" s="45" t="s">
        <v>43</v>
      </c>
      <c r="F67" s="46">
        <v>422835</v>
      </c>
      <c r="G67" s="46">
        <v>435520.05</v>
      </c>
      <c r="H67" s="46">
        <v>448585.65</v>
      </c>
    </row>
    <row r="68" spans="3:8" ht="45.75" hidden="1" thickBot="1" x14ac:dyDescent="0.25">
      <c r="C68" s="43" t="s">
        <v>104</v>
      </c>
      <c r="D68" s="44" t="s">
        <v>105</v>
      </c>
      <c r="E68" s="45" t="s">
        <v>43</v>
      </c>
      <c r="F68" s="46">
        <v>845670</v>
      </c>
      <c r="G68" s="46">
        <v>871040.1</v>
      </c>
      <c r="H68" s="46">
        <v>897171.3</v>
      </c>
    </row>
    <row r="69" spans="3:8" ht="30.75" hidden="1" thickBot="1" x14ac:dyDescent="0.25">
      <c r="C69" s="43">
        <v>1359</v>
      </c>
      <c r="D69" s="44" t="s">
        <v>106</v>
      </c>
      <c r="E69" s="45" t="s">
        <v>43</v>
      </c>
      <c r="F69" s="46">
        <v>2083972.5</v>
      </c>
      <c r="G69" s="46">
        <v>2146491.6800000002</v>
      </c>
      <c r="H69" s="46">
        <v>2210886.4300000002</v>
      </c>
    </row>
    <row r="70" spans="3:8" ht="45.75" hidden="1" thickBot="1" x14ac:dyDescent="0.25">
      <c r="C70" s="43">
        <v>1360</v>
      </c>
      <c r="D70" s="44" t="s">
        <v>107</v>
      </c>
      <c r="E70" s="45" t="s">
        <v>43</v>
      </c>
      <c r="F70" s="46">
        <v>587136.6</v>
      </c>
      <c r="G70" s="46">
        <v>604750.69999999995</v>
      </c>
      <c r="H70" s="46">
        <v>622893.22</v>
      </c>
    </row>
    <row r="71" spans="3:8" ht="30.75" hidden="1" thickBot="1" x14ac:dyDescent="0.25">
      <c r="C71" s="43">
        <v>1361</v>
      </c>
      <c r="D71" s="44" t="s">
        <v>108</v>
      </c>
      <c r="E71" s="45" t="s">
        <v>43</v>
      </c>
      <c r="F71" s="46">
        <v>587136.6</v>
      </c>
      <c r="G71" s="46">
        <v>604750.69999999995</v>
      </c>
      <c r="H71" s="46">
        <v>622893.22</v>
      </c>
    </row>
    <row r="72" spans="3:8" ht="30.75" hidden="1" thickBot="1" x14ac:dyDescent="0.25">
      <c r="C72" s="43">
        <v>1362</v>
      </c>
      <c r="D72" s="44" t="s">
        <v>109</v>
      </c>
      <c r="E72" s="45" t="s">
        <v>43</v>
      </c>
      <c r="F72" s="46">
        <v>90607.5</v>
      </c>
      <c r="G72" s="46">
        <v>93325.73</v>
      </c>
      <c r="H72" s="46">
        <v>96125.5</v>
      </c>
    </row>
    <row r="73" spans="3:8" ht="30.75" hidden="1" thickBot="1" x14ac:dyDescent="0.25">
      <c r="C73" s="43">
        <v>1363</v>
      </c>
      <c r="D73" s="44" t="s">
        <v>110</v>
      </c>
      <c r="E73" s="45" t="s">
        <v>43</v>
      </c>
      <c r="F73" s="46">
        <v>707946.6</v>
      </c>
      <c r="G73" s="46">
        <v>729185</v>
      </c>
      <c r="H73" s="46">
        <v>751060.55</v>
      </c>
    </row>
    <row r="74" spans="3:8" ht="30.75" thickBot="1" x14ac:dyDescent="0.25">
      <c r="C74" s="43">
        <v>1364</v>
      </c>
      <c r="D74" s="44" t="s">
        <v>111</v>
      </c>
      <c r="E74" s="45" t="s">
        <v>43</v>
      </c>
      <c r="F74" s="46">
        <v>99064.2</v>
      </c>
      <c r="G74" s="46">
        <v>102036.13</v>
      </c>
      <c r="H74" s="46">
        <v>105097.21</v>
      </c>
    </row>
    <row r="75" spans="3:8" ht="30.75" hidden="1" thickBot="1" x14ac:dyDescent="0.25">
      <c r="C75" s="43">
        <v>1365</v>
      </c>
      <c r="D75" s="44" t="s">
        <v>112</v>
      </c>
      <c r="E75" s="45" t="s">
        <v>43</v>
      </c>
      <c r="F75" s="46">
        <v>99064.2</v>
      </c>
      <c r="G75" s="46">
        <v>102036.13</v>
      </c>
      <c r="H75" s="46">
        <v>105097.21</v>
      </c>
    </row>
    <row r="76" spans="3:8" ht="30.75" hidden="1" thickBot="1" x14ac:dyDescent="0.25">
      <c r="C76" s="43">
        <v>1366</v>
      </c>
      <c r="D76" s="44" t="s">
        <v>113</v>
      </c>
      <c r="E76" s="45" t="s">
        <v>43</v>
      </c>
      <c r="F76" s="46">
        <v>55089.36</v>
      </c>
      <c r="G76" s="46">
        <v>56742.04</v>
      </c>
      <c r="H76" s="46">
        <v>58444.3</v>
      </c>
    </row>
    <row r="77" spans="3:8" ht="30.75" hidden="1" thickBot="1" x14ac:dyDescent="0.25">
      <c r="C77" s="43">
        <v>1367</v>
      </c>
      <c r="D77" s="44" t="s">
        <v>114</v>
      </c>
      <c r="E77" s="45" t="s">
        <v>43</v>
      </c>
      <c r="F77" s="46">
        <v>106312.8</v>
      </c>
      <c r="G77" s="46">
        <v>109502.18</v>
      </c>
      <c r="H77" s="46">
        <v>112787.25</v>
      </c>
    </row>
    <row r="78" spans="3:8" ht="45.75" hidden="1" thickBot="1" x14ac:dyDescent="0.25">
      <c r="C78" s="43" t="s">
        <v>115</v>
      </c>
      <c r="D78" s="44" t="s">
        <v>116</v>
      </c>
      <c r="E78" s="45" t="s">
        <v>43</v>
      </c>
      <c r="F78" s="46">
        <v>12081</v>
      </c>
      <c r="G78" s="46">
        <v>12443.43</v>
      </c>
      <c r="H78" s="46">
        <v>12816.73</v>
      </c>
    </row>
    <row r="79" spans="3:8" ht="15.75" hidden="1" thickBot="1" x14ac:dyDescent="0.25">
      <c r="C79" s="43">
        <v>1368</v>
      </c>
      <c r="D79" s="44" t="s">
        <v>117</v>
      </c>
      <c r="E79" s="45" t="s">
        <v>43</v>
      </c>
      <c r="F79" s="46">
        <v>140139.6</v>
      </c>
      <c r="G79" s="46">
        <v>144343.79</v>
      </c>
      <c r="H79" s="46">
        <v>148674.1</v>
      </c>
    </row>
    <row r="80" spans="3:8" ht="30.75" hidden="1" thickBot="1" x14ac:dyDescent="0.25">
      <c r="C80" s="43">
        <v>1369</v>
      </c>
      <c r="D80" s="44" t="s">
        <v>118</v>
      </c>
      <c r="E80" s="45" t="s">
        <v>43</v>
      </c>
      <c r="F80" s="46">
        <v>108729</v>
      </c>
      <c r="G80" s="46">
        <v>111990.87</v>
      </c>
      <c r="H80" s="46">
        <v>115350.6</v>
      </c>
    </row>
    <row r="81" spans="3:8" ht="30.75" hidden="1" thickBot="1" x14ac:dyDescent="0.25">
      <c r="C81" s="43" t="s">
        <v>119</v>
      </c>
      <c r="D81" s="44" t="s">
        <v>120</v>
      </c>
      <c r="E81" s="45" t="s">
        <v>43</v>
      </c>
      <c r="F81" s="46">
        <v>54364.5</v>
      </c>
      <c r="G81" s="46">
        <v>55995.44</v>
      </c>
      <c r="H81" s="46">
        <v>57675.3</v>
      </c>
    </row>
    <row r="82" spans="3:8" ht="30.75" hidden="1" thickBot="1" x14ac:dyDescent="0.25">
      <c r="C82" s="43">
        <v>1370</v>
      </c>
      <c r="D82" s="44" t="s">
        <v>121</v>
      </c>
      <c r="E82" s="45" t="s">
        <v>43</v>
      </c>
      <c r="F82" s="46">
        <v>453037.5</v>
      </c>
      <c r="G82" s="46">
        <v>466628.63</v>
      </c>
      <c r="H82" s="46">
        <v>480627.49</v>
      </c>
    </row>
    <row r="83" spans="3:8" ht="45.75" hidden="1" thickBot="1" x14ac:dyDescent="0.25">
      <c r="C83" s="43" t="s">
        <v>122</v>
      </c>
      <c r="D83" s="44" t="s">
        <v>123</v>
      </c>
      <c r="E83" s="45" t="s">
        <v>43</v>
      </c>
      <c r="F83" s="46">
        <v>181215</v>
      </c>
      <c r="G83" s="46">
        <v>186651.45</v>
      </c>
      <c r="H83" s="46">
        <v>192250.99</v>
      </c>
    </row>
    <row r="84" spans="3:8" ht="30.75" hidden="1" thickBot="1" x14ac:dyDescent="0.25">
      <c r="C84" s="43">
        <v>1371</v>
      </c>
      <c r="D84" s="44" t="s">
        <v>124</v>
      </c>
      <c r="E84" s="45" t="s">
        <v>43</v>
      </c>
      <c r="F84" s="46">
        <v>157886.59</v>
      </c>
      <c r="G84" s="46">
        <v>162623.19</v>
      </c>
      <c r="H84" s="46">
        <v>167501.89000000001</v>
      </c>
    </row>
    <row r="85" spans="3:8" ht="30.75" hidden="1" thickBot="1" x14ac:dyDescent="0.25">
      <c r="C85" s="43" t="s">
        <v>125</v>
      </c>
      <c r="D85" s="44" t="s">
        <v>126</v>
      </c>
      <c r="E85" s="45" t="s">
        <v>43</v>
      </c>
      <c r="F85" s="46">
        <v>66445.5</v>
      </c>
      <c r="G85" s="46">
        <v>68438.87</v>
      </c>
      <c r="H85" s="46">
        <v>70492.039999999994</v>
      </c>
    </row>
    <row r="86" spans="3:8" ht="45.75" hidden="1" thickBot="1" x14ac:dyDescent="0.25">
      <c r="C86" s="43">
        <v>1372</v>
      </c>
      <c r="D86" s="44" t="s">
        <v>127</v>
      </c>
      <c r="E86" s="45" t="s">
        <v>43</v>
      </c>
      <c r="F86" s="46">
        <v>525523.5</v>
      </c>
      <c r="G86" s="46">
        <v>541289.21</v>
      </c>
      <c r="H86" s="46">
        <v>557527.89</v>
      </c>
    </row>
    <row r="87" spans="3:8" ht="45.75" hidden="1" thickBot="1" x14ac:dyDescent="0.25">
      <c r="C87" s="43" t="s">
        <v>128</v>
      </c>
      <c r="D87" s="44" t="s">
        <v>129</v>
      </c>
      <c r="E87" s="45" t="s">
        <v>43</v>
      </c>
      <c r="F87" s="46">
        <v>241620</v>
      </c>
      <c r="G87" s="46">
        <v>248868.6</v>
      </c>
      <c r="H87" s="46">
        <v>256334.66</v>
      </c>
    </row>
    <row r="88" spans="3:8" ht="30.75" hidden="1" thickBot="1" x14ac:dyDescent="0.25">
      <c r="C88" s="43">
        <v>1400</v>
      </c>
      <c r="D88" s="44" t="s">
        <v>130</v>
      </c>
      <c r="E88" s="45" t="s">
        <v>43</v>
      </c>
      <c r="F88" s="46">
        <v>459078</v>
      </c>
      <c r="G88" s="46">
        <v>472850.34</v>
      </c>
      <c r="H88" s="46">
        <v>487035.85</v>
      </c>
    </row>
    <row r="89" spans="3:8" ht="15.75" hidden="1" thickBot="1" x14ac:dyDescent="0.25">
      <c r="C89" s="43">
        <v>1401</v>
      </c>
      <c r="D89" s="44" t="s">
        <v>131</v>
      </c>
      <c r="E89" s="45" t="s">
        <v>62</v>
      </c>
      <c r="F89" s="46">
        <v>8660.1200000000008</v>
      </c>
      <c r="G89" s="46">
        <v>8919.92</v>
      </c>
      <c r="H89" s="46">
        <v>9187.52</v>
      </c>
    </row>
    <row r="90" spans="3:8" ht="30.75" hidden="1" thickBot="1" x14ac:dyDescent="0.25">
      <c r="C90" s="43">
        <v>1402</v>
      </c>
      <c r="D90" s="44" t="s">
        <v>132</v>
      </c>
      <c r="E90" s="45" t="s">
        <v>133</v>
      </c>
      <c r="F90" s="46">
        <v>265782</v>
      </c>
      <c r="G90" s="46">
        <v>273755.46000000002</v>
      </c>
      <c r="H90" s="46">
        <v>281968.12</v>
      </c>
    </row>
    <row r="91" spans="3:8" ht="15.75" hidden="1" thickBot="1" x14ac:dyDescent="0.25">
      <c r="C91" s="43">
        <v>3020</v>
      </c>
      <c r="D91" s="44" t="s">
        <v>134</v>
      </c>
      <c r="E91" s="45" t="s">
        <v>43</v>
      </c>
      <c r="F91" s="46">
        <v>1145.17</v>
      </c>
      <c r="G91" s="46">
        <v>1179.53</v>
      </c>
      <c r="H91" s="46">
        <v>1214.92</v>
      </c>
    </row>
    <row r="92" spans="3:8" ht="15.75" hidden="1" thickBot="1" x14ac:dyDescent="0.25">
      <c r="C92" s="81" t="s">
        <v>135</v>
      </c>
      <c r="D92" s="82"/>
      <c r="E92" s="50"/>
      <c r="F92" s="51"/>
      <c r="G92" s="51"/>
      <c r="H92" s="51"/>
    </row>
    <row r="93" spans="3:8" ht="30.75" hidden="1" thickBot="1" x14ac:dyDescent="0.25">
      <c r="C93" s="43">
        <v>1900</v>
      </c>
      <c r="D93" s="44" t="s">
        <v>136</v>
      </c>
      <c r="E93" s="45" t="s">
        <v>43</v>
      </c>
      <c r="F93" s="46">
        <v>1186602.78</v>
      </c>
      <c r="G93" s="46">
        <v>1222200.8600000001</v>
      </c>
      <c r="H93" s="46">
        <v>1258866.8899999999</v>
      </c>
    </row>
    <row r="94" spans="3:8" ht="30.75" hidden="1" thickBot="1" x14ac:dyDescent="0.25">
      <c r="C94" s="43">
        <v>1901</v>
      </c>
      <c r="D94" s="44" t="s">
        <v>137</v>
      </c>
      <c r="E94" s="45" t="s">
        <v>43</v>
      </c>
      <c r="F94" s="46">
        <v>2760939.63</v>
      </c>
      <c r="G94" s="46">
        <v>2843767.82</v>
      </c>
      <c r="H94" s="46">
        <v>2929080.85</v>
      </c>
    </row>
    <row r="95" spans="3:8" ht="30.75" hidden="1" thickBot="1" x14ac:dyDescent="0.25">
      <c r="C95" s="43">
        <v>1902</v>
      </c>
      <c r="D95" s="44" t="s">
        <v>138</v>
      </c>
      <c r="E95" s="45" t="s">
        <v>43</v>
      </c>
      <c r="F95" s="46">
        <v>1186602.78</v>
      </c>
      <c r="G95" s="46">
        <v>1222200.8600000001</v>
      </c>
      <c r="H95" s="46">
        <v>1258866.8899999999</v>
      </c>
    </row>
    <row r="96" spans="3:8" ht="15.75" hidden="1" thickBot="1" x14ac:dyDescent="0.25">
      <c r="C96" s="43">
        <v>1903</v>
      </c>
      <c r="D96" s="44" t="s">
        <v>139</v>
      </c>
      <c r="E96" s="45" t="s">
        <v>43</v>
      </c>
      <c r="F96" s="46">
        <v>854930.36</v>
      </c>
      <c r="G96" s="46">
        <v>880578.28</v>
      </c>
      <c r="H96" s="46">
        <v>906995.63</v>
      </c>
    </row>
    <row r="97" spans="3:8" ht="15.75" hidden="1" thickBot="1" x14ac:dyDescent="0.25">
      <c r="C97" s="43">
        <v>1908</v>
      </c>
      <c r="D97" s="44" t="s">
        <v>140</v>
      </c>
      <c r="E97" s="45" t="s">
        <v>43</v>
      </c>
      <c r="F97" s="46">
        <v>1864661.53</v>
      </c>
      <c r="G97" s="46">
        <v>1920601.37</v>
      </c>
      <c r="H97" s="46">
        <v>1978219.41</v>
      </c>
    </row>
    <row r="98" spans="3:8" ht="15.75" hidden="1" thickBot="1" x14ac:dyDescent="0.25">
      <c r="C98" s="43">
        <v>1909</v>
      </c>
      <c r="D98" s="44" t="s">
        <v>141</v>
      </c>
      <c r="E98" s="45" t="s">
        <v>62</v>
      </c>
      <c r="F98" s="46">
        <v>100013.67</v>
      </c>
      <c r="G98" s="46">
        <v>103014.08</v>
      </c>
      <c r="H98" s="46">
        <v>106104.5</v>
      </c>
    </row>
    <row r="99" spans="3:8" ht="15.75" hidden="1" thickBot="1" x14ac:dyDescent="0.25">
      <c r="C99" s="43">
        <v>1910</v>
      </c>
      <c r="D99" s="44" t="s">
        <v>142</v>
      </c>
      <c r="E99" s="45" t="s">
        <v>43</v>
      </c>
      <c r="F99" s="46">
        <v>1000814.7</v>
      </c>
      <c r="G99" s="46">
        <v>1030839.14</v>
      </c>
      <c r="H99" s="46">
        <v>1061764.31</v>
      </c>
    </row>
    <row r="100" spans="3:8" ht="15.75" hidden="1" thickBot="1" x14ac:dyDescent="0.25">
      <c r="C100" s="43">
        <v>1911</v>
      </c>
      <c r="D100" s="44" t="s">
        <v>143</v>
      </c>
      <c r="E100" s="45" t="s">
        <v>43</v>
      </c>
      <c r="F100" s="46">
        <v>1611067.57</v>
      </c>
      <c r="G100" s="46">
        <v>1659399.59</v>
      </c>
      <c r="H100" s="46">
        <v>1709181.58</v>
      </c>
    </row>
    <row r="101" spans="3:8" ht="15.75" hidden="1" thickBot="1" x14ac:dyDescent="0.25">
      <c r="C101" s="43" t="s">
        <v>144</v>
      </c>
      <c r="D101" s="44" t="s">
        <v>145</v>
      </c>
      <c r="E101" s="45" t="s">
        <v>146</v>
      </c>
      <c r="F101" s="46">
        <v>50854.41</v>
      </c>
      <c r="G101" s="46">
        <v>52380.05</v>
      </c>
      <c r="H101" s="46">
        <v>53951.45</v>
      </c>
    </row>
    <row r="102" spans="3:8" ht="15.75" hidden="1" thickBot="1" x14ac:dyDescent="0.25">
      <c r="C102" s="43">
        <v>1914</v>
      </c>
      <c r="D102" s="44" t="s">
        <v>147</v>
      </c>
      <c r="E102" s="45" t="s">
        <v>62</v>
      </c>
      <c r="F102" s="46">
        <v>16781.96</v>
      </c>
      <c r="G102" s="46">
        <v>17285.419999999998</v>
      </c>
      <c r="H102" s="46">
        <v>17803.98</v>
      </c>
    </row>
    <row r="103" spans="3:8" ht="15.75" hidden="1" thickBot="1" x14ac:dyDescent="0.25">
      <c r="C103" s="74" t="s">
        <v>148</v>
      </c>
      <c r="D103" s="75"/>
      <c r="E103" s="48"/>
      <c r="F103" s="49"/>
      <c r="G103" s="49"/>
      <c r="H103" s="49"/>
    </row>
    <row r="104" spans="3:8" ht="15.75" hidden="1" thickBot="1" x14ac:dyDescent="0.25">
      <c r="C104" s="43">
        <v>1650</v>
      </c>
      <c r="D104" s="44" t="s">
        <v>149</v>
      </c>
      <c r="E104" s="45" t="s">
        <v>62</v>
      </c>
      <c r="F104" s="46">
        <v>6543.42</v>
      </c>
      <c r="G104" s="46">
        <v>6739.72</v>
      </c>
      <c r="H104" s="46">
        <v>6941.91</v>
      </c>
    </row>
    <row r="105" spans="3:8" ht="15.75" hidden="1" thickBot="1" x14ac:dyDescent="0.25">
      <c r="C105" s="43">
        <v>1653</v>
      </c>
      <c r="D105" s="44" t="s">
        <v>150</v>
      </c>
      <c r="E105" s="45" t="s">
        <v>62</v>
      </c>
      <c r="F105" s="46">
        <v>4308.87</v>
      </c>
      <c r="G105" s="46">
        <v>4438.1400000000003</v>
      </c>
      <c r="H105" s="46">
        <v>4571.28</v>
      </c>
    </row>
    <row r="106" spans="3:8" ht="30.75" hidden="1" thickBot="1" x14ac:dyDescent="0.25">
      <c r="C106" s="43">
        <v>1658</v>
      </c>
      <c r="D106" s="44" t="s">
        <v>151</v>
      </c>
      <c r="E106" s="45" t="s">
        <v>43</v>
      </c>
      <c r="F106" s="46">
        <v>675346.49</v>
      </c>
      <c r="G106" s="46">
        <v>695606.89</v>
      </c>
      <c r="H106" s="46">
        <v>716475.1</v>
      </c>
    </row>
    <row r="107" spans="3:8" ht="15.75" hidden="1" thickBot="1" x14ac:dyDescent="0.25">
      <c r="C107" s="43">
        <v>1659</v>
      </c>
      <c r="D107" s="44" t="s">
        <v>152</v>
      </c>
      <c r="E107" s="45" t="s">
        <v>62</v>
      </c>
      <c r="F107" s="46">
        <v>28139.439999999999</v>
      </c>
      <c r="G107" s="46">
        <v>28983.62</v>
      </c>
      <c r="H107" s="46">
        <v>29853.13</v>
      </c>
    </row>
    <row r="108" spans="3:8" ht="15.75" hidden="1" thickBot="1" x14ac:dyDescent="0.25">
      <c r="C108" s="43">
        <v>1660</v>
      </c>
      <c r="D108" s="44" t="s">
        <v>153</v>
      </c>
      <c r="E108" s="45" t="s">
        <v>43</v>
      </c>
      <c r="F108" s="46">
        <v>232235.12</v>
      </c>
      <c r="G108" s="46">
        <v>239202.17</v>
      </c>
      <c r="H108" s="46">
        <v>246378.23999999999</v>
      </c>
    </row>
    <row r="109" spans="3:8" ht="15.75" hidden="1" thickBot="1" x14ac:dyDescent="0.25">
      <c r="C109" s="43">
        <v>1661</v>
      </c>
      <c r="D109" s="44" t="s">
        <v>154</v>
      </c>
      <c r="E109" s="45" t="s">
        <v>43</v>
      </c>
      <c r="F109" s="46">
        <v>602116.16</v>
      </c>
      <c r="G109" s="46">
        <v>620179.64</v>
      </c>
      <c r="H109" s="46">
        <v>638785.03</v>
      </c>
    </row>
    <row r="110" spans="3:8" ht="15.75" hidden="1" thickBot="1" x14ac:dyDescent="0.25">
      <c r="C110" s="43">
        <v>1662</v>
      </c>
      <c r="D110" s="44" t="s">
        <v>155</v>
      </c>
      <c r="E110" s="45" t="s">
        <v>43</v>
      </c>
      <c r="F110" s="46">
        <v>939789.4</v>
      </c>
      <c r="G110" s="46">
        <v>967983.08</v>
      </c>
      <c r="H110" s="46">
        <v>997022.57</v>
      </c>
    </row>
    <row r="111" spans="3:8" ht="15.75" hidden="1" thickBot="1" x14ac:dyDescent="0.25">
      <c r="C111" s="43">
        <v>1664</v>
      </c>
      <c r="D111" s="44" t="s">
        <v>156</v>
      </c>
      <c r="E111" s="45" t="s">
        <v>62</v>
      </c>
      <c r="F111" s="46">
        <v>7628.16</v>
      </c>
      <c r="G111" s="46">
        <v>7857.01</v>
      </c>
      <c r="H111" s="46">
        <v>8092.72</v>
      </c>
    </row>
    <row r="112" spans="3:8" ht="15.75" hidden="1" thickBot="1" x14ac:dyDescent="0.25">
      <c r="C112" s="43">
        <v>1668</v>
      </c>
      <c r="D112" s="44" t="s">
        <v>157</v>
      </c>
      <c r="E112" s="45" t="s">
        <v>62</v>
      </c>
      <c r="F112" s="46">
        <v>4308.87</v>
      </c>
      <c r="G112" s="46">
        <v>4438.1400000000003</v>
      </c>
      <c r="H112" s="46">
        <v>4571.28</v>
      </c>
    </row>
    <row r="113" spans="3:9" ht="15.75" hidden="1" thickBot="1" x14ac:dyDescent="0.3">
      <c r="C113" s="43">
        <v>1671</v>
      </c>
      <c r="D113" s="44" t="s">
        <v>158</v>
      </c>
      <c r="E113" s="45" t="s">
        <v>159</v>
      </c>
      <c r="F113" s="46">
        <v>1872492.78</v>
      </c>
      <c r="G113" s="46">
        <v>1928667.57</v>
      </c>
      <c r="H113" s="46">
        <v>1986527.6</v>
      </c>
      <c r="I113" s="34"/>
    </row>
    <row r="114" spans="3:9" ht="15.75" hidden="1" thickBot="1" x14ac:dyDescent="0.3">
      <c r="C114" s="43">
        <v>1672</v>
      </c>
      <c r="D114" s="44" t="s">
        <v>160</v>
      </c>
      <c r="E114" s="45" t="s">
        <v>62</v>
      </c>
      <c r="F114" s="46">
        <v>4369.1499999999996</v>
      </c>
      <c r="G114" s="46">
        <v>4500.22</v>
      </c>
      <c r="H114" s="46">
        <v>4635.2299999999996</v>
      </c>
      <c r="I114" s="34"/>
    </row>
    <row r="115" spans="3:9" ht="15.75" hidden="1" thickBot="1" x14ac:dyDescent="0.3">
      <c r="C115" s="43">
        <v>1680</v>
      </c>
      <c r="D115" s="44" t="s">
        <v>160</v>
      </c>
      <c r="E115" s="45" t="s">
        <v>133</v>
      </c>
      <c r="F115" s="46">
        <v>121087.87</v>
      </c>
      <c r="G115" s="46">
        <v>124720.5</v>
      </c>
      <c r="H115" s="46">
        <v>128462.12</v>
      </c>
      <c r="I115" s="34"/>
    </row>
    <row r="116" spans="3:9" ht="15.75" hidden="1" thickBot="1" x14ac:dyDescent="0.3">
      <c r="C116" s="43">
        <v>1673</v>
      </c>
      <c r="D116" s="44" t="s">
        <v>161</v>
      </c>
      <c r="E116" s="45" t="s">
        <v>43</v>
      </c>
      <c r="F116" s="46">
        <v>972218.48</v>
      </c>
      <c r="G116" s="46">
        <v>1001385.03</v>
      </c>
      <c r="H116" s="46">
        <v>1031426.58</v>
      </c>
      <c r="I116" s="34"/>
    </row>
    <row r="117" spans="3:9" ht="15.75" hidden="1" thickBot="1" x14ac:dyDescent="0.3">
      <c r="C117" s="43">
        <v>1675</v>
      </c>
      <c r="D117" s="44" t="s">
        <v>162</v>
      </c>
      <c r="E117" s="45" t="s">
        <v>43</v>
      </c>
      <c r="F117" s="46">
        <v>395304.03</v>
      </c>
      <c r="G117" s="46">
        <v>407163.15</v>
      </c>
      <c r="H117" s="46">
        <v>419378.04</v>
      </c>
      <c r="I117" s="34"/>
    </row>
    <row r="118" spans="3:9" ht="15.75" hidden="1" thickBot="1" x14ac:dyDescent="0.3">
      <c r="C118" s="43">
        <v>1678</v>
      </c>
      <c r="D118" s="44" t="s">
        <v>163</v>
      </c>
      <c r="E118" s="45" t="s">
        <v>62</v>
      </c>
      <c r="F118" s="46">
        <v>13731.61</v>
      </c>
      <c r="G118" s="46">
        <v>14143.56</v>
      </c>
      <c r="H118" s="46">
        <v>14567.87</v>
      </c>
      <c r="I118" s="34"/>
    </row>
    <row r="119" spans="3:9" ht="15.75" hidden="1" thickBot="1" x14ac:dyDescent="0.3">
      <c r="C119" s="74" t="s">
        <v>164</v>
      </c>
      <c r="D119" s="75"/>
      <c r="E119" s="48"/>
      <c r="F119" s="49"/>
      <c r="G119" s="49"/>
      <c r="H119" s="49"/>
      <c r="I119" s="34"/>
    </row>
    <row r="120" spans="3:9" ht="15.75" hidden="1" thickBot="1" x14ac:dyDescent="0.3">
      <c r="C120" s="74" t="s">
        <v>165</v>
      </c>
      <c r="D120" s="75"/>
      <c r="E120" s="48"/>
      <c r="F120" s="49"/>
      <c r="G120" s="49"/>
      <c r="H120" s="49"/>
      <c r="I120" s="34"/>
    </row>
    <row r="121" spans="3:9" ht="15.75" hidden="1" thickBot="1" x14ac:dyDescent="0.3">
      <c r="C121" s="43">
        <v>3219</v>
      </c>
      <c r="D121" s="44" t="s">
        <v>166</v>
      </c>
      <c r="E121" s="45" t="s">
        <v>70</v>
      </c>
      <c r="F121" s="46">
        <v>1492.55</v>
      </c>
      <c r="G121" s="46">
        <v>1537.33</v>
      </c>
      <c r="H121" s="46">
        <v>1583.45</v>
      </c>
      <c r="I121" s="34"/>
    </row>
    <row r="122" spans="3:9" ht="15.75" hidden="1" thickBot="1" x14ac:dyDescent="0.3">
      <c r="C122" s="43">
        <v>3220</v>
      </c>
      <c r="D122" s="44" t="s">
        <v>167</v>
      </c>
      <c r="E122" s="45" t="s">
        <v>70</v>
      </c>
      <c r="F122" s="46">
        <v>2006.27</v>
      </c>
      <c r="G122" s="46">
        <v>2066.46</v>
      </c>
      <c r="H122" s="46">
        <v>2128.4499999999998</v>
      </c>
      <c r="I122" s="34"/>
    </row>
    <row r="123" spans="3:9" ht="15.75" hidden="1" thickBot="1" x14ac:dyDescent="0.3">
      <c r="C123" s="74" t="s">
        <v>168</v>
      </c>
      <c r="D123" s="75"/>
      <c r="E123" s="49"/>
      <c r="F123" s="49"/>
      <c r="G123" s="49"/>
      <c r="H123" s="49"/>
      <c r="I123" s="34"/>
    </row>
    <row r="124" spans="3:9" ht="15.75" hidden="1" thickBot="1" x14ac:dyDescent="0.3">
      <c r="C124" s="43">
        <v>3232</v>
      </c>
      <c r="D124" s="44" t="s">
        <v>169</v>
      </c>
      <c r="E124" s="45" t="s">
        <v>43</v>
      </c>
      <c r="F124" s="46">
        <v>335639.07</v>
      </c>
      <c r="G124" s="46">
        <v>345708.24</v>
      </c>
      <c r="H124" s="46">
        <v>356079.49</v>
      </c>
      <c r="I124" s="34"/>
    </row>
    <row r="125" spans="3:9" ht="15.75" hidden="1" thickBot="1" x14ac:dyDescent="0.3">
      <c r="C125" s="43">
        <v>3239</v>
      </c>
      <c r="D125" s="44" t="s">
        <v>170</v>
      </c>
      <c r="E125" s="45" t="s">
        <v>43</v>
      </c>
      <c r="F125" s="46">
        <v>1699079.58</v>
      </c>
      <c r="G125" s="46">
        <v>1750051.97</v>
      </c>
      <c r="H125" s="46">
        <v>1802553.53</v>
      </c>
      <c r="I125" s="34"/>
    </row>
    <row r="126" spans="3:9" ht="15.75" hidden="1" thickBot="1" x14ac:dyDescent="0.3">
      <c r="C126" s="43" t="s">
        <v>171</v>
      </c>
      <c r="D126" s="44" t="s">
        <v>172</v>
      </c>
      <c r="E126" s="45" t="s">
        <v>62</v>
      </c>
      <c r="F126" s="46">
        <v>6600</v>
      </c>
      <c r="G126" s="46">
        <v>6798</v>
      </c>
      <c r="H126" s="46">
        <v>7001.94</v>
      </c>
      <c r="I126" s="34"/>
    </row>
    <row r="127" spans="3:9" ht="15.75" hidden="1" thickBot="1" x14ac:dyDescent="0.3">
      <c r="C127" s="43">
        <v>3272</v>
      </c>
      <c r="D127" s="44" t="s">
        <v>173</v>
      </c>
      <c r="E127" s="45" t="s">
        <v>133</v>
      </c>
      <c r="F127" s="46">
        <v>279373.13</v>
      </c>
      <c r="G127" s="46">
        <v>287754.32</v>
      </c>
      <c r="H127" s="46">
        <v>296386.95</v>
      </c>
      <c r="I127" s="34"/>
    </row>
    <row r="128" spans="3:9" ht="15" hidden="1" x14ac:dyDescent="0.2">
      <c r="C128" s="76" t="s">
        <v>174</v>
      </c>
      <c r="D128" s="76"/>
      <c r="E128" s="47"/>
      <c r="F128" s="47"/>
      <c r="G128" s="47"/>
      <c r="H128" s="47"/>
      <c r="I128" s="52"/>
    </row>
    <row r="129" spans="3:9" ht="15" hidden="1" x14ac:dyDescent="0.2">
      <c r="C129" s="64" t="s">
        <v>175</v>
      </c>
      <c r="D129" s="64"/>
      <c r="E129" s="47"/>
      <c r="F129" s="47"/>
      <c r="G129" s="47"/>
      <c r="H129" s="47"/>
      <c r="I129" s="52"/>
    </row>
    <row r="130" spans="3:9" ht="15" hidden="1" x14ac:dyDescent="0.2">
      <c r="C130" s="63" t="s">
        <v>176</v>
      </c>
      <c r="D130" s="63"/>
      <c r="E130" s="63"/>
      <c r="F130" s="63"/>
      <c r="G130" s="63"/>
      <c r="H130" s="63"/>
      <c r="I130" s="63"/>
    </row>
    <row r="131" spans="3:9" ht="15" hidden="1" x14ac:dyDescent="0.2">
      <c r="C131" s="62"/>
      <c r="D131" s="62"/>
      <c r="E131" s="62"/>
      <c r="F131" s="62"/>
      <c r="G131" s="62"/>
      <c r="H131" s="62"/>
      <c r="I131" s="62"/>
    </row>
    <row r="132" spans="3:9" ht="15" hidden="1" x14ac:dyDescent="0.2">
      <c r="C132" s="63" t="s">
        <v>177</v>
      </c>
      <c r="D132" s="63"/>
      <c r="E132" s="63"/>
      <c r="F132" s="63"/>
      <c r="G132" s="63"/>
      <c r="H132" s="63"/>
      <c r="I132" s="63"/>
    </row>
    <row r="133" spans="3:9" ht="60.75" hidden="1" customHeight="1" x14ac:dyDescent="0.2">
      <c r="C133" s="63" t="s">
        <v>178</v>
      </c>
      <c r="D133" s="63"/>
      <c r="E133" s="63"/>
      <c r="F133" s="63"/>
      <c r="G133" s="63"/>
      <c r="H133" s="63"/>
      <c r="I133" s="63"/>
    </row>
    <row r="134" spans="3:9" ht="39" hidden="1" customHeight="1" x14ac:dyDescent="0.2">
      <c r="C134" s="63" t="s">
        <v>179</v>
      </c>
      <c r="D134" s="63"/>
      <c r="E134" s="63"/>
      <c r="F134" s="63"/>
      <c r="G134" s="63"/>
      <c r="H134" s="63"/>
      <c r="I134" s="63"/>
    </row>
    <row r="135" spans="3:9" ht="42" hidden="1" customHeight="1" x14ac:dyDescent="0.2">
      <c r="C135" s="63" t="s">
        <v>180</v>
      </c>
      <c r="D135" s="63"/>
      <c r="E135" s="63"/>
      <c r="F135" s="63"/>
      <c r="G135" s="63"/>
      <c r="H135" s="63"/>
      <c r="I135" s="63"/>
    </row>
    <row r="136" spans="3:9" ht="15" hidden="1" x14ac:dyDescent="0.2">
      <c r="C136" s="63" t="s">
        <v>181</v>
      </c>
      <c r="D136" s="63"/>
      <c r="E136" s="63"/>
      <c r="F136" s="63"/>
      <c r="G136" s="63"/>
      <c r="H136" s="63"/>
      <c r="I136" s="63"/>
    </row>
    <row r="137" spans="3:9" ht="15" hidden="1" x14ac:dyDescent="0.2">
      <c r="C137" s="63" t="s">
        <v>182</v>
      </c>
      <c r="D137" s="63"/>
      <c r="E137" s="63"/>
      <c r="F137" s="63"/>
      <c r="G137" s="63"/>
      <c r="H137" s="63"/>
      <c r="I137" s="63"/>
    </row>
    <row r="138" spans="3:9" ht="36" hidden="1" customHeight="1" x14ac:dyDescent="0.2">
      <c r="C138" s="63" t="s">
        <v>183</v>
      </c>
      <c r="D138" s="63"/>
      <c r="E138" s="63"/>
      <c r="F138" s="63"/>
      <c r="G138" s="63"/>
      <c r="H138" s="63"/>
      <c r="I138" s="63"/>
    </row>
    <row r="139" spans="3:9" ht="14.25" hidden="1" x14ac:dyDescent="0.2">
      <c r="C139" s="70" t="s">
        <v>184</v>
      </c>
      <c r="D139" s="70"/>
      <c r="E139" s="70"/>
      <c r="F139" s="70"/>
      <c r="G139" s="70"/>
      <c r="H139" s="70"/>
      <c r="I139" s="70"/>
    </row>
    <row r="140" spans="3:9" ht="14.25" hidden="1" x14ac:dyDescent="0.2">
      <c r="C140" s="70" t="s">
        <v>185</v>
      </c>
      <c r="D140" s="70"/>
      <c r="E140" s="70"/>
      <c r="F140" s="70"/>
      <c r="G140" s="70"/>
      <c r="H140" s="70"/>
      <c r="I140" s="70"/>
    </row>
    <row r="141" spans="3:9" ht="45" hidden="1" customHeight="1" x14ac:dyDescent="0.2">
      <c r="C141" s="63" t="s">
        <v>186</v>
      </c>
      <c r="D141" s="63"/>
      <c r="E141" s="63"/>
      <c r="F141" s="63"/>
      <c r="G141" s="63"/>
      <c r="H141" s="63"/>
      <c r="I141" s="63"/>
    </row>
    <row r="142" spans="3:9" ht="14.25" hidden="1" x14ac:dyDescent="0.2">
      <c r="C142" s="70" t="s">
        <v>187</v>
      </c>
      <c r="D142" s="70"/>
      <c r="E142" s="70"/>
      <c r="F142" s="70"/>
      <c r="G142" s="70"/>
      <c r="H142" s="70"/>
      <c r="I142" s="70"/>
    </row>
    <row r="143" spans="3:9" ht="60.75" hidden="1" customHeight="1" x14ac:dyDescent="0.2">
      <c r="C143" s="63" t="s">
        <v>188</v>
      </c>
      <c r="D143" s="63"/>
      <c r="E143" s="63"/>
      <c r="F143" s="63"/>
      <c r="G143" s="63"/>
      <c r="H143" s="63"/>
      <c r="I143" s="63"/>
    </row>
    <row r="144" spans="3:9" ht="15" hidden="1" x14ac:dyDescent="0.2">
      <c r="C144" s="63" t="s">
        <v>189</v>
      </c>
      <c r="D144" s="63"/>
      <c r="E144" s="63"/>
      <c r="F144" s="63"/>
      <c r="G144" s="63"/>
      <c r="H144" s="63"/>
      <c r="I144" s="63"/>
    </row>
    <row r="145" spans="3:9" ht="38.25" hidden="1" customHeight="1" x14ac:dyDescent="0.2">
      <c r="C145" s="63" t="s">
        <v>190</v>
      </c>
      <c r="D145" s="63"/>
      <c r="E145" s="63"/>
      <c r="F145" s="63"/>
      <c r="G145" s="63"/>
      <c r="H145" s="63"/>
      <c r="I145" s="63"/>
    </row>
    <row r="146" spans="3:9" ht="14.25" hidden="1" x14ac:dyDescent="0.2">
      <c r="C146" s="70" t="s">
        <v>191</v>
      </c>
      <c r="D146" s="70"/>
      <c r="E146" s="70"/>
      <c r="F146" s="70"/>
      <c r="G146" s="70"/>
      <c r="H146" s="70"/>
      <c r="I146" s="70"/>
    </row>
    <row r="147" spans="3:9" ht="38.25" hidden="1" customHeight="1" x14ac:dyDescent="0.2">
      <c r="C147" s="63" t="s">
        <v>192</v>
      </c>
      <c r="D147" s="63"/>
      <c r="E147" s="63"/>
      <c r="F147" s="63"/>
      <c r="G147" s="63"/>
      <c r="H147" s="63"/>
      <c r="I147" s="63"/>
    </row>
    <row r="148" spans="3:9" ht="36" hidden="1" customHeight="1" x14ac:dyDescent="0.2">
      <c r="C148" s="63" t="s">
        <v>193</v>
      </c>
      <c r="D148" s="63"/>
      <c r="E148" s="63"/>
      <c r="F148" s="63"/>
      <c r="G148" s="63"/>
      <c r="H148" s="63"/>
      <c r="I148" s="63"/>
    </row>
    <row r="149" spans="3:9" ht="14.25" hidden="1" x14ac:dyDescent="0.2">
      <c r="C149" s="70" t="s">
        <v>194</v>
      </c>
      <c r="D149" s="70"/>
      <c r="E149" s="70"/>
      <c r="F149" s="70"/>
      <c r="G149" s="70"/>
      <c r="H149" s="70"/>
      <c r="I149" s="70"/>
    </row>
    <row r="150" spans="3:9" ht="51.75" hidden="1" customHeight="1" x14ac:dyDescent="0.2">
      <c r="C150" s="63" t="s">
        <v>195</v>
      </c>
      <c r="D150" s="63"/>
      <c r="E150" s="63"/>
      <c r="F150" s="63"/>
      <c r="G150" s="63"/>
      <c r="H150" s="63"/>
      <c r="I150" s="63"/>
    </row>
    <row r="151" spans="3:9" ht="15" hidden="1" x14ac:dyDescent="0.2">
      <c r="C151" s="52"/>
      <c r="D151" s="52"/>
      <c r="E151" s="52"/>
      <c r="F151" s="52"/>
      <c r="G151" s="52"/>
      <c r="H151" s="52"/>
      <c r="I151" s="52"/>
    </row>
    <row r="152" spans="3:9" ht="15.75" hidden="1" thickBot="1" x14ac:dyDescent="0.25">
      <c r="C152" s="65" t="s">
        <v>196</v>
      </c>
      <c r="D152" s="65"/>
      <c r="E152" s="47"/>
      <c r="F152" s="47"/>
      <c r="G152" s="47"/>
      <c r="H152" s="47"/>
      <c r="I152" s="52"/>
    </row>
    <row r="153" spans="3:9" ht="14.25" hidden="1" x14ac:dyDescent="0.2">
      <c r="C153" s="71" t="s">
        <v>34</v>
      </c>
      <c r="D153" s="71" t="s">
        <v>35</v>
      </c>
      <c r="E153" s="71" t="s">
        <v>36</v>
      </c>
      <c r="F153" s="38" t="s">
        <v>37</v>
      </c>
      <c r="G153" s="38" t="s">
        <v>37</v>
      </c>
      <c r="H153" s="38" t="s">
        <v>37</v>
      </c>
      <c r="I153" s="69"/>
    </row>
    <row r="154" spans="3:9" ht="14.25" hidden="1" x14ac:dyDescent="0.2">
      <c r="C154" s="72"/>
      <c r="D154" s="72"/>
      <c r="E154" s="72"/>
      <c r="F154" s="40" t="s">
        <v>38</v>
      </c>
      <c r="G154" s="40" t="s">
        <v>39</v>
      </c>
      <c r="H154" s="40" t="s">
        <v>40</v>
      </c>
      <c r="I154" s="69"/>
    </row>
    <row r="155" spans="3:9" ht="15" hidden="1" thickBot="1" x14ac:dyDescent="0.25">
      <c r="C155" s="73"/>
      <c r="D155" s="73"/>
      <c r="E155" s="73"/>
      <c r="F155" s="42" t="s">
        <v>41</v>
      </c>
      <c r="G155" s="42" t="s">
        <v>41</v>
      </c>
      <c r="H155" s="42" t="s">
        <v>41</v>
      </c>
      <c r="I155" s="69"/>
    </row>
    <row r="156" spans="3:9" ht="30.75" hidden="1" thickBot="1" x14ac:dyDescent="0.25">
      <c r="C156" s="53">
        <v>1634</v>
      </c>
      <c r="D156" s="44" t="s">
        <v>197</v>
      </c>
      <c r="E156" s="54" t="s">
        <v>43</v>
      </c>
      <c r="F156" s="46">
        <v>339029.37</v>
      </c>
      <c r="G156" s="46">
        <v>349200.25</v>
      </c>
      <c r="H156" s="46">
        <v>359676.26</v>
      </c>
      <c r="I156" s="52"/>
    </row>
    <row r="157" spans="3:9" ht="30.75" hidden="1" thickBot="1" x14ac:dyDescent="0.25">
      <c r="C157" s="53">
        <v>1635</v>
      </c>
      <c r="D157" s="44" t="s">
        <v>198</v>
      </c>
      <c r="E157" s="54" t="s">
        <v>43</v>
      </c>
      <c r="F157" s="46">
        <v>254272.03</v>
      </c>
      <c r="G157" s="46">
        <v>261900.19</v>
      </c>
      <c r="H157" s="46">
        <v>269757.2</v>
      </c>
      <c r="I157" s="52"/>
    </row>
    <row r="158" spans="3:9" ht="45.75" hidden="1" thickBot="1" x14ac:dyDescent="0.25">
      <c r="C158" s="53">
        <v>1636</v>
      </c>
      <c r="D158" s="44" t="s">
        <v>199</v>
      </c>
      <c r="E158" s="54" t="s">
        <v>43</v>
      </c>
      <c r="F158" s="46">
        <v>508544.05</v>
      </c>
      <c r="G158" s="46">
        <v>523800.37</v>
      </c>
      <c r="H158" s="46">
        <v>539514.38</v>
      </c>
      <c r="I158" s="52"/>
    </row>
    <row r="159" spans="3:9" ht="45.75" hidden="1" thickBot="1" x14ac:dyDescent="0.25">
      <c r="C159" s="53">
        <v>1637</v>
      </c>
      <c r="D159" s="44" t="s">
        <v>200</v>
      </c>
      <c r="E159" s="54" t="s">
        <v>43</v>
      </c>
      <c r="F159" s="46">
        <v>339029.37</v>
      </c>
      <c r="G159" s="46">
        <v>349200.25</v>
      </c>
      <c r="H159" s="46">
        <v>359676.26</v>
      </c>
      <c r="I159" s="52"/>
    </row>
    <row r="160" spans="3:9" ht="45.75" hidden="1" thickBot="1" x14ac:dyDescent="0.25">
      <c r="C160" s="53">
        <v>1638</v>
      </c>
      <c r="D160" s="44" t="s">
        <v>201</v>
      </c>
      <c r="E160" s="54" t="s">
        <v>43</v>
      </c>
      <c r="F160" s="46">
        <v>508544.05</v>
      </c>
      <c r="G160" s="46">
        <v>523800.37</v>
      </c>
      <c r="H160" s="46">
        <v>539514.38</v>
      </c>
      <c r="I160" s="52"/>
    </row>
    <row r="161" spans="3:9" ht="45.75" hidden="1" thickBot="1" x14ac:dyDescent="0.25">
      <c r="C161" s="53">
        <v>1639</v>
      </c>
      <c r="D161" s="44" t="s">
        <v>202</v>
      </c>
      <c r="E161" s="54" t="s">
        <v>43</v>
      </c>
      <c r="F161" s="46">
        <v>339029.37</v>
      </c>
      <c r="G161" s="46">
        <v>349200.25</v>
      </c>
      <c r="H161" s="46">
        <v>359676.26</v>
      </c>
      <c r="I161" s="52"/>
    </row>
    <row r="162" spans="3:9" ht="15" hidden="1" x14ac:dyDescent="0.2">
      <c r="C162" s="47"/>
      <c r="D162" s="47"/>
      <c r="E162" s="47"/>
      <c r="F162" s="47"/>
      <c r="G162" s="47"/>
      <c r="H162" s="47"/>
      <c r="I162" s="52"/>
    </row>
    <row r="163" spans="3:9" ht="15.75" hidden="1" thickBot="1" x14ac:dyDescent="0.25">
      <c r="C163" s="65" t="s">
        <v>203</v>
      </c>
      <c r="D163" s="65"/>
      <c r="E163" s="47"/>
      <c r="F163" s="47"/>
      <c r="G163" s="47"/>
      <c r="H163" s="47"/>
      <c r="I163" s="52"/>
    </row>
    <row r="164" spans="3:9" ht="14.25" hidden="1" x14ac:dyDescent="0.2">
      <c r="C164" s="66" t="s">
        <v>34</v>
      </c>
      <c r="D164" s="66" t="s">
        <v>35</v>
      </c>
      <c r="E164" s="66" t="s">
        <v>36</v>
      </c>
      <c r="F164" s="38" t="s">
        <v>65</v>
      </c>
      <c r="G164" s="38" t="s">
        <v>65</v>
      </c>
      <c r="H164" s="38" t="s">
        <v>65</v>
      </c>
      <c r="I164" s="69"/>
    </row>
    <row r="165" spans="3:9" ht="14.25" hidden="1" x14ac:dyDescent="0.2">
      <c r="C165" s="67"/>
      <c r="D165" s="67"/>
      <c r="E165" s="67"/>
      <c r="F165" s="40" t="s">
        <v>38</v>
      </c>
      <c r="G165" s="40" t="s">
        <v>39</v>
      </c>
      <c r="H165" s="40" t="s">
        <v>40</v>
      </c>
      <c r="I165" s="69"/>
    </row>
    <row r="166" spans="3:9" ht="15" hidden="1" thickBot="1" x14ac:dyDescent="0.25">
      <c r="C166" s="68"/>
      <c r="D166" s="68"/>
      <c r="E166" s="68"/>
      <c r="F166" s="42" t="s">
        <v>41</v>
      </c>
      <c r="G166" s="42" t="s">
        <v>41</v>
      </c>
      <c r="H166" s="42" t="s">
        <v>41</v>
      </c>
      <c r="I166" s="69"/>
    </row>
    <row r="167" spans="3:9" ht="45.75" hidden="1" thickBot="1" x14ac:dyDescent="0.25">
      <c r="C167" s="53">
        <v>3059</v>
      </c>
      <c r="D167" s="44" t="s">
        <v>204</v>
      </c>
      <c r="E167" s="54" t="s">
        <v>43</v>
      </c>
      <c r="F167" s="45" t="s">
        <v>205</v>
      </c>
      <c r="G167" s="45" t="s">
        <v>205</v>
      </c>
      <c r="H167" s="45" t="s">
        <v>205</v>
      </c>
      <c r="I167" s="52"/>
    </row>
    <row r="168" spans="3:9" ht="15.75" hidden="1" thickBot="1" x14ac:dyDescent="0.25">
      <c r="C168" s="53">
        <v>3052</v>
      </c>
      <c r="D168" s="44" t="s">
        <v>206</v>
      </c>
      <c r="E168" s="54" t="s">
        <v>62</v>
      </c>
      <c r="F168" s="45" t="s">
        <v>205</v>
      </c>
      <c r="G168" s="45" t="s">
        <v>205</v>
      </c>
      <c r="H168" s="45" t="s">
        <v>205</v>
      </c>
      <c r="I168" s="52"/>
    </row>
    <row r="169" spans="3:9" ht="15.75" hidden="1" thickBot="1" x14ac:dyDescent="0.25">
      <c r="C169" s="53">
        <v>3053</v>
      </c>
      <c r="D169" s="44" t="s">
        <v>207</v>
      </c>
      <c r="E169" s="54" t="s">
        <v>208</v>
      </c>
      <c r="F169" s="45" t="s">
        <v>205</v>
      </c>
      <c r="G169" s="45" t="s">
        <v>205</v>
      </c>
      <c r="H169" s="45" t="s">
        <v>205</v>
      </c>
      <c r="I169" s="52"/>
    </row>
    <row r="170" spans="3:9" ht="15.75" hidden="1" thickBot="1" x14ac:dyDescent="0.25">
      <c r="C170" s="53">
        <v>3063</v>
      </c>
      <c r="D170" s="44" t="s">
        <v>209</v>
      </c>
      <c r="E170" s="54" t="s">
        <v>62</v>
      </c>
      <c r="F170" s="45" t="s">
        <v>205</v>
      </c>
      <c r="G170" s="45" t="s">
        <v>205</v>
      </c>
      <c r="H170" s="45" t="s">
        <v>205</v>
      </c>
      <c r="I170" s="52"/>
    </row>
    <row r="171" spans="3:9" ht="15" hidden="1" x14ac:dyDescent="0.2">
      <c r="C171" s="47"/>
      <c r="D171" s="47"/>
      <c r="E171" s="47"/>
      <c r="F171" s="47"/>
      <c r="G171" s="47"/>
      <c r="H171" s="47"/>
      <c r="I171" s="52"/>
    </row>
    <row r="172" spans="3:9" ht="15" hidden="1" x14ac:dyDescent="0.2">
      <c r="C172" s="64" t="s">
        <v>210</v>
      </c>
      <c r="D172" s="64"/>
      <c r="E172" s="47"/>
      <c r="F172" s="47"/>
      <c r="G172" s="47"/>
      <c r="H172" s="47"/>
      <c r="I172" s="52"/>
    </row>
    <row r="173" spans="3:9" ht="48" hidden="1" customHeight="1" x14ac:dyDescent="0.2">
      <c r="C173" s="63" t="s">
        <v>211</v>
      </c>
      <c r="D173" s="63"/>
      <c r="E173" s="63"/>
      <c r="F173" s="63"/>
      <c r="G173" s="63"/>
      <c r="H173" s="63"/>
      <c r="I173" s="63"/>
    </row>
    <row r="174" spans="3:9" ht="15" hidden="1" x14ac:dyDescent="0.2">
      <c r="C174" s="64" t="s">
        <v>212</v>
      </c>
      <c r="D174" s="64"/>
      <c r="E174" s="47"/>
      <c r="F174" s="47"/>
      <c r="G174" s="47"/>
      <c r="H174" s="47"/>
      <c r="I174" s="52"/>
    </row>
    <row r="175" spans="3:9" ht="46.5" hidden="1" customHeight="1" x14ac:dyDescent="0.2">
      <c r="C175" s="63" t="s">
        <v>213</v>
      </c>
      <c r="D175" s="63"/>
      <c r="E175" s="63"/>
      <c r="F175" s="63"/>
      <c r="G175" s="63"/>
      <c r="H175" s="63"/>
      <c r="I175" s="63"/>
    </row>
    <row r="176" spans="3:9" ht="15" hidden="1" x14ac:dyDescent="0.2">
      <c r="C176" s="64" t="s">
        <v>214</v>
      </c>
      <c r="D176" s="64"/>
      <c r="E176" s="47"/>
      <c r="F176" s="47"/>
      <c r="G176" s="47"/>
      <c r="H176" s="47"/>
      <c r="I176" s="52"/>
    </row>
    <row r="177" spans="3:9" ht="45" hidden="1" customHeight="1" x14ac:dyDescent="0.2">
      <c r="C177" s="63" t="s">
        <v>215</v>
      </c>
      <c r="D177" s="63"/>
      <c r="E177" s="63"/>
      <c r="F177" s="63"/>
      <c r="G177" s="63"/>
      <c r="H177" s="63"/>
      <c r="I177" s="63"/>
    </row>
    <row r="178" spans="3:9" ht="26.25" hidden="1" customHeight="1" x14ac:dyDescent="0.2">
      <c r="C178" s="63" t="s">
        <v>216</v>
      </c>
      <c r="D178" s="63"/>
      <c r="E178" s="63"/>
      <c r="F178" s="63"/>
      <c r="G178" s="63"/>
      <c r="H178" s="63"/>
      <c r="I178" s="63"/>
    </row>
    <row r="179" spans="3:9" ht="15" hidden="1" x14ac:dyDescent="0.2">
      <c r="C179" s="64" t="s">
        <v>217</v>
      </c>
      <c r="D179" s="64"/>
      <c r="E179" s="52"/>
      <c r="F179" s="52"/>
      <c r="G179" s="52"/>
      <c r="H179" s="52"/>
      <c r="I179" s="52"/>
    </row>
    <row r="180" spans="3:9" ht="36" hidden="1" customHeight="1" x14ac:dyDescent="0.2">
      <c r="C180" s="63" t="s">
        <v>218</v>
      </c>
      <c r="D180" s="63"/>
      <c r="E180" s="63"/>
      <c r="F180" s="63"/>
      <c r="G180" s="63"/>
      <c r="H180" s="63"/>
      <c r="I180" s="63"/>
    </row>
    <row r="181" spans="3:9" ht="37.5" hidden="1" customHeight="1" x14ac:dyDescent="0.2">
      <c r="C181" s="62" t="s">
        <v>219</v>
      </c>
      <c r="D181" s="62"/>
      <c r="E181" s="62"/>
      <c r="F181" s="62"/>
      <c r="G181" s="62"/>
      <c r="H181" s="62"/>
      <c r="I181" s="62"/>
    </row>
    <row r="182" spans="3:9" ht="82.5" hidden="1" customHeight="1" x14ac:dyDescent="0.2">
      <c r="C182" s="62" t="s">
        <v>220</v>
      </c>
      <c r="D182" s="62"/>
      <c r="E182" s="62"/>
      <c r="F182" s="62"/>
      <c r="G182" s="62"/>
      <c r="H182" s="62"/>
      <c r="I182" s="62"/>
    </row>
    <row r="183" spans="3:9" ht="45" hidden="1" customHeight="1" x14ac:dyDescent="0.2">
      <c r="C183" s="62" t="s">
        <v>221</v>
      </c>
      <c r="D183" s="62"/>
      <c r="E183" s="62"/>
      <c r="F183" s="62"/>
      <c r="G183" s="62"/>
      <c r="H183" s="62"/>
      <c r="I183" s="62"/>
    </row>
    <row r="184" spans="3:9" ht="15" hidden="1" x14ac:dyDescent="0.2">
      <c r="C184" s="62"/>
      <c r="D184" s="62"/>
      <c r="E184" s="62"/>
      <c r="F184" s="62"/>
      <c r="G184" s="62"/>
      <c r="H184" s="62"/>
      <c r="I184" s="62"/>
    </row>
    <row r="185" spans="3:9" ht="15" x14ac:dyDescent="0.2">
      <c r="C185" s="62" t="s">
        <v>222</v>
      </c>
      <c r="D185" s="62"/>
      <c r="E185" s="62"/>
      <c r="F185" s="62"/>
      <c r="G185" s="62"/>
      <c r="H185" s="62"/>
      <c r="I185" s="62"/>
    </row>
    <row r="186" spans="3:9" ht="15" hidden="1" x14ac:dyDescent="0.2">
      <c r="C186" s="62" t="s">
        <v>223</v>
      </c>
      <c r="D186" s="62"/>
      <c r="E186" s="62"/>
      <c r="F186" s="62"/>
      <c r="G186" s="62"/>
      <c r="H186" s="62"/>
      <c r="I186" s="62"/>
    </row>
    <row r="187" spans="3:9" ht="15" hidden="1" x14ac:dyDescent="0.2">
      <c r="C187" s="62" t="s">
        <v>224</v>
      </c>
      <c r="D187" s="62"/>
      <c r="E187" s="62"/>
      <c r="F187" s="62"/>
      <c r="G187" s="62"/>
      <c r="H187" s="62"/>
      <c r="I187" s="62"/>
    </row>
    <row r="188" spans="3:9" ht="15" hidden="1" x14ac:dyDescent="0.2">
      <c r="C188" s="62" t="s">
        <v>225</v>
      </c>
      <c r="D188" s="62"/>
      <c r="E188" s="62"/>
      <c r="F188" s="62"/>
      <c r="G188" s="62"/>
      <c r="H188" s="62"/>
      <c r="I188" s="62"/>
    </row>
    <row r="189" spans="3:9" ht="15" hidden="1" x14ac:dyDescent="0.2">
      <c r="C189" s="62" t="s">
        <v>226</v>
      </c>
      <c r="D189" s="62"/>
      <c r="E189" s="62"/>
      <c r="F189" s="62"/>
      <c r="G189" s="62"/>
      <c r="H189" s="62"/>
      <c r="I189" s="62"/>
    </row>
    <row r="190" spans="3:9" ht="15" hidden="1" x14ac:dyDescent="0.2">
      <c r="C190" s="62" t="s">
        <v>227</v>
      </c>
      <c r="D190" s="62"/>
      <c r="E190" s="62"/>
      <c r="F190" s="62"/>
      <c r="G190" s="62"/>
      <c r="H190" s="62"/>
      <c r="I190" s="62"/>
    </row>
    <row r="191" spans="3:9" ht="15" hidden="1" x14ac:dyDescent="0.2">
      <c r="C191" s="62" t="s">
        <v>228</v>
      </c>
      <c r="D191" s="62"/>
      <c r="E191" s="62"/>
      <c r="F191" s="62"/>
      <c r="G191" s="62"/>
      <c r="H191" s="62"/>
      <c r="I191" s="62"/>
    </row>
    <row r="192" spans="3:9" ht="15" hidden="1" x14ac:dyDescent="0.2">
      <c r="C192" s="62" t="s">
        <v>229</v>
      </c>
      <c r="D192" s="62"/>
      <c r="E192" s="62"/>
      <c r="F192" s="62"/>
      <c r="G192" s="62"/>
      <c r="H192" s="62"/>
      <c r="I192" s="62"/>
    </row>
    <row r="193" spans="3:9" ht="15" hidden="1" x14ac:dyDescent="0.2">
      <c r="C193" s="62" t="s">
        <v>230</v>
      </c>
      <c r="D193" s="62"/>
      <c r="E193" s="62"/>
      <c r="F193" s="62"/>
      <c r="G193" s="62"/>
      <c r="H193" s="62"/>
      <c r="I193" s="62"/>
    </row>
    <row r="194" spans="3:9" ht="15" hidden="1" x14ac:dyDescent="0.2">
      <c r="C194" s="62" t="s">
        <v>231</v>
      </c>
      <c r="D194" s="62"/>
      <c r="E194" s="62"/>
      <c r="F194" s="62"/>
      <c r="G194" s="62"/>
      <c r="H194" s="62"/>
      <c r="I194" s="62"/>
    </row>
    <row r="195" spans="3:9" ht="15" hidden="1" x14ac:dyDescent="0.2">
      <c r="C195" s="62" t="s">
        <v>232</v>
      </c>
      <c r="D195" s="62"/>
      <c r="E195" s="62"/>
      <c r="F195" s="62"/>
      <c r="G195" s="62"/>
      <c r="H195" s="62"/>
      <c r="I195" s="62"/>
    </row>
    <row r="196" spans="3:9" ht="44.25" hidden="1" customHeight="1" x14ac:dyDescent="0.2">
      <c r="C196" s="62" t="s">
        <v>233</v>
      </c>
      <c r="D196" s="62"/>
      <c r="E196" s="62"/>
      <c r="F196" s="62"/>
      <c r="G196" s="62"/>
      <c r="H196" s="62"/>
      <c r="I196" s="62"/>
    </row>
    <row r="197" spans="3:9" ht="32.25" hidden="1" customHeight="1" x14ac:dyDescent="0.2">
      <c r="C197" s="62" t="s">
        <v>234</v>
      </c>
      <c r="D197" s="62"/>
      <c r="E197" s="62"/>
      <c r="F197" s="62"/>
      <c r="G197" s="62"/>
      <c r="H197" s="62"/>
      <c r="I197" s="62"/>
    </row>
    <row r="198" spans="3:9" ht="30.75" hidden="1" customHeight="1" x14ac:dyDescent="0.2">
      <c r="C198" s="62" t="s">
        <v>235</v>
      </c>
      <c r="D198" s="62"/>
      <c r="E198" s="62"/>
      <c r="F198" s="62"/>
      <c r="G198" s="62"/>
      <c r="H198" s="62"/>
      <c r="I198" s="62"/>
    </row>
    <row r="199" spans="3:9" ht="24.75" hidden="1" customHeight="1" x14ac:dyDescent="0.2">
      <c r="C199" s="63" t="s">
        <v>236</v>
      </c>
      <c r="D199" s="63"/>
      <c r="E199" s="63"/>
      <c r="F199" s="63"/>
      <c r="G199" s="63"/>
      <c r="H199" s="63"/>
      <c r="I199" s="63"/>
    </row>
    <row r="200" spans="3:9" ht="15" hidden="1" x14ac:dyDescent="0.2">
      <c r="C200" s="63" t="s">
        <v>237</v>
      </c>
      <c r="D200" s="63"/>
      <c r="E200" s="63"/>
      <c r="F200" s="63"/>
      <c r="G200" s="63"/>
      <c r="H200" s="63"/>
      <c r="I200" s="63"/>
    </row>
    <row r="201" spans="3:9" ht="15" hidden="1" x14ac:dyDescent="0.2">
      <c r="C201" s="63" t="s">
        <v>238</v>
      </c>
      <c r="D201" s="63"/>
      <c r="E201" s="63"/>
      <c r="F201" s="63"/>
      <c r="G201" s="63"/>
      <c r="H201" s="63"/>
      <c r="I201" s="63"/>
    </row>
    <row r="202" spans="3:9" ht="15" hidden="1" x14ac:dyDescent="0.2">
      <c r="C202" s="63" t="s">
        <v>239</v>
      </c>
      <c r="D202" s="63"/>
      <c r="E202" s="63"/>
      <c r="F202" s="63"/>
      <c r="G202" s="63"/>
      <c r="H202" s="63"/>
      <c r="I202" s="63"/>
    </row>
    <row r="203" spans="3:9" ht="15" hidden="1" x14ac:dyDescent="0.25">
      <c r="C203" s="55"/>
      <c r="D203" s="34"/>
      <c r="E203" s="34"/>
      <c r="F203" s="34"/>
      <c r="G203" s="34"/>
      <c r="H203" s="34"/>
      <c r="I203" s="34"/>
    </row>
    <row r="204" spans="3:9" ht="15" hidden="1" x14ac:dyDescent="0.25">
      <c r="C204" s="55"/>
      <c r="D204" s="34"/>
      <c r="E204" s="34"/>
      <c r="F204" s="34"/>
      <c r="G204" s="34"/>
      <c r="H204" s="34"/>
      <c r="I204" s="34"/>
    </row>
    <row r="205" spans="3:9" ht="15" hidden="1" x14ac:dyDescent="0.25">
      <c r="C205" s="56"/>
      <c r="D205" s="34"/>
      <c r="E205" s="34"/>
      <c r="F205" s="34"/>
      <c r="G205" s="34"/>
      <c r="H205" s="34"/>
      <c r="I205" s="34"/>
    </row>
    <row r="206" spans="3:9" ht="15" hidden="1" x14ac:dyDescent="0.25">
      <c r="C206" s="56"/>
      <c r="D206" s="34"/>
      <c r="E206" s="34"/>
      <c r="F206" s="34"/>
      <c r="G206" s="34"/>
      <c r="H206" s="34"/>
      <c r="I206" s="34"/>
    </row>
    <row r="207" spans="3:9" ht="15" hidden="1" x14ac:dyDescent="0.25">
      <c r="C207" s="56"/>
      <c r="D207" s="34"/>
      <c r="E207" s="34"/>
      <c r="F207" s="34"/>
      <c r="G207" s="34"/>
      <c r="H207" s="34"/>
      <c r="I207" s="34"/>
    </row>
    <row r="208" spans="3:9" ht="28.5" hidden="1" x14ac:dyDescent="0.25">
      <c r="C208" s="57" t="s">
        <v>240</v>
      </c>
      <c r="D208" s="57" t="s">
        <v>241</v>
      </c>
      <c r="E208" s="34"/>
      <c r="F208" s="34"/>
      <c r="G208" s="34"/>
      <c r="H208" s="34"/>
      <c r="I208" s="34"/>
    </row>
    <row r="209" spans="3:4" ht="15" hidden="1" x14ac:dyDescent="0.2">
      <c r="C209" s="58" t="s">
        <v>242</v>
      </c>
      <c r="D209" s="58" t="s">
        <v>243</v>
      </c>
    </row>
    <row r="210" spans="3:4" ht="45" hidden="1" x14ac:dyDescent="0.2">
      <c r="C210" s="58" t="s">
        <v>244</v>
      </c>
      <c r="D210" s="58" t="s">
        <v>245</v>
      </c>
    </row>
    <row r="211" spans="3:4" ht="15" hidden="1" x14ac:dyDescent="0.2">
      <c r="C211" s="58"/>
      <c r="D211" s="58"/>
    </row>
    <row r="212" spans="3:4" ht="15" hidden="1" x14ac:dyDescent="0.2">
      <c r="C212" s="58"/>
      <c r="D212" s="58"/>
    </row>
    <row r="213" spans="3:4" ht="75" hidden="1" x14ac:dyDescent="0.2">
      <c r="C213" s="58" t="s">
        <v>246</v>
      </c>
      <c r="D213" s="58" t="s">
        <v>247</v>
      </c>
    </row>
    <row r="214" spans="3:4" ht="15" hidden="1" x14ac:dyDescent="0.2">
      <c r="C214" s="58" t="s">
        <v>248</v>
      </c>
      <c r="D214" s="58" t="s">
        <v>248</v>
      </c>
    </row>
    <row r="215" spans="3:4" ht="15" hidden="1" x14ac:dyDescent="0.2">
      <c r="C215" s="58"/>
      <c r="D215" s="58"/>
    </row>
    <row r="216" spans="3:4" ht="15" hidden="1" x14ac:dyDescent="0.25">
      <c r="C216" s="34"/>
      <c r="D216" s="34"/>
    </row>
    <row r="217" spans="3:4" ht="15" x14ac:dyDescent="0.25">
      <c r="C217" s="34"/>
      <c r="D217" s="34"/>
    </row>
  </sheetData>
  <autoFilter ref="C8:I216">
    <filterColumn colId="0">
      <filters>
        <filter val="1364"/>
        <filter val="Задача №80(P) - расц.-1364"/>
      </filters>
    </filterColumn>
  </autoFilter>
  <mergeCells count="86">
    <mergeCell ref="C6:C8"/>
    <mergeCell ref="D6:D8"/>
    <mergeCell ref="E6:E8"/>
    <mergeCell ref="C24:D24"/>
    <mergeCell ref="C25:C27"/>
    <mergeCell ref="D25:D27"/>
    <mergeCell ref="E25:E27"/>
    <mergeCell ref="C103:D103"/>
    <mergeCell ref="C30:D30"/>
    <mergeCell ref="C31:C33"/>
    <mergeCell ref="D31:D33"/>
    <mergeCell ref="E31:E33"/>
    <mergeCell ref="C34:D35"/>
    <mergeCell ref="E34:E35"/>
    <mergeCell ref="F34:F35"/>
    <mergeCell ref="G34:G35"/>
    <mergeCell ref="H34:H35"/>
    <mergeCell ref="C40:D40"/>
    <mergeCell ref="C92:D92"/>
    <mergeCell ref="C136:I136"/>
    <mergeCell ref="C119:D119"/>
    <mergeCell ref="C120:D120"/>
    <mergeCell ref="C123:D123"/>
    <mergeCell ref="C128:D128"/>
    <mergeCell ref="C129:D129"/>
    <mergeCell ref="C130:I130"/>
    <mergeCell ref="C131:I131"/>
    <mergeCell ref="C132:I132"/>
    <mergeCell ref="C133:I133"/>
    <mergeCell ref="C134:I134"/>
    <mergeCell ref="C135:I135"/>
    <mergeCell ref="C148:I148"/>
    <mergeCell ref="C137:I137"/>
    <mergeCell ref="C138:I138"/>
    <mergeCell ref="C139:I139"/>
    <mergeCell ref="C140:I140"/>
    <mergeCell ref="C141:I141"/>
    <mergeCell ref="C142:I142"/>
    <mergeCell ref="C143:I143"/>
    <mergeCell ref="C144:I144"/>
    <mergeCell ref="C145:I145"/>
    <mergeCell ref="C146:I146"/>
    <mergeCell ref="C147:I147"/>
    <mergeCell ref="C149:I149"/>
    <mergeCell ref="C150:I150"/>
    <mergeCell ref="C152:D152"/>
    <mergeCell ref="C153:C155"/>
    <mergeCell ref="D153:D155"/>
    <mergeCell ref="E153:E155"/>
    <mergeCell ref="I153:I155"/>
    <mergeCell ref="C178:I178"/>
    <mergeCell ref="C163:D163"/>
    <mergeCell ref="C164:C166"/>
    <mergeCell ref="D164:D166"/>
    <mergeCell ref="E164:E166"/>
    <mergeCell ref="I164:I166"/>
    <mergeCell ref="C172:D172"/>
    <mergeCell ref="C173:I173"/>
    <mergeCell ref="C174:D174"/>
    <mergeCell ref="C175:I175"/>
    <mergeCell ref="C176:D176"/>
    <mergeCell ref="C177:I177"/>
    <mergeCell ref="C190:I190"/>
    <mergeCell ref="C179:D179"/>
    <mergeCell ref="C180:I180"/>
    <mergeCell ref="C181:I181"/>
    <mergeCell ref="C182:I182"/>
    <mergeCell ref="C183:I183"/>
    <mergeCell ref="C184:I184"/>
    <mergeCell ref="C185:I185"/>
    <mergeCell ref="C186:I186"/>
    <mergeCell ref="C187:I187"/>
    <mergeCell ref="C188:I188"/>
    <mergeCell ref="C189:I189"/>
    <mergeCell ref="C202:I202"/>
    <mergeCell ref="C191:I191"/>
    <mergeCell ref="C192:I192"/>
    <mergeCell ref="C193:I193"/>
    <mergeCell ref="C194:I194"/>
    <mergeCell ref="C195:I195"/>
    <mergeCell ref="C196:I196"/>
    <mergeCell ref="C197:I197"/>
    <mergeCell ref="C198:I198"/>
    <mergeCell ref="C199:I199"/>
    <mergeCell ref="C200:I200"/>
    <mergeCell ref="C201:I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Levashenko, Feruza</dc:creator>
  <cp:lastModifiedBy>Зенкова Елена Валентиновна</cp:lastModifiedBy>
  <cp:lastPrinted>2017-09-21T09:31:18Z</cp:lastPrinted>
  <dcterms:created xsi:type="dcterms:W3CDTF">2018-06-15T06:46:04Z</dcterms:created>
  <dcterms:modified xsi:type="dcterms:W3CDTF">2026-08-12T05:48:38Z</dcterms:modified>
</cp:coreProperties>
</file>