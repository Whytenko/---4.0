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4385" firstSheet="37" activeTab="47"/>
  </bookViews>
  <sheets>
    <sheet name="Январь" sheetId="1" r:id="rId1"/>
    <sheet name="Февраль" sheetId="2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4" r:id="rId12"/>
    <sheet name="Январь 23" sheetId="15" r:id="rId13"/>
    <sheet name="Февраль 23" sheetId="17" r:id="rId14"/>
    <sheet name="Март 23" sheetId="18" r:id="rId15"/>
    <sheet name="Апрель 23" sheetId="19" r:id="rId16"/>
    <sheet name="Май 23" sheetId="20" r:id="rId17"/>
    <sheet name="Июнь 23" sheetId="21" r:id="rId18"/>
    <sheet name="Июль 23" sheetId="22" r:id="rId19"/>
    <sheet name="Август 23" sheetId="23" r:id="rId20"/>
    <sheet name="Сентябрь  23" sheetId="24" r:id="rId21"/>
    <sheet name="Октябрь 23" sheetId="25" r:id="rId22"/>
    <sheet name="Ноябрь 23" sheetId="26" r:id="rId23"/>
    <sheet name="Декабрь 23" sheetId="27" r:id="rId24"/>
    <sheet name="Январь 24" sheetId="28" r:id="rId25"/>
    <sheet name="Февраль 24" sheetId="29" r:id="rId26"/>
    <sheet name="Март 24" sheetId="30" r:id="rId27"/>
    <sheet name="Апрель 24" sheetId="32" r:id="rId28"/>
    <sheet name="Май 24" sheetId="33" r:id="rId29"/>
    <sheet name="Июнь 24" sheetId="36" r:id="rId30"/>
    <sheet name="Июль 24 " sheetId="37" r:id="rId31"/>
    <sheet name="Август 24" sheetId="38" r:id="rId32"/>
    <sheet name="Сентябрь 24" sheetId="39" r:id="rId33"/>
    <sheet name="Октябрь 24" sheetId="40" r:id="rId34"/>
    <sheet name="Ноябрь 24 " sheetId="41" r:id="rId35"/>
    <sheet name="Декабрь 24" sheetId="43" r:id="rId36"/>
    <sheet name="Январь 25" sheetId="44" r:id="rId37"/>
    <sheet name="Февраль 25" sheetId="45" r:id="rId38"/>
    <sheet name="Март 25" sheetId="46" r:id="rId39"/>
    <sheet name="Апрель25" sheetId="47" r:id="rId40"/>
    <sheet name="Май25" sheetId="48" r:id="rId41"/>
    <sheet name="Июнь25" sheetId="49" r:id="rId42"/>
    <sheet name="Июль25" sheetId="50" r:id="rId43"/>
    <sheet name="Август25" sheetId="51" r:id="rId44"/>
    <sheet name="Сентябрь25" sheetId="52" r:id="rId45"/>
    <sheet name="Октябрь25" sheetId="53" r:id="rId46"/>
    <sheet name="Ноябрь25" sheetId="54" r:id="rId47"/>
    <sheet name="Декабрь25" sheetId="55" r:id="rId48"/>
  </sheets>
  <externalReferences>
    <externalReference r:id="rId49"/>
    <externalReference r:id="rId5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6" i="55" l="1"/>
  <c r="AD36" i="55"/>
  <c r="AC36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K36" i="55"/>
  <c r="J36" i="55"/>
  <c r="I36" i="55"/>
  <c r="H36" i="55"/>
  <c r="G36" i="55"/>
  <c r="F36" i="55"/>
  <c r="E36" i="55"/>
  <c r="D36" i="55"/>
  <c r="C36" i="55"/>
  <c r="B36" i="55"/>
  <c r="L36" i="55"/>
  <c r="AE16" i="55"/>
  <c r="AD16" i="55"/>
  <c r="AC16" i="55"/>
  <c r="AB16" i="55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B16" i="55"/>
  <c r="L35" i="54" l="1"/>
  <c r="L34" i="54"/>
  <c r="L33" i="54"/>
  <c r="L32" i="54"/>
  <c r="L31" i="54"/>
  <c r="L30" i="54"/>
  <c r="L29" i="54"/>
  <c r="L28" i="54"/>
  <c r="L27" i="54"/>
  <c r="L26" i="54"/>
  <c r="L25" i="54"/>
  <c r="L24" i="54"/>
  <c r="AE36" i="54" l="1"/>
  <c r="AD36" i="54"/>
  <c r="AC36" i="54"/>
  <c r="AB36" i="54"/>
  <c r="AA36" i="54"/>
  <c r="Z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G36" i="54"/>
  <c r="F36" i="54"/>
  <c r="E36" i="54"/>
  <c r="D36" i="54"/>
  <c r="C36" i="54"/>
  <c r="B36" i="54"/>
  <c r="Y36" i="54"/>
  <c r="AE16" i="54"/>
  <c r="AD16" i="54"/>
  <c r="AC16" i="54"/>
  <c r="AB16" i="54"/>
  <c r="AA16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B16" i="54"/>
  <c r="AF36" i="53" l="1"/>
  <c r="AF16" i="53"/>
  <c r="Y35" i="53" l="1"/>
  <c r="Y34" i="53"/>
  <c r="Y33" i="53"/>
  <c r="Y32" i="53"/>
  <c r="Y31" i="53"/>
  <c r="Y30" i="53"/>
  <c r="Y29" i="53"/>
  <c r="Y28" i="53"/>
  <c r="Y27" i="53"/>
  <c r="Y26" i="53"/>
  <c r="Y25" i="53"/>
  <c r="Y24" i="53"/>
  <c r="AE36" i="53" l="1"/>
  <c r="AD36" i="53"/>
  <c r="AC36" i="53"/>
  <c r="AB36" i="53"/>
  <c r="AA36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G36" i="53"/>
  <c r="F36" i="53"/>
  <c r="E36" i="53"/>
  <c r="D36" i="53"/>
  <c r="C36" i="53"/>
  <c r="B36" i="53"/>
  <c r="AE16" i="53"/>
  <c r="AD16" i="53"/>
  <c r="AC16" i="53"/>
  <c r="AB16" i="53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B16" i="53"/>
  <c r="AE36" i="52" l="1"/>
  <c r="AD36" i="52"/>
  <c r="AC36" i="52"/>
  <c r="AB36" i="52"/>
  <c r="AA36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G36" i="52"/>
  <c r="F36" i="52"/>
  <c r="E36" i="52"/>
  <c r="D36" i="52"/>
  <c r="C36" i="52"/>
  <c r="B36" i="52"/>
  <c r="AE16" i="52"/>
  <c r="AD16" i="52"/>
  <c r="AC16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B16" i="52"/>
  <c r="AF36" i="51" l="1"/>
  <c r="AE36" i="51"/>
  <c r="AD36" i="51"/>
  <c r="AC36" i="51"/>
  <c r="AB36" i="51"/>
  <c r="AA36" i="51"/>
  <c r="Z36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G36" i="51"/>
  <c r="F36" i="51"/>
  <c r="E36" i="51"/>
  <c r="D36" i="51"/>
  <c r="C36" i="51"/>
  <c r="B36" i="51"/>
  <c r="AF16" i="51"/>
  <c r="AE16" i="51"/>
  <c r="AD16" i="51"/>
  <c r="AC16" i="51"/>
  <c r="AB16" i="51"/>
  <c r="AA16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B16" i="51"/>
  <c r="AF36" i="50" l="1"/>
  <c r="AF16" i="50"/>
  <c r="AE36" i="50" l="1"/>
  <c r="AD36" i="50"/>
  <c r="AC36" i="50"/>
  <c r="AB36" i="50"/>
  <c r="AA36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G36" i="50"/>
  <c r="F36" i="50"/>
  <c r="E36" i="50"/>
  <c r="D36" i="50"/>
  <c r="C36" i="50"/>
  <c r="B36" i="50"/>
  <c r="AE16" i="50"/>
  <c r="AD16" i="50"/>
  <c r="AC16" i="50"/>
  <c r="AB16" i="50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B16" i="50"/>
  <c r="AE36" i="49" l="1"/>
  <c r="AD36" i="49"/>
  <c r="AC36" i="49"/>
  <c r="AB36" i="49"/>
  <c r="AA36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G36" i="49"/>
  <c r="F36" i="49"/>
  <c r="E36" i="49"/>
  <c r="D36" i="49"/>
  <c r="C36" i="49"/>
  <c r="B36" i="49"/>
  <c r="AE16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Q36" i="48" l="1"/>
  <c r="AF36" i="48" l="1"/>
  <c r="AE36" i="48"/>
  <c r="AD36" i="48"/>
  <c r="AC36" i="48"/>
  <c r="AB36" i="48"/>
  <c r="AA36" i="48"/>
  <c r="Z36" i="48"/>
  <c r="Y36" i="48"/>
  <c r="X36" i="48"/>
  <c r="W36" i="48"/>
  <c r="V36" i="48"/>
  <c r="U36" i="48"/>
  <c r="T36" i="48"/>
  <c r="S36" i="48"/>
  <c r="R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AF16" i="48"/>
  <c r="AE16" i="48"/>
  <c r="AD16" i="48"/>
  <c r="AC16" i="48"/>
  <c r="AB16" i="48"/>
  <c r="AA16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E16" i="48"/>
  <c r="D16" i="48"/>
  <c r="C16" i="48"/>
  <c r="B16" i="48"/>
  <c r="AE36" i="47" l="1"/>
  <c r="AD36" i="47"/>
  <c r="AC36" i="47"/>
  <c r="AB36" i="47"/>
  <c r="AA36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G36" i="47"/>
  <c r="F36" i="47"/>
  <c r="E36" i="47"/>
  <c r="D36" i="47"/>
  <c r="C36" i="47"/>
  <c r="B36" i="47"/>
  <c r="AE16" i="47"/>
  <c r="AD16" i="47"/>
  <c r="AC16" i="47"/>
  <c r="AB16" i="47"/>
  <c r="AA16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E16" i="47"/>
  <c r="D16" i="47"/>
  <c r="C16" i="47"/>
  <c r="B16" i="47"/>
  <c r="AF36" i="46" l="1"/>
  <c r="AE36" i="46"/>
  <c r="AD36" i="46"/>
  <c r="AD16" i="46"/>
  <c r="AE16" i="46"/>
  <c r="AF16" i="46"/>
  <c r="AC36" i="46" l="1"/>
  <c r="AB36" i="46"/>
  <c r="AA36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G36" i="46"/>
  <c r="F36" i="46"/>
  <c r="E36" i="46"/>
  <c r="D36" i="46"/>
  <c r="C36" i="46"/>
  <c r="B36" i="46"/>
  <c r="AC16" i="46"/>
  <c r="AB16" i="46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D16" i="46"/>
  <c r="C16" i="46"/>
  <c r="B16" i="46"/>
  <c r="AC36" i="45" l="1"/>
  <c r="AB36" i="45"/>
  <c r="AA36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G36" i="45"/>
  <c r="F36" i="45"/>
  <c r="E36" i="45"/>
  <c r="D36" i="45"/>
  <c r="C36" i="45"/>
  <c r="B36" i="45"/>
  <c r="AC16" i="45"/>
  <c r="AB16" i="45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B16" i="45"/>
  <c r="C16" i="44" l="1"/>
  <c r="D16" i="44"/>
  <c r="E16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U16" i="44"/>
  <c r="V16" i="44"/>
  <c r="W16" i="44"/>
  <c r="X16" i="44"/>
  <c r="Y16" i="44"/>
  <c r="Z16" i="44"/>
  <c r="AA16" i="44"/>
  <c r="AB16" i="44"/>
  <c r="AC16" i="44"/>
  <c r="AD16" i="44"/>
  <c r="AE16" i="44"/>
  <c r="AF16" i="44"/>
  <c r="J36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W36" i="44"/>
  <c r="X36" i="44"/>
  <c r="Y36" i="44"/>
  <c r="Z36" i="44"/>
  <c r="AA36" i="44"/>
  <c r="AB36" i="44"/>
  <c r="AC36" i="44"/>
  <c r="AD36" i="44"/>
  <c r="AE36" i="44"/>
  <c r="AF36" i="44"/>
  <c r="C36" i="44"/>
  <c r="D36" i="44"/>
  <c r="E36" i="44"/>
  <c r="F36" i="44"/>
  <c r="G36" i="44"/>
  <c r="H36" i="44"/>
  <c r="I36" i="44"/>
  <c r="B36" i="44" l="1"/>
  <c r="B16" i="44"/>
  <c r="AF36" i="43" l="1"/>
  <c r="AE36" i="43"/>
  <c r="AD36" i="43"/>
  <c r="AC36" i="43"/>
  <c r="AB36" i="43"/>
  <c r="AA36" i="43"/>
  <c r="Z36" i="43"/>
  <c r="Y36" i="43"/>
  <c r="X36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G36" i="43"/>
  <c r="F36" i="43"/>
  <c r="C36" i="43"/>
  <c r="B36" i="43"/>
  <c r="AF16" i="43"/>
  <c r="AE16" i="43"/>
  <c r="AD16" i="43"/>
  <c r="AC16" i="43"/>
  <c r="AB16" i="43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B16" i="43"/>
  <c r="F16" i="41" l="1"/>
  <c r="C36" i="41" l="1"/>
  <c r="B36" i="41" l="1"/>
  <c r="B16" i="41"/>
  <c r="AE36" i="41"/>
  <c r="AD36" i="41"/>
  <c r="AC36" i="41"/>
  <c r="AB36" i="41"/>
  <c r="AA36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AE16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AF36" i="40" l="1"/>
  <c r="AF16" i="40"/>
  <c r="AE36" i="40" l="1"/>
  <c r="AE16" i="40"/>
  <c r="AD36" i="40" l="1"/>
  <c r="AD16" i="40"/>
  <c r="AC36" i="40" l="1"/>
  <c r="AC16" i="40"/>
  <c r="AB36" i="40" l="1"/>
  <c r="AB16" i="40"/>
  <c r="AA36" i="40"/>
  <c r="AA16" i="40"/>
  <c r="Z36" i="40"/>
  <c r="Z16" i="40"/>
  <c r="Y36" i="40" l="1"/>
  <c r="Y16" i="40"/>
  <c r="X36" i="40" l="1"/>
  <c r="X16" i="40"/>
  <c r="W36" i="40" l="1"/>
  <c r="W16" i="40"/>
  <c r="V36" i="40" l="1"/>
  <c r="V16" i="40"/>
  <c r="S36" i="40" l="1"/>
  <c r="T36" i="40"/>
  <c r="U36" i="40"/>
  <c r="S16" i="40"/>
  <c r="T16" i="40"/>
  <c r="U16" i="40"/>
  <c r="R36" i="40" l="1"/>
  <c r="R16" i="40"/>
  <c r="Q36" i="40" l="1"/>
  <c r="Q16" i="40"/>
  <c r="P36" i="40" l="1"/>
  <c r="P16" i="40"/>
  <c r="O36" i="40" l="1"/>
  <c r="O16" i="40"/>
  <c r="L36" i="40" l="1"/>
  <c r="M36" i="40"/>
  <c r="N36" i="40"/>
  <c r="L16" i="40"/>
  <c r="M16" i="40"/>
  <c r="N16" i="40"/>
  <c r="K36" i="40" l="1"/>
  <c r="K16" i="40"/>
  <c r="J36" i="40" l="1"/>
  <c r="J16" i="40"/>
  <c r="I36" i="40" l="1"/>
  <c r="I16" i="40"/>
  <c r="H36" i="40" l="1"/>
  <c r="H16" i="40"/>
  <c r="G36" i="40" l="1"/>
  <c r="F36" i="40"/>
  <c r="E36" i="40"/>
  <c r="G16" i="40"/>
  <c r="F16" i="40"/>
  <c r="E16" i="40"/>
  <c r="D36" i="40" l="1"/>
  <c r="D16" i="40"/>
  <c r="C36" i="40" l="1"/>
  <c r="C16" i="40"/>
  <c r="B36" i="40" l="1"/>
  <c r="B16" i="40"/>
  <c r="AE36" i="39" l="1"/>
  <c r="AE16" i="39"/>
  <c r="AD36" i="39" l="1"/>
  <c r="AD16" i="39"/>
  <c r="AC36" i="39" l="1"/>
  <c r="AC16" i="39"/>
  <c r="AB36" i="39" l="1"/>
  <c r="AB16" i="39"/>
  <c r="AA16" i="39" l="1"/>
  <c r="AA36" i="39"/>
  <c r="Z36" i="39" l="1"/>
  <c r="Z16" i="39"/>
  <c r="Y36" i="39" l="1"/>
  <c r="Y16" i="39"/>
  <c r="X36" i="39" l="1"/>
  <c r="X16" i="39"/>
  <c r="W36" i="39" l="1"/>
  <c r="W16" i="39"/>
  <c r="V36" i="39" l="1"/>
  <c r="V16" i="39"/>
  <c r="U36" i="39" l="1"/>
  <c r="U16" i="39"/>
  <c r="T36" i="39" l="1"/>
  <c r="T16" i="39"/>
  <c r="S36" i="39" l="1"/>
  <c r="S16" i="39"/>
  <c r="R36" i="39" l="1"/>
  <c r="R16" i="39"/>
  <c r="Q16" i="39" l="1"/>
  <c r="P36" i="39" l="1"/>
  <c r="P16" i="39"/>
  <c r="O36" i="39" l="1"/>
  <c r="O16" i="39"/>
  <c r="N36" i="39" l="1"/>
  <c r="N16" i="39"/>
  <c r="M36" i="39" l="1"/>
  <c r="M16" i="39"/>
  <c r="L36" i="39" l="1"/>
  <c r="K36" i="39"/>
  <c r="J36" i="39"/>
  <c r="I36" i="39"/>
  <c r="H36" i="39"/>
  <c r="G36" i="39"/>
  <c r="L16" i="39"/>
  <c r="K16" i="39"/>
  <c r="J16" i="39"/>
  <c r="I16" i="39"/>
  <c r="H16" i="39"/>
  <c r="G16" i="39"/>
  <c r="F36" i="39" l="1"/>
  <c r="F16" i="39"/>
  <c r="E36" i="39" l="1"/>
  <c r="E16" i="39"/>
  <c r="D36" i="39" l="1"/>
  <c r="D16" i="39"/>
  <c r="C36" i="39" l="1"/>
  <c r="C16" i="39"/>
  <c r="B36" i="39" l="1"/>
  <c r="B16" i="39"/>
  <c r="AF36" i="38"/>
  <c r="AF16" i="38"/>
  <c r="AE36" i="38"/>
  <c r="AE16" i="38"/>
  <c r="AD36" i="38" l="1"/>
  <c r="AD16" i="38"/>
  <c r="AC36" i="38" l="1"/>
  <c r="AC16" i="38"/>
  <c r="AB36" i="38" l="1"/>
  <c r="AB16" i="38"/>
  <c r="AA36" i="38" l="1"/>
  <c r="AA16" i="38"/>
  <c r="Z36" i="38" l="1"/>
  <c r="Z16" i="38"/>
  <c r="Y36" i="38"/>
  <c r="Y16" i="38"/>
  <c r="X36" i="38"/>
  <c r="X16" i="38"/>
  <c r="W36" i="38" l="1"/>
  <c r="W16" i="38"/>
  <c r="V36" i="38" l="1"/>
  <c r="V16" i="38"/>
  <c r="U16" i="38" l="1"/>
  <c r="U36" i="38" l="1"/>
  <c r="T36" i="38" l="1"/>
  <c r="T16" i="38"/>
  <c r="S36" i="38" l="1"/>
  <c r="S16" i="38"/>
  <c r="R36" i="38"/>
  <c r="R16" i="38"/>
  <c r="Q36" i="38"/>
  <c r="Q16" i="38"/>
  <c r="P36" i="38" l="1"/>
  <c r="P16" i="38"/>
  <c r="O36" i="38" l="1"/>
  <c r="O16" i="38"/>
  <c r="N36" i="38" l="1"/>
  <c r="N16" i="38"/>
  <c r="M36" i="38" l="1"/>
  <c r="M16" i="38"/>
  <c r="L36" i="38" l="1"/>
  <c r="L16" i="38"/>
  <c r="K36" i="38"/>
  <c r="K16" i="38"/>
  <c r="J36" i="38"/>
  <c r="J16" i="38"/>
  <c r="I36" i="38" l="1"/>
  <c r="I16" i="38"/>
  <c r="H36" i="38" l="1"/>
  <c r="H16" i="38"/>
  <c r="G36" i="38" l="1"/>
  <c r="G16" i="38"/>
  <c r="F36" i="38" l="1"/>
  <c r="F16" i="38"/>
  <c r="E36" i="38"/>
  <c r="E16" i="38"/>
  <c r="D36" i="38"/>
  <c r="D16" i="38"/>
  <c r="C36" i="38" l="1"/>
  <c r="C16" i="38"/>
  <c r="B36" i="38" l="1"/>
  <c r="B16" i="38"/>
  <c r="AF36" i="37" l="1"/>
  <c r="AF16" i="37"/>
  <c r="AE36" i="37" l="1"/>
  <c r="AE16" i="37"/>
  <c r="AB36" i="37" l="1"/>
  <c r="AD36" i="37"/>
  <c r="AD16" i="37"/>
  <c r="AC36" i="37"/>
  <c r="AC16" i="37"/>
  <c r="AB16" i="37"/>
  <c r="AA36" i="37" l="1"/>
  <c r="AA16" i="37"/>
  <c r="Z36" i="37" l="1"/>
  <c r="Z16" i="37"/>
  <c r="Y36" i="37" l="1"/>
  <c r="Y16" i="37"/>
  <c r="X36" i="37" l="1"/>
  <c r="X16" i="37"/>
  <c r="W36" i="37" l="1"/>
  <c r="W16" i="37"/>
  <c r="V36" i="37" l="1"/>
  <c r="V16" i="37"/>
  <c r="U36" i="37"/>
  <c r="U16" i="37"/>
  <c r="T36" i="37"/>
  <c r="T16" i="37"/>
  <c r="S36" i="37" l="1"/>
  <c r="S16" i="37"/>
  <c r="R36" i="37" l="1"/>
  <c r="R16" i="37"/>
  <c r="Q36" i="37" l="1"/>
  <c r="Q16" i="37"/>
  <c r="P36" i="37" l="1"/>
  <c r="P16" i="37"/>
  <c r="O36" i="37" l="1"/>
  <c r="O16" i="37"/>
  <c r="N36" i="37"/>
  <c r="N16" i="37"/>
  <c r="M36" i="37"/>
  <c r="M16" i="37"/>
  <c r="L36" i="37" l="1"/>
  <c r="L16" i="37"/>
  <c r="K36" i="37" l="1"/>
  <c r="J36" i="37"/>
  <c r="K16" i="37"/>
  <c r="J16" i="37"/>
  <c r="I36" i="37" l="1"/>
  <c r="I16" i="37"/>
  <c r="H36" i="37" l="1"/>
  <c r="H16" i="37"/>
  <c r="G36" i="37"/>
  <c r="G16" i="37"/>
  <c r="F36" i="37"/>
  <c r="F16" i="37"/>
  <c r="E36" i="37" l="1"/>
  <c r="E16" i="37"/>
  <c r="D36" i="37" l="1"/>
  <c r="D16" i="37"/>
  <c r="C36" i="37" l="1"/>
  <c r="C16" i="37"/>
  <c r="B36" i="37" l="1"/>
  <c r="B16" i="37"/>
  <c r="AE36" i="36" l="1"/>
  <c r="AE16" i="36"/>
  <c r="AD36" i="36"/>
  <c r="AD16" i="36"/>
  <c r="AC36" i="36"/>
  <c r="AC16" i="36"/>
  <c r="AB36" i="36" l="1"/>
  <c r="AB16" i="36"/>
  <c r="AA36" i="36" l="1"/>
  <c r="AA16" i="36"/>
  <c r="Z36" i="36" l="1"/>
  <c r="Z16" i="36"/>
  <c r="Y36" i="36" l="1"/>
  <c r="Y16" i="36"/>
  <c r="X36" i="36" l="1"/>
  <c r="X16" i="36"/>
  <c r="W36" i="36"/>
  <c r="W16" i="36"/>
  <c r="V36" i="36"/>
  <c r="V16" i="36"/>
  <c r="U36" i="36" l="1"/>
  <c r="U16" i="36"/>
  <c r="T36" i="36" l="1"/>
  <c r="T16" i="36"/>
  <c r="S36" i="36" l="1"/>
  <c r="S16" i="36"/>
  <c r="R36" i="36" l="1"/>
  <c r="R16" i="36"/>
  <c r="Q36" i="36" l="1"/>
  <c r="Q16" i="36"/>
  <c r="P36" i="36"/>
  <c r="P16" i="36"/>
  <c r="O36" i="36"/>
  <c r="O16" i="36"/>
  <c r="N36" i="36" l="1"/>
  <c r="N16" i="36"/>
  <c r="M36" i="36" l="1"/>
  <c r="M16" i="36"/>
  <c r="L36" i="36"/>
  <c r="L16" i="36"/>
  <c r="K36" i="36" l="1"/>
  <c r="K16" i="36"/>
  <c r="J36" i="36" l="1"/>
  <c r="J16" i="36"/>
  <c r="I36" i="36"/>
  <c r="I16" i="36"/>
  <c r="H36" i="36"/>
  <c r="H16" i="36"/>
  <c r="G36" i="36" l="1"/>
  <c r="G16" i="36"/>
  <c r="F36" i="36" l="1"/>
  <c r="F16" i="36"/>
  <c r="E36" i="36" l="1"/>
  <c r="E16" i="36"/>
  <c r="D36" i="36" l="1"/>
  <c r="D16" i="36"/>
  <c r="C36" i="36" l="1"/>
  <c r="C16" i="36"/>
  <c r="B36" i="36" l="1"/>
  <c r="B16" i="36"/>
  <c r="AF36" i="33" l="1"/>
  <c r="AF16" i="33"/>
  <c r="AE36" i="33" l="1"/>
  <c r="AE16" i="33"/>
  <c r="AD36" i="33" l="1"/>
  <c r="AD16" i="33"/>
  <c r="AC36" i="33" l="1"/>
  <c r="AC16" i="33"/>
  <c r="AB36" i="33" l="1"/>
  <c r="AB16" i="33"/>
  <c r="AA36" i="33" l="1"/>
  <c r="AA16" i="33"/>
  <c r="Z36" i="33"/>
  <c r="Z16" i="33"/>
  <c r="Y36" i="33"/>
  <c r="Y16" i="33"/>
  <c r="X16" i="33" l="1"/>
  <c r="W36" i="33" l="1"/>
  <c r="W16" i="33"/>
  <c r="V36" i="33" l="1"/>
  <c r="V16" i="33"/>
  <c r="U36" i="33" l="1"/>
  <c r="U16" i="33"/>
  <c r="T36" i="33" l="1"/>
  <c r="T16" i="33"/>
  <c r="S36" i="33"/>
  <c r="S16" i="33"/>
  <c r="R36" i="33"/>
  <c r="R16" i="33"/>
  <c r="Q36" i="33" l="1"/>
  <c r="Q16" i="33"/>
  <c r="P36" i="33" l="1"/>
  <c r="P16" i="33"/>
  <c r="O36" i="33" l="1"/>
  <c r="O16" i="33"/>
  <c r="N36" i="33" l="1"/>
  <c r="N16" i="33"/>
  <c r="M36" i="33" l="1"/>
  <c r="M16" i="33"/>
  <c r="L36" i="33" l="1"/>
  <c r="L16" i="33"/>
  <c r="K36" i="33" l="1"/>
  <c r="K16" i="33"/>
  <c r="J36" i="33" l="1"/>
  <c r="J16" i="33"/>
  <c r="I36" i="33" l="1"/>
  <c r="I16" i="33"/>
  <c r="H36" i="33" l="1"/>
  <c r="H16" i="33"/>
  <c r="G36" i="33" l="1"/>
  <c r="G16" i="33"/>
  <c r="F36" i="33" l="1"/>
  <c r="F16" i="33"/>
  <c r="E36" i="33"/>
  <c r="E16" i="33"/>
  <c r="D36" i="33" l="1"/>
  <c r="D16" i="33"/>
  <c r="C36" i="33" l="1"/>
  <c r="C16" i="33"/>
  <c r="B36" i="33" l="1"/>
  <c r="B16" i="33"/>
  <c r="AE36" i="32" l="1"/>
  <c r="AE16" i="32"/>
  <c r="AD36" i="32" l="1"/>
  <c r="AD16" i="32"/>
  <c r="AC36" i="32" l="1"/>
  <c r="AC16" i="32"/>
  <c r="AB36" i="32" l="1"/>
  <c r="AB16" i="32"/>
  <c r="AA36" i="32" l="1"/>
  <c r="AA16" i="32"/>
  <c r="Y36" i="32" l="1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D36" i="32"/>
  <c r="C36" i="32"/>
  <c r="B3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D16" i="32"/>
  <c r="C16" i="32"/>
  <c r="B16" i="32"/>
  <c r="AF36" i="30" l="1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B3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AF36" i="29" l="1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AF36" i="28" l="1"/>
  <c r="AE36" i="28"/>
  <c r="AD36" i="28"/>
  <c r="AC36" i="28"/>
  <c r="AB36" i="28"/>
  <c r="AA36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AF36" i="27" l="1"/>
  <c r="AE36" i="27"/>
  <c r="AD36" i="27"/>
  <c r="AC36" i="27"/>
  <c r="AB36" i="27"/>
  <c r="AA36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B3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AF36" i="26" l="1"/>
  <c r="AE36" i="26"/>
  <c r="AD36" i="26"/>
  <c r="AC36" i="26"/>
  <c r="AB36" i="26"/>
  <c r="AA36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B3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AF36" i="25" l="1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F36" i="24" l="1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AF36" i="23" l="1"/>
  <c r="AE36" i="23"/>
  <c r="AD36" i="23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F36" i="22" l="1"/>
  <c r="AE36" i="22"/>
  <c r="AD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AF36" i="21" l="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16" i="20" l="1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AF16" i="20"/>
  <c r="L16" i="19" l="1"/>
  <c r="AF36" i="19" l="1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K16" i="19"/>
  <c r="J16" i="19"/>
  <c r="I16" i="19"/>
  <c r="H16" i="19"/>
  <c r="G16" i="19"/>
  <c r="F16" i="19"/>
  <c r="E16" i="19"/>
  <c r="D16" i="19"/>
  <c r="C16" i="19"/>
  <c r="B16" i="19"/>
  <c r="Y36" i="18" l="1"/>
  <c r="AF36" i="18" l="1"/>
  <c r="AE36" i="18"/>
  <c r="AD36" i="18"/>
  <c r="AC36" i="18"/>
  <c r="AB36" i="18"/>
  <c r="AA36" i="18"/>
  <c r="Z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AF36" i="17" l="1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F36" i="15" l="1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F36" i="14" l="1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E16" i="11"/>
  <c r="AE36" i="11" l="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F36" i="10" l="1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F36" i="9" l="1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E36" i="7" l="1"/>
  <c r="AE36" i="8"/>
  <c r="AD36" i="8"/>
  <c r="AF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F36" i="7" l="1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F36" i="6" l="1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F36" i="5" l="1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F16" i="4" l="1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E16" i="4"/>
  <c r="AD16" i="4"/>
  <c r="AC16" i="4"/>
  <c r="AB16" i="4"/>
  <c r="AA16" i="4"/>
  <c r="Z16" i="4"/>
  <c r="Y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X16" i="4"/>
  <c r="Z36" i="3" l="1"/>
  <c r="AA36" i="3"/>
  <c r="AB36" i="3"/>
  <c r="AC36" i="3"/>
  <c r="AD36" i="3"/>
  <c r="AE36" i="3"/>
  <c r="AF36" i="3"/>
  <c r="Z16" i="3"/>
  <c r="AA16" i="3"/>
  <c r="AB16" i="3"/>
  <c r="AC16" i="3"/>
  <c r="AD16" i="3"/>
  <c r="AE16" i="3"/>
  <c r="AF16" i="3"/>
  <c r="Y16" i="3" l="1"/>
  <c r="X15" i="3" l="1"/>
  <c r="X14" i="3"/>
  <c r="X13" i="3"/>
  <c r="X12" i="3"/>
  <c r="X11" i="3"/>
  <c r="X10" i="3"/>
  <c r="X8" i="3"/>
  <c r="X7" i="3"/>
  <c r="X6" i="3"/>
  <c r="X5" i="3"/>
  <c r="X4" i="3"/>
  <c r="X16" i="3" s="1"/>
  <c r="W16" i="3" l="1"/>
  <c r="V16" i="3" l="1"/>
  <c r="S16" i="3" l="1"/>
  <c r="T16" i="3"/>
  <c r="U16" i="3"/>
  <c r="R16" i="3" l="1"/>
  <c r="Y36" i="3" l="1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O16" i="1" l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B16" i="1"/>
  <c r="M16" i="1" l="1"/>
  <c r="N16" i="1"/>
  <c r="L16" i="1"/>
  <c r="C16" i="1" l="1"/>
  <c r="D16" i="1"/>
  <c r="E16" i="1"/>
  <c r="F16" i="1"/>
  <c r="G16" i="1"/>
  <c r="H16" i="1"/>
  <c r="I16" i="1"/>
  <c r="J16" i="1"/>
  <c r="K16" i="1"/>
</calcChain>
</file>

<file path=xl/sharedStrings.xml><?xml version="1.0" encoding="utf-8"?>
<sst xmlns="http://schemas.openxmlformats.org/spreadsheetml/2006/main" count="892" uniqueCount="279">
  <si>
    <t>Время</t>
  </si>
  <si>
    <t>ЦИТС П</t>
  </si>
  <si>
    <t>Среднесуточная температура</t>
  </si>
  <si>
    <t>ЦИТС В</t>
  </si>
  <si>
    <t>Январь</t>
  </si>
  <si>
    <t>Февраль</t>
  </si>
  <si>
    <t xml:space="preserve"> Февраль</t>
  </si>
  <si>
    <t>ПОВХ</t>
  </si>
  <si>
    <t>ВАТЬЕГАН</t>
  </si>
  <si>
    <t>Март</t>
  </si>
  <si>
    <t>Апрель</t>
  </si>
  <si>
    <t>Май</t>
  </si>
  <si>
    <t>8,3</t>
  </si>
  <si>
    <t>9,3</t>
  </si>
  <si>
    <t>12</t>
  </si>
  <si>
    <t>12,6</t>
  </si>
  <si>
    <t>13,6</t>
  </si>
  <si>
    <t>12,3</t>
  </si>
  <si>
    <t>9,1</t>
  </si>
  <si>
    <t>10,1</t>
  </si>
  <si>
    <t>10,4</t>
  </si>
  <si>
    <t>14,5</t>
  </si>
  <si>
    <t>18</t>
  </si>
  <si>
    <t>19</t>
  </si>
  <si>
    <t>18,4</t>
  </si>
  <si>
    <t>16,1</t>
  </si>
  <si>
    <t>11,4</t>
  </si>
  <si>
    <t>9,7</t>
  </si>
  <si>
    <t>13,1</t>
  </si>
  <si>
    <t>14,2</t>
  </si>
  <si>
    <t>19,0</t>
  </si>
  <si>
    <t>20,0</t>
  </si>
  <si>
    <t>22,0</t>
  </si>
  <si>
    <t>22,8</t>
  </si>
  <si>
    <t>24,0</t>
  </si>
  <si>
    <t>22</t>
  </si>
  <si>
    <t>19,2</t>
  </si>
  <si>
    <t>15,1</t>
  </si>
  <si>
    <t>13,9</t>
  </si>
  <si>
    <t>12,5</t>
  </si>
  <si>
    <t>6,6</t>
  </si>
  <si>
    <t>6,7</t>
  </si>
  <si>
    <t>8,5</t>
  </si>
  <si>
    <t>12,4</t>
  </si>
  <si>
    <t>17</t>
  </si>
  <si>
    <t>15,3</t>
  </si>
  <si>
    <t>10,6</t>
  </si>
  <si>
    <t>8,9</t>
  </si>
  <si>
    <t>7,0</t>
  </si>
  <si>
    <t>9,0</t>
  </si>
  <si>
    <t>10,2</t>
  </si>
  <si>
    <t>12,9</t>
  </si>
  <si>
    <t>14,0</t>
  </si>
  <si>
    <t>17,6</t>
  </si>
  <si>
    <t>18,8</t>
  </si>
  <si>
    <t>16,5</t>
  </si>
  <si>
    <t>11,8</t>
  </si>
  <si>
    <t>9,4</t>
  </si>
  <si>
    <t>7,2</t>
  </si>
  <si>
    <t>8,1</t>
  </si>
  <si>
    <t>Июнь</t>
  </si>
  <si>
    <t>Июль</t>
  </si>
  <si>
    <t>Август</t>
  </si>
  <si>
    <t>Сентябрь</t>
  </si>
  <si>
    <t>Октябрь</t>
  </si>
  <si>
    <t>Ноябрь</t>
  </si>
  <si>
    <t>-19</t>
  </si>
  <si>
    <t>Декабрь</t>
  </si>
  <si>
    <t>-25,5</t>
  </si>
  <si>
    <t>-22,2</t>
  </si>
  <si>
    <t>-24,5</t>
  </si>
  <si>
    <t>-20,8</t>
  </si>
  <si>
    <t>-15,9</t>
  </si>
  <si>
    <t>-14,8</t>
  </si>
  <si>
    <t>-13,4</t>
  </si>
  <si>
    <t>-13,1</t>
  </si>
  <si>
    <t>-12,5</t>
  </si>
  <si>
    <t>-12,3</t>
  </si>
  <si>
    <t>-10,9</t>
  </si>
  <si>
    <t>-11,0</t>
  </si>
  <si>
    <t>-10,6</t>
  </si>
  <si>
    <t>-10,2</t>
  </si>
  <si>
    <t>-10</t>
  </si>
  <si>
    <t>-9,8</t>
  </si>
  <si>
    <t>-15</t>
  </si>
  <si>
    <t>-17,2</t>
  </si>
  <si>
    <t>-16,7</t>
  </si>
  <si>
    <t>-13</t>
  </si>
  <si>
    <t>-21,7</t>
  </si>
  <si>
    <t>-21,9</t>
  </si>
  <si>
    <t>-16,8</t>
  </si>
  <si>
    <t>-12,7</t>
  </si>
  <si>
    <t>-13,7</t>
  </si>
  <si>
    <t>-12,1</t>
  </si>
  <si>
    <t>-10,4</t>
  </si>
  <si>
    <t>-10,3</t>
  </si>
  <si>
    <t>-9,3</t>
  </si>
  <si>
    <t>-8,2</t>
  </si>
  <si>
    <t>-6,7</t>
  </si>
  <si>
    <t>-7</t>
  </si>
  <si>
    <t>-6,3</t>
  </si>
  <si>
    <t>-4,6</t>
  </si>
  <si>
    <t>-1,8</t>
  </si>
  <si>
    <t>-0,9</t>
  </si>
  <si>
    <t>-1,9</t>
  </si>
  <si>
    <t>-2,1</t>
  </si>
  <si>
    <t>-2,5</t>
  </si>
  <si>
    <t>-3,5</t>
  </si>
  <si>
    <t>-5,1</t>
  </si>
  <si>
    <t>-8,1</t>
  </si>
  <si>
    <t>-5,3</t>
  </si>
  <si>
    <t>-4</t>
  </si>
  <si>
    <t>-2,4</t>
  </si>
  <si>
    <t>-2</t>
  </si>
  <si>
    <t>-2,6</t>
  </si>
  <si>
    <t>-3,1</t>
  </si>
  <si>
    <t>-1,2</t>
  </si>
  <si>
    <t>-1,3</t>
  </si>
  <si>
    <t>-1,1</t>
  </si>
  <si>
    <t>0</t>
  </si>
  <si>
    <t>-2,2</t>
  </si>
  <si>
    <t>-2,8</t>
  </si>
  <si>
    <t>-3,2</t>
  </si>
  <si>
    <t>-6</t>
  </si>
  <si>
    <t>-7,9</t>
  </si>
  <si>
    <t>-8,4</t>
  </si>
  <si>
    <t>-8,0</t>
  </si>
  <si>
    <t>-5,6</t>
  </si>
  <si>
    <t>-3,4</t>
  </si>
  <si>
    <t>-3,3</t>
  </si>
  <si>
    <t>-1,4</t>
  </si>
  <si>
    <t>0,7</t>
  </si>
  <si>
    <t>2,1</t>
  </si>
  <si>
    <t>1,88</t>
  </si>
  <si>
    <t>0,3</t>
  </si>
  <si>
    <t>1</t>
  </si>
  <si>
    <t>1,18</t>
  </si>
  <si>
    <t>0,5</t>
  </si>
  <si>
    <t>2,0</t>
  </si>
  <si>
    <t>2,2</t>
  </si>
  <si>
    <t>0,2</t>
  </si>
  <si>
    <t>-1</t>
  </si>
  <si>
    <t>-3</t>
  </si>
  <si>
    <t>-5,4</t>
  </si>
  <si>
    <t>-7,4</t>
  </si>
  <si>
    <t>-9,2</t>
  </si>
  <si>
    <t>-7,7</t>
  </si>
  <si>
    <t>-9</t>
  </si>
  <si>
    <t>-8,6</t>
  </si>
  <si>
    <t>-7,8</t>
  </si>
  <si>
    <t>-7,3</t>
  </si>
  <si>
    <t>-6,4</t>
  </si>
  <si>
    <t>-6,6</t>
  </si>
  <si>
    <t>-6,1</t>
  </si>
  <si>
    <t>-9,9</t>
  </si>
  <si>
    <t>-11</t>
  </si>
  <si>
    <t>-11,2</t>
  </si>
  <si>
    <t>-7,1</t>
  </si>
  <si>
    <t>-9,4</t>
  </si>
  <si>
    <t>-15,8</t>
  </si>
  <si>
    <t>-11,3</t>
  </si>
  <si>
    <t>-9,5</t>
  </si>
  <si>
    <t>-8,9</t>
  </si>
  <si>
    <t>-9,0</t>
  </si>
  <si>
    <t>-11,5</t>
  </si>
  <si>
    <t>-13,3</t>
  </si>
  <si>
    <t>-16,0</t>
  </si>
  <si>
    <t xml:space="preserve">Апрель </t>
  </si>
  <si>
    <t>-4,5</t>
  </si>
  <si>
    <t>-3,7</t>
  </si>
  <si>
    <t>-2,0</t>
  </si>
  <si>
    <t>2,4</t>
  </si>
  <si>
    <t>4,3</t>
  </si>
  <si>
    <t>8,0</t>
  </si>
  <si>
    <t>-1,7</t>
  </si>
  <si>
    <t>-1,6</t>
  </si>
  <si>
    <t>-0,6</t>
  </si>
  <si>
    <t>4</t>
  </si>
  <si>
    <t>7</t>
  </si>
  <si>
    <t>10,9</t>
  </si>
  <si>
    <t>5,2</t>
  </si>
  <si>
    <t>1,0</t>
  </si>
  <si>
    <t>-0,8</t>
  </si>
  <si>
    <t>1,5</t>
  </si>
  <si>
    <t>3,0</t>
  </si>
  <si>
    <t>3,1</t>
  </si>
  <si>
    <t>0,9</t>
  </si>
  <si>
    <t>0,4</t>
  </si>
  <si>
    <t>-7,6</t>
  </si>
  <si>
    <t>-8,5</t>
  </si>
  <si>
    <t>-2,9</t>
  </si>
  <si>
    <t>-4,4</t>
  </si>
  <si>
    <t>-4,7</t>
  </si>
  <si>
    <t>-4,9</t>
  </si>
  <si>
    <t>0,6</t>
  </si>
  <si>
    <t>5</t>
  </si>
  <si>
    <t>3,8</t>
  </si>
  <si>
    <t>2,3</t>
  </si>
  <si>
    <t>-1,0</t>
  </si>
  <si>
    <t>-3,6</t>
  </si>
  <si>
    <t>-3,0</t>
  </si>
  <si>
    <t>-2,7</t>
  </si>
  <si>
    <t>4,7</t>
  </si>
  <si>
    <t>5,4</t>
  </si>
  <si>
    <t>3,7</t>
  </si>
  <si>
    <t>-6,5</t>
  </si>
  <si>
    <t>1,2</t>
  </si>
  <si>
    <t>7,7</t>
  </si>
  <si>
    <t>10</t>
  </si>
  <si>
    <t>6</t>
  </si>
  <si>
    <t>6,2</t>
  </si>
  <si>
    <t>4,8</t>
  </si>
  <si>
    <t>3,3</t>
  </si>
  <si>
    <t>6,1</t>
  </si>
  <si>
    <t>7,5</t>
  </si>
  <si>
    <t>7,1</t>
  </si>
  <si>
    <t>5,1</t>
  </si>
  <si>
    <t>2,9</t>
  </si>
  <si>
    <t>4,1</t>
  </si>
  <si>
    <t>4,9</t>
  </si>
  <si>
    <t>12,8</t>
  </si>
  <si>
    <t>14,4</t>
  </si>
  <si>
    <t>5,7</t>
  </si>
  <si>
    <t>3,9</t>
  </si>
  <si>
    <t>5,0</t>
  </si>
  <si>
    <t>6,0</t>
  </si>
  <si>
    <t>7,6</t>
  </si>
  <si>
    <t>10,0</t>
  </si>
  <si>
    <t>12,2</t>
  </si>
  <si>
    <t>8,2</t>
  </si>
  <si>
    <t>5,8</t>
  </si>
  <si>
    <t>4,5</t>
  </si>
  <si>
    <t>1,6</t>
  </si>
  <si>
    <t>1,4</t>
  </si>
  <si>
    <t>8,4</t>
  </si>
  <si>
    <t>10,8</t>
  </si>
  <si>
    <t>13,0</t>
  </si>
  <si>
    <t>15,5</t>
  </si>
  <si>
    <t>16</t>
  </si>
  <si>
    <t>10,3</t>
  </si>
  <si>
    <t>9,5</t>
  </si>
  <si>
    <t>11,1</t>
  </si>
  <si>
    <t>2,8</t>
  </si>
  <si>
    <t>6,3</t>
  </si>
  <si>
    <t>1,7</t>
  </si>
  <si>
    <t>2,6</t>
  </si>
  <si>
    <t>2,7</t>
  </si>
  <si>
    <t>4,6</t>
  </si>
  <si>
    <t>-4,0</t>
  </si>
  <si>
    <t>0,0</t>
  </si>
  <si>
    <t>1,63</t>
  </si>
  <si>
    <t>1,91</t>
  </si>
  <si>
    <t>1,3</t>
  </si>
  <si>
    <t>5,6</t>
  </si>
  <si>
    <t>9,6</t>
  </si>
  <si>
    <t>9,9</t>
  </si>
  <si>
    <t>28,8</t>
  </si>
  <si>
    <t>23,5</t>
  </si>
  <si>
    <t>26,5</t>
  </si>
  <si>
    <t>29</t>
  </si>
  <si>
    <t>19,4</t>
  </si>
  <si>
    <t>20,36</t>
  </si>
  <si>
    <t>19,3</t>
  </si>
  <si>
    <t>22,1</t>
  </si>
  <si>
    <t>20,1</t>
  </si>
  <si>
    <t>24,6</t>
  </si>
  <si>
    <t>19,27</t>
  </si>
  <si>
    <t>20,7</t>
  </si>
  <si>
    <t>23,8</t>
  </si>
  <si>
    <t>16,9</t>
  </si>
  <si>
    <t>16,72</t>
  </si>
  <si>
    <t>13,63</t>
  </si>
  <si>
    <t>15,35</t>
  </si>
  <si>
    <t>21,7</t>
  </si>
  <si>
    <t>21,6</t>
  </si>
  <si>
    <t>17,81</t>
  </si>
  <si>
    <t>25,0</t>
  </si>
  <si>
    <t>21,3</t>
  </si>
  <si>
    <t>20,25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</si>
</sst>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0" fontId="7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0" fillId="0" borderId="4" xfId="0" applyBorder="1"/>
    <xf numFmtId="164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2;&#1048;&#1058;&#1057;/DNS%20VM%2003.2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sppm\Desktop\&#1057;&#1091;&#1090;&#1076;&#1086;&#1073;&#1099;&#109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к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Тек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D5" t="str">
            <v>-30</v>
          </cell>
        </row>
      </sheetData>
      <sheetData sheetId="10">
        <row r="5">
          <cell r="DD5" t="str">
            <v>-30,1</v>
          </cell>
        </row>
      </sheetData>
      <sheetData sheetId="11">
        <row r="5">
          <cell r="DD5" t="str">
            <v>-26,9</v>
          </cell>
        </row>
      </sheetData>
      <sheetData sheetId="12">
        <row r="5">
          <cell r="DD5" t="str">
            <v>-23,4</v>
          </cell>
        </row>
      </sheetData>
      <sheetData sheetId="13">
        <row r="5">
          <cell r="DD5" t="str">
            <v>-17,7</v>
          </cell>
        </row>
      </sheetData>
      <sheetData sheetId="14">
        <row r="5">
          <cell r="DD5" t="str">
            <v>-19,0</v>
          </cell>
        </row>
      </sheetData>
      <sheetData sheetId="15">
        <row r="5">
          <cell r="DD5" t="str">
            <v>-21,3</v>
          </cell>
        </row>
      </sheetData>
      <sheetData sheetId="16">
        <row r="5">
          <cell r="DD5" t="str">
            <v>-13,3</v>
          </cell>
        </row>
      </sheetData>
      <sheetData sheetId="17">
        <row r="5">
          <cell r="DD5" t="str">
            <v>-7,2</v>
          </cell>
        </row>
      </sheetData>
      <sheetData sheetId="18">
        <row r="5">
          <cell r="DD5" t="str">
            <v>-9,4</v>
          </cell>
        </row>
      </sheetData>
      <sheetData sheetId="19">
        <row r="5">
          <cell r="DD5" t="str">
            <v>-6</v>
          </cell>
        </row>
      </sheetData>
      <sheetData sheetId="20">
        <row r="5">
          <cell r="DD5" t="str">
            <v>-5,6</v>
          </cell>
        </row>
      </sheetData>
      <sheetData sheetId="21">
        <row r="5">
          <cell r="DD5" t="str">
            <v>-5,3</v>
          </cell>
        </row>
      </sheetData>
      <sheetData sheetId="22">
        <row r="5">
          <cell r="DD5" t="str">
            <v>-5,1</v>
          </cell>
        </row>
      </sheetData>
      <sheetData sheetId="23">
        <row r="5">
          <cell r="DD5" t="str">
            <v>-13,7</v>
          </cell>
        </row>
        <row r="6">
          <cell r="DD6" t="str">
            <v>-13,5</v>
          </cell>
        </row>
        <row r="7">
          <cell r="DD7" t="str">
            <v>-12,5</v>
          </cell>
        </row>
        <row r="8">
          <cell r="DD8" t="str">
            <v>-0,6</v>
          </cell>
        </row>
        <row r="9">
          <cell r="DD9" t="str">
            <v>-3,0</v>
          </cell>
        </row>
        <row r="11">
          <cell r="DD11" t="str">
            <v>-2,5</v>
          </cell>
        </row>
        <row r="12">
          <cell r="DD12" t="str">
            <v>-7,3</v>
          </cell>
        </row>
        <row r="13">
          <cell r="DD13" t="str">
            <v>-9,8</v>
          </cell>
        </row>
        <row r="14">
          <cell r="DD14" t="str">
            <v>-10,5</v>
          </cell>
        </row>
        <row r="15">
          <cell r="DD15" t="str">
            <v>-10,8</v>
          </cell>
        </row>
        <row r="16">
          <cell r="DD16" t="str">
            <v>-11,5</v>
          </cell>
        </row>
      </sheetData>
      <sheetData sheetId="24">
        <row r="5">
          <cell r="DD5" t="str">
            <v>-13</v>
          </cell>
        </row>
      </sheetData>
      <sheetData sheetId="25">
        <row r="5">
          <cell r="DD5" t="str">
            <v>-10</v>
          </cell>
        </row>
      </sheetData>
      <sheetData sheetId="26">
        <row r="5">
          <cell r="DD5" t="str">
            <v>-14,5</v>
          </cell>
        </row>
      </sheetData>
      <sheetData sheetId="27">
        <row r="5">
          <cell r="DD5" t="str">
            <v>-12,9</v>
          </cell>
        </row>
      </sheetData>
      <sheetData sheetId="28">
        <row r="5">
          <cell r="DD5" t="str">
            <v>-11,7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Декабрь 15"/>
      <sheetName val="Ноя 15"/>
      <sheetName val="Октябрь 15"/>
      <sheetName val="Сентябрь15 "/>
      <sheetName val="Август15"/>
      <sheetName val="июль 15"/>
      <sheetName val="Июнь"/>
      <sheetName val="МАЙ-15"/>
      <sheetName val="апрель"/>
      <sheetName val="март 15"/>
      <sheetName val="Фев 15"/>
      <sheetName val="Янв 15"/>
      <sheetName val="Сутдобыча.xls"/>
      <sheetName val="Восстановл_Лист33"/>
      <sheetName val="Восстановл_Лист34"/>
      <sheetName val="Восстановл_Лист35"/>
      <sheetName val="Восстановл_Лист36"/>
      <sheetName val="Восстановл_Лист37"/>
      <sheetName val="Восстановл_Лист38"/>
      <sheetName val="Восстановл_Лист39"/>
      <sheetName val="Восстановл_Лист40"/>
      <sheetName val="Восстановл_Лист41"/>
      <sheetName val="Восстановл_Лист42"/>
      <sheetName val="Восстановл_Лист43"/>
      <sheetName val="Восстановл_Лист88"/>
      <sheetName val="Восстановл_Лист89"/>
      <sheetName val="Восстановл_Лист90"/>
      <sheetName val="Восстановл_Лист91"/>
      <sheetName val="Восстановл_Лист92"/>
      <sheetName val="Восстановл_Лист93"/>
      <sheetName val="Восстановл_Лист94"/>
      <sheetName val="Восстановл_Лист95"/>
      <sheetName val="Восстановл_Лист96"/>
      <sheetName val="Восстановл_Лист97"/>
      <sheetName val="Восстановл_Лист98"/>
      <sheetName val="Восстановл_Лист99"/>
      <sheetName val="Восстановл_Лист25"/>
      <sheetName val="Восстановл_Лист26"/>
      <sheetName val="Восстановл_Лист27"/>
      <sheetName val="Восстановл_Лист28"/>
      <sheetName val="Восстановл_Лист29"/>
      <sheetName val="Восстановл_Лист30"/>
      <sheetName val="Восстановл_Лист31"/>
      <sheetName val="Восстановл_Лист44"/>
      <sheetName val="Восстановл_Лист45"/>
      <sheetName val="Восстановл_Лист46"/>
      <sheetName val="Восстановл_Лист47"/>
      <sheetName val="Восстановл_Лист48"/>
      <sheetName val="Восстановл_Лист49"/>
      <sheetName val="Восстановл_Лист50"/>
      <sheetName val="Восстановл_Лист51"/>
      <sheetName val="Восстановл_Лист52"/>
      <sheetName val="Восстановл_Лист53"/>
      <sheetName val="Восстановл_Лист54"/>
      <sheetName val="Восстановл_Лист55"/>
      <sheetName val="Восстановл_Лист5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62"/>
      <sheetName val="Восстановл_Лист63"/>
      <sheetName val="Восстановл_Лист64"/>
      <sheetName val="Восстановл_Лист65"/>
      <sheetName val="Восстановл_Лист66"/>
      <sheetName val="Восстановл_Лист67"/>
      <sheetName val="Восстановл_Лист68"/>
      <sheetName val="Восстановл_Лист69"/>
      <sheetName val="Восстановл_Лист70"/>
      <sheetName val="Восстановл_Лист71"/>
      <sheetName val="Восстановл_Лист72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6"/>
      <sheetName val="Восстановл_Лист87"/>
      <sheetName val="Восстановл_Лист100"/>
      <sheetName val="Восстановл_Лист101"/>
      <sheetName val="Восстановл_Лист102"/>
      <sheetName val="Восстановл_Лист103"/>
      <sheetName val="Восстановл_Лист104"/>
      <sheetName val="Восстановл_Лист105"/>
      <sheetName val="Восстановл_Лист106"/>
      <sheetName val="Восстановл_Лист107"/>
      <sheetName val="Восстановл_Лист108"/>
      <sheetName val="Восстановл_Лист109"/>
      <sheetName val="Восстановл_Лист110"/>
      <sheetName val="Восстановл_Лист111"/>
      <sheetName val="Восстановл_Лист112"/>
      <sheetName val="Восстановл_Лист113"/>
      <sheetName val="Восстановл_Лист114"/>
      <sheetName val="Восстановл_Лист115"/>
      <sheetName val="Восстановл_Лист116"/>
      <sheetName val="Восстановл_Лист117"/>
      <sheetName val="Восстановл_Лист118"/>
      <sheetName val="Восстановл_Лист119"/>
      <sheetName val="Восстановл_Лист120"/>
      <sheetName val="Восстановл_Лист121"/>
      <sheetName val="Восстановл_Лист122"/>
      <sheetName val="Восстановл_Лист123"/>
      <sheetName val="Восстановл_Лист124"/>
      <sheetName val="Восстановл_Лист125"/>
      <sheetName val="Восстановл_Лист126"/>
      <sheetName val="Восстановл_Лист127"/>
      <sheetName val="Восстановл_Лист128"/>
      <sheetName val="Восстановл_Лист129"/>
      <sheetName val="Восстановл_Лист130"/>
      <sheetName val="Восстановл_Лист131"/>
      <sheetName val="Восстановл_Лист132"/>
      <sheetName val="Восстановл_Лист133"/>
      <sheetName val="Восстановл_Лист134"/>
      <sheetName val="Восстановл_Лист135"/>
      <sheetName val="Восстановл_Лист136"/>
      <sheetName val="Восстановл_Лист137"/>
      <sheetName val="Восстановл_Лист138"/>
      <sheetName val="Восстановл_Лист139"/>
      <sheetName val="Восстановл_Лист140"/>
      <sheetName val="Восстановл_Лист141"/>
      <sheetName val="Восстановл_Лист142"/>
      <sheetName val="Восстановл_Лист143"/>
      <sheetName val="Восстановл_Лист144"/>
      <sheetName val="Восстановл_Лист145"/>
      <sheetName val="Восстановл_Лист146"/>
      <sheetName val="Восстановл_Лист147"/>
      <sheetName val="Восстановл_Лист148"/>
      <sheetName val="Восстановл_Лист149"/>
      <sheetName val="Восстановл_Лист150"/>
      <sheetName val="Восстановл_Лист151"/>
      <sheetName val="Восстановл_Лист152"/>
      <sheetName val="Восстановл_Лист153"/>
      <sheetName val="Восстановл_Лист154"/>
      <sheetName val="Восстановл_Лист155"/>
      <sheetName val="Восстановл_Лист156"/>
      <sheetName val="Восстановл_Лист157"/>
      <sheetName val="Восстановл_Лист158"/>
      <sheetName val="Восстановл_Лист159"/>
      <sheetName val="Лист1"/>
    </sheetNames>
    <sheetDataSet>
      <sheetData sheetId="0">
        <row r="10">
          <cell r="A10">
            <v>1</v>
          </cell>
        </row>
      </sheetData>
      <sheetData sheetId="1">
        <row r="10">
          <cell r="A10">
            <v>-10</v>
          </cell>
        </row>
      </sheetData>
      <sheetData sheetId="2">
        <row r="10">
          <cell r="A10">
            <v>-14</v>
          </cell>
        </row>
      </sheetData>
      <sheetData sheetId="3">
        <row r="10">
          <cell r="A10">
            <v>-14</v>
          </cell>
        </row>
      </sheetData>
      <sheetData sheetId="4">
        <row r="10">
          <cell r="A10">
            <v>-9</v>
          </cell>
        </row>
      </sheetData>
      <sheetData sheetId="5">
        <row r="10">
          <cell r="A10">
            <v>-6</v>
          </cell>
        </row>
      </sheetData>
      <sheetData sheetId="6">
        <row r="10">
          <cell r="A10">
            <v>-8</v>
          </cell>
        </row>
      </sheetData>
      <sheetData sheetId="7">
        <row r="10">
          <cell r="A10">
            <v>-8</v>
          </cell>
        </row>
      </sheetData>
      <sheetData sheetId="8">
        <row r="10">
          <cell r="A10">
            <v>-17</v>
          </cell>
        </row>
      </sheetData>
      <sheetData sheetId="9">
        <row r="10">
          <cell r="A10">
            <v>-22</v>
          </cell>
        </row>
      </sheetData>
      <sheetData sheetId="10">
        <row r="10">
          <cell r="A10">
            <v>-15</v>
          </cell>
        </row>
        <row r="12">
          <cell r="A12">
            <v>-14</v>
          </cell>
        </row>
        <row r="14">
          <cell r="A14">
            <v>-14</v>
          </cell>
        </row>
        <row r="16">
          <cell r="A16">
            <v>-13</v>
          </cell>
        </row>
        <row r="18">
          <cell r="A18">
            <v>-13</v>
          </cell>
        </row>
        <row r="20">
          <cell r="A20">
            <v>-12</v>
          </cell>
        </row>
        <row r="22">
          <cell r="A22">
            <v>-14</v>
          </cell>
        </row>
        <row r="24">
          <cell r="A24">
            <v>-15</v>
          </cell>
        </row>
        <row r="26">
          <cell r="A26">
            <v>-14</v>
          </cell>
        </row>
        <row r="28">
          <cell r="A28">
            <v>-14</v>
          </cell>
        </row>
        <row r="30">
          <cell r="A30">
            <v>-13</v>
          </cell>
        </row>
        <row r="32">
          <cell r="A32">
            <v>-12</v>
          </cell>
        </row>
      </sheetData>
      <sheetData sheetId="11">
        <row r="10">
          <cell r="A10">
            <v>-12</v>
          </cell>
        </row>
      </sheetData>
      <sheetData sheetId="12">
        <row r="10">
          <cell r="A10">
            <v>-18</v>
          </cell>
        </row>
      </sheetData>
      <sheetData sheetId="13">
        <row r="10">
          <cell r="A10">
            <v>-29</v>
          </cell>
        </row>
      </sheetData>
      <sheetData sheetId="14">
        <row r="10">
          <cell r="A10">
            <v>-5</v>
          </cell>
        </row>
      </sheetData>
      <sheetData sheetId="15">
        <row r="10">
          <cell r="A10">
            <v>1</v>
          </cell>
        </row>
      </sheetData>
      <sheetData sheetId="16">
        <row r="10">
          <cell r="A10">
            <v>-5</v>
          </cell>
        </row>
      </sheetData>
      <sheetData sheetId="17">
        <row r="10">
          <cell r="A10">
            <v>-9</v>
          </cell>
        </row>
      </sheetData>
      <sheetData sheetId="18">
        <row r="10">
          <cell r="A10">
            <v>-4</v>
          </cell>
        </row>
      </sheetData>
      <sheetData sheetId="19">
        <row r="10">
          <cell r="A10">
            <v>2</v>
          </cell>
        </row>
      </sheetData>
      <sheetData sheetId="20">
        <row r="10">
          <cell r="A10">
            <v>-5</v>
          </cell>
        </row>
      </sheetData>
      <sheetData sheetId="21">
        <row r="10">
          <cell r="A10">
            <v>-7</v>
          </cell>
        </row>
      </sheetData>
      <sheetData sheetId="22">
        <row r="10">
          <cell r="A10">
            <v>-8</v>
          </cell>
        </row>
      </sheetData>
      <sheetData sheetId="23">
        <row r="10">
          <cell r="A10">
            <v>1</v>
          </cell>
        </row>
        <row r="12">
          <cell r="A12">
            <v>0</v>
          </cell>
        </row>
        <row r="14">
          <cell r="A14">
            <v>0</v>
          </cell>
        </row>
        <row r="16">
          <cell r="A16">
            <v>1</v>
          </cell>
        </row>
        <row r="18">
          <cell r="A18">
            <v>2</v>
          </cell>
        </row>
        <row r="20">
          <cell r="A20">
            <v>3</v>
          </cell>
        </row>
        <row r="22">
          <cell r="A22">
            <v>3</v>
          </cell>
        </row>
        <row r="24">
          <cell r="A24">
            <v>2</v>
          </cell>
        </row>
        <row r="26">
          <cell r="A26">
            <v>1</v>
          </cell>
        </row>
        <row r="28">
          <cell r="A28">
            <v>0</v>
          </cell>
        </row>
        <row r="30">
          <cell r="A30">
            <v>0</v>
          </cell>
        </row>
        <row r="32">
          <cell r="A32">
            <v>0</v>
          </cell>
        </row>
      </sheetData>
      <sheetData sheetId="24">
        <row r="10">
          <cell r="A10">
            <v>-22</v>
          </cell>
        </row>
      </sheetData>
      <sheetData sheetId="25">
        <row r="10">
          <cell r="A10">
            <v>-7</v>
          </cell>
        </row>
      </sheetData>
      <sheetData sheetId="26">
        <row r="10">
          <cell r="A10">
            <v>-21</v>
          </cell>
        </row>
      </sheetData>
      <sheetData sheetId="27">
        <row r="10">
          <cell r="A10">
            <v>-33</v>
          </cell>
        </row>
      </sheetData>
      <sheetData sheetId="28">
        <row r="10">
          <cell r="A10">
            <v>-31</v>
          </cell>
        </row>
      </sheetData>
      <sheetData sheetId="29">
        <row r="10">
          <cell r="A10">
            <v>-14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Views>
    <sheetView zoomScaleNormal="100" workbookViewId="0">
      <pane xSplit="1" topLeftCell="F1" activePane="topRight" state="frozen"/>
      <selection pane="topRight" activeCell="B21" sqref="B21:AF21"/>
    </sheetView>
  </sheetViews>
  <sheetFormatPr defaultRowHeight="15" x14ac:dyDescent="0.25"/>
  <cols>
    <col min="1" max="1" width="21" customWidth="1"/>
    <col min="12" max="12" width="8.85546875" customWidth="1"/>
  </cols>
  <sheetData>
    <row r="1" spans="1:32" x14ac:dyDescent="0.25">
      <c r="A1" s="4" t="s">
        <v>8</v>
      </c>
      <c r="B1" t="s">
        <v>3</v>
      </c>
    </row>
    <row r="2" spans="1:32" x14ac:dyDescent="0.25">
      <c r="B2" s="131" t="s">
        <v>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2" x14ac:dyDescent="0.25">
      <c r="A3" t="s">
        <v>0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3">
        <v>29</v>
      </c>
      <c r="AE3" s="3">
        <v>30</v>
      </c>
      <c r="AF3" s="3">
        <v>31</v>
      </c>
    </row>
    <row r="4" spans="1:32" ht="15" customHeight="1" x14ac:dyDescent="0.25">
      <c r="A4" s="1">
        <v>4</v>
      </c>
      <c r="B4" s="15">
        <v>-18</v>
      </c>
      <c r="C4" s="15">
        <v>-12.8</v>
      </c>
      <c r="D4" s="15">
        <v>-12</v>
      </c>
      <c r="E4" s="15">
        <v>-7.3</v>
      </c>
      <c r="F4" s="15">
        <v>-21.2</v>
      </c>
      <c r="G4" s="15">
        <v>-32.6</v>
      </c>
      <c r="H4" s="15">
        <v>-33</v>
      </c>
      <c r="I4" s="15">
        <v>-6</v>
      </c>
      <c r="J4" s="15">
        <v>-19</v>
      </c>
      <c r="K4" s="15">
        <v>-23.8</v>
      </c>
      <c r="L4" s="15">
        <v>-16</v>
      </c>
      <c r="M4" s="15">
        <v>-29.3</v>
      </c>
      <c r="N4" s="15">
        <v>-18.600000000000001</v>
      </c>
      <c r="O4" s="15">
        <v>-13</v>
      </c>
      <c r="P4" s="15">
        <v>-17.399999999999999</v>
      </c>
      <c r="Q4" s="15">
        <v>-12.4</v>
      </c>
      <c r="R4" s="15">
        <v>-7.2</v>
      </c>
      <c r="S4" s="15">
        <v>-17</v>
      </c>
      <c r="T4" s="15">
        <v>-8</v>
      </c>
      <c r="U4" s="15">
        <v>-7</v>
      </c>
      <c r="V4" s="15">
        <v>-11.3</v>
      </c>
      <c r="W4" s="15">
        <v>-14.2</v>
      </c>
      <c r="X4" s="15">
        <v>-12</v>
      </c>
      <c r="Y4" s="15">
        <v>-12.4</v>
      </c>
      <c r="Z4" s="15">
        <v>-15.3</v>
      </c>
      <c r="AA4" s="15">
        <v>-19.8</v>
      </c>
      <c r="AB4" s="15">
        <v>-17</v>
      </c>
      <c r="AC4" s="15">
        <v>-15</v>
      </c>
      <c r="AD4" s="15">
        <v>-24.6</v>
      </c>
      <c r="AE4" s="15">
        <v>-23.3</v>
      </c>
      <c r="AF4" s="15">
        <v>-16</v>
      </c>
    </row>
    <row r="5" spans="1:32" ht="15.75" customHeight="1" x14ac:dyDescent="0.25">
      <c r="A5" s="1">
        <v>6</v>
      </c>
      <c r="B5" s="15">
        <v>-16.7</v>
      </c>
      <c r="C5" s="15">
        <v>-12.8</v>
      </c>
      <c r="D5" s="15">
        <v>-12</v>
      </c>
      <c r="E5" s="15">
        <v>-7</v>
      </c>
      <c r="F5" s="15">
        <v>-20.8</v>
      </c>
      <c r="G5" s="15">
        <v>-32.5</v>
      </c>
      <c r="H5" s="15">
        <v>-32.5</v>
      </c>
      <c r="I5" s="15">
        <v>-5.9</v>
      </c>
      <c r="J5" s="15">
        <v>-19.399999999999999</v>
      </c>
      <c r="K5" s="15">
        <v>-23.6</v>
      </c>
      <c r="L5" s="15">
        <v>-16</v>
      </c>
      <c r="M5" s="15">
        <v>-28.8</v>
      </c>
      <c r="N5" s="15">
        <v>-18.600000000000001</v>
      </c>
      <c r="O5" s="15">
        <v>-12.9</v>
      </c>
      <c r="P5" s="15">
        <v>-17.399999999999999</v>
      </c>
      <c r="Q5" s="15">
        <v>-12.3</v>
      </c>
      <c r="R5" s="15">
        <v>-7.2</v>
      </c>
      <c r="S5" s="15">
        <v>-17</v>
      </c>
      <c r="T5" s="15">
        <v>-7.8</v>
      </c>
      <c r="U5" s="15">
        <v>-7</v>
      </c>
      <c r="V5" s="15">
        <v>-11.2</v>
      </c>
      <c r="W5" s="15">
        <v>-14.2</v>
      </c>
      <c r="X5" s="15">
        <v>-12</v>
      </c>
      <c r="Y5" s="15">
        <v>-12.3</v>
      </c>
      <c r="Z5" s="15">
        <v>-15.3</v>
      </c>
      <c r="AA5" s="15">
        <v>-19.8</v>
      </c>
      <c r="AB5" s="15">
        <v>-17</v>
      </c>
      <c r="AC5" s="15">
        <v>-15.1</v>
      </c>
      <c r="AD5" s="15">
        <v>-23.7</v>
      </c>
      <c r="AE5" s="15">
        <v>-23.3</v>
      </c>
      <c r="AF5" s="15">
        <v>-16</v>
      </c>
    </row>
    <row r="6" spans="1:32" ht="15" customHeight="1" x14ac:dyDescent="0.25">
      <c r="A6" s="1">
        <v>8</v>
      </c>
      <c r="B6" s="15">
        <v>-17.5</v>
      </c>
      <c r="C6" s="15">
        <v>-12</v>
      </c>
      <c r="D6" s="15">
        <v>-11.4</v>
      </c>
      <c r="E6" s="15">
        <v>-7.2</v>
      </c>
      <c r="F6" s="15">
        <v>-20.8</v>
      </c>
      <c r="G6" s="15">
        <v>-33.200000000000003</v>
      </c>
      <c r="H6" s="15">
        <v>-30</v>
      </c>
      <c r="I6" s="15">
        <v>-6.5</v>
      </c>
      <c r="J6" s="15">
        <v>-17.3</v>
      </c>
      <c r="K6" s="15">
        <v>-23.9</v>
      </c>
      <c r="L6" s="15">
        <v>-16</v>
      </c>
      <c r="M6" s="15">
        <v>-28.2</v>
      </c>
      <c r="N6" s="15">
        <v>-18.7</v>
      </c>
      <c r="O6" s="15">
        <v>-11.4</v>
      </c>
      <c r="P6" s="15">
        <v>-17.7</v>
      </c>
      <c r="Q6" s="15">
        <v>-12.1</v>
      </c>
      <c r="R6" s="15">
        <v>-6.8</v>
      </c>
      <c r="S6" s="15">
        <v>-16</v>
      </c>
      <c r="T6" s="15">
        <v>-7.8</v>
      </c>
      <c r="U6" s="15">
        <v>-6.6</v>
      </c>
      <c r="V6" s="15">
        <v>-13.5</v>
      </c>
      <c r="W6" s="15">
        <v>-14.8</v>
      </c>
      <c r="X6" s="15">
        <v>-11.6</v>
      </c>
      <c r="Y6" s="15">
        <v>-12.5</v>
      </c>
      <c r="Z6" s="15">
        <v>-14.7</v>
      </c>
      <c r="AA6" s="15">
        <v>-19.399999999999999</v>
      </c>
      <c r="AB6" s="15">
        <v>-17.600000000000001</v>
      </c>
      <c r="AC6" s="15">
        <v>-17.100000000000001</v>
      </c>
      <c r="AD6" s="15">
        <v>-21.8</v>
      </c>
      <c r="AE6" s="15">
        <v>-21.8</v>
      </c>
      <c r="AF6" s="15">
        <v>-16</v>
      </c>
    </row>
    <row r="7" spans="1:32" ht="15.75" customHeight="1" x14ac:dyDescent="0.25">
      <c r="A7" s="1">
        <v>10</v>
      </c>
      <c r="B7" s="15">
        <v>-17.5</v>
      </c>
      <c r="C7" s="15">
        <v>-11.6</v>
      </c>
      <c r="D7" s="15">
        <v>-11</v>
      </c>
      <c r="E7" s="15">
        <v>-7.2</v>
      </c>
      <c r="F7" s="15">
        <v>-20.8</v>
      </c>
      <c r="G7" s="15">
        <v>-33.4</v>
      </c>
      <c r="H7" s="15">
        <v>-26.7</v>
      </c>
      <c r="I7" s="15">
        <v>-7</v>
      </c>
      <c r="J7" s="15">
        <v>-16.3</v>
      </c>
      <c r="K7" s="15">
        <v>-19.399999999999999</v>
      </c>
      <c r="L7" s="15">
        <v>-17.5</v>
      </c>
      <c r="M7" s="15">
        <v>-28.3</v>
      </c>
      <c r="N7" s="15">
        <v>-19</v>
      </c>
      <c r="O7" s="15">
        <v>-10.6</v>
      </c>
      <c r="P7" s="15">
        <v>-17.100000000000001</v>
      </c>
      <c r="Q7" s="15">
        <v>-13.1</v>
      </c>
      <c r="R7" s="15">
        <v>-5.4</v>
      </c>
      <c r="S7" s="15">
        <v>-15.6</v>
      </c>
      <c r="T7" s="15">
        <v>-7.6</v>
      </c>
      <c r="U7" s="15">
        <v>-6.3</v>
      </c>
      <c r="V7" s="15">
        <v>-14</v>
      </c>
      <c r="W7" s="15">
        <v>-15.9</v>
      </c>
      <c r="X7" s="15">
        <v>-11.9</v>
      </c>
      <c r="Y7" s="15">
        <v>-12.5</v>
      </c>
      <c r="Z7" s="15">
        <v>-15.8</v>
      </c>
      <c r="AA7" s="15">
        <v>-19.600000000000001</v>
      </c>
      <c r="AB7" s="15">
        <v>-17.7</v>
      </c>
      <c r="AC7" s="15">
        <v>-15.4</v>
      </c>
      <c r="AD7" s="15">
        <v>-21</v>
      </c>
      <c r="AE7" s="15">
        <v>-20.9</v>
      </c>
      <c r="AF7" s="15">
        <v>-15.2</v>
      </c>
    </row>
    <row r="8" spans="1:32" ht="15" customHeight="1" x14ac:dyDescent="0.25">
      <c r="A8" s="1">
        <v>12</v>
      </c>
      <c r="B8" s="15">
        <v>-17.5</v>
      </c>
      <c r="C8" s="15">
        <v>-13.2</v>
      </c>
      <c r="D8" s="15">
        <v>-10.199999999999999</v>
      </c>
      <c r="E8" s="15">
        <v>-7.1</v>
      </c>
      <c r="F8" s="15">
        <v>-19</v>
      </c>
      <c r="G8" s="15">
        <v>-30.3</v>
      </c>
      <c r="H8" s="15">
        <v>-22.2</v>
      </c>
      <c r="I8" s="15">
        <v>-7.4</v>
      </c>
      <c r="J8" s="15">
        <v>-16.3</v>
      </c>
      <c r="K8" s="15">
        <v>-17</v>
      </c>
      <c r="L8" s="15">
        <v>-17.399999999999999</v>
      </c>
      <c r="M8" s="15">
        <v>-24.5</v>
      </c>
      <c r="N8" s="15">
        <v>-19.600000000000001</v>
      </c>
      <c r="O8" s="15">
        <v>-9.6</v>
      </c>
      <c r="P8" s="15">
        <v>-15.9</v>
      </c>
      <c r="Q8" s="15">
        <v>-11.5</v>
      </c>
      <c r="R8" s="15">
        <v>-5.7</v>
      </c>
      <c r="S8" s="15">
        <v>-13.9</v>
      </c>
      <c r="T8" s="15">
        <v>-8.1</v>
      </c>
      <c r="U8" s="15">
        <v>-5.0999999999999996</v>
      </c>
      <c r="V8" s="15">
        <v>-12.4</v>
      </c>
      <c r="W8" s="15">
        <v>-14.6</v>
      </c>
      <c r="X8" s="15">
        <v>-11.5</v>
      </c>
      <c r="Y8" s="15">
        <v>-11.5</v>
      </c>
      <c r="Z8" s="15">
        <v>-15.3</v>
      </c>
      <c r="AA8" s="15">
        <v>-19.5</v>
      </c>
      <c r="AB8" s="15">
        <v>-16.8</v>
      </c>
      <c r="AC8" s="15">
        <v>-14.6</v>
      </c>
      <c r="AD8" s="15">
        <v>-20.6</v>
      </c>
      <c r="AE8" s="15">
        <v>-17.2</v>
      </c>
      <c r="AF8" s="15">
        <v>-13.1</v>
      </c>
    </row>
    <row r="9" spans="1:32" ht="15.75" customHeight="1" x14ac:dyDescent="0.25">
      <c r="A9" s="1">
        <v>14</v>
      </c>
      <c r="B9" s="15">
        <v>-17.5</v>
      </c>
      <c r="C9" s="15">
        <v>-14.4</v>
      </c>
      <c r="D9" s="15">
        <v>-8.9</v>
      </c>
      <c r="E9" s="15">
        <v>-7.2</v>
      </c>
      <c r="F9" s="15">
        <v>-19</v>
      </c>
      <c r="G9" s="15">
        <v>-31.4</v>
      </c>
      <c r="H9" s="15">
        <v>-18.2</v>
      </c>
      <c r="I9" s="15">
        <v>-7.7</v>
      </c>
      <c r="J9" s="15">
        <v>-19</v>
      </c>
      <c r="K9" s="15">
        <v>-18.2</v>
      </c>
      <c r="L9" s="15">
        <v>-17.3</v>
      </c>
      <c r="M9" s="15">
        <v>-26.1</v>
      </c>
      <c r="N9" s="15">
        <v>-20.2</v>
      </c>
      <c r="O9" s="15">
        <v>-10.4</v>
      </c>
      <c r="P9" s="15">
        <v>-14.6</v>
      </c>
      <c r="Q9" s="15">
        <v>-10.5</v>
      </c>
      <c r="R9" s="15">
        <v>-7.1</v>
      </c>
      <c r="S9" s="15">
        <v>-15.8</v>
      </c>
      <c r="T9" s="15">
        <v>-9</v>
      </c>
      <c r="U9" s="15">
        <v>-5</v>
      </c>
      <c r="V9" s="15">
        <v>-11.2</v>
      </c>
      <c r="W9" s="15">
        <v>-14.8</v>
      </c>
      <c r="X9" s="15">
        <v>-12</v>
      </c>
      <c r="Y9" s="15">
        <v>-12.5</v>
      </c>
      <c r="Z9" s="15">
        <v>-15.6</v>
      </c>
      <c r="AA9" s="15">
        <v>-20.100000000000001</v>
      </c>
      <c r="AB9" s="15">
        <v>-16.5</v>
      </c>
      <c r="AC9" s="15">
        <v>-14.6</v>
      </c>
      <c r="AD9" s="15">
        <v>-20.5</v>
      </c>
      <c r="AE9" s="15">
        <v>-16.7</v>
      </c>
      <c r="AF9" s="15">
        <v>-12.9</v>
      </c>
    </row>
    <row r="10" spans="1:32" ht="15" customHeight="1" x14ac:dyDescent="0.25">
      <c r="A10" s="1">
        <v>16</v>
      </c>
      <c r="B10" s="15">
        <v>-16.3</v>
      </c>
      <c r="C10" s="15">
        <v>-14.8</v>
      </c>
      <c r="D10" s="15">
        <v>-8.4</v>
      </c>
      <c r="E10" s="15">
        <v>-10.199999999999999</v>
      </c>
      <c r="F10" s="15">
        <v>-20.5</v>
      </c>
      <c r="G10" s="15">
        <v>-31.6</v>
      </c>
      <c r="H10" s="15">
        <v>-17.100000000000001</v>
      </c>
      <c r="I10" s="15">
        <v>-8</v>
      </c>
      <c r="J10" s="15">
        <v>-21</v>
      </c>
      <c r="K10" s="15">
        <v>-17.5</v>
      </c>
      <c r="L10" s="15">
        <v>-21.1</v>
      </c>
      <c r="M10" s="15">
        <v>-27</v>
      </c>
      <c r="N10" s="15">
        <v>-18.3</v>
      </c>
      <c r="O10" s="15">
        <v>-11.7</v>
      </c>
      <c r="P10" s="15">
        <v>-14.7</v>
      </c>
      <c r="Q10" s="15">
        <v>-10</v>
      </c>
      <c r="R10" s="15">
        <v>-8.9</v>
      </c>
      <c r="S10" s="15">
        <v>-16.5</v>
      </c>
      <c r="T10" s="15">
        <v>-9.4</v>
      </c>
      <c r="U10" s="15">
        <v>-5.3</v>
      </c>
      <c r="V10" s="15">
        <v>-11.4</v>
      </c>
      <c r="W10" s="15">
        <v>-16.899999999999999</v>
      </c>
      <c r="X10" s="15">
        <v>-12.5</v>
      </c>
      <c r="Y10" s="15">
        <v>-16.2</v>
      </c>
      <c r="Z10" s="15">
        <v>-18.600000000000001</v>
      </c>
      <c r="AA10" s="15">
        <v>-20.399999999999999</v>
      </c>
      <c r="AB10" s="15">
        <v>-16.8</v>
      </c>
      <c r="AC10" s="15">
        <v>-16.600000000000001</v>
      </c>
      <c r="AD10" s="15">
        <v>-23.2</v>
      </c>
      <c r="AE10" s="15">
        <v>-17.399999999999999</v>
      </c>
      <c r="AF10" s="15">
        <v>-14.8</v>
      </c>
    </row>
    <row r="11" spans="1:32" ht="15.75" customHeight="1" x14ac:dyDescent="0.25">
      <c r="A11" s="1">
        <v>18</v>
      </c>
      <c r="B11" s="15">
        <v>-15.1</v>
      </c>
      <c r="C11" s="15">
        <v>-14.9</v>
      </c>
      <c r="D11" s="15">
        <v>-8.1999999999999993</v>
      </c>
      <c r="E11" s="15">
        <v>-11.6</v>
      </c>
      <c r="F11" s="15">
        <v>-23</v>
      </c>
      <c r="G11" s="15">
        <v>-32.799999999999997</v>
      </c>
      <c r="H11" s="15">
        <v>-15.4</v>
      </c>
      <c r="I11" s="15">
        <v>-9.3000000000000007</v>
      </c>
      <c r="J11" s="15">
        <v>-21.5</v>
      </c>
      <c r="K11" s="15">
        <v>-16.899999999999999</v>
      </c>
      <c r="L11" s="15">
        <v>-22.5</v>
      </c>
      <c r="M11" s="15">
        <v>-23.8</v>
      </c>
      <c r="N11" s="15">
        <v>-16.8</v>
      </c>
      <c r="O11" s="15">
        <v>-13.2</v>
      </c>
      <c r="P11" s="15">
        <v>-14.2</v>
      </c>
      <c r="Q11" s="15">
        <v>-9.1</v>
      </c>
      <c r="R11" s="15">
        <v>-9.6999999999999993</v>
      </c>
      <c r="S11" s="15">
        <v>-14.9</v>
      </c>
      <c r="T11" s="15">
        <v>-8.8000000000000007</v>
      </c>
      <c r="U11" s="15">
        <v>-5.5</v>
      </c>
      <c r="V11" s="15">
        <v>-12</v>
      </c>
      <c r="W11" s="15">
        <v>-15.4</v>
      </c>
      <c r="X11" s="15">
        <v>-12.8</v>
      </c>
      <c r="Y11" s="15">
        <v>-17.2</v>
      </c>
      <c r="Z11" s="15">
        <v>-20</v>
      </c>
      <c r="AA11" s="15">
        <v>-19.2</v>
      </c>
      <c r="AB11" s="15">
        <v>-17</v>
      </c>
      <c r="AC11" s="15">
        <v>-16.600000000000001</v>
      </c>
      <c r="AD11" s="15">
        <v>-24.3</v>
      </c>
      <c r="AE11" s="15">
        <v>-18.3</v>
      </c>
      <c r="AF11" s="15">
        <v>-15.7</v>
      </c>
    </row>
    <row r="12" spans="1:32" ht="15" customHeight="1" x14ac:dyDescent="0.25">
      <c r="A12" s="1">
        <v>20</v>
      </c>
      <c r="B12" s="15">
        <v>-14.3</v>
      </c>
      <c r="C12" s="15">
        <v>-13</v>
      </c>
      <c r="D12" s="15">
        <v>-8</v>
      </c>
      <c r="E12" s="15">
        <v>-16.8</v>
      </c>
      <c r="F12" s="15">
        <v>-26.2</v>
      </c>
      <c r="G12" s="15">
        <v>-32.4</v>
      </c>
      <c r="H12" s="15">
        <v>-11.9</v>
      </c>
      <c r="I12" s="15">
        <v>-10.9</v>
      </c>
      <c r="J12" s="15">
        <v>-22.4</v>
      </c>
      <c r="K12" s="15">
        <v>-16.899999999999999</v>
      </c>
      <c r="L12" s="15">
        <v>-25</v>
      </c>
      <c r="M12" s="15">
        <v>-22</v>
      </c>
      <c r="N12" s="15">
        <v>-15.4</v>
      </c>
      <c r="O12" s="15">
        <v>-14</v>
      </c>
      <c r="P12" s="15">
        <v>-14.2</v>
      </c>
      <c r="Q12" s="15">
        <v>-9.1</v>
      </c>
      <c r="R12" s="15">
        <v>-12</v>
      </c>
      <c r="S12" s="15">
        <v>-12.9</v>
      </c>
      <c r="T12" s="15">
        <v>-7.9</v>
      </c>
      <c r="U12" s="15">
        <v>-6.3</v>
      </c>
      <c r="V12" s="15">
        <v>-12</v>
      </c>
      <c r="W12" s="15">
        <v>-14</v>
      </c>
      <c r="X12" s="15">
        <v>-13</v>
      </c>
      <c r="Y12" s="15">
        <v>-16.3</v>
      </c>
      <c r="Z12" s="15">
        <v>-21.4</v>
      </c>
      <c r="AA12" s="15">
        <v>-18</v>
      </c>
      <c r="AB12" s="15">
        <v>-17.399999999999999</v>
      </c>
      <c r="AC12" s="15">
        <v>-16.8</v>
      </c>
      <c r="AD12" s="15">
        <v>-23.6</v>
      </c>
      <c r="AE12" s="15">
        <v>-16.3</v>
      </c>
      <c r="AF12" s="15">
        <v>-16.2</v>
      </c>
    </row>
    <row r="13" spans="1:32" ht="15.75" customHeight="1" x14ac:dyDescent="0.25">
      <c r="A13" s="1">
        <v>22</v>
      </c>
      <c r="B13" s="15">
        <v>-14.5</v>
      </c>
      <c r="C13" s="15">
        <v>-13</v>
      </c>
      <c r="D13" s="15">
        <v>-8.6999999999999993</v>
      </c>
      <c r="E13" s="15">
        <v>-20.100000000000001</v>
      </c>
      <c r="F13" s="15">
        <v>-28.3</v>
      </c>
      <c r="G13" s="15">
        <v>-33.1</v>
      </c>
      <c r="H13" s="15">
        <v>-9.5</v>
      </c>
      <c r="I13" s="15">
        <v>-15.9</v>
      </c>
      <c r="J13" s="15">
        <v>-23.4</v>
      </c>
      <c r="K13" s="15">
        <v>-16.899999999999999</v>
      </c>
      <c r="L13" s="15">
        <v>-26.8</v>
      </c>
      <c r="M13" s="15">
        <v>-20.5</v>
      </c>
      <c r="N13" s="15">
        <v>-16</v>
      </c>
      <c r="O13" s="15">
        <v>-14</v>
      </c>
      <c r="P13" s="15">
        <v>-14</v>
      </c>
      <c r="Q13" s="15">
        <v>-9.1</v>
      </c>
      <c r="R13" s="15">
        <v>-13.4</v>
      </c>
      <c r="S13" s="15">
        <v>-11</v>
      </c>
      <c r="T13" s="15">
        <v>-7.6</v>
      </c>
      <c r="U13" s="15">
        <v>-6.6</v>
      </c>
      <c r="V13" s="15">
        <v>-11</v>
      </c>
      <c r="W13" s="15">
        <v>-13</v>
      </c>
      <c r="X13" s="15">
        <v>-12.4</v>
      </c>
      <c r="Y13" s="15">
        <v>-15.1</v>
      </c>
      <c r="Z13" s="15">
        <v>-21.4</v>
      </c>
      <c r="AA13" s="15">
        <v>-16.5</v>
      </c>
      <c r="AB13" s="15">
        <v>-15</v>
      </c>
      <c r="AC13" s="15">
        <v>-19.399999999999999</v>
      </c>
      <c r="AD13" s="15">
        <v>-23.6</v>
      </c>
      <c r="AE13" s="15">
        <v>-16.2</v>
      </c>
      <c r="AF13" s="15">
        <v>-16.2</v>
      </c>
    </row>
    <row r="14" spans="1:32" ht="15" customHeight="1" x14ac:dyDescent="0.25">
      <c r="A14" s="1">
        <v>24</v>
      </c>
      <c r="B14" s="15">
        <v>-15.7</v>
      </c>
      <c r="C14" s="15">
        <v>-13</v>
      </c>
      <c r="D14" s="15">
        <v>-8.8000000000000007</v>
      </c>
      <c r="E14" s="15">
        <v>-23.2</v>
      </c>
      <c r="F14" s="15">
        <v>-29.7</v>
      </c>
      <c r="G14" s="15">
        <v>-33.700000000000003</v>
      </c>
      <c r="H14" s="15">
        <v>-7</v>
      </c>
      <c r="I14" s="15">
        <v>-16</v>
      </c>
      <c r="J14" s="15">
        <v>-23.4</v>
      </c>
      <c r="K14" s="15">
        <v>-16.899999999999999</v>
      </c>
      <c r="L14" s="15">
        <v>-27.4</v>
      </c>
      <c r="M14" s="15">
        <v>-19.2</v>
      </c>
      <c r="N14" s="15">
        <v>-16.399999999999999</v>
      </c>
      <c r="O14" s="15">
        <v>-17</v>
      </c>
      <c r="P14" s="15">
        <v>-14.4</v>
      </c>
      <c r="Q14" s="15">
        <v>-8</v>
      </c>
      <c r="R14" s="15">
        <v>-14.8</v>
      </c>
      <c r="S14" s="15">
        <v>-9.8000000000000007</v>
      </c>
      <c r="T14" s="15">
        <v>-7.7</v>
      </c>
      <c r="U14" s="15">
        <v>-6.5</v>
      </c>
      <c r="V14" s="15">
        <v>-11</v>
      </c>
      <c r="W14" s="15">
        <v>-12</v>
      </c>
      <c r="X14" s="15">
        <v>-12.5</v>
      </c>
      <c r="Y14" s="15">
        <v>-14.3</v>
      </c>
      <c r="Z14" s="15">
        <v>-21.4</v>
      </c>
      <c r="AA14" s="15">
        <v>-17</v>
      </c>
      <c r="AB14" s="15">
        <v>-15.4</v>
      </c>
      <c r="AC14" s="15">
        <v>-21.2</v>
      </c>
      <c r="AD14" s="15">
        <v>-23.6</v>
      </c>
      <c r="AE14" s="15">
        <v>-15.8</v>
      </c>
      <c r="AF14" s="15">
        <v>-16.2</v>
      </c>
    </row>
    <row r="15" spans="1:32" ht="15.75" customHeight="1" x14ac:dyDescent="0.25">
      <c r="A15" s="1">
        <v>2</v>
      </c>
      <c r="B15" s="15">
        <v>-13.6</v>
      </c>
      <c r="C15" s="15">
        <v>-11.6</v>
      </c>
      <c r="D15" s="15">
        <v>-8.4</v>
      </c>
      <c r="E15" s="15">
        <v>-24.4</v>
      </c>
      <c r="F15" s="15">
        <v>-31.4</v>
      </c>
      <c r="G15" s="15">
        <v>-33.200000000000003</v>
      </c>
      <c r="H15" s="15">
        <v>-5.8</v>
      </c>
      <c r="I15" s="15">
        <v>-19</v>
      </c>
      <c r="J15" s="15">
        <v>-22.4</v>
      </c>
      <c r="K15" s="15">
        <v>-16.899999999999999</v>
      </c>
      <c r="L15" s="15">
        <v>-27.4</v>
      </c>
      <c r="M15" s="15">
        <v>-18.600000000000001</v>
      </c>
      <c r="N15" s="15">
        <v>-15.8</v>
      </c>
      <c r="O15" s="15">
        <v>-17.8</v>
      </c>
      <c r="P15" s="15">
        <v>-13.5</v>
      </c>
      <c r="Q15" s="15">
        <v>-8</v>
      </c>
      <c r="R15" s="15">
        <v>-16.3</v>
      </c>
      <c r="S15" s="15">
        <v>-8.6999999999999993</v>
      </c>
      <c r="T15" s="15">
        <v>-7.5</v>
      </c>
      <c r="U15" s="15">
        <v>-7.4</v>
      </c>
      <c r="V15" s="15">
        <v>-10.7</v>
      </c>
      <c r="W15" s="15">
        <v>-12.5</v>
      </c>
      <c r="X15" s="15">
        <v>-12.5</v>
      </c>
      <c r="Y15" s="15">
        <v>-13.6</v>
      </c>
      <c r="Z15" s="15">
        <v>-21.4</v>
      </c>
      <c r="AA15" s="15">
        <v>-17.600000000000001</v>
      </c>
      <c r="AB15" s="15">
        <v>-15.2</v>
      </c>
      <c r="AC15" s="15">
        <v>-23.2</v>
      </c>
      <c r="AD15" s="15">
        <v>-23.6</v>
      </c>
      <c r="AE15" s="15">
        <v>-17.2</v>
      </c>
      <c r="AF15" s="15">
        <v>-19.5</v>
      </c>
    </row>
    <row r="16" spans="1:32" ht="30" customHeight="1" x14ac:dyDescent="0.25">
      <c r="A16" s="2" t="s">
        <v>2</v>
      </c>
      <c r="B16" s="15">
        <f t="shared" ref="B16:K16" si="0">AVERAGE(B4:B15)</f>
        <v>-16.183333333333334</v>
      </c>
      <c r="C16" s="15">
        <f t="shared" si="0"/>
        <v>-13.091666666666667</v>
      </c>
      <c r="D16" s="15">
        <f t="shared" si="0"/>
        <v>-9.6666666666666679</v>
      </c>
      <c r="E16" s="15">
        <f t="shared" si="0"/>
        <v>-12.441666666666665</v>
      </c>
      <c r="F16" s="15">
        <f t="shared" si="0"/>
        <v>-23.391666666666666</v>
      </c>
      <c r="G16" s="15">
        <f t="shared" si="0"/>
        <v>-32.516666666666666</v>
      </c>
      <c r="H16" s="15">
        <f t="shared" si="0"/>
        <v>-19.108333333333334</v>
      </c>
      <c r="I16" s="15">
        <f t="shared" si="0"/>
        <v>-9.9666666666666668</v>
      </c>
      <c r="J16" s="15">
        <f t="shared" si="0"/>
        <v>-20.116666666666671</v>
      </c>
      <c r="K16" s="15">
        <f t="shared" si="0"/>
        <v>-18.991666666666671</v>
      </c>
      <c r="L16" s="15">
        <f t="shared" ref="L16:AF16" si="1">(L4+L5+L6+L7+L8+L9+L10+L11+L12+L13+L14+L15)/12</f>
        <v>-20.866666666666671</v>
      </c>
      <c r="M16" s="15">
        <f t="shared" si="1"/>
        <v>-24.691666666666666</v>
      </c>
      <c r="N16" s="15">
        <f t="shared" si="1"/>
        <v>-17.783333333333335</v>
      </c>
      <c r="O16" s="15">
        <f t="shared" si="1"/>
        <v>-12.966666666666669</v>
      </c>
      <c r="P16" s="15">
        <f t="shared" si="1"/>
        <v>-15.424999999999999</v>
      </c>
      <c r="Q16" s="15">
        <f t="shared" si="1"/>
        <v>-10.433333333333332</v>
      </c>
      <c r="R16" s="15">
        <f t="shared" si="1"/>
        <v>-9.5416666666666661</v>
      </c>
      <c r="S16" s="15">
        <f t="shared" si="1"/>
        <v>-14.091666666666667</v>
      </c>
      <c r="T16" s="15">
        <f t="shared" si="1"/>
        <v>-8.1</v>
      </c>
      <c r="U16" s="15">
        <f t="shared" si="1"/>
        <v>-6.2166666666666659</v>
      </c>
      <c r="V16" s="15">
        <f t="shared" si="1"/>
        <v>-11.808333333333332</v>
      </c>
      <c r="W16" s="15">
        <f t="shared" si="1"/>
        <v>-14.358333333333334</v>
      </c>
      <c r="X16" s="15">
        <f t="shared" si="1"/>
        <v>-12.225</v>
      </c>
      <c r="Y16" s="15">
        <f t="shared" si="1"/>
        <v>-13.866666666666667</v>
      </c>
      <c r="Z16" s="15">
        <f t="shared" si="1"/>
        <v>-18.016666666666669</v>
      </c>
      <c r="AA16" s="15">
        <f t="shared" si="1"/>
        <v>-18.908333333333331</v>
      </c>
      <c r="AB16" s="15">
        <f t="shared" si="1"/>
        <v>-16.616666666666664</v>
      </c>
      <c r="AC16" s="15">
        <f t="shared" si="1"/>
        <v>-17.133333333333333</v>
      </c>
      <c r="AD16" s="15">
        <f t="shared" si="1"/>
        <v>-22.841666666666665</v>
      </c>
      <c r="AE16" s="15">
        <f t="shared" si="1"/>
        <v>-18.700000000000003</v>
      </c>
      <c r="AF16" s="15">
        <f t="shared" si="1"/>
        <v>-15.649999999999999</v>
      </c>
    </row>
    <row r="20" spans="1:32" x14ac:dyDescent="0.25">
      <c r="B20" t="s">
        <v>1</v>
      </c>
    </row>
    <row r="21" spans="1:32" x14ac:dyDescent="0.25">
      <c r="A21" s="4" t="s">
        <v>7</v>
      </c>
      <c r="B21" s="131" t="s">
        <v>4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3"/>
    </row>
    <row r="22" spans="1:32" x14ac:dyDescent="0.25">
      <c r="A22" t="s">
        <v>0</v>
      </c>
      <c r="B22" s="3">
        <v>1</v>
      </c>
      <c r="C22" s="3">
        <v>2</v>
      </c>
      <c r="D22" s="3">
        <v>3</v>
      </c>
      <c r="E22" s="3">
        <v>4</v>
      </c>
      <c r="F22" s="3">
        <v>5</v>
      </c>
      <c r="G22" s="3">
        <v>6</v>
      </c>
      <c r="H22" s="3">
        <v>7</v>
      </c>
      <c r="I22" s="3">
        <v>8</v>
      </c>
      <c r="J22" s="3">
        <v>9</v>
      </c>
      <c r="K22" s="3">
        <v>10</v>
      </c>
      <c r="L22" s="3">
        <v>11</v>
      </c>
      <c r="M22" s="3">
        <v>12</v>
      </c>
      <c r="N22" s="3">
        <v>13</v>
      </c>
      <c r="O22" s="3">
        <v>14</v>
      </c>
      <c r="P22" s="3">
        <v>15</v>
      </c>
      <c r="Q22" s="3">
        <v>16</v>
      </c>
      <c r="R22" s="3">
        <v>17</v>
      </c>
      <c r="S22" s="3">
        <v>18</v>
      </c>
      <c r="T22" s="3">
        <v>19</v>
      </c>
      <c r="U22" s="3">
        <v>20</v>
      </c>
      <c r="V22" s="3">
        <v>21</v>
      </c>
      <c r="W22" s="3">
        <v>22</v>
      </c>
      <c r="X22" s="3">
        <v>23</v>
      </c>
      <c r="Y22" s="3">
        <v>24</v>
      </c>
      <c r="Z22" s="3">
        <v>25</v>
      </c>
      <c r="AA22" s="3">
        <v>26</v>
      </c>
      <c r="AB22" s="3">
        <v>27</v>
      </c>
      <c r="AC22" s="3">
        <v>28</v>
      </c>
      <c r="AD22" s="3">
        <v>29</v>
      </c>
      <c r="AE22" s="3">
        <v>30</v>
      </c>
      <c r="AF22" s="3">
        <v>31</v>
      </c>
    </row>
    <row r="23" spans="1:32" x14ac:dyDescent="0.25">
      <c r="A23" s="1">
        <v>4</v>
      </c>
      <c r="B23" s="15">
        <v>-19.5</v>
      </c>
      <c r="C23" s="15">
        <v>-15.7</v>
      </c>
      <c r="D23" s="17">
        <v>-10.7</v>
      </c>
      <c r="E23" s="17">
        <v>-8.8000000000000007</v>
      </c>
      <c r="F23" s="17">
        <v>-22.8</v>
      </c>
      <c r="G23" s="17">
        <v>-30.3</v>
      </c>
      <c r="H23" s="17">
        <v>-33.5</v>
      </c>
      <c r="I23" s="17">
        <v>-6.3</v>
      </c>
      <c r="J23" s="17">
        <v>-15.2</v>
      </c>
      <c r="K23" s="17">
        <v>-21.2</v>
      </c>
      <c r="L23" s="17">
        <v>-16.600000000000001</v>
      </c>
      <c r="M23" s="17">
        <v>-28.5</v>
      </c>
      <c r="N23" s="17">
        <v>-19.100000000000001</v>
      </c>
      <c r="O23" s="17">
        <v>-14</v>
      </c>
      <c r="P23" s="17">
        <v>-18.100000000000001</v>
      </c>
      <c r="Q23" s="17">
        <v>-12.8</v>
      </c>
      <c r="R23" s="17">
        <v>-6.5</v>
      </c>
      <c r="S23" s="17">
        <v>-14.9</v>
      </c>
      <c r="T23" s="17">
        <v>-8.8000000000000007</v>
      </c>
      <c r="U23" s="17">
        <v>-6.9</v>
      </c>
      <c r="V23" s="17">
        <v>-6.1</v>
      </c>
      <c r="W23" s="17">
        <v>-10.3</v>
      </c>
      <c r="X23" s="17">
        <v>-12.8</v>
      </c>
      <c r="Y23" s="17">
        <v>-11.7</v>
      </c>
      <c r="Z23" s="17">
        <v>-16.100000000000001</v>
      </c>
      <c r="AA23" s="17">
        <v>-22</v>
      </c>
      <c r="AB23" s="17">
        <v>-16</v>
      </c>
      <c r="AC23" s="17">
        <v>-15.6</v>
      </c>
      <c r="AD23" s="17">
        <v>-20.100000000000001</v>
      </c>
      <c r="AE23" s="17">
        <v>-22.2</v>
      </c>
      <c r="AF23" s="17">
        <v>-16.8</v>
      </c>
    </row>
    <row r="24" spans="1:32" x14ac:dyDescent="0.25">
      <c r="A24" s="1">
        <v>6</v>
      </c>
      <c r="B24" s="17">
        <v>-19.5</v>
      </c>
      <c r="C24" s="17">
        <v>-13.8</v>
      </c>
      <c r="D24" s="17">
        <v>-11.1</v>
      </c>
      <c r="E24" s="17">
        <v>-8.1</v>
      </c>
      <c r="F24" s="17">
        <v>-23.5</v>
      </c>
      <c r="G24" s="17">
        <v>-31.4</v>
      </c>
      <c r="H24" s="17">
        <v>-33</v>
      </c>
      <c r="I24" s="17">
        <v>-5.3</v>
      </c>
      <c r="J24" s="17">
        <v>-18.100000000000001</v>
      </c>
      <c r="K24" s="17">
        <v>-21.5</v>
      </c>
      <c r="L24" s="17">
        <v>-15.5</v>
      </c>
      <c r="M24" s="17">
        <v>-29</v>
      </c>
      <c r="N24" s="17">
        <v>-18.2</v>
      </c>
      <c r="O24" s="17">
        <v>-12.5</v>
      </c>
      <c r="P24" s="17">
        <v>-19.5</v>
      </c>
      <c r="Q24" s="17">
        <v>-11.9</v>
      </c>
      <c r="R24" s="17">
        <v>-6.5</v>
      </c>
      <c r="S24" s="17">
        <v>-15.8</v>
      </c>
      <c r="T24" s="17">
        <v>-8.1999999999999993</v>
      </c>
      <c r="U24" s="17">
        <v>-6.8</v>
      </c>
      <c r="V24" s="17">
        <v>-7.3</v>
      </c>
      <c r="W24" s="17">
        <v>-10.6</v>
      </c>
      <c r="X24" s="17">
        <v>-12.3</v>
      </c>
      <c r="Y24" s="17">
        <v>-11.4</v>
      </c>
      <c r="Z24" s="17">
        <v>-15.5</v>
      </c>
      <c r="AA24" s="17">
        <v>-22.8</v>
      </c>
      <c r="AB24" s="17">
        <v>-16</v>
      </c>
      <c r="AC24" s="17">
        <v>-15.9</v>
      </c>
      <c r="AD24" s="17">
        <v>-21.8</v>
      </c>
      <c r="AE24" s="17">
        <v>-22.2</v>
      </c>
      <c r="AF24" s="17">
        <v>-18.399999999999999</v>
      </c>
    </row>
    <row r="25" spans="1:32" x14ac:dyDescent="0.25">
      <c r="A25" s="1">
        <v>8</v>
      </c>
      <c r="B25" s="17">
        <v>-17.7</v>
      </c>
      <c r="C25" s="17">
        <v>-12.4</v>
      </c>
      <c r="D25" s="17">
        <v>-11.2</v>
      </c>
      <c r="E25" s="17">
        <v>-7.2</v>
      </c>
      <c r="F25" s="17">
        <v>-22.2</v>
      </c>
      <c r="G25" s="17">
        <v>-33</v>
      </c>
      <c r="H25" s="17">
        <v>-32.1</v>
      </c>
      <c r="I25" s="17">
        <v>-5.6</v>
      </c>
      <c r="J25" s="17">
        <v>-20.7</v>
      </c>
      <c r="K25" s="17">
        <v>-22.8</v>
      </c>
      <c r="L25" s="17">
        <v>-15.4</v>
      </c>
      <c r="M25" s="17">
        <v>-29</v>
      </c>
      <c r="N25" s="17">
        <v>-17.7</v>
      </c>
      <c r="O25" s="17">
        <v>-11.4</v>
      </c>
      <c r="P25" s="17">
        <v>-18.5</v>
      </c>
      <c r="Q25" s="17">
        <v>-12.3</v>
      </c>
      <c r="R25" s="17">
        <v>-6.5</v>
      </c>
      <c r="S25" s="17">
        <v>-16.2</v>
      </c>
      <c r="T25" s="17">
        <v>-7.7</v>
      </c>
      <c r="U25" s="17">
        <v>-6.2</v>
      </c>
      <c r="V25" s="17">
        <v>-8.5</v>
      </c>
      <c r="W25" s="17">
        <v>-11.4</v>
      </c>
      <c r="X25" s="17">
        <v>-12.3</v>
      </c>
      <c r="Y25" s="17">
        <v>-11.4</v>
      </c>
      <c r="Z25" s="17">
        <v>-15.5</v>
      </c>
      <c r="AA25" s="17">
        <v>-21.7</v>
      </c>
      <c r="AB25" s="17">
        <v>-16.2</v>
      </c>
      <c r="AC25" s="17">
        <v>-16.3</v>
      </c>
      <c r="AD25" s="17">
        <v>-23.4</v>
      </c>
      <c r="AE25" s="17">
        <v>-22.7</v>
      </c>
      <c r="AF25" s="17">
        <v>-15.3</v>
      </c>
    </row>
    <row r="26" spans="1:32" x14ac:dyDescent="0.25">
      <c r="A26" s="1">
        <v>10</v>
      </c>
      <c r="B26" s="17">
        <v>-16.5</v>
      </c>
      <c r="C26" s="17">
        <v>-12</v>
      </c>
      <c r="D26" s="17">
        <v>-11.1</v>
      </c>
      <c r="E26" s="17">
        <v>-6.9</v>
      </c>
      <c r="F26" s="17">
        <v>-19.600000000000001</v>
      </c>
      <c r="G26" s="17">
        <v>-33.1</v>
      </c>
      <c r="H26" s="17">
        <v>-29.4</v>
      </c>
      <c r="I26" s="17">
        <v>-6.5</v>
      </c>
      <c r="J26" s="17">
        <v>-19</v>
      </c>
      <c r="K26" s="17">
        <v>-22.4</v>
      </c>
      <c r="L26" s="17">
        <v>-15.8</v>
      </c>
      <c r="M26" s="17">
        <v>-29.6</v>
      </c>
      <c r="N26" s="17">
        <v>-17.5</v>
      </c>
      <c r="O26" s="17">
        <v>-10</v>
      </c>
      <c r="P26" s="17">
        <v>-18.7</v>
      </c>
      <c r="Q26" s="17">
        <v>-12.4</v>
      </c>
      <c r="R26" s="17">
        <v>-6.1</v>
      </c>
      <c r="S26" s="17">
        <v>-15.7</v>
      </c>
      <c r="T26" s="17">
        <v>-7.5</v>
      </c>
      <c r="U26" s="17">
        <v>-5.8</v>
      </c>
      <c r="V26" s="17">
        <v>-12</v>
      </c>
      <c r="W26" s="17">
        <v>-13.5</v>
      </c>
      <c r="X26" s="17">
        <v>-12.1</v>
      </c>
      <c r="Y26" s="17">
        <v>-11.4</v>
      </c>
      <c r="Z26" s="17">
        <v>-15.6</v>
      </c>
      <c r="AA26" s="17">
        <v>-22.4</v>
      </c>
      <c r="AB26" s="17">
        <v>-17.2</v>
      </c>
      <c r="AC26" s="17">
        <v>-16.5</v>
      </c>
      <c r="AD26" s="17">
        <v>-22</v>
      </c>
      <c r="AE26" s="17">
        <v>-20.5</v>
      </c>
      <c r="AF26" s="17">
        <v>-15.1</v>
      </c>
    </row>
    <row r="27" spans="1:32" x14ac:dyDescent="0.25">
      <c r="A27" s="1">
        <v>12</v>
      </c>
      <c r="B27" s="17">
        <v>-16.8</v>
      </c>
      <c r="C27" s="17">
        <v>-11.9</v>
      </c>
      <c r="D27" s="17">
        <v>-10.9</v>
      </c>
      <c r="E27" s="17">
        <v>-6.8</v>
      </c>
      <c r="F27" s="17">
        <v>-20.3</v>
      </c>
      <c r="G27" s="17">
        <v>-32.700000000000003</v>
      </c>
      <c r="H27" s="17">
        <v>-28</v>
      </c>
      <c r="I27" s="17">
        <v>-7.2</v>
      </c>
      <c r="J27" s="17">
        <v>-16.3</v>
      </c>
      <c r="K27" s="17">
        <v>-20.399999999999999</v>
      </c>
      <c r="L27" s="17">
        <v>-16.8</v>
      </c>
      <c r="M27" s="17">
        <v>-28.2</v>
      </c>
      <c r="N27" s="17">
        <v>-17.8</v>
      </c>
      <c r="O27" s="17">
        <v>-9.1</v>
      </c>
      <c r="P27" s="17">
        <v>-17.8</v>
      </c>
      <c r="Q27" s="17">
        <v>-12.5</v>
      </c>
      <c r="R27" s="17">
        <v>-5</v>
      </c>
      <c r="S27" s="17">
        <v>-15.2</v>
      </c>
      <c r="T27" s="17">
        <v>-7.3</v>
      </c>
      <c r="U27" s="17">
        <v>-5.8</v>
      </c>
      <c r="V27" s="17">
        <v>-13.1</v>
      </c>
      <c r="W27" s="17">
        <v>-14.5</v>
      </c>
      <c r="X27" s="17">
        <v>-11.6</v>
      </c>
      <c r="Y27" s="17">
        <v>-12.6</v>
      </c>
      <c r="Z27" s="17">
        <v>-16.2</v>
      </c>
      <c r="AA27" s="17">
        <v>-22.4</v>
      </c>
      <c r="AB27" s="17">
        <v>-16.8</v>
      </c>
      <c r="AC27" s="17">
        <v>-17.100000000000001</v>
      </c>
      <c r="AD27" s="17">
        <v>-20.9</v>
      </c>
      <c r="AE27" s="17">
        <v>-20</v>
      </c>
      <c r="AF27" s="17">
        <v>-14.1</v>
      </c>
    </row>
    <row r="28" spans="1:32" x14ac:dyDescent="0.25">
      <c r="A28" s="1">
        <v>14</v>
      </c>
      <c r="B28" s="17">
        <v>-16</v>
      </c>
      <c r="C28" s="17">
        <v>-12.8</v>
      </c>
      <c r="D28" s="17">
        <v>-10.199999999999999</v>
      </c>
      <c r="E28" s="17">
        <v>-6.8</v>
      </c>
      <c r="F28" s="17">
        <v>-18.7</v>
      </c>
      <c r="G28" s="17">
        <v>-32</v>
      </c>
      <c r="H28" s="17">
        <v>-24.1</v>
      </c>
      <c r="I28" s="17">
        <v>-7.3</v>
      </c>
      <c r="J28" s="17">
        <v>-15.6</v>
      </c>
      <c r="K28" s="17">
        <v>-17.8</v>
      </c>
      <c r="L28" s="17">
        <v>-18.3</v>
      </c>
      <c r="M28" s="17">
        <v>-28.2</v>
      </c>
      <c r="N28" s="17">
        <v>-17.7</v>
      </c>
      <c r="O28" s="17">
        <v>-8.8000000000000007</v>
      </c>
      <c r="P28" s="17">
        <v>-16.5</v>
      </c>
      <c r="Q28" s="17">
        <v>-12.6</v>
      </c>
      <c r="R28" s="17">
        <v>-4.5999999999999996</v>
      </c>
      <c r="S28" s="17">
        <v>-15.1</v>
      </c>
      <c r="T28" s="17">
        <v>-7.5</v>
      </c>
      <c r="U28" s="17">
        <v>-4.7</v>
      </c>
      <c r="V28" s="17">
        <v>-12.8</v>
      </c>
      <c r="W28" s="17">
        <v>-13.1</v>
      </c>
      <c r="X28" s="17">
        <v>-11.1</v>
      </c>
      <c r="Y28" s="17">
        <v>-13</v>
      </c>
      <c r="Z28" s="17">
        <v>-14.8</v>
      </c>
      <c r="AA28" s="17">
        <v>-20.7</v>
      </c>
      <c r="AB28" s="17">
        <v>-16.2</v>
      </c>
      <c r="AC28" s="17">
        <v>-14.8</v>
      </c>
      <c r="AD28" s="17">
        <v>-18.399999999999999</v>
      </c>
      <c r="AE28" s="17">
        <v>-18.2</v>
      </c>
      <c r="AF28" s="17">
        <v>-13.9</v>
      </c>
    </row>
    <row r="29" spans="1:32" x14ac:dyDescent="0.25">
      <c r="A29" s="1">
        <v>16</v>
      </c>
      <c r="B29" s="17">
        <v>-16.100000000000001</v>
      </c>
      <c r="C29" s="17">
        <v>-13.7</v>
      </c>
      <c r="D29" s="17">
        <v>-9.3000000000000007</v>
      </c>
      <c r="E29" s="17">
        <v>-6.7</v>
      </c>
      <c r="F29" s="17">
        <v>-18.600000000000001</v>
      </c>
      <c r="G29" s="17">
        <v>-31.6</v>
      </c>
      <c r="H29" s="17">
        <v>-19.7</v>
      </c>
      <c r="I29" s="17">
        <v>-7.5</v>
      </c>
      <c r="J29" s="17">
        <v>-18.100000000000001</v>
      </c>
      <c r="K29" s="17">
        <v>-17</v>
      </c>
      <c r="L29" s="17">
        <v>-18.5</v>
      </c>
      <c r="M29" s="17">
        <v>-28.6</v>
      </c>
      <c r="N29" s="17">
        <v>-19.399999999999999</v>
      </c>
      <c r="O29" s="17">
        <v>-8</v>
      </c>
      <c r="P29" s="17">
        <v>-15.3</v>
      </c>
      <c r="Q29" s="17">
        <v>-10.4</v>
      </c>
      <c r="R29" s="17">
        <v>-5.6</v>
      </c>
      <c r="S29" s="17">
        <v>-14.5</v>
      </c>
      <c r="T29" s="17">
        <v>-8</v>
      </c>
      <c r="U29" s="17">
        <v>-4.3</v>
      </c>
      <c r="V29" s="17">
        <v>-10.6</v>
      </c>
      <c r="W29" s="17">
        <v>-13</v>
      </c>
      <c r="X29" s="17">
        <v>-11.5</v>
      </c>
      <c r="Y29" s="17">
        <v>-13.2</v>
      </c>
      <c r="Z29" s="17">
        <v>-16.399999999999999</v>
      </c>
      <c r="AA29" s="17">
        <v>-20.2</v>
      </c>
      <c r="AB29" s="17">
        <v>-16.600000000000001</v>
      </c>
      <c r="AC29" s="17">
        <v>-15</v>
      </c>
      <c r="AD29" s="17">
        <v>-21</v>
      </c>
      <c r="AE29" s="17">
        <v>-16.3</v>
      </c>
      <c r="AF29" s="17">
        <v>-13.8</v>
      </c>
    </row>
    <row r="30" spans="1:32" x14ac:dyDescent="0.25">
      <c r="A30" s="1">
        <v>18</v>
      </c>
      <c r="B30" s="17">
        <v>-15.7</v>
      </c>
      <c r="C30" s="17">
        <v>-14.5</v>
      </c>
      <c r="D30" s="17">
        <v>-8.1999999999999993</v>
      </c>
      <c r="E30" s="17">
        <v>-8</v>
      </c>
      <c r="F30" s="17">
        <v>-19.7</v>
      </c>
      <c r="G30" s="17">
        <v>-31.9</v>
      </c>
      <c r="H30" s="17">
        <v>-17.5</v>
      </c>
      <c r="I30" s="17">
        <v>-7.4</v>
      </c>
      <c r="J30" s="17">
        <v>-20.3</v>
      </c>
      <c r="K30" s="17">
        <v>-16.8</v>
      </c>
      <c r="L30" s="17">
        <v>-20.6</v>
      </c>
      <c r="M30" s="17">
        <v>-28.3</v>
      </c>
      <c r="N30" s="17">
        <v>-18.399999999999999</v>
      </c>
      <c r="O30" s="17">
        <v>-10.199999999999999</v>
      </c>
      <c r="P30" s="17">
        <v>-14.1</v>
      </c>
      <c r="Q30" s="17">
        <v>-9.6</v>
      </c>
      <c r="R30" s="17">
        <v>-8.1</v>
      </c>
      <c r="S30" s="17">
        <v>-14.5</v>
      </c>
      <c r="T30" s="17">
        <v>-8</v>
      </c>
      <c r="U30" s="17">
        <v>-4.5</v>
      </c>
      <c r="V30" s="17">
        <v>-9.5</v>
      </c>
      <c r="W30" s="17">
        <v>-16.100000000000001</v>
      </c>
      <c r="X30" s="17">
        <v>-12.3</v>
      </c>
      <c r="Y30" s="17">
        <v>-14.3</v>
      </c>
      <c r="Z30" s="17">
        <v>-18</v>
      </c>
      <c r="AA30" s="17">
        <v>-21.5</v>
      </c>
      <c r="AB30" s="17">
        <v>-16.2</v>
      </c>
      <c r="AC30" s="17">
        <v>-15.7</v>
      </c>
      <c r="AD30" s="17">
        <v>-24.6</v>
      </c>
      <c r="AE30" s="17">
        <v>-16.5</v>
      </c>
      <c r="AF30" s="17">
        <v>-14.9</v>
      </c>
    </row>
    <row r="31" spans="1:32" x14ac:dyDescent="0.25">
      <c r="A31" s="1">
        <v>20</v>
      </c>
      <c r="B31" s="17">
        <v>-15.3</v>
      </c>
      <c r="C31" s="17">
        <v>-13.2</v>
      </c>
      <c r="D31" s="17">
        <v>-8.4</v>
      </c>
      <c r="E31" s="17">
        <v>-11.4</v>
      </c>
      <c r="F31" s="17">
        <v>-21.7</v>
      </c>
      <c r="G31" s="17">
        <v>-31.9</v>
      </c>
      <c r="H31" s="17">
        <v>-15.9</v>
      </c>
      <c r="I31" s="17">
        <v>-7.6</v>
      </c>
      <c r="J31" s="17">
        <v>-21.6</v>
      </c>
      <c r="K31" s="17">
        <v>-16.5</v>
      </c>
      <c r="L31" s="17">
        <v>-23.2</v>
      </c>
      <c r="M31" s="17">
        <v>-25.5</v>
      </c>
      <c r="N31" s="17">
        <v>-16.899999999999999</v>
      </c>
      <c r="O31" s="17">
        <v>-12.4</v>
      </c>
      <c r="P31" s="17">
        <v>-13.5</v>
      </c>
      <c r="Q31" s="17">
        <v>-8.6999999999999993</v>
      </c>
      <c r="R31" s="17">
        <v>-8.9</v>
      </c>
      <c r="S31" s="17">
        <v>-14.5</v>
      </c>
      <c r="T31" s="17">
        <v>-8.6</v>
      </c>
      <c r="U31" s="17">
        <v>-4.7</v>
      </c>
      <c r="V31" s="17">
        <v>-9.1</v>
      </c>
      <c r="W31" s="17">
        <v>-19.3</v>
      </c>
      <c r="X31" s="17">
        <v>-12.7</v>
      </c>
      <c r="Y31" s="17">
        <v>-17.2</v>
      </c>
      <c r="Z31" s="17">
        <v>-20.5</v>
      </c>
      <c r="AA31" s="17">
        <v>-19.399999999999999</v>
      </c>
      <c r="AB31" s="17">
        <v>-16.600000000000001</v>
      </c>
      <c r="AC31" s="17">
        <v>-15.5</v>
      </c>
      <c r="AD31" s="17">
        <v>-24</v>
      </c>
      <c r="AE31" s="17">
        <v>-16.100000000000001</v>
      </c>
      <c r="AF31" s="17">
        <v>-15.9</v>
      </c>
    </row>
    <row r="32" spans="1:32" x14ac:dyDescent="0.25">
      <c r="A32" s="1">
        <v>22</v>
      </c>
      <c r="B32" s="17">
        <v>-14.3</v>
      </c>
      <c r="C32" s="17">
        <v>-13</v>
      </c>
      <c r="D32" s="17">
        <v>-8.6999999999999993</v>
      </c>
      <c r="E32" s="17">
        <v>-14.2</v>
      </c>
      <c r="F32" s="17">
        <v>-24.9</v>
      </c>
      <c r="G32" s="17">
        <v>-32.299999999999997</v>
      </c>
      <c r="H32" s="17">
        <v>-13.3</v>
      </c>
      <c r="I32" s="17">
        <v>-10.1</v>
      </c>
      <c r="J32" s="17">
        <v>-21.8</v>
      </c>
      <c r="K32" s="17">
        <v>-16.3</v>
      </c>
      <c r="L32" s="17">
        <v>-25.2</v>
      </c>
      <c r="M32" s="17">
        <v>-23.5</v>
      </c>
      <c r="N32" s="17">
        <v>-15.4</v>
      </c>
      <c r="O32" s="17">
        <v>-13.3</v>
      </c>
      <c r="P32" s="17">
        <v>-13.8</v>
      </c>
      <c r="Q32" s="17">
        <v>-8</v>
      </c>
      <c r="R32" s="17">
        <v>-11</v>
      </c>
      <c r="S32" s="17">
        <v>-12.9</v>
      </c>
      <c r="T32" s="17">
        <v>-7.8</v>
      </c>
      <c r="U32" s="17">
        <v>-5.4</v>
      </c>
      <c r="V32" s="17">
        <v>-12</v>
      </c>
      <c r="W32" s="17">
        <v>-17.3</v>
      </c>
      <c r="X32" s="17">
        <v>-12.5</v>
      </c>
      <c r="Y32" s="17">
        <v>-19.5</v>
      </c>
      <c r="Z32" s="17">
        <v>-20.8</v>
      </c>
      <c r="AA32" s="17">
        <v>-18.100000000000001</v>
      </c>
      <c r="AB32" s="17">
        <v>-17</v>
      </c>
      <c r="AC32" s="17">
        <v>-15.7</v>
      </c>
      <c r="AD32" s="17">
        <v>-24.4</v>
      </c>
      <c r="AE32" s="17">
        <v>-15.7</v>
      </c>
      <c r="AF32" s="17">
        <v>-14.3</v>
      </c>
    </row>
    <row r="33" spans="1:32" x14ac:dyDescent="0.25">
      <c r="A33" s="1">
        <v>24</v>
      </c>
      <c r="B33" s="17">
        <v>-14</v>
      </c>
      <c r="C33" s="17">
        <v>-11.5</v>
      </c>
      <c r="D33" s="17">
        <v>-8.8000000000000007</v>
      </c>
      <c r="E33" s="17">
        <v>-18.899999999999999</v>
      </c>
      <c r="F33" s="17">
        <v>-27.5</v>
      </c>
      <c r="G33" s="17">
        <v>-33.1</v>
      </c>
      <c r="H33" s="17">
        <v>-10</v>
      </c>
      <c r="I33" s="17">
        <v>-12.5</v>
      </c>
      <c r="J33" s="17">
        <v>-23.1</v>
      </c>
      <c r="K33" s="17">
        <v>-15.7</v>
      </c>
      <c r="L33" s="17">
        <v>-26.7</v>
      </c>
      <c r="M33" s="17">
        <v>-22.1</v>
      </c>
      <c r="N33" s="17">
        <v>-15</v>
      </c>
      <c r="O33" s="17">
        <v>-15</v>
      </c>
      <c r="P33" s="17">
        <v>-13.5</v>
      </c>
      <c r="Q33" s="17">
        <v>-7.5</v>
      </c>
      <c r="R33" s="17">
        <v>-11.9</v>
      </c>
      <c r="S33" s="17">
        <v>-10.8</v>
      </c>
      <c r="T33" s="17">
        <v>-7.2</v>
      </c>
      <c r="U33" s="17">
        <v>-5.6</v>
      </c>
      <c r="V33" s="17">
        <v>-10.3</v>
      </c>
      <c r="W33" s="17">
        <v>-14.5</v>
      </c>
      <c r="X33" s="17">
        <v>-12.3</v>
      </c>
      <c r="Y33" s="17">
        <v>-18.3</v>
      </c>
      <c r="Z33" s="17">
        <v>-21.8</v>
      </c>
      <c r="AA33" s="17">
        <v>-17.100000000000001</v>
      </c>
      <c r="AB33" s="17">
        <v>-17.3</v>
      </c>
      <c r="AC33" s="17">
        <v>-16.600000000000001</v>
      </c>
      <c r="AD33" s="17">
        <v>-24.4</v>
      </c>
      <c r="AE33" s="17">
        <v>-15.5</v>
      </c>
      <c r="AF33" s="17">
        <v>-14.4</v>
      </c>
    </row>
    <row r="34" spans="1:32" x14ac:dyDescent="0.25">
      <c r="A34" s="1">
        <v>2</v>
      </c>
      <c r="B34" s="17">
        <v>-14</v>
      </c>
      <c r="C34" s="17">
        <v>-11</v>
      </c>
      <c r="D34" s="17">
        <v>-9.1</v>
      </c>
      <c r="E34" s="17">
        <v>-21.5</v>
      </c>
      <c r="F34" s="17">
        <v>-29.4</v>
      </c>
      <c r="G34" s="17">
        <v>-33.1</v>
      </c>
      <c r="H34" s="17">
        <v>-7.8</v>
      </c>
      <c r="I34" s="17">
        <v>-15</v>
      </c>
      <c r="J34" s="17">
        <v>-22.5</v>
      </c>
      <c r="K34" s="17">
        <v>-15.4</v>
      </c>
      <c r="L34" s="17">
        <v>-28.3</v>
      </c>
      <c r="M34" s="17">
        <v>-20.7</v>
      </c>
      <c r="N34" s="17">
        <v>-14.6</v>
      </c>
      <c r="O34" s="17">
        <v>-16.8</v>
      </c>
      <c r="P34" s="17">
        <v>-13.6</v>
      </c>
      <c r="Q34" s="17">
        <v>-7.1</v>
      </c>
      <c r="R34" s="17">
        <v>-13.5</v>
      </c>
      <c r="S34" s="17">
        <v>-10.199999999999999</v>
      </c>
      <c r="T34" s="17">
        <v>-7.2</v>
      </c>
      <c r="U34" s="17">
        <v>-5.5</v>
      </c>
      <c r="V34" s="17">
        <v>-10</v>
      </c>
      <c r="W34" s="17">
        <v>-13.1</v>
      </c>
      <c r="X34" s="17">
        <v>-11.9</v>
      </c>
      <c r="Y34" s="17">
        <v>-17.899999999999999</v>
      </c>
      <c r="Z34" s="17">
        <v>-22.1</v>
      </c>
      <c r="AA34" s="17">
        <v>-16.3</v>
      </c>
      <c r="AB34" s="17">
        <v>-16.899999999999999</v>
      </c>
      <c r="AC34" s="17">
        <v>-18.5</v>
      </c>
      <c r="AD34" s="17">
        <v>-23</v>
      </c>
      <c r="AE34" s="17">
        <v>-15.7</v>
      </c>
      <c r="AF34" s="17">
        <v>-17.5</v>
      </c>
    </row>
    <row r="35" spans="1:32" ht="30" x14ac:dyDescent="0.25">
      <c r="A35" s="2" t="s">
        <v>2</v>
      </c>
      <c r="B35" s="15">
        <f>(B23+B24+B25+B26+B27+B28+B29+B30+B31+B32+B33+B34)/12</f>
        <v>-16.283333333333335</v>
      </c>
      <c r="C35" s="15">
        <f t="shared" ref="C35:AF35" si="2">(C23+C24+C25+C26+C27+C28+C29+C30+C31+C32+C33+C34)/12</f>
        <v>-12.958333333333334</v>
      </c>
      <c r="D35" s="15">
        <f t="shared" si="2"/>
        <v>-9.8083333333333336</v>
      </c>
      <c r="E35" s="15">
        <f t="shared" si="2"/>
        <v>-10.441666666666668</v>
      </c>
      <c r="F35" s="15">
        <f t="shared" si="2"/>
        <v>-22.408333333333331</v>
      </c>
      <c r="G35" s="15">
        <f t="shared" si="2"/>
        <v>-32.200000000000003</v>
      </c>
      <c r="H35" s="15">
        <f t="shared" si="2"/>
        <v>-22.025000000000002</v>
      </c>
      <c r="I35" s="15">
        <f t="shared" si="2"/>
        <v>-8.1916666666666664</v>
      </c>
      <c r="J35" s="15">
        <f t="shared" si="2"/>
        <v>-19.358333333333334</v>
      </c>
      <c r="K35" s="15">
        <f t="shared" si="2"/>
        <v>-18.650000000000002</v>
      </c>
      <c r="L35" s="15">
        <f t="shared" si="2"/>
        <v>-20.074999999999999</v>
      </c>
      <c r="M35" s="15">
        <f t="shared" si="2"/>
        <v>-26.766666666666666</v>
      </c>
      <c r="N35" s="15">
        <f t="shared" si="2"/>
        <v>-17.308333333333334</v>
      </c>
      <c r="O35" s="15">
        <f t="shared" si="2"/>
        <v>-11.791666666666666</v>
      </c>
      <c r="P35" s="15">
        <f t="shared" si="2"/>
        <v>-16.074999999999999</v>
      </c>
      <c r="Q35" s="15">
        <f t="shared" si="2"/>
        <v>-10.483333333333333</v>
      </c>
      <c r="R35" s="15">
        <f t="shared" si="2"/>
        <v>-7.8500000000000014</v>
      </c>
      <c r="S35" s="15">
        <f t="shared" si="2"/>
        <v>-14.191666666666668</v>
      </c>
      <c r="T35" s="15">
        <f t="shared" si="2"/>
        <v>-7.8166666666666664</v>
      </c>
      <c r="U35" s="15">
        <f t="shared" si="2"/>
        <v>-5.5166666666666666</v>
      </c>
      <c r="V35" s="15">
        <f t="shared" si="2"/>
        <v>-10.108333333333333</v>
      </c>
      <c r="W35" s="15">
        <f t="shared" si="2"/>
        <v>-13.891666666666666</v>
      </c>
      <c r="X35" s="15">
        <f t="shared" si="2"/>
        <v>-12.116666666666667</v>
      </c>
      <c r="Y35" s="15">
        <f t="shared" si="2"/>
        <v>-14.325000000000001</v>
      </c>
      <c r="Z35" s="15">
        <f t="shared" si="2"/>
        <v>-17.775000000000002</v>
      </c>
      <c r="AA35" s="15">
        <f t="shared" si="2"/>
        <v>-20.383333333333333</v>
      </c>
      <c r="AB35" s="15">
        <f t="shared" si="2"/>
        <v>-16.583333333333332</v>
      </c>
      <c r="AC35" s="15">
        <f t="shared" si="2"/>
        <v>-16.099999999999998</v>
      </c>
      <c r="AD35" s="15">
        <f t="shared" si="2"/>
        <v>-22.333333333333332</v>
      </c>
      <c r="AE35" s="15">
        <f t="shared" si="2"/>
        <v>-18.466666666666665</v>
      </c>
      <c r="AF35" s="15">
        <f t="shared" si="2"/>
        <v>-15.366666666666667</v>
      </c>
    </row>
  </sheetData>
  <mergeCells count="2">
    <mergeCell ref="B2:AF2"/>
    <mergeCell ref="B21:AF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workbookViewId="0">
      <selection activeCell="I14" sqref="I14"/>
    </sheetView>
  </sheetViews>
  <sheetFormatPr defaultRowHeight="15" x14ac:dyDescent="0.25"/>
  <cols>
    <col min="1" max="1" width="21" customWidth="1"/>
  </cols>
  <sheetData>
    <row r="1" spans="1:32" x14ac:dyDescent="0.25">
      <c r="A1" s="4" t="s">
        <v>8</v>
      </c>
      <c r="B1" s="5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x14ac:dyDescent="0.25">
      <c r="A2" s="5"/>
      <c r="B2" s="131" t="s">
        <v>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2" x14ac:dyDescent="0.25">
      <c r="A3" s="5" t="s">
        <v>0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8">
        <v>26</v>
      </c>
      <c r="AB3" s="8">
        <v>27</v>
      </c>
      <c r="AC3" s="8">
        <v>28</v>
      </c>
      <c r="AD3" s="8">
        <v>29</v>
      </c>
      <c r="AE3" s="8">
        <v>30</v>
      </c>
      <c r="AF3" s="8">
        <v>31</v>
      </c>
    </row>
    <row r="4" spans="1:32" x14ac:dyDescent="0.25">
      <c r="A4" s="6">
        <v>4</v>
      </c>
      <c r="B4" s="15">
        <v>-21</v>
      </c>
      <c r="C4" s="15">
        <v>-27</v>
      </c>
      <c r="D4" s="15">
        <v>-7.6</v>
      </c>
      <c r="E4" s="15">
        <v>-7.1</v>
      </c>
      <c r="F4" s="15">
        <v>-12</v>
      </c>
      <c r="G4" s="15">
        <v>-16.2</v>
      </c>
      <c r="H4" s="15">
        <v>-22.6</v>
      </c>
      <c r="I4" s="15">
        <v>-26.4</v>
      </c>
      <c r="J4" s="15">
        <v>-26.8</v>
      </c>
      <c r="K4" s="15">
        <v>-26.7</v>
      </c>
      <c r="L4" s="15">
        <v>-24.6</v>
      </c>
      <c r="M4" s="15">
        <v>-27</v>
      </c>
      <c r="N4" s="15">
        <v>-25</v>
      </c>
      <c r="O4" s="15">
        <v>-25</v>
      </c>
      <c r="P4" s="15">
        <v>-25.5</v>
      </c>
      <c r="Q4" s="15">
        <v>-30</v>
      </c>
      <c r="R4" s="15">
        <v>-18.5</v>
      </c>
      <c r="S4" s="15">
        <v>-6</v>
      </c>
      <c r="T4" s="15">
        <v>-10.4</v>
      </c>
      <c r="U4" s="15">
        <v>-10.4</v>
      </c>
      <c r="V4" s="15">
        <v>-11.3</v>
      </c>
      <c r="W4" s="15">
        <v>-6.8</v>
      </c>
      <c r="X4" s="15">
        <v>-8</v>
      </c>
      <c r="Y4" s="15">
        <v>-4.3</v>
      </c>
      <c r="Z4" s="15">
        <v>-2.4</v>
      </c>
      <c r="AA4" s="15">
        <v>-16.399999999999999</v>
      </c>
      <c r="AB4" s="15">
        <v>-6</v>
      </c>
      <c r="AC4" s="15">
        <v>-18.600000000000001</v>
      </c>
      <c r="AD4" s="15"/>
      <c r="AE4" s="15"/>
      <c r="AF4" s="15"/>
    </row>
    <row r="5" spans="1:32" x14ac:dyDescent="0.25">
      <c r="A5" s="6">
        <v>6</v>
      </c>
      <c r="B5" s="15">
        <v>-21</v>
      </c>
      <c r="C5" s="15">
        <v>-27</v>
      </c>
      <c r="D5" s="15">
        <v>-7.6</v>
      </c>
      <c r="E5" s="15">
        <v>-7.1</v>
      </c>
      <c r="F5" s="15">
        <v>-12</v>
      </c>
      <c r="G5" s="15">
        <v>-15.9</v>
      </c>
      <c r="H5" s="15">
        <v>-22.6</v>
      </c>
      <c r="I5" s="15">
        <v>-26.4</v>
      </c>
      <c r="J5" s="15">
        <v>-26.9</v>
      </c>
      <c r="K5" s="15">
        <v>-26.7</v>
      </c>
      <c r="L5" s="15">
        <v>-24.6</v>
      </c>
      <c r="M5" s="15">
        <v>-27</v>
      </c>
      <c r="N5" s="15">
        <v>-25</v>
      </c>
      <c r="O5" s="15">
        <v>-25</v>
      </c>
      <c r="P5" s="15">
        <v>-25.6</v>
      </c>
      <c r="Q5" s="15">
        <v>-29</v>
      </c>
      <c r="R5" s="15">
        <v>-18.3</v>
      </c>
      <c r="S5" s="15">
        <v>-6</v>
      </c>
      <c r="T5" s="15">
        <v>-10.199999999999999</v>
      </c>
      <c r="U5" s="15">
        <v>-10.199999999999999</v>
      </c>
      <c r="V5" s="15">
        <v>-11.3</v>
      </c>
      <c r="W5" s="15">
        <v>-7</v>
      </c>
      <c r="X5" s="15">
        <v>-8</v>
      </c>
      <c r="Y5" s="15">
        <v>-4.7</v>
      </c>
      <c r="Z5" s="15">
        <v>-1.8</v>
      </c>
      <c r="AA5" s="15">
        <v>-16.399999999999999</v>
      </c>
      <c r="AB5" s="15">
        <v>-6</v>
      </c>
      <c r="AC5" s="15">
        <v>-18.600000000000001</v>
      </c>
      <c r="AD5" s="15"/>
      <c r="AE5" s="15"/>
      <c r="AF5" s="15"/>
    </row>
    <row r="6" spans="1:32" x14ac:dyDescent="0.25">
      <c r="A6" s="6">
        <v>8</v>
      </c>
      <c r="B6" s="15">
        <v>-20.100000000000001</v>
      </c>
      <c r="C6" s="15">
        <v>-27.2</v>
      </c>
      <c r="D6" s="15">
        <v>-6.6</v>
      </c>
      <c r="E6" s="15">
        <v>-6.9</v>
      </c>
      <c r="F6" s="15">
        <v>-15.4</v>
      </c>
      <c r="G6" s="15">
        <v>-15.5</v>
      </c>
      <c r="H6" s="15">
        <v>-22.7</v>
      </c>
      <c r="I6" s="15">
        <v>-26.9</v>
      </c>
      <c r="J6" s="15">
        <v>-27.2</v>
      </c>
      <c r="K6" s="15">
        <v>-27.4</v>
      </c>
      <c r="L6" s="15">
        <v>-26.3</v>
      </c>
      <c r="M6" s="15">
        <v>-27.7</v>
      </c>
      <c r="N6" s="15">
        <v>-25.8</v>
      </c>
      <c r="O6" s="15">
        <v>-24</v>
      </c>
      <c r="P6" s="15">
        <v>-24.9</v>
      </c>
      <c r="Q6" s="15">
        <v>-29</v>
      </c>
      <c r="R6" s="15">
        <v>-17.399999999999999</v>
      </c>
      <c r="S6" s="15">
        <v>-5</v>
      </c>
      <c r="T6" s="15">
        <v>-10.199999999999999</v>
      </c>
      <c r="U6" s="15">
        <v>-10.199999999999999</v>
      </c>
      <c r="V6" s="15">
        <v>-12.2</v>
      </c>
      <c r="W6" s="15">
        <v>-6.6</v>
      </c>
      <c r="X6" s="15">
        <v>-7</v>
      </c>
      <c r="Y6" s="15">
        <v>-3.5</v>
      </c>
      <c r="Z6" s="15">
        <v>-4</v>
      </c>
      <c r="AA6" s="15">
        <v>-15.6</v>
      </c>
      <c r="AB6" s="15">
        <v>-5.7</v>
      </c>
      <c r="AC6" s="15">
        <v>-17.600000000000001</v>
      </c>
      <c r="AD6" s="15"/>
      <c r="AE6" s="15"/>
      <c r="AF6" s="15"/>
    </row>
    <row r="7" spans="1:32" x14ac:dyDescent="0.25">
      <c r="A7" s="6">
        <v>10</v>
      </c>
      <c r="B7" s="15">
        <v>-18.399999999999999</v>
      </c>
      <c r="C7" s="15">
        <v>-26.2</v>
      </c>
      <c r="D7" s="15">
        <v>-6.6</v>
      </c>
      <c r="E7" s="15">
        <v>-7</v>
      </c>
      <c r="F7" s="15">
        <v>-15.1</v>
      </c>
      <c r="G7" s="15">
        <v>-14.1</v>
      </c>
      <c r="H7" s="15">
        <v>-21</v>
      </c>
      <c r="I7" s="15">
        <v>-23.1</v>
      </c>
      <c r="J7" s="15">
        <v>-23</v>
      </c>
      <c r="K7" s="15">
        <v>-22</v>
      </c>
      <c r="L7" s="15">
        <v>-22.8</v>
      </c>
      <c r="M7" s="15">
        <v>-25.3</v>
      </c>
      <c r="N7" s="15">
        <v>-21.9</v>
      </c>
      <c r="O7" s="15">
        <v>-22</v>
      </c>
      <c r="P7" s="15">
        <v>-22</v>
      </c>
      <c r="Q7" s="15">
        <v>-28.1</v>
      </c>
      <c r="R7" s="15">
        <v>-15.2</v>
      </c>
      <c r="S7" s="15">
        <v>-4</v>
      </c>
      <c r="T7" s="15">
        <v>-7</v>
      </c>
      <c r="U7" s="15">
        <v>-7</v>
      </c>
      <c r="V7" s="15">
        <v>-10.4</v>
      </c>
      <c r="W7" s="15">
        <v>-5.3</v>
      </c>
      <c r="X7" s="15">
        <v>-6</v>
      </c>
      <c r="Y7" s="15">
        <v>-2.5</v>
      </c>
      <c r="Z7" s="15">
        <v>-3.8</v>
      </c>
      <c r="AA7" s="15">
        <v>-11.2</v>
      </c>
      <c r="AB7" s="15">
        <v>-4.9000000000000004</v>
      </c>
      <c r="AC7" s="15">
        <v>-14.2</v>
      </c>
      <c r="AD7" s="15"/>
      <c r="AE7" s="15"/>
      <c r="AF7" s="15"/>
    </row>
    <row r="8" spans="1:32" x14ac:dyDescent="0.25">
      <c r="A8" s="6">
        <v>12</v>
      </c>
      <c r="B8" s="15">
        <v>-16.2</v>
      </c>
      <c r="C8" s="15">
        <v>-22.3</v>
      </c>
      <c r="D8" s="15">
        <v>-5.0999999999999996</v>
      </c>
      <c r="E8" s="15">
        <v>-6.6</v>
      </c>
      <c r="F8" s="15">
        <v>-14.9</v>
      </c>
      <c r="G8" s="15">
        <v>-13.1</v>
      </c>
      <c r="H8" s="15">
        <v>-18</v>
      </c>
      <c r="I8" s="15">
        <v>-20</v>
      </c>
      <c r="J8" s="15">
        <v>-20.100000000000001</v>
      </c>
      <c r="K8" s="15">
        <v>-19.5</v>
      </c>
      <c r="L8" s="15">
        <v>-18.600000000000001</v>
      </c>
      <c r="M8" s="15">
        <v>-22.5</v>
      </c>
      <c r="N8" s="15">
        <v>-19.5</v>
      </c>
      <c r="O8" s="15">
        <v>-17</v>
      </c>
      <c r="P8" s="15">
        <v>-17.8</v>
      </c>
      <c r="Q8" s="15">
        <v>-23</v>
      </c>
      <c r="R8" s="15">
        <v>-12.7</v>
      </c>
      <c r="S8" s="15">
        <v>-4</v>
      </c>
      <c r="T8" s="15">
        <v>-7</v>
      </c>
      <c r="U8" s="15">
        <v>-7</v>
      </c>
      <c r="V8" s="15">
        <v>-8.6999999999999993</v>
      </c>
      <c r="W8" s="15">
        <v>-3.4</v>
      </c>
      <c r="X8" s="15">
        <v>-5</v>
      </c>
      <c r="Y8" s="15">
        <v>-2.5</v>
      </c>
      <c r="Z8" s="15">
        <v>-3.7</v>
      </c>
      <c r="AA8" s="15">
        <v>-9.1</v>
      </c>
      <c r="AB8" s="15">
        <v>-3.5</v>
      </c>
      <c r="AC8" s="15">
        <v>-10.3</v>
      </c>
      <c r="AD8" s="15"/>
      <c r="AE8" s="15"/>
      <c r="AF8" s="15"/>
    </row>
    <row r="9" spans="1:32" x14ac:dyDescent="0.25">
      <c r="A9" s="6">
        <v>14</v>
      </c>
      <c r="B9" s="15">
        <v>-18.3</v>
      </c>
      <c r="C9" s="15">
        <v>-21</v>
      </c>
      <c r="D9" s="15">
        <v>-4.5</v>
      </c>
      <c r="E9" s="15">
        <v>-6.7</v>
      </c>
      <c r="F9" s="15">
        <v>-14.6</v>
      </c>
      <c r="G9" s="15">
        <v>-11.4</v>
      </c>
      <c r="H9" s="15">
        <v>-16.7</v>
      </c>
      <c r="I9" s="15">
        <v>-19.100000000000001</v>
      </c>
      <c r="J9" s="15">
        <v>-18.5</v>
      </c>
      <c r="K9" s="15">
        <v>-16.899999999999999</v>
      </c>
      <c r="L9" s="15">
        <v>-17.3</v>
      </c>
      <c r="M9" s="15">
        <v>-20.399999999999999</v>
      </c>
      <c r="N9" s="15">
        <v>-20.100000000000001</v>
      </c>
      <c r="O9" s="15">
        <v>-18</v>
      </c>
      <c r="P9" s="15">
        <v>-16.3</v>
      </c>
      <c r="Q9" s="15">
        <v>-22</v>
      </c>
      <c r="R9" s="15">
        <v>-11.8</v>
      </c>
      <c r="S9" s="15">
        <v>-3</v>
      </c>
      <c r="T9" s="15">
        <v>-4</v>
      </c>
      <c r="U9" s="15">
        <v>-4</v>
      </c>
      <c r="V9" s="15">
        <v>-7.9</v>
      </c>
      <c r="W9" s="15">
        <v>-2.8</v>
      </c>
      <c r="X9" s="15">
        <v>-4</v>
      </c>
      <c r="Y9" s="15">
        <v>-1.3</v>
      </c>
      <c r="Z9" s="15">
        <v>-4.0999999999999996</v>
      </c>
      <c r="AA9" s="15">
        <v>-6.8</v>
      </c>
      <c r="AB9" s="15">
        <v>-2.8</v>
      </c>
      <c r="AC9" s="15">
        <v>-9.8000000000000007</v>
      </c>
      <c r="AD9" s="15"/>
      <c r="AE9" s="15"/>
      <c r="AF9" s="15"/>
    </row>
    <row r="10" spans="1:32" x14ac:dyDescent="0.25">
      <c r="A10" s="6">
        <v>16</v>
      </c>
      <c r="B10" s="15">
        <v>-18.899999999999999</v>
      </c>
      <c r="C10" s="15">
        <v>-21.8</v>
      </c>
      <c r="D10" s="15">
        <v>-5.6</v>
      </c>
      <c r="E10" s="15">
        <v>-8.1</v>
      </c>
      <c r="F10" s="15">
        <v>-16.5</v>
      </c>
      <c r="G10" s="15">
        <v>-16.399999999999999</v>
      </c>
      <c r="H10" s="15">
        <v>-19.7</v>
      </c>
      <c r="I10" s="15">
        <v>-23.1</v>
      </c>
      <c r="J10" s="15">
        <v>-20.6</v>
      </c>
      <c r="K10" s="15">
        <v>-19.100000000000001</v>
      </c>
      <c r="L10" s="15">
        <v>-19.2</v>
      </c>
      <c r="M10" s="15">
        <v>-22.5</v>
      </c>
      <c r="N10" s="15">
        <v>-21.6</v>
      </c>
      <c r="O10" s="15">
        <v>-20</v>
      </c>
      <c r="P10" s="15">
        <v>-19</v>
      </c>
      <c r="Q10" s="15">
        <v>-22</v>
      </c>
      <c r="R10" s="15">
        <v>-11.5</v>
      </c>
      <c r="S10" s="15">
        <v>-5</v>
      </c>
      <c r="T10" s="15">
        <v>-4</v>
      </c>
      <c r="U10" s="15">
        <v>-4</v>
      </c>
      <c r="V10" s="15">
        <v>-8.3000000000000007</v>
      </c>
      <c r="W10" s="15">
        <v>-4.3</v>
      </c>
      <c r="X10" s="15">
        <v>-5.2</v>
      </c>
      <c r="Y10" s="15">
        <v>-1.3</v>
      </c>
      <c r="Z10" s="15">
        <v>-6.6</v>
      </c>
      <c r="AA10" s="15">
        <v>-7.5</v>
      </c>
      <c r="AB10" s="15">
        <v>-2.6</v>
      </c>
      <c r="AC10" s="15">
        <v>-8.6</v>
      </c>
      <c r="AD10" s="15"/>
      <c r="AE10" s="15"/>
      <c r="AF10" s="15"/>
    </row>
    <row r="11" spans="1:32" x14ac:dyDescent="0.25">
      <c r="A11" s="6">
        <v>18</v>
      </c>
      <c r="B11" s="15">
        <v>-20.2</v>
      </c>
      <c r="C11" s="15">
        <v>-19.5</v>
      </c>
      <c r="D11" s="15">
        <v>-6.4</v>
      </c>
      <c r="E11" s="15">
        <v>-7.4</v>
      </c>
      <c r="F11" s="15">
        <v>-16.600000000000001</v>
      </c>
      <c r="G11" s="15">
        <v>-18.8</v>
      </c>
      <c r="H11" s="15">
        <v>-20.399999999999999</v>
      </c>
      <c r="I11" s="15">
        <v>-24.5</v>
      </c>
      <c r="J11" s="15">
        <v>-22.9</v>
      </c>
      <c r="K11" s="15">
        <v>-20.3</v>
      </c>
      <c r="L11" s="15">
        <v>-20.8</v>
      </c>
      <c r="M11" s="15">
        <v>-22.6</v>
      </c>
      <c r="N11" s="15">
        <v>-23.1</v>
      </c>
      <c r="O11" s="15">
        <v>-22</v>
      </c>
      <c r="P11" s="15">
        <v>-21</v>
      </c>
      <c r="Q11" s="15">
        <v>-20</v>
      </c>
      <c r="R11" s="15">
        <v>-11.6</v>
      </c>
      <c r="S11" s="15">
        <v>-5</v>
      </c>
      <c r="T11" s="15">
        <v>-7.5</v>
      </c>
      <c r="U11" s="15">
        <v>-7.5</v>
      </c>
      <c r="V11" s="15">
        <v>-8.4</v>
      </c>
      <c r="W11" s="15">
        <v>-5</v>
      </c>
      <c r="X11" s="15">
        <v>-6.3</v>
      </c>
      <c r="Y11" s="15">
        <v>-3</v>
      </c>
      <c r="Z11" s="15">
        <v>-9</v>
      </c>
      <c r="AA11" s="15">
        <v>-10.199999999999999</v>
      </c>
      <c r="AB11" s="15">
        <v>-2.4</v>
      </c>
      <c r="AC11" s="15">
        <v>-6.8</v>
      </c>
      <c r="AD11" s="15"/>
      <c r="AE11" s="15"/>
      <c r="AF11" s="15"/>
    </row>
    <row r="12" spans="1:32" x14ac:dyDescent="0.25">
      <c r="A12" s="6">
        <v>20</v>
      </c>
      <c r="B12" s="15">
        <v>-22.6</v>
      </c>
      <c r="C12" s="15">
        <v>-17.600000000000001</v>
      </c>
      <c r="D12" s="15">
        <v>-6.2</v>
      </c>
      <c r="E12" s="15">
        <v>-5.6</v>
      </c>
      <c r="F12" s="15">
        <v>-15.4</v>
      </c>
      <c r="G12" s="15">
        <v>-20.3</v>
      </c>
      <c r="H12" s="15">
        <v>-23.3</v>
      </c>
      <c r="I12" s="15">
        <v>-25.5</v>
      </c>
      <c r="J12" s="15">
        <v>-23</v>
      </c>
      <c r="K12" s="15">
        <v>-21.6</v>
      </c>
      <c r="L12" s="15">
        <v>-21.1</v>
      </c>
      <c r="M12" s="15">
        <v>-22.6</v>
      </c>
      <c r="N12" s="15">
        <v>-24.1</v>
      </c>
      <c r="O12" s="15">
        <v>-22.9</v>
      </c>
      <c r="P12" s="15">
        <v>-24.47</v>
      </c>
      <c r="Q12" s="15">
        <v>-19</v>
      </c>
      <c r="R12" s="15">
        <v>-10</v>
      </c>
      <c r="S12" s="15">
        <v>-7.1</v>
      </c>
      <c r="T12" s="15">
        <v>-8.6</v>
      </c>
      <c r="U12" s="15">
        <v>-8.6</v>
      </c>
      <c r="V12" s="15">
        <v>-8</v>
      </c>
      <c r="W12" s="15">
        <v>-7.1</v>
      </c>
      <c r="X12" s="15">
        <v>-5.6</v>
      </c>
      <c r="Y12" s="15">
        <v>-1.8</v>
      </c>
      <c r="Z12" s="15">
        <v>-12</v>
      </c>
      <c r="AA12" s="15">
        <v>-6.3</v>
      </c>
      <c r="AB12" s="15">
        <v>-2.4</v>
      </c>
      <c r="AC12" s="15">
        <v>-4.3</v>
      </c>
      <c r="AD12" s="15"/>
      <c r="AE12" s="15"/>
      <c r="AF12" s="15"/>
    </row>
    <row r="13" spans="1:32" x14ac:dyDescent="0.25">
      <c r="A13" s="6">
        <v>22</v>
      </c>
      <c r="B13" s="15">
        <v>-22.6</v>
      </c>
      <c r="C13" s="15">
        <v>-16.2</v>
      </c>
      <c r="D13" s="15">
        <v>-6.6</v>
      </c>
      <c r="E13" s="15">
        <v>-5.2</v>
      </c>
      <c r="F13" s="15">
        <v>-16.5</v>
      </c>
      <c r="G13" s="15">
        <v>-20.3</v>
      </c>
      <c r="H13" s="15">
        <v>-23.3</v>
      </c>
      <c r="I13" s="15">
        <v>-25.5</v>
      </c>
      <c r="J13" s="15">
        <v>-24</v>
      </c>
      <c r="K13" s="15">
        <v>-21.7</v>
      </c>
      <c r="L13" s="15">
        <v>-21.9</v>
      </c>
      <c r="M13" s="15">
        <v>-22.6</v>
      </c>
      <c r="N13" s="15">
        <v>-24.1</v>
      </c>
      <c r="O13" s="15">
        <v>-22.7</v>
      </c>
      <c r="P13" s="15">
        <v>-26.1</v>
      </c>
      <c r="Q13" s="15">
        <v>-18.8</v>
      </c>
      <c r="R13" s="15">
        <v>-8.5</v>
      </c>
      <c r="S13" s="15">
        <v>-7.4</v>
      </c>
      <c r="T13" s="15">
        <v>-9.1999999999999993</v>
      </c>
      <c r="U13" s="15">
        <v>-9.1999999999999993</v>
      </c>
      <c r="V13" s="15">
        <v>-8</v>
      </c>
      <c r="W13" s="15">
        <v>-7.5</v>
      </c>
      <c r="X13" s="15">
        <v>-5.3</v>
      </c>
      <c r="Y13" s="15">
        <v>-1.9</v>
      </c>
      <c r="Z13" s="15">
        <v>-12</v>
      </c>
      <c r="AA13" s="15">
        <v>-6.3</v>
      </c>
      <c r="AB13" s="15">
        <v>-7</v>
      </c>
      <c r="AC13" s="15">
        <v>-3</v>
      </c>
      <c r="AD13" s="15"/>
      <c r="AE13" s="15"/>
      <c r="AF13" s="15"/>
    </row>
    <row r="14" spans="1:32" x14ac:dyDescent="0.25">
      <c r="A14" s="6">
        <v>24</v>
      </c>
      <c r="B14" s="15">
        <v>-22.6</v>
      </c>
      <c r="C14" s="15">
        <v>-14</v>
      </c>
      <c r="D14" s="15">
        <v>-7.6</v>
      </c>
      <c r="E14" s="15">
        <v>-5.2</v>
      </c>
      <c r="F14" s="15">
        <v>-17.899999999999999</v>
      </c>
      <c r="G14" s="15">
        <v>-20.3</v>
      </c>
      <c r="H14" s="15">
        <v>-25.4</v>
      </c>
      <c r="I14" s="15">
        <v>-25.1</v>
      </c>
      <c r="J14" s="15">
        <v>-24.8</v>
      </c>
      <c r="K14" s="15">
        <v>-22.7</v>
      </c>
      <c r="L14" s="15">
        <v>-23.3</v>
      </c>
      <c r="M14" s="15">
        <v>-22.6</v>
      </c>
      <c r="N14" s="15">
        <v>-24.1</v>
      </c>
      <c r="O14" s="15">
        <v>-23.3</v>
      </c>
      <c r="P14" s="15">
        <v>-26.1</v>
      </c>
      <c r="Q14" s="15">
        <v>-18.7</v>
      </c>
      <c r="R14" s="15">
        <v>-7.4</v>
      </c>
      <c r="S14" s="15">
        <v>-5.0999999999999996</v>
      </c>
      <c r="T14" s="15">
        <v>-9.4</v>
      </c>
      <c r="U14" s="15">
        <v>-9.4</v>
      </c>
      <c r="V14" s="15">
        <v>-8</v>
      </c>
      <c r="W14" s="15">
        <v>-8.8000000000000007</v>
      </c>
      <c r="X14" s="15">
        <v>-5.4</v>
      </c>
      <c r="Y14" s="15">
        <v>-1.9</v>
      </c>
      <c r="Z14" s="15">
        <v>-14</v>
      </c>
      <c r="AA14" s="15">
        <v>-6.3</v>
      </c>
      <c r="AB14" s="15">
        <v>-10</v>
      </c>
      <c r="AC14" s="15">
        <v>-1</v>
      </c>
      <c r="AD14" s="15"/>
      <c r="AE14" s="15"/>
      <c r="AF14" s="15"/>
    </row>
    <row r="15" spans="1:32" x14ac:dyDescent="0.25">
      <c r="A15" s="6">
        <v>2</v>
      </c>
      <c r="B15" s="15">
        <v>-26.4</v>
      </c>
      <c r="C15" s="15">
        <v>-10.9</v>
      </c>
      <c r="D15" s="15">
        <v>-6.3</v>
      </c>
      <c r="E15" s="15">
        <v>-7.3</v>
      </c>
      <c r="F15" s="15">
        <v>-16.899999999999999</v>
      </c>
      <c r="G15" s="15">
        <v>-21.7</v>
      </c>
      <c r="H15" s="15">
        <v>-25.5</v>
      </c>
      <c r="I15" s="15">
        <v>-26.1</v>
      </c>
      <c r="J15" s="15">
        <v>-25.9</v>
      </c>
      <c r="K15" s="15">
        <v>-23.3</v>
      </c>
      <c r="L15" s="15">
        <v>-25</v>
      </c>
      <c r="M15" s="15">
        <v>-23.4</v>
      </c>
      <c r="N15" s="15">
        <v>-24.6</v>
      </c>
      <c r="O15" s="15">
        <v>-23.6</v>
      </c>
      <c r="P15" s="15">
        <v>-27.1</v>
      </c>
      <c r="Q15" s="15">
        <v>-19.899999999999999</v>
      </c>
      <c r="R15" s="15">
        <v>-5.8</v>
      </c>
      <c r="S15" s="15">
        <v>-4</v>
      </c>
      <c r="T15" s="15">
        <v>-10.5</v>
      </c>
      <c r="U15" s="15">
        <v>-10.5</v>
      </c>
      <c r="V15" s="15">
        <v>-6.6</v>
      </c>
      <c r="W15" s="15">
        <v>-7.8</v>
      </c>
      <c r="X15" s="15">
        <v>-4.7</v>
      </c>
      <c r="Y15" s="15">
        <v>-0.5</v>
      </c>
      <c r="Z15" s="15">
        <v>-13.2</v>
      </c>
      <c r="AA15" s="15">
        <v>-7.8</v>
      </c>
      <c r="AB15" s="15">
        <v>-12.9</v>
      </c>
      <c r="AC15" s="15">
        <v>-2.8</v>
      </c>
      <c r="AD15" s="15"/>
      <c r="AE15" s="15"/>
      <c r="AF15" s="15"/>
    </row>
    <row r="16" spans="1:32" ht="30" customHeight="1" x14ac:dyDescent="0.25">
      <c r="A16" s="7" t="s">
        <v>2</v>
      </c>
      <c r="B16" s="15">
        <v>-20.691666666666666</v>
      </c>
      <c r="C16" s="15">
        <v>-20.891666666666669</v>
      </c>
      <c r="D16" s="15">
        <v>-6.3916666666666666</v>
      </c>
      <c r="E16" s="15">
        <v>-6.6833333333333336</v>
      </c>
      <c r="F16" s="15">
        <v>-15.316666666666668</v>
      </c>
      <c r="G16" s="15">
        <v>-17</v>
      </c>
      <c r="H16" s="15">
        <v>-21.766666666666669</v>
      </c>
      <c r="I16" s="15">
        <v>-20.05833333333333</v>
      </c>
      <c r="J16" s="15">
        <v>-23.641666666666666</v>
      </c>
      <c r="K16" s="15">
        <v>-22.324999999999999</v>
      </c>
      <c r="L16" s="15">
        <v>-22.125</v>
      </c>
      <c r="M16" s="15">
        <v>-23.849999999999998</v>
      </c>
      <c r="N16" s="15">
        <v>-23.241666666666664</v>
      </c>
      <c r="O16" s="15">
        <v>-22.125</v>
      </c>
      <c r="P16" s="15">
        <v>-22.989166666666666</v>
      </c>
      <c r="Q16" s="15">
        <v>-23.291666666666668</v>
      </c>
      <c r="R16" s="15">
        <v>-12.391666666666667</v>
      </c>
      <c r="S16" s="15">
        <v>-5.1333333333333337</v>
      </c>
      <c r="T16" s="15">
        <v>-8.1666666666666661</v>
      </c>
      <c r="U16" s="15">
        <v>-8.1666666666666661</v>
      </c>
      <c r="V16" s="15">
        <v>-9.0916666666666668</v>
      </c>
      <c r="W16" s="15">
        <v>-6.0333333333333323</v>
      </c>
      <c r="X16" s="15">
        <v>-5.875</v>
      </c>
      <c r="Y16" s="15">
        <v>-2.4333333333333331</v>
      </c>
      <c r="Z16" s="15">
        <v>-7.2166666666666677</v>
      </c>
      <c r="AA16" s="15">
        <v>-9.9916666666666654</v>
      </c>
      <c r="AB16" s="15">
        <v>-5.5166666666666666</v>
      </c>
      <c r="AC16" s="15">
        <v>-9.6333333333333311</v>
      </c>
      <c r="AD16" s="15">
        <v>0</v>
      </c>
      <c r="AE16" s="15">
        <v>0</v>
      </c>
      <c r="AF16" s="15">
        <v>0</v>
      </c>
    </row>
    <row r="18" spans="1:32" s="9" customFormat="1" x14ac:dyDescent="0.25"/>
    <row r="19" spans="1:32" x14ac:dyDescent="0.25">
      <c r="A19" s="4" t="s">
        <v>7</v>
      </c>
    </row>
    <row r="20" spans="1:32" x14ac:dyDescent="0.25">
      <c r="A20" s="9"/>
      <c r="B20" s="131" t="s">
        <v>6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3"/>
    </row>
    <row r="21" spans="1:32" x14ac:dyDescent="0.25">
      <c r="A21" s="9" t="s">
        <v>0</v>
      </c>
      <c r="B21" s="14">
        <v>1</v>
      </c>
      <c r="C21" s="14">
        <v>2</v>
      </c>
      <c r="D21" s="14">
        <v>3</v>
      </c>
      <c r="E21" s="14">
        <v>4</v>
      </c>
      <c r="F21" s="14">
        <v>5</v>
      </c>
      <c r="G21" s="14">
        <v>6</v>
      </c>
      <c r="H21" s="14">
        <v>7</v>
      </c>
      <c r="I21" s="14">
        <v>8</v>
      </c>
      <c r="J21" s="14">
        <v>9</v>
      </c>
      <c r="K21" s="14">
        <v>10</v>
      </c>
      <c r="L21" s="14">
        <v>11</v>
      </c>
      <c r="M21" s="14">
        <v>12</v>
      </c>
      <c r="N21" s="14">
        <v>13</v>
      </c>
      <c r="O21" s="14">
        <v>14</v>
      </c>
      <c r="P21" s="14">
        <v>15</v>
      </c>
      <c r="Q21" s="14">
        <v>16</v>
      </c>
      <c r="R21" s="14">
        <v>17</v>
      </c>
      <c r="S21" s="14">
        <v>18</v>
      </c>
      <c r="T21" s="14">
        <v>19</v>
      </c>
      <c r="U21" s="14">
        <v>20</v>
      </c>
      <c r="V21" s="14">
        <v>21</v>
      </c>
      <c r="W21" s="14">
        <v>22</v>
      </c>
      <c r="X21" s="14">
        <v>23</v>
      </c>
      <c r="Y21" s="14">
        <v>24</v>
      </c>
      <c r="Z21" s="14">
        <v>25</v>
      </c>
      <c r="AA21" s="14">
        <v>26</v>
      </c>
      <c r="AB21" s="14">
        <v>27</v>
      </c>
      <c r="AC21" s="14">
        <v>28</v>
      </c>
      <c r="AD21" s="14">
        <v>29</v>
      </c>
      <c r="AE21" s="14">
        <v>30</v>
      </c>
      <c r="AF21" s="14">
        <v>31</v>
      </c>
    </row>
    <row r="22" spans="1:32" x14ac:dyDescent="0.25">
      <c r="A22" s="10">
        <v>4</v>
      </c>
      <c r="B22" s="17">
        <v>-18.7</v>
      </c>
      <c r="C22" s="17">
        <v>-24.9</v>
      </c>
      <c r="D22" s="17">
        <v>-12.8</v>
      </c>
      <c r="E22" s="17">
        <v>-6.3</v>
      </c>
      <c r="F22" s="17">
        <v>-5.4</v>
      </c>
      <c r="G22" s="17">
        <v>-18</v>
      </c>
      <c r="H22" s="17">
        <v>-22.5</v>
      </c>
      <c r="I22" s="17">
        <v>-26.7</v>
      </c>
      <c r="J22" s="17">
        <v>-26.6</v>
      </c>
      <c r="K22" s="17">
        <v>-27</v>
      </c>
      <c r="L22" s="17">
        <v>-25.4</v>
      </c>
      <c r="M22" s="15">
        <v>-23.5</v>
      </c>
      <c r="N22" s="17">
        <v>-23.9</v>
      </c>
      <c r="O22" s="17">
        <v>-22.4</v>
      </c>
      <c r="P22" s="17">
        <v>-22.1</v>
      </c>
      <c r="Q22" s="17">
        <v>-26.4</v>
      </c>
      <c r="R22" s="17">
        <v>-19.7</v>
      </c>
      <c r="S22" s="17">
        <v>-6.4</v>
      </c>
      <c r="T22" s="17">
        <v>-4</v>
      </c>
      <c r="U22" s="17">
        <v>-6.2</v>
      </c>
      <c r="V22" s="17">
        <v>-11.5</v>
      </c>
      <c r="W22" s="17">
        <v>-6.6</v>
      </c>
      <c r="X22" s="17">
        <v>-6.9</v>
      </c>
      <c r="Y22" s="17">
        <v>-5.3</v>
      </c>
      <c r="Z22" s="17">
        <v>-1.8</v>
      </c>
      <c r="AA22" s="17">
        <v>-13.2</v>
      </c>
      <c r="AB22" s="17">
        <v>-7.8</v>
      </c>
      <c r="AC22" s="17">
        <v>-12.1</v>
      </c>
      <c r="AD22" s="18"/>
      <c r="AE22" s="18"/>
      <c r="AF22" s="18"/>
    </row>
    <row r="23" spans="1:32" x14ac:dyDescent="0.25">
      <c r="A23" s="10">
        <v>6</v>
      </c>
      <c r="B23" s="17">
        <v>-19.600000000000001</v>
      </c>
      <c r="C23" s="17">
        <v>-26.2</v>
      </c>
      <c r="D23" s="17">
        <v>-10.3</v>
      </c>
      <c r="E23" s="17">
        <v>-6.6</v>
      </c>
      <c r="F23" s="17">
        <v>-8.9</v>
      </c>
      <c r="G23" s="17">
        <v>-16.7</v>
      </c>
      <c r="H23" s="17">
        <v>-22</v>
      </c>
      <c r="I23" s="17">
        <v>-27</v>
      </c>
      <c r="J23" s="17">
        <v>-27.3</v>
      </c>
      <c r="K23" s="17">
        <v>-27.4</v>
      </c>
      <c r="L23" s="17">
        <v>-25.6</v>
      </c>
      <c r="M23" s="17">
        <v>-25.7</v>
      </c>
      <c r="N23" s="17">
        <v>-24</v>
      </c>
      <c r="O23" s="17">
        <v>-23.2</v>
      </c>
      <c r="P23" s="17">
        <v>-23.9</v>
      </c>
      <c r="Q23" s="17">
        <v>-27.9</v>
      </c>
      <c r="R23" s="17">
        <v>-19.100000000000001</v>
      </c>
      <c r="S23" s="17">
        <v>-5.3</v>
      </c>
      <c r="T23" s="17">
        <v>-3.4</v>
      </c>
      <c r="U23" s="17">
        <v>-8</v>
      </c>
      <c r="V23" s="17">
        <v>-11.8</v>
      </c>
      <c r="W23" s="17">
        <v>-6.3</v>
      </c>
      <c r="X23" s="17">
        <v>-7.3</v>
      </c>
      <c r="Y23" s="17">
        <v>-4.8</v>
      </c>
      <c r="Z23" s="17">
        <v>-1.7</v>
      </c>
      <c r="AA23" s="17">
        <v>-13.7</v>
      </c>
      <c r="AB23" s="17">
        <v>-7.2</v>
      </c>
      <c r="AC23" s="17">
        <v>-15</v>
      </c>
      <c r="AD23" s="18"/>
      <c r="AE23" s="18"/>
      <c r="AF23" s="18"/>
    </row>
    <row r="24" spans="1:32" x14ac:dyDescent="0.25">
      <c r="A24" s="10">
        <v>8</v>
      </c>
      <c r="B24" s="17">
        <v>-19.2</v>
      </c>
      <c r="C24" s="17">
        <v>-26.3</v>
      </c>
      <c r="D24" s="17">
        <v>-7.3</v>
      </c>
      <c r="E24" s="17">
        <v>-6.5</v>
      </c>
      <c r="F24" s="17">
        <v>-11.6</v>
      </c>
      <c r="G24" s="17">
        <v>-16.399999999999999</v>
      </c>
      <c r="H24" s="17">
        <v>-23.2</v>
      </c>
      <c r="I24" s="17">
        <v>-27.3</v>
      </c>
      <c r="J24" s="17">
        <v>-27.1</v>
      </c>
      <c r="K24" s="17">
        <v>-28.2</v>
      </c>
      <c r="L24" s="17">
        <v>-26.7</v>
      </c>
      <c r="M24" s="17">
        <v>-26.4</v>
      </c>
      <c r="N24" s="17">
        <v>-24.1</v>
      </c>
      <c r="O24" s="17">
        <v>-23.1</v>
      </c>
      <c r="P24" s="17">
        <v>-24.5</v>
      </c>
      <c r="Q24" s="17">
        <v>-29.9</v>
      </c>
      <c r="R24" s="17">
        <v>-18.399999999999999</v>
      </c>
      <c r="S24" s="17">
        <v>-5.3</v>
      </c>
      <c r="T24" s="17">
        <v>-3.5</v>
      </c>
      <c r="U24" s="17">
        <v>-10.1</v>
      </c>
      <c r="V24" s="17">
        <v>-11.4</v>
      </c>
      <c r="W24" s="17">
        <v>-6</v>
      </c>
      <c r="X24" s="17">
        <v>-7.4</v>
      </c>
      <c r="Y24" s="17">
        <v>-4.0999999999999996</v>
      </c>
      <c r="Z24" s="17">
        <v>-2</v>
      </c>
      <c r="AA24" s="17">
        <v>-14.5</v>
      </c>
      <c r="AB24" s="17">
        <v>-6.4</v>
      </c>
      <c r="AC24" s="17">
        <v>-17.899999999999999</v>
      </c>
      <c r="AD24" s="18"/>
      <c r="AE24" s="18"/>
      <c r="AF24" s="18"/>
    </row>
    <row r="25" spans="1:32" x14ac:dyDescent="0.25">
      <c r="A25" s="10">
        <v>10</v>
      </c>
      <c r="B25" s="17">
        <v>-17.5</v>
      </c>
      <c r="C25" s="17">
        <v>-26</v>
      </c>
      <c r="D25" s="17">
        <v>-6.2</v>
      </c>
      <c r="E25" s="17">
        <v>-6.5</v>
      </c>
      <c r="F25" s="17">
        <v>-14.9</v>
      </c>
      <c r="G25" s="17">
        <v>-16.2</v>
      </c>
      <c r="H25" s="17">
        <v>-25</v>
      </c>
      <c r="I25" s="17">
        <v>-27</v>
      </c>
      <c r="J25" s="17">
        <v>-26</v>
      </c>
      <c r="K25" s="17">
        <v>-28.3</v>
      </c>
      <c r="L25" s="17">
        <v>-27</v>
      </c>
      <c r="M25" s="17">
        <v>-26.9</v>
      </c>
      <c r="N25" s="17">
        <v>-24.2</v>
      </c>
      <c r="O25" s="17">
        <v>-22.8</v>
      </c>
      <c r="P25" s="17">
        <v>-25.1</v>
      </c>
      <c r="Q25" s="17">
        <v>-30.5</v>
      </c>
      <c r="R25" s="17">
        <v>-17.8</v>
      </c>
      <c r="S25" s="17">
        <v>-4.9000000000000004</v>
      </c>
      <c r="T25" s="17">
        <v>-4.5</v>
      </c>
      <c r="U25" s="17">
        <v>-10.3</v>
      </c>
      <c r="V25" s="17">
        <v>-11.9</v>
      </c>
      <c r="W25" s="17">
        <v>-5.8</v>
      </c>
      <c r="X25" s="17">
        <v>-6.8</v>
      </c>
      <c r="Y25" s="17">
        <v>-3.6</v>
      </c>
      <c r="Z25" s="17">
        <v>-2.2000000000000002</v>
      </c>
      <c r="AA25" s="17">
        <v>-14.2</v>
      </c>
      <c r="AB25" s="17">
        <v>-5.7</v>
      </c>
      <c r="AC25" s="17">
        <v>-18</v>
      </c>
      <c r="AD25" s="18"/>
      <c r="AE25" s="18"/>
      <c r="AF25" s="18"/>
    </row>
    <row r="26" spans="1:32" x14ac:dyDescent="0.25">
      <c r="A26" s="10">
        <v>12</v>
      </c>
      <c r="B26" s="17">
        <v>-17.399999999999999</v>
      </c>
      <c r="C26" s="17">
        <v>-26.5</v>
      </c>
      <c r="D26" s="17">
        <v>-5.7</v>
      </c>
      <c r="E26" s="17">
        <v>-5.9</v>
      </c>
      <c r="F26" s="17">
        <v>-15.3</v>
      </c>
      <c r="G26" s="17">
        <v>-15.2</v>
      </c>
      <c r="H26" s="17">
        <v>-22.6</v>
      </c>
      <c r="I26" s="17">
        <v>-25.8</v>
      </c>
      <c r="J26" s="17">
        <v>-25.1</v>
      </c>
      <c r="K26" s="17">
        <v>-24.9</v>
      </c>
      <c r="L26" s="17">
        <v>-24.1</v>
      </c>
      <c r="M26" s="17">
        <v>-24.3</v>
      </c>
      <c r="N26" s="17">
        <v>-23.2</v>
      </c>
      <c r="O26" s="17">
        <v>-21.5</v>
      </c>
      <c r="P26" s="17">
        <v>-21.6</v>
      </c>
      <c r="Q26" s="17">
        <v>-28.5</v>
      </c>
      <c r="R26" s="17">
        <v>-16.600000000000001</v>
      </c>
      <c r="S26" s="17">
        <v>-4.3</v>
      </c>
      <c r="T26" s="17">
        <v>-4.8</v>
      </c>
      <c r="U26" s="17">
        <v>-7.1</v>
      </c>
      <c r="V26" s="17">
        <v>-10.4</v>
      </c>
      <c r="W26" s="17">
        <v>-5.0999999999999996</v>
      </c>
      <c r="X26" s="17">
        <v>-6</v>
      </c>
      <c r="Y26" s="17">
        <v>-2.5</v>
      </c>
      <c r="Z26" s="17">
        <v>-1.2</v>
      </c>
      <c r="AA26" s="17">
        <v>-11.9</v>
      </c>
      <c r="AB26" s="17">
        <v>-4.5999999999999996</v>
      </c>
      <c r="AC26" s="17">
        <v>-14.6</v>
      </c>
      <c r="AD26" s="18"/>
      <c r="AE26" s="18"/>
      <c r="AF26" s="18"/>
    </row>
    <row r="27" spans="1:32" x14ac:dyDescent="0.25">
      <c r="A27" s="10">
        <v>14</v>
      </c>
      <c r="B27" s="17">
        <v>-15</v>
      </c>
      <c r="C27" s="17">
        <v>-24</v>
      </c>
      <c r="D27" s="17">
        <v>-5</v>
      </c>
      <c r="E27" s="17">
        <v>-6.5</v>
      </c>
      <c r="F27" s="17">
        <v>-14.3</v>
      </c>
      <c r="G27" s="17">
        <v>-14</v>
      </c>
      <c r="H27" s="17">
        <v>-19.7</v>
      </c>
      <c r="I27" s="17">
        <v>-23</v>
      </c>
      <c r="J27" s="17">
        <v>-22.3</v>
      </c>
      <c r="K27" s="17">
        <v>-22.1</v>
      </c>
      <c r="L27" s="17">
        <v>-21.5</v>
      </c>
      <c r="M27" s="17">
        <v>-22.4</v>
      </c>
      <c r="N27" s="17">
        <v>-20.5</v>
      </c>
      <c r="O27" s="17">
        <v>-19.3</v>
      </c>
      <c r="P27" s="17">
        <v>-21.4</v>
      </c>
      <c r="Q27" s="17">
        <v>-23.3</v>
      </c>
      <c r="R27" s="17">
        <v>-14.6</v>
      </c>
      <c r="S27" s="17">
        <v>-3.4</v>
      </c>
      <c r="T27" s="17">
        <v>-5.4</v>
      </c>
      <c r="U27" s="17">
        <v>-5.2</v>
      </c>
      <c r="V27" s="17">
        <v>-8.3000000000000007</v>
      </c>
      <c r="W27" s="17">
        <v>-3.8</v>
      </c>
      <c r="X27" s="17">
        <v>-5.0999999999999996</v>
      </c>
      <c r="Y27" s="17">
        <v>-1.8</v>
      </c>
      <c r="Z27" s="17">
        <v>-2.2000000000000002</v>
      </c>
      <c r="AA27" s="17">
        <v>-9.1</v>
      </c>
      <c r="AB27" s="17">
        <v>-3.9</v>
      </c>
      <c r="AC27" s="17">
        <v>-10.6</v>
      </c>
      <c r="AD27" s="18"/>
      <c r="AE27" s="18"/>
      <c r="AF27" s="18"/>
    </row>
    <row r="28" spans="1:32" x14ac:dyDescent="0.25">
      <c r="A28" s="10">
        <v>16</v>
      </c>
      <c r="B28" s="17">
        <v>-18.5</v>
      </c>
      <c r="C28" s="17">
        <v>-23.3</v>
      </c>
      <c r="D28" s="17">
        <v>-4.5</v>
      </c>
      <c r="E28" s="17">
        <v>-6.5</v>
      </c>
      <c r="F28" s="17">
        <v>-15.4</v>
      </c>
      <c r="G28" s="17">
        <v>-13.8</v>
      </c>
      <c r="H28" s="17">
        <v>-17</v>
      </c>
      <c r="I28" s="17">
        <v>-21.1</v>
      </c>
      <c r="J28" s="17">
        <v>-21</v>
      </c>
      <c r="K28" s="17">
        <v>-19.5</v>
      </c>
      <c r="L28" s="17">
        <v>-18.8</v>
      </c>
      <c r="M28" s="17">
        <v>-20.8</v>
      </c>
      <c r="N28" s="17">
        <v>-20.2</v>
      </c>
      <c r="O28" s="17">
        <v>-18.5</v>
      </c>
      <c r="P28" s="17">
        <v>-21.4</v>
      </c>
      <c r="Q28" s="17">
        <v>-24.8</v>
      </c>
      <c r="R28" s="17">
        <v>-13.4</v>
      </c>
      <c r="S28" s="17">
        <v>-3.6</v>
      </c>
      <c r="T28" s="17">
        <v>-5.0999999999999996</v>
      </c>
      <c r="U28" s="17">
        <v>-3.1</v>
      </c>
      <c r="V28" s="17">
        <v>-8</v>
      </c>
      <c r="W28" s="17">
        <v>-3.2</v>
      </c>
      <c r="X28" s="17">
        <v>-3.8</v>
      </c>
      <c r="Y28" s="17">
        <v>-1.4</v>
      </c>
      <c r="Z28" s="17">
        <v>-2.2999999999999998</v>
      </c>
      <c r="AA28" s="17">
        <v>-7</v>
      </c>
      <c r="AB28" s="17">
        <v>-2.6</v>
      </c>
      <c r="AC28" s="17">
        <v>-8.8000000000000007</v>
      </c>
      <c r="AD28" s="18"/>
      <c r="AE28" s="18"/>
      <c r="AF28" s="18"/>
    </row>
    <row r="29" spans="1:32" x14ac:dyDescent="0.25">
      <c r="A29" s="10">
        <v>18</v>
      </c>
      <c r="B29" s="17">
        <v>-20.399999999999999</v>
      </c>
      <c r="C29" s="17">
        <v>-24</v>
      </c>
      <c r="D29" s="17">
        <v>-5.3</v>
      </c>
      <c r="E29" s="17">
        <v>-7.3</v>
      </c>
      <c r="F29" s="17">
        <v>-16.2</v>
      </c>
      <c r="G29" s="17">
        <v>-16.3</v>
      </c>
      <c r="H29" s="17">
        <v>-19.899999999999999</v>
      </c>
      <c r="I29" s="17">
        <v>-22.9</v>
      </c>
      <c r="J29" s="17">
        <v>-22.5</v>
      </c>
      <c r="K29" s="17">
        <v>-20.8</v>
      </c>
      <c r="L29" s="17">
        <v>-19.8</v>
      </c>
      <c r="M29" s="17">
        <v>-21.8</v>
      </c>
      <c r="N29" s="17">
        <v>-21.5</v>
      </c>
      <c r="O29" s="17">
        <v>-19.7</v>
      </c>
      <c r="P29" s="17">
        <v>-21.4</v>
      </c>
      <c r="Q29" s="17">
        <v>-23.5</v>
      </c>
      <c r="R29" s="17">
        <v>-11.9</v>
      </c>
      <c r="S29" s="17">
        <v>-3.4</v>
      </c>
      <c r="T29" s="17">
        <v>-5.4</v>
      </c>
      <c r="U29" s="17">
        <v>-3.6</v>
      </c>
      <c r="V29" s="17">
        <v>-8.8000000000000007</v>
      </c>
      <c r="W29" s="17">
        <v>-3</v>
      </c>
      <c r="X29" s="17">
        <v>-5.0999999999999996</v>
      </c>
      <c r="Y29" s="17">
        <v>-1.7</v>
      </c>
      <c r="Z29" s="17">
        <v>-5.2</v>
      </c>
      <c r="AA29" s="17">
        <v>-6.5</v>
      </c>
      <c r="AB29" s="17">
        <v>-1.9</v>
      </c>
      <c r="AC29" s="17">
        <v>-8.5</v>
      </c>
      <c r="AD29" s="18"/>
      <c r="AE29" s="18"/>
      <c r="AF29" s="18"/>
    </row>
    <row r="30" spans="1:32" x14ac:dyDescent="0.25">
      <c r="A30" s="10">
        <v>20</v>
      </c>
      <c r="B30" s="17">
        <v>-20.100000000000001</v>
      </c>
      <c r="C30" s="17">
        <v>-21</v>
      </c>
      <c r="D30" s="17">
        <v>-5.6</v>
      </c>
      <c r="E30" s="17">
        <v>-7.7</v>
      </c>
      <c r="F30" s="17">
        <v>-17.399999999999999</v>
      </c>
      <c r="G30" s="17">
        <v>-18.600000000000001</v>
      </c>
      <c r="H30" s="17">
        <v>-23.6</v>
      </c>
      <c r="I30" s="17">
        <v>-23.5</v>
      </c>
      <c r="J30" s="17">
        <v>-23.6</v>
      </c>
      <c r="K30" s="17">
        <v>-22</v>
      </c>
      <c r="L30" s="17">
        <v>-21.3</v>
      </c>
      <c r="M30" s="17">
        <v>-21.7</v>
      </c>
      <c r="N30" s="17">
        <v>-22.5</v>
      </c>
      <c r="O30" s="17">
        <v>-19.2</v>
      </c>
      <c r="P30" s="17">
        <v>-22</v>
      </c>
      <c r="Q30" s="17">
        <v>-20.2</v>
      </c>
      <c r="R30" s="17">
        <v>-11.4</v>
      </c>
      <c r="S30" s="17">
        <v>-4.5</v>
      </c>
      <c r="T30" s="17">
        <v>-5.8</v>
      </c>
      <c r="U30" s="17">
        <v>-6.6</v>
      </c>
      <c r="V30" s="17">
        <v>-8.6999999999999993</v>
      </c>
      <c r="W30" s="17">
        <v>-3.7</v>
      </c>
      <c r="X30" s="17">
        <v>-7.1</v>
      </c>
      <c r="Y30" s="17">
        <v>-2.1</v>
      </c>
      <c r="Z30" s="17">
        <v>-7.5</v>
      </c>
      <c r="AA30" s="17">
        <v>-7.9</v>
      </c>
      <c r="AB30" s="17">
        <v>-1.9</v>
      </c>
      <c r="AC30" s="17">
        <v>-6.8</v>
      </c>
      <c r="AD30" s="18"/>
      <c r="AE30" s="18"/>
      <c r="AF30" s="18"/>
    </row>
    <row r="31" spans="1:32" x14ac:dyDescent="0.25">
      <c r="A31" s="10">
        <v>22</v>
      </c>
      <c r="B31" s="17">
        <v>-21.7</v>
      </c>
      <c r="C31" s="17">
        <v>-18</v>
      </c>
      <c r="D31" s="17">
        <v>-4.7</v>
      </c>
      <c r="E31" s="17">
        <v>-6.1</v>
      </c>
      <c r="F31" s="17">
        <v>-18.3</v>
      </c>
      <c r="G31" s="17">
        <v>-20.399999999999999</v>
      </c>
      <c r="H31" s="17">
        <v>-24.3</v>
      </c>
      <c r="I31" s="17">
        <v>-25.3</v>
      </c>
      <c r="J31" s="17">
        <v>-24.5</v>
      </c>
      <c r="K31" s="17">
        <v>-22</v>
      </c>
      <c r="L31" s="17">
        <v>-21</v>
      </c>
      <c r="M31" s="17">
        <v>-22.8</v>
      </c>
      <c r="N31" s="17">
        <v>-22.9</v>
      </c>
      <c r="O31" s="17">
        <v>-19.3</v>
      </c>
      <c r="P31" s="17">
        <v>-23.3</v>
      </c>
      <c r="Q31" s="17">
        <v>-19</v>
      </c>
      <c r="R31" s="17">
        <v>-10.4</v>
      </c>
      <c r="S31" s="17">
        <v>-4.4000000000000004</v>
      </c>
      <c r="T31" s="17">
        <v>-4.8</v>
      </c>
      <c r="U31" s="17">
        <v>-7.6</v>
      </c>
      <c r="V31" s="17">
        <v>-7.9</v>
      </c>
      <c r="W31" s="17">
        <v>-4.5</v>
      </c>
      <c r="X31" s="17">
        <v>-5.3</v>
      </c>
      <c r="Y31" s="17">
        <v>-2.2000000000000002</v>
      </c>
      <c r="Z31" s="17">
        <v>-8.3000000000000007</v>
      </c>
      <c r="AA31" s="17">
        <v>-6.1</v>
      </c>
      <c r="AB31" s="17">
        <v>-1.5</v>
      </c>
      <c r="AC31" s="17">
        <v>-5.3</v>
      </c>
      <c r="AD31" s="18"/>
      <c r="AE31" s="18"/>
      <c r="AF31" s="18"/>
    </row>
    <row r="32" spans="1:32" x14ac:dyDescent="0.25">
      <c r="A32" s="10">
        <v>24</v>
      </c>
      <c r="B32" s="17">
        <v>-22.2</v>
      </c>
      <c r="C32" s="17">
        <v>-16.399999999999999</v>
      </c>
      <c r="D32" s="17">
        <v>-5.6</v>
      </c>
      <c r="E32" s="17">
        <v>-5.5</v>
      </c>
      <c r="F32" s="17">
        <v>-18.8</v>
      </c>
      <c r="G32" s="17">
        <v>-21</v>
      </c>
      <c r="H32" s="17">
        <v>-24.5</v>
      </c>
      <c r="I32" s="17">
        <v>-25.4</v>
      </c>
      <c r="J32" s="17">
        <v>-25.3</v>
      </c>
      <c r="K32" s="17">
        <v>-23.1</v>
      </c>
      <c r="L32" s="17">
        <v>-22.8</v>
      </c>
      <c r="M32" s="17">
        <v>-23</v>
      </c>
      <c r="N32" s="17">
        <v>-22.6</v>
      </c>
      <c r="O32" s="17">
        <v>-21.6</v>
      </c>
      <c r="P32" s="17">
        <v>-24.3</v>
      </c>
      <c r="Q32" s="17">
        <v>-19.100000000000001</v>
      </c>
      <c r="R32" s="17">
        <v>-9.1999999999999993</v>
      </c>
      <c r="S32" s="17">
        <v>-4.8</v>
      </c>
      <c r="T32" s="17">
        <v>-3.8</v>
      </c>
      <c r="U32" s="17">
        <v>-8.6</v>
      </c>
      <c r="V32" s="17">
        <v>-7.2</v>
      </c>
      <c r="W32" s="17">
        <v>-6</v>
      </c>
      <c r="X32" s="17">
        <v>-4.7</v>
      </c>
      <c r="Y32" s="17">
        <v>-2.1</v>
      </c>
      <c r="Z32" s="17">
        <v>-10.1</v>
      </c>
      <c r="AA32" s="17">
        <v>-5.3</v>
      </c>
      <c r="AB32" s="17">
        <v>-2</v>
      </c>
      <c r="AC32" s="17">
        <v>-3.5</v>
      </c>
      <c r="AD32" s="18"/>
      <c r="AE32" s="18"/>
      <c r="AF32" s="18"/>
    </row>
    <row r="33" spans="1:32" x14ac:dyDescent="0.25">
      <c r="A33" s="10">
        <v>2</v>
      </c>
      <c r="B33" s="17">
        <v>-24</v>
      </c>
      <c r="C33" s="17">
        <v>-14.3</v>
      </c>
      <c r="D33" s="17">
        <v>-6.1</v>
      </c>
      <c r="E33" s="17">
        <v>-5.0999999999999996</v>
      </c>
      <c r="F33" s="17">
        <v>-19.100000000000001</v>
      </c>
      <c r="G33" s="17">
        <v>-20.7</v>
      </c>
      <c r="H33" s="17">
        <v>-25.1</v>
      </c>
      <c r="I33" s="17">
        <v>-26.1</v>
      </c>
      <c r="J33" s="17">
        <v>-26.7</v>
      </c>
      <c r="K33" s="17">
        <v>-24.4</v>
      </c>
      <c r="L33" s="17">
        <v>-23.5</v>
      </c>
      <c r="M33" s="17">
        <v>-22.8</v>
      </c>
      <c r="N33" s="17">
        <v>-22</v>
      </c>
      <c r="O33" s="17">
        <v>-21.4</v>
      </c>
      <c r="P33" s="17">
        <v>-26.4</v>
      </c>
      <c r="Q33" s="17">
        <v>-20.399999999999999</v>
      </c>
      <c r="R33" s="17">
        <v>-8</v>
      </c>
      <c r="S33" s="17">
        <v>-4.3</v>
      </c>
      <c r="T33" s="17">
        <v>-5.3</v>
      </c>
      <c r="U33" s="17">
        <v>-9.6</v>
      </c>
      <c r="V33" s="17">
        <v>-7.2</v>
      </c>
      <c r="W33" s="17">
        <v>-7</v>
      </c>
      <c r="X33" s="17">
        <v>-4.8</v>
      </c>
      <c r="Y33" s="17">
        <v>-2.1</v>
      </c>
      <c r="Z33" s="17">
        <v>-11.8</v>
      </c>
      <c r="AA33" s="17">
        <v>-6.5</v>
      </c>
      <c r="AB33" s="17">
        <v>-9.1999999999999993</v>
      </c>
      <c r="AC33" s="17">
        <v>-1.3</v>
      </c>
      <c r="AD33" s="18"/>
      <c r="AE33" s="18"/>
      <c r="AF33" s="18"/>
    </row>
    <row r="34" spans="1:32" ht="30" x14ac:dyDescent="0.25">
      <c r="A34" s="11" t="s">
        <v>2</v>
      </c>
      <c r="B34" s="15">
        <v>-19.524999999999999</v>
      </c>
      <c r="C34" s="15">
        <v>-22.574999999999999</v>
      </c>
      <c r="D34" s="15">
        <v>-6.5916666666666659</v>
      </c>
      <c r="E34" s="15">
        <v>-6.3749999999999991</v>
      </c>
      <c r="F34" s="15">
        <v>-14.633333333333335</v>
      </c>
      <c r="G34" s="15">
        <v>-17.274999999999999</v>
      </c>
      <c r="H34" s="15">
        <v>-22.450000000000003</v>
      </c>
      <c r="I34" s="15">
        <v>-25.091666666666669</v>
      </c>
      <c r="J34" s="15">
        <v>-24.833333333333332</v>
      </c>
      <c r="K34" s="15">
        <v>-24.141666666666666</v>
      </c>
      <c r="L34" s="15">
        <v>-23.125000000000004</v>
      </c>
      <c r="M34" s="15">
        <v>-23.508333333333336</v>
      </c>
      <c r="N34" s="15">
        <v>-22.633333333333336</v>
      </c>
      <c r="O34" s="15">
        <v>-20.999999999999996</v>
      </c>
      <c r="P34" s="15">
        <v>-23.116666666666671</v>
      </c>
      <c r="Q34" s="15">
        <v>-24.458333333333332</v>
      </c>
      <c r="R34" s="15">
        <v>-14.208333333333334</v>
      </c>
      <c r="S34" s="15">
        <v>-4.5499999999999989</v>
      </c>
      <c r="T34" s="15">
        <v>-4.6499999999999995</v>
      </c>
      <c r="U34" s="15">
        <v>-7.1666666666666652</v>
      </c>
      <c r="V34" s="15">
        <v>-9.4250000000000007</v>
      </c>
      <c r="W34" s="15">
        <v>-5.083333333333333</v>
      </c>
      <c r="X34" s="15">
        <v>-5.8583333333333334</v>
      </c>
      <c r="Y34" s="15">
        <v>-2.8083333333333336</v>
      </c>
      <c r="Z34" s="15">
        <v>-4.6916666666666673</v>
      </c>
      <c r="AA34" s="15">
        <v>-9.6583333333333332</v>
      </c>
      <c r="AB34" s="15">
        <v>-4.5583333333333327</v>
      </c>
      <c r="AC34" s="15">
        <v>-10.199999999999998</v>
      </c>
      <c r="AD34" s="18"/>
      <c r="AE34" s="18"/>
      <c r="AF34" s="18"/>
    </row>
  </sheetData>
  <mergeCells count="2">
    <mergeCell ref="B2:AF2"/>
    <mergeCell ref="B20:A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70" zoomScaleNormal="70" workbookViewId="0">
      <pane xSplit="1" topLeftCell="B1" activePane="topRight" state="frozen"/>
      <selection pane="topRight" activeCell="AI31" sqref="AI31"/>
    </sheetView>
  </sheetViews>
  <sheetFormatPr defaultRowHeight="15" x14ac:dyDescent="0.25"/>
  <cols>
    <col min="1" max="1" width="24.7109375" customWidth="1"/>
  </cols>
  <sheetData>
    <row r="1" spans="1:32" x14ac:dyDescent="0.25">
      <c r="A1" s="4" t="s">
        <v>8</v>
      </c>
      <c r="B1" s="9" t="s">
        <v>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x14ac:dyDescent="0.25">
      <c r="A2" s="9"/>
      <c r="B2" s="131" t="s">
        <v>9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15">
        <v>-2.6</v>
      </c>
      <c r="C4" s="15">
        <v>-14</v>
      </c>
      <c r="D4" s="15">
        <v>-9</v>
      </c>
      <c r="E4" s="15">
        <v>-7.5</v>
      </c>
      <c r="F4" s="15">
        <v>-28</v>
      </c>
      <c r="G4" s="15">
        <v>-29.7</v>
      </c>
      <c r="H4" s="15">
        <v>-21</v>
      </c>
      <c r="I4" s="15">
        <v>-22.7</v>
      </c>
      <c r="J4" s="15">
        <v>-30</v>
      </c>
      <c r="K4" s="15">
        <v>-30.1</v>
      </c>
      <c r="L4" s="16">
        <v>-26.9</v>
      </c>
      <c r="M4" s="15">
        <v>-23.4</v>
      </c>
      <c r="N4" s="15">
        <v>-17.7</v>
      </c>
      <c r="O4" s="15">
        <v>-19</v>
      </c>
      <c r="P4" s="15">
        <v>-21.3</v>
      </c>
      <c r="Q4" s="15">
        <v>-13.3</v>
      </c>
      <c r="R4" s="19">
        <v>-7.2</v>
      </c>
      <c r="S4" s="19">
        <v>-9.4</v>
      </c>
      <c r="T4" s="20">
        <v>-6</v>
      </c>
      <c r="U4" s="20">
        <v>-5.6</v>
      </c>
      <c r="V4" s="19">
        <v>-5.3</v>
      </c>
      <c r="W4" s="20">
        <v>-5.0999999999999996</v>
      </c>
      <c r="X4" s="21" t="str">
        <f>'[1]23'!$DD$5</f>
        <v>-13,7</v>
      </c>
      <c r="Y4" s="20">
        <v>-13</v>
      </c>
      <c r="Z4" s="12">
        <v>-10</v>
      </c>
      <c r="AA4" s="19">
        <v>-14.5</v>
      </c>
      <c r="AB4" s="19">
        <v>-12.9</v>
      </c>
      <c r="AC4" s="19">
        <v>-11.7</v>
      </c>
      <c r="AD4" s="19">
        <v>-5.9</v>
      </c>
      <c r="AE4" s="22">
        <v>-3.5</v>
      </c>
      <c r="AF4" s="22">
        <v>-4.9000000000000004</v>
      </c>
    </row>
    <row r="5" spans="1:32" x14ac:dyDescent="0.25">
      <c r="A5" s="10">
        <v>6</v>
      </c>
      <c r="B5" s="15">
        <v>-2.6</v>
      </c>
      <c r="C5" s="15">
        <v>-15.3</v>
      </c>
      <c r="D5" s="15">
        <v>-9.1999999999999993</v>
      </c>
      <c r="E5" s="15">
        <v>-8.6</v>
      </c>
      <c r="F5" s="15">
        <v>-28</v>
      </c>
      <c r="G5" s="15">
        <v>-29.9</v>
      </c>
      <c r="H5" s="15">
        <v>-20.399999999999999</v>
      </c>
      <c r="I5" s="15">
        <v>-21.3</v>
      </c>
      <c r="J5" s="15">
        <v>-30</v>
      </c>
      <c r="K5" s="15">
        <v>-29.5</v>
      </c>
      <c r="L5" s="16">
        <v>-26.8</v>
      </c>
      <c r="M5" s="15">
        <v>-24.5</v>
      </c>
      <c r="N5" s="15">
        <v>-17.7</v>
      </c>
      <c r="O5" s="15">
        <v>-18.8</v>
      </c>
      <c r="P5" s="15">
        <v>-21.4</v>
      </c>
      <c r="Q5" s="15">
        <v>-13.2</v>
      </c>
      <c r="R5" s="19">
        <v>-7.2</v>
      </c>
      <c r="S5" s="19">
        <v>-9</v>
      </c>
      <c r="T5" s="20">
        <v>-6.8</v>
      </c>
      <c r="U5" s="20">
        <v>-5.4</v>
      </c>
      <c r="V5" s="19">
        <v>-5.3</v>
      </c>
      <c r="W5" s="20">
        <v>-5.0999999999999996</v>
      </c>
      <c r="X5" s="21" t="str">
        <f>'[1]23'!$DD$6</f>
        <v>-13,5</v>
      </c>
      <c r="Y5" s="20">
        <v>-12.4</v>
      </c>
      <c r="Z5" s="12">
        <v>-9</v>
      </c>
      <c r="AA5" s="19">
        <v>-14.5</v>
      </c>
      <c r="AB5" s="19">
        <v>-13.1</v>
      </c>
      <c r="AC5" s="19">
        <v>-11.7</v>
      </c>
      <c r="AD5" s="19">
        <v>-5.3</v>
      </c>
      <c r="AE5" s="22">
        <v>-3.6</v>
      </c>
      <c r="AF5" s="22">
        <v>-4.5</v>
      </c>
    </row>
    <row r="6" spans="1:32" x14ac:dyDescent="0.25">
      <c r="A6" s="10">
        <v>8</v>
      </c>
      <c r="B6" s="15">
        <v>-3.6</v>
      </c>
      <c r="C6" s="15">
        <v>-15.6</v>
      </c>
      <c r="D6" s="15">
        <v>-9.1999999999999993</v>
      </c>
      <c r="E6" s="15">
        <v>-14.7</v>
      </c>
      <c r="F6" s="15">
        <v>-27.7</v>
      </c>
      <c r="G6" s="15">
        <v>-27.9</v>
      </c>
      <c r="H6" s="15">
        <v>-19.5</v>
      </c>
      <c r="I6" s="15">
        <v>-24</v>
      </c>
      <c r="J6" s="15">
        <v>-28.9</v>
      </c>
      <c r="K6" s="15">
        <v>-29.9</v>
      </c>
      <c r="L6" s="16">
        <v>-26.2</v>
      </c>
      <c r="M6" s="15">
        <v>-22.5</v>
      </c>
      <c r="N6" s="15">
        <v>-18.3</v>
      </c>
      <c r="O6" s="15">
        <v>-18.600000000000001</v>
      </c>
      <c r="P6" s="15">
        <v>-20.100000000000001</v>
      </c>
      <c r="Q6" s="15">
        <v>-14</v>
      </c>
      <c r="R6" s="19">
        <v>-5.8</v>
      </c>
      <c r="S6" s="19">
        <v>-9.1</v>
      </c>
      <c r="T6" s="20">
        <v>-6.8</v>
      </c>
      <c r="U6" s="20">
        <v>-5</v>
      </c>
      <c r="V6" s="19">
        <v>-4</v>
      </c>
      <c r="W6" s="20">
        <v>-5.5</v>
      </c>
      <c r="X6" s="21" t="str">
        <f>'[1]23'!$DD$7</f>
        <v>-12,5</v>
      </c>
      <c r="Y6" s="20">
        <v>-9.5</v>
      </c>
      <c r="Z6" s="12">
        <v>-7.6</v>
      </c>
      <c r="AA6" s="19">
        <v>-13</v>
      </c>
      <c r="AB6" s="19">
        <v>-11.4</v>
      </c>
      <c r="AC6" s="19">
        <v>-10.199999999999999</v>
      </c>
      <c r="AD6" s="19">
        <v>-2.6</v>
      </c>
      <c r="AE6" s="22">
        <v>-2</v>
      </c>
      <c r="AF6" s="22">
        <v>-2.9</v>
      </c>
    </row>
    <row r="7" spans="1:32" x14ac:dyDescent="0.25">
      <c r="A7" s="10">
        <v>10</v>
      </c>
      <c r="B7" s="15">
        <v>-2.9</v>
      </c>
      <c r="C7" s="15">
        <v>-11.8</v>
      </c>
      <c r="D7" s="15">
        <v>-6</v>
      </c>
      <c r="E7" s="15">
        <v>-14.7</v>
      </c>
      <c r="F7" s="15">
        <v>-20.6</v>
      </c>
      <c r="G7" s="15">
        <v>-23.5</v>
      </c>
      <c r="H7" s="15">
        <v>-18</v>
      </c>
      <c r="I7" s="15">
        <v>-24</v>
      </c>
      <c r="J7" s="15">
        <v>-22.5</v>
      </c>
      <c r="K7" s="15">
        <v>-27.8</v>
      </c>
      <c r="L7" s="16">
        <v>-23.4</v>
      </c>
      <c r="M7" s="15">
        <v>-20.8</v>
      </c>
      <c r="N7" s="15">
        <v>-14.1</v>
      </c>
      <c r="O7" s="15">
        <v>-9.6</v>
      </c>
      <c r="P7" s="15">
        <v>-17.399999999999999</v>
      </c>
      <c r="Q7" s="15">
        <v>-12</v>
      </c>
      <c r="R7" s="19">
        <v>-2.4</v>
      </c>
      <c r="S7" s="19">
        <v>-7.5</v>
      </c>
      <c r="T7" s="20">
        <v>-6.8</v>
      </c>
      <c r="U7" s="20">
        <v>-2.6</v>
      </c>
      <c r="V7" s="19">
        <v>-3</v>
      </c>
      <c r="W7" s="20">
        <v>-4.9000000000000004</v>
      </c>
      <c r="X7" s="21" t="str">
        <f>'[1]23'!$DD$8</f>
        <v>-0,6</v>
      </c>
      <c r="Y7" s="20">
        <v>-5</v>
      </c>
      <c r="Z7" s="12">
        <v>-5.5</v>
      </c>
      <c r="AA7" s="19">
        <v>-11</v>
      </c>
      <c r="AB7" s="19">
        <v>-3</v>
      </c>
      <c r="AC7" s="19">
        <v>-6</v>
      </c>
      <c r="AD7" s="19">
        <v>-1.1000000000000001</v>
      </c>
      <c r="AE7" s="22">
        <v>-1.8</v>
      </c>
      <c r="AF7" s="22">
        <v>-5</v>
      </c>
    </row>
    <row r="8" spans="1:32" x14ac:dyDescent="0.25">
      <c r="A8" s="10">
        <v>12</v>
      </c>
      <c r="B8" s="15">
        <v>-1.7</v>
      </c>
      <c r="C8" s="15">
        <v>-10.199999999999999</v>
      </c>
      <c r="D8" s="15">
        <v>-5</v>
      </c>
      <c r="E8" s="15">
        <v>-13.8</v>
      </c>
      <c r="F8" s="15">
        <v>-19</v>
      </c>
      <c r="G8" s="15">
        <v>-20.2</v>
      </c>
      <c r="H8" s="15">
        <v>-18</v>
      </c>
      <c r="I8" s="15">
        <v>-24</v>
      </c>
      <c r="J8" s="15">
        <v>-22</v>
      </c>
      <c r="K8" s="15">
        <v>-17.7</v>
      </c>
      <c r="L8" s="16">
        <v>-15.7</v>
      </c>
      <c r="M8" s="15">
        <v>-14.3</v>
      </c>
      <c r="N8" s="15">
        <v>-11</v>
      </c>
      <c r="O8" s="15">
        <v>-9.6999999999999993</v>
      </c>
      <c r="P8" s="15">
        <v>-7.9</v>
      </c>
      <c r="Q8" s="15">
        <v>-10</v>
      </c>
      <c r="R8" s="19">
        <v>-1.7</v>
      </c>
      <c r="S8" s="19">
        <v>-4.2</v>
      </c>
      <c r="T8" s="20">
        <v>-3</v>
      </c>
      <c r="U8" s="20">
        <v>-1.2</v>
      </c>
      <c r="V8" s="19">
        <v>-2</v>
      </c>
      <c r="W8" s="20">
        <v>-3.3</v>
      </c>
      <c r="X8" s="21" t="str">
        <f>'[1]23'!$DD$9</f>
        <v>-3,0</v>
      </c>
      <c r="Y8" s="20">
        <v>-2</v>
      </c>
      <c r="Z8" s="12">
        <v>-4.7</v>
      </c>
      <c r="AA8" s="19">
        <v>-9</v>
      </c>
      <c r="AB8" s="19">
        <v>-4.7</v>
      </c>
      <c r="AC8" s="19">
        <v>-2.9</v>
      </c>
      <c r="AD8" s="19">
        <v>1</v>
      </c>
      <c r="AE8" s="22">
        <v>1</v>
      </c>
      <c r="AF8" s="22">
        <v>-2</v>
      </c>
    </row>
    <row r="9" spans="1:32" x14ac:dyDescent="0.25">
      <c r="A9" s="10">
        <v>14</v>
      </c>
      <c r="B9" s="15">
        <v>-3.6</v>
      </c>
      <c r="C9" s="15">
        <v>-9.6</v>
      </c>
      <c r="D9" s="15">
        <v>-5</v>
      </c>
      <c r="E9" s="15">
        <v>-12.7</v>
      </c>
      <c r="F9" s="15">
        <v>-12.4</v>
      </c>
      <c r="G9" s="15">
        <v>-20.5</v>
      </c>
      <c r="H9" s="15">
        <v>-18</v>
      </c>
      <c r="I9" s="15">
        <v>-21</v>
      </c>
      <c r="J9" s="15">
        <v>-15.5</v>
      </c>
      <c r="K9" s="15">
        <v>-13.9</v>
      </c>
      <c r="L9" s="16">
        <v>-13.2</v>
      </c>
      <c r="M9" s="15">
        <v>-12.8</v>
      </c>
      <c r="N9" s="15">
        <v>-6</v>
      </c>
      <c r="O9" s="15">
        <v>-4.5</v>
      </c>
      <c r="P9" s="15">
        <v>-4.5</v>
      </c>
      <c r="Q9" s="15">
        <v>-9</v>
      </c>
      <c r="R9" s="19">
        <v>-0.7</v>
      </c>
      <c r="S9" s="19">
        <v>-3.6</v>
      </c>
      <c r="T9" s="20">
        <v>-3</v>
      </c>
      <c r="U9" s="20">
        <v>0.2</v>
      </c>
      <c r="V9" s="19">
        <v>-2</v>
      </c>
      <c r="W9" s="20">
        <v>-5.3</v>
      </c>
      <c r="X9" s="21">
        <v>-4</v>
      </c>
      <c r="Y9" s="20">
        <v>-2</v>
      </c>
      <c r="Z9" s="12">
        <v>-3.9</v>
      </c>
      <c r="AA9" s="19">
        <v>-6.4</v>
      </c>
      <c r="AB9" s="19">
        <v>-4</v>
      </c>
      <c r="AC9" s="19">
        <v>-1.1000000000000001</v>
      </c>
      <c r="AD9" s="19">
        <v>3.5</v>
      </c>
      <c r="AE9" s="22">
        <v>0</v>
      </c>
      <c r="AF9" s="22">
        <v>-2</v>
      </c>
    </row>
    <row r="10" spans="1:32" x14ac:dyDescent="0.25">
      <c r="A10" s="10">
        <v>16</v>
      </c>
      <c r="B10" s="15">
        <v>-5.7</v>
      </c>
      <c r="C10" s="15">
        <v>-7.8</v>
      </c>
      <c r="D10" s="15">
        <v>-5</v>
      </c>
      <c r="E10" s="15">
        <v>-13.9</v>
      </c>
      <c r="F10" s="15">
        <v>-17.2</v>
      </c>
      <c r="G10" s="15">
        <v>-21.8</v>
      </c>
      <c r="H10" s="15">
        <v>-18</v>
      </c>
      <c r="I10" s="15">
        <v>-21</v>
      </c>
      <c r="J10" s="15">
        <v>-19.600000000000001</v>
      </c>
      <c r="K10" s="15">
        <v>-14.2</v>
      </c>
      <c r="L10" s="16">
        <v>-15</v>
      </c>
      <c r="M10" s="15">
        <v>-14.5</v>
      </c>
      <c r="N10" s="15">
        <v>-10.9</v>
      </c>
      <c r="O10" s="15">
        <v>-3.6</v>
      </c>
      <c r="P10" s="15">
        <v>-5.9</v>
      </c>
      <c r="Q10" s="15">
        <v>-8</v>
      </c>
      <c r="R10" s="19">
        <v>-3.5</v>
      </c>
      <c r="S10" s="19">
        <v>-4.0999999999999996</v>
      </c>
      <c r="T10" s="20">
        <v>-3</v>
      </c>
      <c r="U10" s="20">
        <v>-1.4</v>
      </c>
      <c r="V10" s="19">
        <v>-3</v>
      </c>
      <c r="W10" s="20">
        <v>-4.9000000000000004</v>
      </c>
      <c r="X10" s="21" t="str">
        <f>'[1]23'!$DD$11</f>
        <v>-2,5</v>
      </c>
      <c r="Y10" s="20">
        <v>-2</v>
      </c>
      <c r="Z10" s="12">
        <v>-3</v>
      </c>
      <c r="AA10" s="19">
        <v>-5</v>
      </c>
      <c r="AB10" s="19">
        <v>-4.5999999999999996</v>
      </c>
      <c r="AC10" s="19">
        <v>0.1</v>
      </c>
      <c r="AD10" s="19">
        <v>1.4</v>
      </c>
      <c r="AE10" s="22">
        <v>-1</v>
      </c>
      <c r="AF10" s="22">
        <v>-2</v>
      </c>
    </row>
    <row r="11" spans="1:32" x14ac:dyDescent="0.25">
      <c r="A11" s="10">
        <v>18</v>
      </c>
      <c r="B11" s="15">
        <v>-7.8</v>
      </c>
      <c r="C11" s="15">
        <v>-12.7</v>
      </c>
      <c r="D11" s="15">
        <v>-5</v>
      </c>
      <c r="E11" s="15">
        <v>-17.399999999999999</v>
      </c>
      <c r="F11" s="15">
        <v>-22.4</v>
      </c>
      <c r="G11" s="15">
        <v>-24.3</v>
      </c>
      <c r="H11" s="15">
        <v>-19.2</v>
      </c>
      <c r="I11" s="15">
        <v>-21.8</v>
      </c>
      <c r="J11" s="15">
        <v>-23.7</v>
      </c>
      <c r="K11" s="15">
        <v>-20.6</v>
      </c>
      <c r="L11" s="16">
        <v>-18.5</v>
      </c>
      <c r="M11" s="15">
        <v>-19</v>
      </c>
      <c r="N11" s="15">
        <v>-12.9</v>
      </c>
      <c r="O11" s="15">
        <v>-11.6</v>
      </c>
      <c r="P11" s="15">
        <v>-9.5</v>
      </c>
      <c r="Q11" s="15">
        <v>-7.7</v>
      </c>
      <c r="R11" s="19">
        <v>-5.7</v>
      </c>
      <c r="S11" s="19">
        <v>-4</v>
      </c>
      <c r="T11" s="20">
        <v>-3</v>
      </c>
      <c r="U11" s="20">
        <v>-2.5</v>
      </c>
      <c r="V11" s="19">
        <v>-4</v>
      </c>
      <c r="W11" s="20">
        <v>-7.8</v>
      </c>
      <c r="X11" s="21" t="str">
        <f>'[1]23'!$DD$12</f>
        <v>-7,3</v>
      </c>
      <c r="Y11" s="20">
        <v>-6</v>
      </c>
      <c r="Z11" s="12">
        <v>-2.5</v>
      </c>
      <c r="AA11" s="19">
        <v>-6.5</v>
      </c>
      <c r="AB11" s="19">
        <v>-7.1</v>
      </c>
      <c r="AC11" s="19">
        <v>-2.8</v>
      </c>
      <c r="AD11" s="19">
        <v>0.1</v>
      </c>
      <c r="AE11" s="22">
        <v>-1</v>
      </c>
      <c r="AF11" s="22">
        <v>-5</v>
      </c>
    </row>
    <row r="12" spans="1:32" x14ac:dyDescent="0.25">
      <c r="A12" s="10">
        <v>20</v>
      </c>
      <c r="B12" s="15">
        <v>-9.3000000000000007</v>
      </c>
      <c r="C12" s="15">
        <v>-13.2</v>
      </c>
      <c r="D12" s="15">
        <v>-2.7</v>
      </c>
      <c r="E12" s="15">
        <v>-21.7</v>
      </c>
      <c r="F12" s="15">
        <v>-23.5</v>
      </c>
      <c r="G12" s="15">
        <v>-24.5</v>
      </c>
      <c r="H12" s="15">
        <v>-19.5</v>
      </c>
      <c r="I12" s="15">
        <v>-23</v>
      </c>
      <c r="J12" s="15">
        <v>-26</v>
      </c>
      <c r="K12" s="15">
        <v>-22.4</v>
      </c>
      <c r="L12" s="16">
        <v>-20.6</v>
      </c>
      <c r="M12" s="15">
        <v>-19</v>
      </c>
      <c r="N12" s="15">
        <v>-14.3</v>
      </c>
      <c r="O12" s="15">
        <v>-15.4</v>
      </c>
      <c r="P12" s="15">
        <v>-11.7</v>
      </c>
      <c r="Q12" s="15">
        <v>-7</v>
      </c>
      <c r="R12" s="19">
        <v>-6</v>
      </c>
      <c r="S12" s="19">
        <v>-3.8</v>
      </c>
      <c r="T12" s="20">
        <v>-6</v>
      </c>
      <c r="U12" s="20">
        <v>-3.5</v>
      </c>
      <c r="V12" s="19">
        <v>-6.3</v>
      </c>
      <c r="W12" s="20">
        <v>-9</v>
      </c>
      <c r="X12" s="21" t="str">
        <f>'[1]23'!$DD$13</f>
        <v>-9,8</v>
      </c>
      <c r="Y12" s="20">
        <v>-8</v>
      </c>
      <c r="Z12" s="12">
        <v>-6</v>
      </c>
      <c r="AA12" s="19">
        <v>-8.5</v>
      </c>
      <c r="AB12" s="19">
        <v>-7.3</v>
      </c>
      <c r="AC12" s="19">
        <v>-4.3</v>
      </c>
      <c r="AD12" s="19">
        <v>-0.3</v>
      </c>
      <c r="AE12" s="22">
        <v>-4.2</v>
      </c>
      <c r="AF12" s="22">
        <v>-6</v>
      </c>
    </row>
    <row r="13" spans="1:32" x14ac:dyDescent="0.25">
      <c r="A13" s="10">
        <v>22</v>
      </c>
      <c r="B13" s="15">
        <v>-10</v>
      </c>
      <c r="C13" s="15">
        <v>-12</v>
      </c>
      <c r="D13" s="15">
        <v>-3</v>
      </c>
      <c r="E13" s="15">
        <v>-23.5</v>
      </c>
      <c r="F13" s="15">
        <v>-24.6</v>
      </c>
      <c r="G13" s="15">
        <v>-23</v>
      </c>
      <c r="H13" s="15">
        <v>-20.9</v>
      </c>
      <c r="I13" s="15">
        <v>-23</v>
      </c>
      <c r="J13" s="15">
        <v>-26.6</v>
      </c>
      <c r="K13" s="15">
        <v>-24.1</v>
      </c>
      <c r="L13" s="16">
        <v>-21.2</v>
      </c>
      <c r="M13" s="15">
        <v>-19</v>
      </c>
      <c r="N13" s="15">
        <v>-15.8</v>
      </c>
      <c r="O13" s="15">
        <v>-16.399999999999999</v>
      </c>
      <c r="P13" s="15">
        <v>-10.9</v>
      </c>
      <c r="Q13" s="15">
        <v>-7</v>
      </c>
      <c r="R13" s="19">
        <v>-7</v>
      </c>
      <c r="S13" s="19">
        <v>-4.0999999999999996</v>
      </c>
      <c r="T13" s="20">
        <v>-6</v>
      </c>
      <c r="U13" s="20">
        <v>-5</v>
      </c>
      <c r="V13" s="19">
        <v>-6.1</v>
      </c>
      <c r="W13" s="20">
        <v>-9.9</v>
      </c>
      <c r="X13" s="21" t="str">
        <f>'[1]23'!$DD$14</f>
        <v>-10,5</v>
      </c>
      <c r="Y13" s="20">
        <v>-10</v>
      </c>
      <c r="Z13" s="12">
        <v>-8</v>
      </c>
      <c r="AA13" s="19">
        <v>-9.4</v>
      </c>
      <c r="AB13" s="19">
        <v>-8.6</v>
      </c>
      <c r="AC13" s="19">
        <v>-5</v>
      </c>
      <c r="AD13" s="19">
        <v>-0.9</v>
      </c>
      <c r="AE13" s="22">
        <v>-5</v>
      </c>
      <c r="AF13" s="22">
        <v>-7</v>
      </c>
    </row>
    <row r="14" spans="1:32" x14ac:dyDescent="0.25">
      <c r="A14" s="10">
        <v>24</v>
      </c>
      <c r="B14" s="15">
        <v>-10.8</v>
      </c>
      <c r="C14" s="15">
        <v>-11.7</v>
      </c>
      <c r="D14" s="15">
        <v>-3.2</v>
      </c>
      <c r="E14" s="15">
        <v>-25.6</v>
      </c>
      <c r="F14" s="15">
        <v>-26.4</v>
      </c>
      <c r="G14" s="15">
        <v>-22.1</v>
      </c>
      <c r="H14" s="15">
        <v>-21.4</v>
      </c>
      <c r="I14" s="15">
        <v>-27</v>
      </c>
      <c r="J14" s="15">
        <v>-26.6</v>
      </c>
      <c r="K14" s="15">
        <v>-25.4</v>
      </c>
      <c r="L14" s="16">
        <v>-22.2</v>
      </c>
      <c r="M14" s="15">
        <v>-19</v>
      </c>
      <c r="N14" s="15">
        <v>-17.100000000000001</v>
      </c>
      <c r="O14" s="15">
        <v>-17.7</v>
      </c>
      <c r="P14" s="15">
        <v>-11.7</v>
      </c>
      <c r="Q14" s="15">
        <v>-7</v>
      </c>
      <c r="R14" s="19">
        <v>-8</v>
      </c>
      <c r="S14" s="19">
        <v>-5.0999999999999996</v>
      </c>
      <c r="T14" s="20">
        <v>-6.5</v>
      </c>
      <c r="U14" s="20">
        <v>-5</v>
      </c>
      <c r="V14" s="19">
        <v>-5.4</v>
      </c>
      <c r="W14" s="20">
        <v>-10.9</v>
      </c>
      <c r="X14" s="21" t="str">
        <f>'[1]23'!$DD$15</f>
        <v>-10,8</v>
      </c>
      <c r="Y14" s="20">
        <v>-11</v>
      </c>
      <c r="Z14" s="12">
        <v>-8</v>
      </c>
      <c r="AA14" s="19">
        <v>-9.8000000000000007</v>
      </c>
      <c r="AB14" s="19">
        <v>-10</v>
      </c>
      <c r="AC14" s="19">
        <v>-5.8</v>
      </c>
      <c r="AD14" s="19">
        <v>-1.3</v>
      </c>
      <c r="AE14" s="22">
        <v>-6.8</v>
      </c>
      <c r="AF14" s="22">
        <v>-11</v>
      </c>
    </row>
    <row r="15" spans="1:32" x14ac:dyDescent="0.25">
      <c r="A15" s="10">
        <v>2</v>
      </c>
      <c r="B15" s="15">
        <v>-11.8</v>
      </c>
      <c r="C15" s="15">
        <v>-9.9</v>
      </c>
      <c r="D15" s="15">
        <v>-3.2</v>
      </c>
      <c r="E15" s="15">
        <v>-27</v>
      </c>
      <c r="F15" s="15">
        <v>-28.4</v>
      </c>
      <c r="G15" s="15">
        <v>-21.6</v>
      </c>
      <c r="H15" s="15">
        <v>-22.1</v>
      </c>
      <c r="I15" s="15">
        <v>-28.2</v>
      </c>
      <c r="J15" s="15">
        <v>-27.9</v>
      </c>
      <c r="K15" s="15">
        <v>-26.8</v>
      </c>
      <c r="L15" s="16">
        <v>-22.4</v>
      </c>
      <c r="M15" s="15">
        <v>-18.2</v>
      </c>
      <c r="N15" s="15">
        <v>-18.100000000000001</v>
      </c>
      <c r="O15" s="15">
        <v>-19.100000000000001</v>
      </c>
      <c r="P15" s="15">
        <v>-12</v>
      </c>
      <c r="Q15" s="15">
        <v>-7</v>
      </c>
      <c r="R15" s="19">
        <v>-9.1999999999999993</v>
      </c>
      <c r="S15" s="19">
        <v>-4.8</v>
      </c>
      <c r="T15" s="20">
        <v>-6.4</v>
      </c>
      <c r="U15" s="20">
        <v>-4.5999999999999996</v>
      </c>
      <c r="V15" s="19">
        <v>-4.8</v>
      </c>
      <c r="W15" s="20">
        <v>-10.4</v>
      </c>
      <c r="X15" s="21" t="str">
        <f>'[1]23'!$DD$16</f>
        <v>-11,5</v>
      </c>
      <c r="Y15" s="20">
        <v>-9.6999999999999993</v>
      </c>
      <c r="Z15" s="12">
        <v>-11.6</v>
      </c>
      <c r="AA15" s="19">
        <v>-9.6</v>
      </c>
      <c r="AB15" s="19">
        <v>-10.9</v>
      </c>
      <c r="AC15" s="19">
        <v>-4.7</v>
      </c>
      <c r="AD15" s="19">
        <v>-0.7</v>
      </c>
      <c r="AE15" s="22">
        <v>-6.8</v>
      </c>
      <c r="AF15" s="22">
        <v>-11.6</v>
      </c>
    </row>
    <row r="16" spans="1:32" ht="30" x14ac:dyDescent="0.25">
      <c r="A16" s="11" t="s">
        <v>2</v>
      </c>
      <c r="B16" s="15">
        <f>(B4+B5+B6+B7+B8+B9+B10+B11+B12+B13+B14+B15)/12</f>
        <v>-6.0333333333333323</v>
      </c>
      <c r="C16" s="15">
        <f t="shared" ref="C16:O16" si="0">(C4+C5+C6+C7+C8+C9+C10+C11+C12+C13+C14+C15)/12</f>
        <v>-11.983333333333334</v>
      </c>
      <c r="D16" s="15">
        <f t="shared" si="0"/>
        <v>-5.458333333333333</v>
      </c>
      <c r="E16" s="15">
        <f t="shared" si="0"/>
        <v>-16.758333333333333</v>
      </c>
      <c r="F16" s="15">
        <f t="shared" si="0"/>
        <v>-23.183333333333334</v>
      </c>
      <c r="G16" s="15">
        <f t="shared" si="0"/>
        <v>-24.083333333333339</v>
      </c>
      <c r="H16" s="15">
        <f t="shared" si="0"/>
        <v>-19.666666666666668</v>
      </c>
      <c r="I16" s="15">
        <f t="shared" si="0"/>
        <v>-23.416666666666668</v>
      </c>
      <c r="J16" s="15">
        <f t="shared" si="0"/>
        <v>-24.941666666666663</v>
      </c>
      <c r="K16" s="15">
        <f t="shared" si="0"/>
        <v>-23.533333333333331</v>
      </c>
      <c r="L16" s="15">
        <f t="shared" si="0"/>
        <v>-21.008333333333333</v>
      </c>
      <c r="M16" s="15">
        <f t="shared" si="0"/>
        <v>-18.916666666666668</v>
      </c>
      <c r="N16" s="15">
        <f t="shared" si="0"/>
        <v>-14.491666666666667</v>
      </c>
      <c r="O16" s="15">
        <f t="shared" si="0"/>
        <v>-13.666666666666664</v>
      </c>
      <c r="P16" s="15">
        <f>(P4+P5+P6+P7+P8+P9+P10+P11+P12+P13+P14+P15)/12</f>
        <v>-12.858333333333334</v>
      </c>
      <c r="Q16" s="15">
        <f>(Q4+Q5+Q6+Q7+Q8+Q9+Q10+Q11+Q12+Q13+Q14+Q15)/12</f>
        <v>-9.6</v>
      </c>
      <c r="R16" s="15">
        <f>(R4+R5+R6+R7+R8+R9+R10+R11+R12+R13+R14+R15)/12</f>
        <v>-5.3666666666666663</v>
      </c>
      <c r="S16" s="15">
        <f t="shared" ref="S16:AF16" si="1">(S4+S5+S6+S7+S8+S9+S10+S11+S12+S13+S14+S15)/12</f>
        <v>-5.7250000000000005</v>
      </c>
      <c r="T16" s="15">
        <f t="shared" si="1"/>
        <v>-5.2750000000000004</v>
      </c>
      <c r="U16" s="15">
        <f t="shared" si="1"/>
        <v>-3.4666666666666668</v>
      </c>
      <c r="V16" s="15">
        <f t="shared" si="1"/>
        <v>-4.2666666666666666</v>
      </c>
      <c r="W16" s="15">
        <f t="shared" si="1"/>
        <v>-6.8416666666666677</v>
      </c>
      <c r="X16" s="15">
        <f t="shared" si="1"/>
        <v>-8.3083333333333336</v>
      </c>
      <c r="Y16" s="15">
        <f t="shared" si="1"/>
        <v>-7.5500000000000007</v>
      </c>
      <c r="Z16" s="15">
        <f t="shared" si="1"/>
        <v>-6.6499999999999995</v>
      </c>
      <c r="AA16" s="15">
        <f t="shared" si="1"/>
        <v>-9.7666666666666675</v>
      </c>
      <c r="AB16" s="15">
        <f t="shared" si="1"/>
        <v>-8.1333333333333346</v>
      </c>
      <c r="AC16" s="15">
        <f t="shared" si="1"/>
        <v>-5.508333333333332</v>
      </c>
      <c r="AD16" s="15">
        <f t="shared" si="1"/>
        <v>-1.0083333333333333</v>
      </c>
      <c r="AE16" s="15">
        <f t="shared" si="1"/>
        <v>-2.8916666666666671</v>
      </c>
      <c r="AF16" s="15">
        <f t="shared" si="1"/>
        <v>-5.3250000000000002</v>
      </c>
    </row>
    <row r="21" spans="1:32" x14ac:dyDescent="0.25">
      <c r="A21" s="4" t="s">
        <v>7</v>
      </c>
      <c r="B21" s="9" t="s">
        <v>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x14ac:dyDescent="0.25">
      <c r="A22" s="9"/>
      <c r="B22" s="131" t="s">
        <v>9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-2.2999999999999998</v>
      </c>
      <c r="C24" s="17">
        <v>-11.1</v>
      </c>
      <c r="D24" s="17">
        <v>-11.4</v>
      </c>
      <c r="E24" s="17">
        <v>-2.5</v>
      </c>
      <c r="F24" s="17">
        <v>-27.2</v>
      </c>
      <c r="G24" s="17">
        <v>-29</v>
      </c>
      <c r="H24" s="17">
        <v>-21.3</v>
      </c>
      <c r="I24" s="17">
        <v>-20.8</v>
      </c>
      <c r="J24" s="17">
        <v>-28.7</v>
      </c>
      <c r="K24" s="15">
        <v>-30.5</v>
      </c>
      <c r="L24" s="15">
        <v>-26.3</v>
      </c>
      <c r="M24" s="15">
        <v>-21.5</v>
      </c>
      <c r="N24" s="15">
        <v>-16.5</v>
      </c>
      <c r="O24" s="15">
        <v>-21</v>
      </c>
      <c r="P24" s="15">
        <v>-20.2</v>
      </c>
      <c r="Q24" s="15">
        <v>-12.7</v>
      </c>
      <c r="R24" s="13">
        <v>-6.2</v>
      </c>
      <c r="S24" s="13">
        <v>-8.6</v>
      </c>
      <c r="T24" s="13">
        <v>-5.8</v>
      </c>
      <c r="U24" s="13">
        <v>-5.7</v>
      </c>
      <c r="V24" s="13">
        <v>-4.5999999999999996</v>
      </c>
      <c r="W24" s="13">
        <v>-4.5999999999999996</v>
      </c>
      <c r="X24" s="13">
        <v>-13.1</v>
      </c>
      <c r="Y24" s="13">
        <v>-14.2</v>
      </c>
      <c r="Z24" s="13">
        <v>-10.8</v>
      </c>
      <c r="AA24" s="13">
        <v>-11.9</v>
      </c>
      <c r="AB24" s="13">
        <v>-11.2</v>
      </c>
      <c r="AC24" s="13">
        <v>-12.7</v>
      </c>
      <c r="AD24" s="13">
        <v>-8.1</v>
      </c>
      <c r="AE24" s="13">
        <v>-2.2000000000000002</v>
      </c>
      <c r="AF24" s="13">
        <v>-5.8</v>
      </c>
    </row>
    <row r="25" spans="1:32" x14ac:dyDescent="0.25">
      <c r="A25" s="10">
        <v>6</v>
      </c>
      <c r="B25" s="17">
        <v>-2.5</v>
      </c>
      <c r="C25" s="17">
        <v>-12.1</v>
      </c>
      <c r="D25" s="17">
        <v>-10.4</v>
      </c>
      <c r="E25" s="17">
        <v>-3</v>
      </c>
      <c r="F25" s="17">
        <v>-28.2</v>
      </c>
      <c r="G25" s="17">
        <v>-29.2</v>
      </c>
      <c r="H25" s="17">
        <v>-20.399999999999999</v>
      </c>
      <c r="I25" s="17">
        <v>-21.6</v>
      </c>
      <c r="J25" s="17">
        <v>-28.7</v>
      </c>
      <c r="K25" s="15">
        <v>-31.6</v>
      </c>
      <c r="L25" s="15">
        <v>-25.8</v>
      </c>
      <c r="M25" s="15">
        <v>-21.7</v>
      </c>
      <c r="N25" s="15">
        <v>-18.100000000000001</v>
      </c>
      <c r="O25" s="15">
        <v>-19.899999999999999</v>
      </c>
      <c r="P25" s="15">
        <v>-21</v>
      </c>
      <c r="Q25" s="15">
        <v>-12.2</v>
      </c>
      <c r="R25" s="13">
        <v>-6.3</v>
      </c>
      <c r="S25" s="13">
        <v>-9.8000000000000007</v>
      </c>
      <c r="T25" s="13">
        <v>-6.6</v>
      </c>
      <c r="U25" s="13">
        <v>-5</v>
      </c>
      <c r="V25" s="13">
        <v>-4.9000000000000004</v>
      </c>
      <c r="W25" s="13">
        <v>-4.7</v>
      </c>
      <c r="X25" s="13">
        <v>-14</v>
      </c>
      <c r="Y25" s="13">
        <v>-12.5</v>
      </c>
      <c r="Z25" s="13">
        <v>-11.5</v>
      </c>
      <c r="AA25" s="13">
        <v>-13.6</v>
      </c>
      <c r="AB25" s="13">
        <v>-11.4</v>
      </c>
      <c r="AC25" s="13">
        <v>-12.7</v>
      </c>
      <c r="AD25" s="13">
        <v>-5.4</v>
      </c>
      <c r="AE25" s="13">
        <v>-3.4</v>
      </c>
      <c r="AF25" s="13">
        <v>-4</v>
      </c>
    </row>
    <row r="26" spans="1:32" x14ac:dyDescent="0.25">
      <c r="A26" s="10">
        <v>8</v>
      </c>
      <c r="B26" s="17">
        <v>-2.2000000000000002</v>
      </c>
      <c r="C26" s="17">
        <v>-14.4</v>
      </c>
      <c r="D26" s="17">
        <v>-9.6999999999999993</v>
      </c>
      <c r="E26" s="17">
        <v>-5.8</v>
      </c>
      <c r="F26" s="17">
        <v>-28.6</v>
      </c>
      <c r="G26" s="17">
        <v>-30.1</v>
      </c>
      <c r="H26" s="17">
        <v>-20.100000000000001</v>
      </c>
      <c r="I26" s="17">
        <v>-23.2</v>
      </c>
      <c r="J26" s="17">
        <v>-30.6</v>
      </c>
      <c r="K26" s="15">
        <v>-30.1</v>
      </c>
      <c r="L26" s="15">
        <v>-24.7</v>
      </c>
      <c r="M26" s="15">
        <v>-22</v>
      </c>
      <c r="N26" s="15">
        <v>-17.5</v>
      </c>
      <c r="O26" s="15">
        <v>-20.6</v>
      </c>
      <c r="P26" s="15">
        <v>-19.399999999999999</v>
      </c>
      <c r="Q26" s="15">
        <v>-11.9</v>
      </c>
      <c r="R26" s="13">
        <v>-4.5</v>
      </c>
      <c r="S26" s="13">
        <v>-8.6</v>
      </c>
      <c r="T26" s="13">
        <v>-5.7</v>
      </c>
      <c r="U26" s="13">
        <v>-4.8</v>
      </c>
      <c r="V26" s="13">
        <v>-3.9</v>
      </c>
      <c r="W26" s="13">
        <v>-5.9</v>
      </c>
      <c r="X26" s="13">
        <v>-12.3</v>
      </c>
      <c r="Y26" s="13">
        <v>-10</v>
      </c>
      <c r="Z26" s="13">
        <v>-7.8</v>
      </c>
      <c r="AA26" s="13">
        <v>-13</v>
      </c>
      <c r="AB26" s="13">
        <v>-10.199999999999999</v>
      </c>
      <c r="AC26" s="13">
        <v>-11</v>
      </c>
      <c r="AD26" s="13">
        <v>-3.4</v>
      </c>
      <c r="AE26" s="13">
        <v>-2.2000000000000002</v>
      </c>
      <c r="AF26" s="13">
        <v>-2.9</v>
      </c>
    </row>
    <row r="27" spans="1:32" x14ac:dyDescent="0.25">
      <c r="A27" s="10">
        <v>10</v>
      </c>
      <c r="B27" s="17">
        <v>-2.7</v>
      </c>
      <c r="C27" s="17">
        <v>-15.3</v>
      </c>
      <c r="D27" s="17">
        <v>-9.1</v>
      </c>
      <c r="E27" s="17">
        <v>-13.1</v>
      </c>
      <c r="F27" s="17">
        <v>-27.7</v>
      </c>
      <c r="G27" s="17">
        <v>-29.1</v>
      </c>
      <c r="H27" s="17">
        <v>-19.3</v>
      </c>
      <c r="I27" s="17">
        <v>-23.1</v>
      </c>
      <c r="J27" s="17">
        <v>-29.5</v>
      </c>
      <c r="K27" s="15">
        <v>-24.7</v>
      </c>
      <c r="L27" s="15">
        <v>-21.9</v>
      </c>
      <c r="M27" s="15">
        <v>-19.100000000000001</v>
      </c>
      <c r="N27" s="15">
        <v>-14.1</v>
      </c>
      <c r="O27" s="15">
        <v>-14</v>
      </c>
      <c r="P27" s="15">
        <v>-14.2</v>
      </c>
      <c r="Q27" s="15">
        <v>-11.6</v>
      </c>
      <c r="R27" s="13">
        <v>-3.3</v>
      </c>
      <c r="S27" s="13">
        <v>-8</v>
      </c>
      <c r="T27" s="13">
        <v>-3.6</v>
      </c>
      <c r="U27" s="13">
        <v>-3.3</v>
      </c>
      <c r="V27" s="13">
        <v>-2.6</v>
      </c>
      <c r="W27" s="13">
        <v>-5.9</v>
      </c>
      <c r="X27" s="13">
        <v>-7.9</v>
      </c>
      <c r="Y27" s="13">
        <v>-7.3</v>
      </c>
      <c r="Z27" s="13">
        <v>-6.6</v>
      </c>
      <c r="AA27" s="13">
        <v>-11.2</v>
      </c>
      <c r="AB27" s="13">
        <v>-8.6</v>
      </c>
      <c r="AC27" s="13">
        <v>-7.3</v>
      </c>
      <c r="AD27" s="13">
        <v>-2.2999999999999998</v>
      </c>
      <c r="AE27" s="13">
        <v>0.5</v>
      </c>
      <c r="AF27" s="13">
        <v>-0.5</v>
      </c>
    </row>
    <row r="28" spans="1:32" x14ac:dyDescent="0.25">
      <c r="A28" s="10">
        <v>12</v>
      </c>
      <c r="B28" s="17">
        <v>-2.5</v>
      </c>
      <c r="C28" s="17">
        <v>-12.3</v>
      </c>
      <c r="D28" s="17">
        <v>-7.3</v>
      </c>
      <c r="E28" s="17">
        <v>13.4</v>
      </c>
      <c r="F28" s="17">
        <v>-23.7</v>
      </c>
      <c r="G28" s="17">
        <v>-25.1</v>
      </c>
      <c r="H28" s="17">
        <v>-18.5</v>
      </c>
      <c r="I28" s="17">
        <v>-22.6</v>
      </c>
      <c r="J28" s="17">
        <v>-26.9</v>
      </c>
      <c r="K28" s="15">
        <v>-20</v>
      </c>
      <c r="L28" s="15">
        <v>-16.2</v>
      </c>
      <c r="M28" s="15">
        <v>-15.7</v>
      </c>
      <c r="N28" s="15">
        <v>-11.4</v>
      </c>
      <c r="O28" s="15">
        <v>-11.4</v>
      </c>
      <c r="P28" s="15">
        <v>-11</v>
      </c>
      <c r="Q28" s="15">
        <v>-9.9</v>
      </c>
      <c r="R28" s="13">
        <v>-2.6</v>
      </c>
      <c r="S28" s="13">
        <v>-6.2</v>
      </c>
      <c r="T28" s="13">
        <v>-2.2000000000000002</v>
      </c>
      <c r="U28" s="13">
        <v>-0.8</v>
      </c>
      <c r="V28" s="13">
        <v>-1.5</v>
      </c>
      <c r="W28" s="13">
        <v>-4.7</v>
      </c>
      <c r="X28" s="13">
        <v>-5.5</v>
      </c>
      <c r="Y28" s="13">
        <v>-3.1</v>
      </c>
      <c r="Z28" s="13">
        <v>-5</v>
      </c>
      <c r="AA28" s="13">
        <v>-8.6999999999999993</v>
      </c>
      <c r="AB28" s="13">
        <v>-5.8</v>
      </c>
      <c r="AC28" s="13">
        <v>-3.8</v>
      </c>
      <c r="AD28" s="13">
        <v>-0.4</v>
      </c>
      <c r="AE28" s="13">
        <v>1.6</v>
      </c>
      <c r="AF28" s="13">
        <v>-3.3</v>
      </c>
    </row>
    <row r="29" spans="1:32" x14ac:dyDescent="0.25">
      <c r="A29" s="10">
        <v>14</v>
      </c>
      <c r="B29" s="17">
        <v>-2</v>
      </c>
      <c r="C29" s="17">
        <v>-11.2</v>
      </c>
      <c r="D29" s="17">
        <v>-7.1</v>
      </c>
      <c r="E29" s="17">
        <v>-13.4</v>
      </c>
      <c r="F29" s="17">
        <v>-20.8</v>
      </c>
      <c r="G29" s="17">
        <v>-23.1</v>
      </c>
      <c r="H29" s="17">
        <v>-17.600000000000001</v>
      </c>
      <c r="I29" s="17">
        <v>-22.6</v>
      </c>
      <c r="J29" s="17">
        <v>-24.9</v>
      </c>
      <c r="K29" s="15">
        <v>-17.600000000000001</v>
      </c>
      <c r="L29" s="15">
        <v>-15</v>
      </c>
      <c r="M29" s="15">
        <v>-13.8</v>
      </c>
      <c r="N29" s="15">
        <v>-9.6999999999999993</v>
      </c>
      <c r="O29" s="15">
        <v>-8.4</v>
      </c>
      <c r="P29" s="15">
        <v>-7.6</v>
      </c>
      <c r="Q29" s="15">
        <v>-8.4</v>
      </c>
      <c r="R29" s="13">
        <v>-1</v>
      </c>
      <c r="S29" s="13">
        <v>-4.8</v>
      </c>
      <c r="T29" s="13">
        <v>-1.3</v>
      </c>
      <c r="U29" s="13">
        <v>-0.4</v>
      </c>
      <c r="V29" s="13">
        <v>-1.7</v>
      </c>
      <c r="W29" s="13">
        <v>-5.3</v>
      </c>
      <c r="X29" s="13">
        <v>-3.5</v>
      </c>
      <c r="Y29" s="13">
        <v>-3.2</v>
      </c>
      <c r="Z29" s="13">
        <v>-4</v>
      </c>
      <c r="AA29" s="13">
        <v>-6.4</v>
      </c>
      <c r="AB29" s="13">
        <v>-4.9000000000000004</v>
      </c>
      <c r="AC29" s="13">
        <v>-1.9</v>
      </c>
      <c r="AD29" s="13">
        <v>0.9</v>
      </c>
      <c r="AE29" s="13">
        <v>0.2</v>
      </c>
      <c r="AF29" s="13">
        <v>-2.6</v>
      </c>
    </row>
    <row r="30" spans="1:32" x14ac:dyDescent="0.25">
      <c r="A30" s="10">
        <v>16</v>
      </c>
      <c r="B30" s="17">
        <v>-2.4</v>
      </c>
      <c r="C30" s="17">
        <v>-10.3</v>
      </c>
      <c r="D30" s="17">
        <v>-4.9000000000000004</v>
      </c>
      <c r="E30" s="17">
        <v>-12</v>
      </c>
      <c r="F30" s="17">
        <v>-19.7</v>
      </c>
      <c r="G30" s="17">
        <v>-22.1</v>
      </c>
      <c r="H30" s="17">
        <v>-17.5</v>
      </c>
      <c r="I30" s="17">
        <v>-20.8</v>
      </c>
      <c r="J30" s="17">
        <v>-22.9</v>
      </c>
      <c r="K30" s="15">
        <v>-16.899999999999999</v>
      </c>
      <c r="L30" s="15">
        <v>-16.3</v>
      </c>
      <c r="M30" s="15">
        <v>-14.3</v>
      </c>
      <c r="N30" s="15">
        <v>-9.9</v>
      </c>
      <c r="O30" s="15">
        <v>-8.1</v>
      </c>
      <c r="P30" s="15">
        <v>-7.2</v>
      </c>
      <c r="Q30" s="15">
        <v>-8.1999999999999993</v>
      </c>
      <c r="R30" s="13">
        <v>-3.4</v>
      </c>
      <c r="S30" s="13">
        <v>-4.3</v>
      </c>
      <c r="T30" s="13">
        <v>-1.8</v>
      </c>
      <c r="U30" s="13">
        <v>-0.5</v>
      </c>
      <c r="V30" s="13">
        <v>-2.2000000000000002</v>
      </c>
      <c r="W30" s="13">
        <v>-4.7</v>
      </c>
      <c r="X30" s="13">
        <v>-3.8</v>
      </c>
      <c r="Y30" s="13">
        <v>-3.5</v>
      </c>
      <c r="Z30" s="13">
        <v>-3.4</v>
      </c>
      <c r="AA30" s="13">
        <v>-5.4</v>
      </c>
      <c r="AB30" s="13">
        <v>-4.7</v>
      </c>
      <c r="AC30" s="13">
        <v>-1.9</v>
      </c>
      <c r="AD30" s="13">
        <v>1.6</v>
      </c>
      <c r="AE30" s="13">
        <v>0.2</v>
      </c>
      <c r="AF30" s="13">
        <v>-2.7</v>
      </c>
    </row>
    <row r="31" spans="1:32" x14ac:dyDescent="0.25">
      <c r="A31" s="10">
        <v>18</v>
      </c>
      <c r="B31" s="17">
        <v>-4.9000000000000004</v>
      </c>
      <c r="C31" s="17">
        <v>-10.3</v>
      </c>
      <c r="D31" s="17">
        <v>-3.8</v>
      </c>
      <c r="E31" s="17">
        <v>-13</v>
      </c>
      <c r="F31" s="17">
        <v>-18.5</v>
      </c>
      <c r="G31" s="17">
        <v>-22.3</v>
      </c>
      <c r="H31" s="17">
        <v>-18.2</v>
      </c>
      <c r="I31" s="17">
        <v>-19.7</v>
      </c>
      <c r="J31" s="17">
        <v>-20.5</v>
      </c>
      <c r="K31" s="15">
        <v>-20.100000000000001</v>
      </c>
      <c r="L31" s="15">
        <v>-18.100000000000001</v>
      </c>
      <c r="M31" s="15">
        <v>-16.399999999999999</v>
      </c>
      <c r="N31" s="15">
        <v>-13</v>
      </c>
      <c r="O31" s="15">
        <v>-11.3</v>
      </c>
      <c r="P31" s="15">
        <v>-9</v>
      </c>
      <c r="Q31" s="15">
        <v>-7.9</v>
      </c>
      <c r="R31" s="13">
        <v>-4.8</v>
      </c>
      <c r="S31" s="13">
        <v>-3.8</v>
      </c>
      <c r="T31" s="13">
        <v>-3.4</v>
      </c>
      <c r="U31" s="13">
        <v>-1.6</v>
      </c>
      <c r="V31" s="13">
        <v>-4.5</v>
      </c>
      <c r="W31" s="13">
        <v>-7.4</v>
      </c>
      <c r="X31" s="13">
        <v>-7.1</v>
      </c>
      <c r="Y31" s="13">
        <v>-3.5</v>
      </c>
      <c r="Z31" s="13">
        <v>-2</v>
      </c>
      <c r="AA31" s="13">
        <v>-7.4</v>
      </c>
      <c r="AB31" s="13">
        <v>-7.5</v>
      </c>
      <c r="AC31" s="13">
        <v>-3.3</v>
      </c>
      <c r="AD31" s="13">
        <v>1.2</v>
      </c>
      <c r="AE31" s="13">
        <v>-0.3</v>
      </c>
      <c r="AF31" s="13">
        <v>-4.3</v>
      </c>
    </row>
    <row r="32" spans="1:32" x14ac:dyDescent="0.25">
      <c r="A32" s="10">
        <v>20</v>
      </c>
      <c r="B32" s="17">
        <v>-7.3</v>
      </c>
      <c r="C32" s="17">
        <v>-12.5</v>
      </c>
      <c r="D32" s="17">
        <v>-3.3</v>
      </c>
      <c r="E32" s="17">
        <v>-17.2</v>
      </c>
      <c r="F32" s="17">
        <v>-22.9</v>
      </c>
      <c r="G32" s="17">
        <v>-23.7</v>
      </c>
      <c r="H32" s="17">
        <v>-18.600000000000001</v>
      </c>
      <c r="I32" s="17">
        <v>-20.5</v>
      </c>
      <c r="J32" s="17">
        <v>-23</v>
      </c>
      <c r="K32" s="15">
        <v>-21.6</v>
      </c>
      <c r="L32" s="15">
        <v>-19.399999999999999</v>
      </c>
      <c r="M32" s="15">
        <v>-17.7</v>
      </c>
      <c r="N32" s="15">
        <v>-14.5</v>
      </c>
      <c r="O32" s="15">
        <v>-14.8</v>
      </c>
      <c r="P32" s="15">
        <v>-10.199999999999999</v>
      </c>
      <c r="Q32" s="15">
        <v>-7</v>
      </c>
      <c r="R32" s="13">
        <v>-5.5</v>
      </c>
      <c r="S32" s="13">
        <v>-3.4</v>
      </c>
      <c r="T32" s="13">
        <v>-4.3</v>
      </c>
      <c r="U32" s="13">
        <v>-2.8</v>
      </c>
      <c r="V32" s="13">
        <v>-5.5</v>
      </c>
      <c r="W32" s="13">
        <v>-10.1</v>
      </c>
      <c r="X32" s="13">
        <v>-10.8</v>
      </c>
      <c r="Y32" s="13">
        <v>-7.3</v>
      </c>
      <c r="Z32" s="13">
        <v>-3.3</v>
      </c>
      <c r="AA32" s="13">
        <v>-8.1</v>
      </c>
      <c r="AB32" s="13">
        <v>-10.4</v>
      </c>
      <c r="AC32" s="13">
        <v>-5.3</v>
      </c>
      <c r="AD32" s="13">
        <v>0.7</v>
      </c>
      <c r="AE32" s="13">
        <v>-3.2</v>
      </c>
      <c r="AF32" s="13">
        <v>-6.1</v>
      </c>
    </row>
    <row r="33" spans="1:32" x14ac:dyDescent="0.25">
      <c r="A33" s="10">
        <v>22</v>
      </c>
      <c r="B33" s="17">
        <v>-7.9</v>
      </c>
      <c r="C33" s="17">
        <v>-13</v>
      </c>
      <c r="D33" s="17">
        <v>-2.4</v>
      </c>
      <c r="E33" s="17">
        <v>-21.2</v>
      </c>
      <c r="F33" s="17">
        <v>-25</v>
      </c>
      <c r="G33" s="17">
        <v>-24.2</v>
      </c>
      <c r="H33" s="17">
        <v>-19</v>
      </c>
      <c r="I33" s="17">
        <v>-21.7</v>
      </c>
      <c r="J33" s="17">
        <v>-25.9</v>
      </c>
      <c r="K33" s="15">
        <v>-23</v>
      </c>
      <c r="L33" s="15">
        <v>-20.5</v>
      </c>
      <c r="M33" s="15">
        <v>-18.5</v>
      </c>
      <c r="N33" s="15">
        <v>-16.899999999999999</v>
      </c>
      <c r="O33" s="15">
        <v>-16.3</v>
      </c>
      <c r="P33" s="15">
        <v>-10.1</v>
      </c>
      <c r="Q33" s="15">
        <v>-6.9</v>
      </c>
      <c r="R33" s="13">
        <v>-5.9</v>
      </c>
      <c r="S33" s="13">
        <v>-3.9</v>
      </c>
      <c r="T33" s="13">
        <v>-5.2</v>
      </c>
      <c r="U33" s="13">
        <v>-3.7</v>
      </c>
      <c r="V33" s="13">
        <v>-5.4</v>
      </c>
      <c r="W33" s="13">
        <v>-11.1</v>
      </c>
      <c r="X33" s="13">
        <v>-14.3</v>
      </c>
      <c r="Y33" s="13">
        <v>-9.9</v>
      </c>
      <c r="Z33" s="13">
        <v>-5.5</v>
      </c>
      <c r="AA33" s="13">
        <v>-9</v>
      </c>
      <c r="AB33" s="13">
        <v>-11</v>
      </c>
      <c r="AC33" s="13">
        <v>-5.6</v>
      </c>
      <c r="AD33" s="13">
        <v>1.1000000000000001</v>
      </c>
      <c r="AE33" s="13">
        <v>-4.4000000000000004</v>
      </c>
      <c r="AF33" s="13">
        <v>-6.9</v>
      </c>
    </row>
    <row r="34" spans="1:32" x14ac:dyDescent="0.25">
      <c r="A34" s="10">
        <v>24</v>
      </c>
      <c r="B34" s="17">
        <v>-9.4</v>
      </c>
      <c r="C34" s="17">
        <v>-13.6</v>
      </c>
      <c r="D34" s="17">
        <v>-2.4</v>
      </c>
      <c r="E34" s="17">
        <v>-24</v>
      </c>
      <c r="F34" s="17">
        <v>-27.5</v>
      </c>
      <c r="G34" s="17">
        <v>-23.5</v>
      </c>
      <c r="H34" s="17">
        <v>-19.600000000000001</v>
      </c>
      <c r="I34" s="17">
        <v>-23.9</v>
      </c>
      <c r="J34" s="17">
        <v>-26.8</v>
      </c>
      <c r="K34" s="15">
        <v>-24.7</v>
      </c>
      <c r="L34" s="15">
        <v>-21.3</v>
      </c>
      <c r="M34" s="15">
        <v>-18.2</v>
      </c>
      <c r="N34" s="15">
        <v>-17.899999999999999</v>
      </c>
      <c r="O34" s="15">
        <v>-18.5</v>
      </c>
      <c r="P34" s="15">
        <v>-10.199999999999999</v>
      </c>
      <c r="Q34" s="15">
        <v>-6.9</v>
      </c>
      <c r="R34" s="13">
        <v>-6.7</v>
      </c>
      <c r="S34" s="13">
        <v>-4.7</v>
      </c>
      <c r="T34" s="13">
        <v>-5.5</v>
      </c>
      <c r="U34" s="13">
        <v>-3.7</v>
      </c>
      <c r="V34" s="13">
        <v>-5.7</v>
      </c>
      <c r="W34" s="13">
        <v>-11.7</v>
      </c>
      <c r="X34" s="13">
        <v>-12.9</v>
      </c>
      <c r="Y34" s="13">
        <v>-10.1</v>
      </c>
      <c r="Z34" s="13">
        <v>-7.2</v>
      </c>
      <c r="AA34" s="13">
        <v>-9.4</v>
      </c>
      <c r="AB34" s="13">
        <v>-11.4</v>
      </c>
      <c r="AC34" s="13">
        <v>-7.2</v>
      </c>
      <c r="AD34" s="13">
        <v>1.5</v>
      </c>
      <c r="AE34" s="13">
        <v>-5.4</v>
      </c>
      <c r="AF34" s="13">
        <v>-8.3000000000000007</v>
      </c>
    </row>
    <row r="35" spans="1:32" x14ac:dyDescent="0.25">
      <c r="A35" s="10">
        <v>2</v>
      </c>
      <c r="B35" s="17">
        <v>-10.9</v>
      </c>
      <c r="C35" s="17">
        <v>-13.8</v>
      </c>
      <c r="D35" s="17">
        <v>-2.2999999999999998</v>
      </c>
      <c r="E35" s="17">
        <v>-25.7</v>
      </c>
      <c r="F35" s="17">
        <v>-28.1</v>
      </c>
      <c r="G35" s="17">
        <v>-22.5</v>
      </c>
      <c r="H35" s="17">
        <v>-20.100000000000001</v>
      </c>
      <c r="I35" s="17">
        <v>-26.6</v>
      </c>
      <c r="J35" s="17">
        <v>-28.5</v>
      </c>
      <c r="K35" s="15">
        <v>-25.7</v>
      </c>
      <c r="L35" s="15">
        <v>-21.7</v>
      </c>
      <c r="M35" s="15">
        <v>-17.7</v>
      </c>
      <c r="N35" s="15">
        <v>-20.100000000000001</v>
      </c>
      <c r="O35" s="15">
        <v>-19.399999999999999</v>
      </c>
      <c r="P35" s="15">
        <v>-10.9</v>
      </c>
      <c r="Q35" s="15">
        <v>-6.6</v>
      </c>
      <c r="R35" s="13">
        <v>-7.7</v>
      </c>
      <c r="S35" s="13">
        <v>-5</v>
      </c>
      <c r="T35" s="13">
        <v>-5.7</v>
      </c>
      <c r="U35" s="13">
        <v>-3.8</v>
      </c>
      <c r="V35" s="13">
        <v>-4.8</v>
      </c>
      <c r="W35" s="13">
        <v>-12.9</v>
      </c>
      <c r="X35" s="13">
        <v>-13.1</v>
      </c>
      <c r="Y35" s="13">
        <v>-9</v>
      </c>
      <c r="Z35" s="13">
        <v>-10.7</v>
      </c>
      <c r="AA35" s="13">
        <v>-9</v>
      </c>
      <c r="AB35" s="13">
        <v>-12.4</v>
      </c>
      <c r="AC35" s="13">
        <v>-8</v>
      </c>
      <c r="AD35" s="13">
        <v>-1</v>
      </c>
      <c r="AE35" s="13">
        <v>-6.1</v>
      </c>
      <c r="AF35" s="13">
        <v>-10.7</v>
      </c>
    </row>
    <row r="36" spans="1:32" ht="30" x14ac:dyDescent="0.25">
      <c r="A36" s="11" t="s">
        <v>2</v>
      </c>
      <c r="B36" s="15">
        <f>(B24+B25+B26+B27+B28+B29+B30+B31+B32+B33+B34+B35)/12</f>
        <v>-4.75</v>
      </c>
      <c r="C36" s="15">
        <f t="shared" ref="C36:J36" si="2">(C24+C25+C26+C27+C28+C29+C30+C31+C32+C33+C34+C35)/12</f>
        <v>-12.491666666666667</v>
      </c>
      <c r="D36" s="15">
        <f t="shared" si="2"/>
        <v>-6.1750000000000007</v>
      </c>
      <c r="E36" s="15">
        <f t="shared" si="2"/>
        <v>-11.458333333333334</v>
      </c>
      <c r="F36" s="15">
        <f t="shared" si="2"/>
        <v>-24.825000000000003</v>
      </c>
      <c r="G36" s="15">
        <f t="shared" si="2"/>
        <v>-25.324999999999999</v>
      </c>
      <c r="H36" s="15">
        <f t="shared" si="2"/>
        <v>-19.183333333333334</v>
      </c>
      <c r="I36" s="15">
        <f t="shared" si="2"/>
        <v>-22.258333333333336</v>
      </c>
      <c r="J36" s="15">
        <f t="shared" si="2"/>
        <v>-26.408333333333335</v>
      </c>
      <c r="K36" s="15">
        <f>(K24+K25+K26+K27+K28+K29+K30+K31+K32+K33+K34+K35)/12</f>
        <v>-23.875</v>
      </c>
      <c r="L36" s="15">
        <f t="shared" ref="L36:AF36" si="3">(L24+L25+L26+L27+L28+L29+L30+L31+L32+L33+L34+L35)/12</f>
        <v>-20.599999999999998</v>
      </c>
      <c r="M36" s="15">
        <f t="shared" si="3"/>
        <v>-18.05</v>
      </c>
      <c r="N36" s="15">
        <f t="shared" si="3"/>
        <v>-14.966666666666669</v>
      </c>
      <c r="O36" s="15">
        <f t="shared" si="3"/>
        <v>-15.308333333333335</v>
      </c>
      <c r="P36" s="15">
        <f t="shared" si="3"/>
        <v>-12.583333333333334</v>
      </c>
      <c r="Q36" s="15">
        <f t="shared" si="3"/>
        <v>-9.1833333333333353</v>
      </c>
      <c r="R36" s="15">
        <f t="shared" si="3"/>
        <v>-4.8250000000000002</v>
      </c>
      <c r="S36" s="15">
        <f t="shared" si="3"/>
        <v>-5.9249999999999998</v>
      </c>
      <c r="T36" s="15">
        <f t="shared" si="3"/>
        <v>-4.2583333333333337</v>
      </c>
      <c r="U36" s="15">
        <f t="shared" si="3"/>
        <v>-3.0083333333333333</v>
      </c>
      <c r="V36" s="15">
        <f t="shared" si="3"/>
        <v>-3.9416666666666664</v>
      </c>
      <c r="W36" s="15">
        <f t="shared" si="3"/>
        <v>-7.4166666666666679</v>
      </c>
      <c r="X36" s="15">
        <f t="shared" si="3"/>
        <v>-9.8583333333333325</v>
      </c>
      <c r="Y36" s="15">
        <f t="shared" si="3"/>
        <v>-7.8000000000000007</v>
      </c>
      <c r="Z36" s="15">
        <f t="shared" si="3"/>
        <v>-6.4833333333333334</v>
      </c>
      <c r="AA36" s="15">
        <f t="shared" si="3"/>
        <v>-9.4250000000000025</v>
      </c>
      <c r="AB36" s="15">
        <f t="shared" si="3"/>
        <v>-9.1250000000000018</v>
      </c>
      <c r="AC36" s="15">
        <f t="shared" si="3"/>
        <v>-6.7249999999999988</v>
      </c>
      <c r="AD36" s="15">
        <f t="shared" si="3"/>
        <v>-1.1333333333333333</v>
      </c>
      <c r="AE36" s="15">
        <f t="shared" si="3"/>
        <v>-2.0583333333333336</v>
      </c>
      <c r="AF36" s="15">
        <f t="shared" si="3"/>
        <v>-4.8416666666666677</v>
      </c>
    </row>
  </sheetData>
  <mergeCells count="2">
    <mergeCell ref="B2:AF2"/>
    <mergeCell ref="B22:AF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70" zoomScaleNormal="70" workbookViewId="0">
      <pane xSplit="1" topLeftCell="B1" activePane="topRight" state="frozen"/>
      <selection pane="topRight" activeCell="AI29" sqref="AI29"/>
    </sheetView>
  </sheetViews>
  <sheetFormatPr defaultRowHeight="15" x14ac:dyDescent="0.25"/>
  <cols>
    <col min="1" max="1" width="24.7109375" style="9" customWidth="1"/>
    <col min="2" max="31" width="9.140625" style="9"/>
    <col min="32" max="32" width="0" style="9" hidden="1" customWidth="1"/>
    <col min="33" max="16384" width="9.140625" style="9"/>
  </cols>
  <sheetData>
    <row r="1" spans="1:32" x14ac:dyDescent="0.25">
      <c r="A1" s="4" t="s">
        <v>8</v>
      </c>
      <c r="B1" s="9" t="s">
        <v>3</v>
      </c>
    </row>
    <row r="2" spans="1:32" x14ac:dyDescent="0.25">
      <c r="B2" s="131" t="s">
        <v>10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19">
        <v>-14.2</v>
      </c>
      <c r="C4" s="15">
        <v>-13.6</v>
      </c>
      <c r="D4" s="19">
        <v>-15.1</v>
      </c>
      <c r="E4" s="19">
        <v>-4.8</v>
      </c>
      <c r="F4" s="19">
        <v>2.5</v>
      </c>
      <c r="G4" s="19">
        <v>2</v>
      </c>
      <c r="H4" s="15">
        <v>-6.3</v>
      </c>
      <c r="I4" s="19">
        <v>-9.1</v>
      </c>
      <c r="J4" s="19">
        <v>-18.3</v>
      </c>
      <c r="K4" s="19">
        <v>-15.3</v>
      </c>
      <c r="L4" s="20">
        <v>-4.5999999999999996</v>
      </c>
      <c r="M4" s="15">
        <v>-3</v>
      </c>
      <c r="N4" s="15">
        <v>-3</v>
      </c>
      <c r="O4" s="19">
        <v>-2.1</v>
      </c>
      <c r="P4" s="15">
        <v>1</v>
      </c>
      <c r="Q4" s="15">
        <v>6</v>
      </c>
      <c r="R4" s="19">
        <v>-5.2</v>
      </c>
      <c r="S4" s="19">
        <v>-8</v>
      </c>
      <c r="T4" s="20">
        <v>0.2</v>
      </c>
      <c r="U4" s="20">
        <v>0.5</v>
      </c>
      <c r="V4" s="19">
        <v>-10</v>
      </c>
      <c r="W4" s="20">
        <v>-12</v>
      </c>
      <c r="X4" s="21">
        <v>-10.199999999999999</v>
      </c>
      <c r="Y4" s="20">
        <v>-9.8000000000000007</v>
      </c>
      <c r="Z4" s="20">
        <v>-1.1000000000000001</v>
      </c>
      <c r="AA4" s="19">
        <v>-2</v>
      </c>
      <c r="AB4" s="19">
        <v>0</v>
      </c>
      <c r="AC4" s="19">
        <v>3</v>
      </c>
      <c r="AD4" s="19">
        <v>0.3</v>
      </c>
      <c r="AE4" s="22">
        <v>-3.4</v>
      </c>
      <c r="AF4" s="22"/>
    </row>
    <row r="5" spans="1:32" x14ac:dyDescent="0.25">
      <c r="A5" s="10">
        <v>6</v>
      </c>
      <c r="B5" s="19">
        <v>-14</v>
      </c>
      <c r="C5" s="15">
        <v>-13.6</v>
      </c>
      <c r="D5" s="19">
        <v>-14.5</v>
      </c>
      <c r="E5" s="19">
        <v>-4.3</v>
      </c>
      <c r="F5" s="19">
        <v>2.5</v>
      </c>
      <c r="G5" s="19">
        <v>0</v>
      </c>
      <c r="H5" s="15">
        <v>-6.1</v>
      </c>
      <c r="I5" s="19">
        <v>-8.4</v>
      </c>
      <c r="J5" s="19">
        <v>-17.2</v>
      </c>
      <c r="K5" s="19">
        <v>-15.4</v>
      </c>
      <c r="L5" s="20">
        <v>-4.5999999999999996</v>
      </c>
      <c r="M5" s="15">
        <v>-3</v>
      </c>
      <c r="N5" s="15">
        <v>-3</v>
      </c>
      <c r="O5" s="19">
        <v>-1.8</v>
      </c>
      <c r="P5" s="15">
        <v>1.8</v>
      </c>
      <c r="Q5" s="15">
        <v>6.2</v>
      </c>
      <c r="R5" s="19">
        <v>-5.2</v>
      </c>
      <c r="S5" s="19">
        <v>-7.2</v>
      </c>
      <c r="T5" s="20">
        <v>0.5</v>
      </c>
      <c r="U5" s="20">
        <v>0.5</v>
      </c>
      <c r="V5" s="19">
        <v>-9.8000000000000007</v>
      </c>
      <c r="W5" s="20">
        <v>-12</v>
      </c>
      <c r="X5" s="21">
        <v>-10.5</v>
      </c>
      <c r="Y5" s="20">
        <v>-11.8</v>
      </c>
      <c r="Z5" s="20">
        <v>-1.1000000000000001</v>
      </c>
      <c r="AA5" s="19">
        <v>-1.9</v>
      </c>
      <c r="AB5" s="19">
        <v>0</v>
      </c>
      <c r="AC5" s="19">
        <v>3.1</v>
      </c>
      <c r="AD5" s="19">
        <v>0.8</v>
      </c>
      <c r="AE5" s="22">
        <v>-3.3</v>
      </c>
      <c r="AF5" s="22"/>
    </row>
    <row r="6" spans="1:32" x14ac:dyDescent="0.25">
      <c r="A6" s="10">
        <v>8</v>
      </c>
      <c r="B6" s="19">
        <v>-10.3</v>
      </c>
      <c r="C6" s="15">
        <v>-10.6</v>
      </c>
      <c r="D6" s="19">
        <v>-8.6999999999999993</v>
      </c>
      <c r="E6" s="19">
        <v>-2.6</v>
      </c>
      <c r="F6" s="19">
        <v>2.5</v>
      </c>
      <c r="G6" s="19">
        <v>-1</v>
      </c>
      <c r="H6" s="15">
        <v>-5.5</v>
      </c>
      <c r="I6" s="19">
        <v>-8</v>
      </c>
      <c r="J6" s="19">
        <v>-14.5</v>
      </c>
      <c r="K6" s="19">
        <v>-10</v>
      </c>
      <c r="L6" s="20">
        <v>-1</v>
      </c>
      <c r="M6" s="15">
        <v>0.4</v>
      </c>
      <c r="N6" s="15">
        <v>0.4</v>
      </c>
      <c r="O6" s="19">
        <v>-1</v>
      </c>
      <c r="P6" s="15">
        <v>2.7</v>
      </c>
      <c r="Q6" s="15">
        <v>6.2</v>
      </c>
      <c r="R6" s="19">
        <v>-4.8</v>
      </c>
      <c r="S6" s="19">
        <v>-4.2</v>
      </c>
      <c r="T6" s="20">
        <v>2</v>
      </c>
      <c r="U6" s="20">
        <v>2.2000000000000002</v>
      </c>
      <c r="V6" s="19">
        <v>-10</v>
      </c>
      <c r="W6" s="20">
        <v>-10</v>
      </c>
      <c r="X6" s="21">
        <v>-10.6</v>
      </c>
      <c r="Y6" s="20">
        <v>-8.1999999999999993</v>
      </c>
      <c r="Z6" s="20">
        <v>-1.1000000000000001</v>
      </c>
      <c r="AA6" s="19">
        <v>2</v>
      </c>
      <c r="AB6" s="19">
        <v>1</v>
      </c>
      <c r="AC6" s="19">
        <v>4.2</v>
      </c>
      <c r="AD6" s="19">
        <v>1.4</v>
      </c>
      <c r="AE6" s="22">
        <v>-3.3</v>
      </c>
      <c r="AF6" s="22"/>
    </row>
    <row r="7" spans="1:32" x14ac:dyDescent="0.25">
      <c r="A7" s="10">
        <v>10</v>
      </c>
      <c r="B7" s="19">
        <v>-2.4</v>
      </c>
      <c r="C7" s="15">
        <v>-2</v>
      </c>
      <c r="D7" s="19">
        <v>-3</v>
      </c>
      <c r="E7" s="19">
        <v>-1.5</v>
      </c>
      <c r="F7" s="19">
        <v>4.5</v>
      </c>
      <c r="G7" s="19">
        <v>-1.1000000000000001</v>
      </c>
      <c r="H7" s="15">
        <v>-4.9000000000000004</v>
      </c>
      <c r="I7" s="19">
        <v>-5.4</v>
      </c>
      <c r="J7" s="19">
        <v>-11.7</v>
      </c>
      <c r="K7" s="19">
        <v>-4.2</v>
      </c>
      <c r="L7" s="20">
        <v>1</v>
      </c>
      <c r="M7" s="15">
        <v>7.2</v>
      </c>
      <c r="N7" s="15">
        <v>7.2</v>
      </c>
      <c r="O7" s="19">
        <v>6.3</v>
      </c>
      <c r="P7" s="15">
        <v>5.5</v>
      </c>
      <c r="Q7" s="15">
        <v>6.9</v>
      </c>
      <c r="R7" s="19">
        <v>-3.3</v>
      </c>
      <c r="S7" s="19">
        <v>0.5</v>
      </c>
      <c r="T7" s="20">
        <v>2.5</v>
      </c>
      <c r="U7" s="20">
        <v>4</v>
      </c>
      <c r="V7" s="19">
        <v>-7.3</v>
      </c>
      <c r="W7" s="20">
        <v>-6.9</v>
      </c>
      <c r="X7" s="21">
        <v>-7.9</v>
      </c>
      <c r="Y7" s="20">
        <v>-6</v>
      </c>
      <c r="Z7" s="20">
        <v>3</v>
      </c>
      <c r="AA7" s="19">
        <v>6.7</v>
      </c>
      <c r="AB7" s="19">
        <v>4.5</v>
      </c>
      <c r="AC7" s="19">
        <v>6</v>
      </c>
      <c r="AD7" s="19">
        <v>2.5</v>
      </c>
      <c r="AE7" s="22">
        <v>-1.4</v>
      </c>
      <c r="AF7" s="22"/>
    </row>
    <row r="8" spans="1:32" x14ac:dyDescent="0.25">
      <c r="A8" s="10">
        <v>12</v>
      </c>
      <c r="B8" s="19">
        <v>-2.2999999999999998</v>
      </c>
      <c r="C8" s="15">
        <v>-1.7</v>
      </c>
      <c r="D8" s="19">
        <v>-1</v>
      </c>
      <c r="E8" s="19">
        <v>0</v>
      </c>
      <c r="F8" s="19">
        <v>5.0999999999999996</v>
      </c>
      <c r="G8" s="19">
        <v>-1</v>
      </c>
      <c r="H8" s="15">
        <v>-3</v>
      </c>
      <c r="I8" s="19">
        <v>-4.2</v>
      </c>
      <c r="J8" s="19">
        <v>-10.199999999999999</v>
      </c>
      <c r="K8" s="19">
        <v>-4.2</v>
      </c>
      <c r="L8" s="20">
        <v>3.9</v>
      </c>
      <c r="M8" s="15">
        <v>8.3000000000000007</v>
      </c>
      <c r="N8" s="15">
        <v>8.3000000000000007</v>
      </c>
      <c r="O8" s="19">
        <v>8.3000000000000007</v>
      </c>
      <c r="P8" s="15">
        <v>9</v>
      </c>
      <c r="Q8" s="15">
        <v>7.4</v>
      </c>
      <c r="R8" s="19">
        <v>-2.7</v>
      </c>
      <c r="S8" s="19">
        <v>0.2</v>
      </c>
      <c r="T8" s="20">
        <v>3</v>
      </c>
      <c r="U8" s="20">
        <v>5.5</v>
      </c>
      <c r="V8" s="19">
        <v>-5.7</v>
      </c>
      <c r="W8" s="20">
        <v>-5.5</v>
      </c>
      <c r="X8" s="21">
        <v>-4.3</v>
      </c>
      <c r="Y8" s="20">
        <v>-3</v>
      </c>
      <c r="Z8" s="20">
        <v>7</v>
      </c>
      <c r="AA8" s="19">
        <v>8.3000000000000007</v>
      </c>
      <c r="AB8" s="19">
        <v>3.1</v>
      </c>
      <c r="AC8" s="19">
        <v>4.9000000000000004</v>
      </c>
      <c r="AD8" s="19">
        <v>1.9</v>
      </c>
      <c r="AE8" s="22">
        <v>1.3</v>
      </c>
      <c r="AF8" s="22"/>
    </row>
    <row r="9" spans="1:32" x14ac:dyDescent="0.25">
      <c r="A9" s="10">
        <v>14</v>
      </c>
      <c r="B9" s="19">
        <v>-2.1</v>
      </c>
      <c r="C9" s="15">
        <v>-1</v>
      </c>
      <c r="D9" s="19">
        <v>0.7</v>
      </c>
      <c r="E9" s="19">
        <v>0</v>
      </c>
      <c r="F9" s="19">
        <v>3.8</v>
      </c>
      <c r="G9" s="19">
        <v>-0.1</v>
      </c>
      <c r="H9" s="15">
        <v>1.6</v>
      </c>
      <c r="I9" s="19">
        <v>-2.4</v>
      </c>
      <c r="J9" s="19">
        <v>-7.8</v>
      </c>
      <c r="K9" s="19">
        <v>-1</v>
      </c>
      <c r="L9" s="20">
        <v>6</v>
      </c>
      <c r="M9" s="15">
        <v>11.6</v>
      </c>
      <c r="N9" s="15">
        <v>11.6</v>
      </c>
      <c r="O9" s="19">
        <v>10.1</v>
      </c>
      <c r="P9" s="15">
        <v>7</v>
      </c>
      <c r="Q9" s="15">
        <v>8</v>
      </c>
      <c r="R9" s="19">
        <v>-2.6</v>
      </c>
      <c r="S9" s="19">
        <v>4.5999999999999996</v>
      </c>
      <c r="T9" s="20">
        <v>3</v>
      </c>
      <c r="U9" s="20">
        <v>5.5</v>
      </c>
      <c r="V9" s="19">
        <v>-5</v>
      </c>
      <c r="W9" s="20">
        <v>-5.0999999999999996</v>
      </c>
      <c r="X9" s="21">
        <v>-4.4000000000000004</v>
      </c>
      <c r="Y9" s="20">
        <v>0</v>
      </c>
      <c r="Z9" s="20">
        <v>7</v>
      </c>
      <c r="AA9" s="19">
        <v>10</v>
      </c>
      <c r="AB9" s="19">
        <v>3.8</v>
      </c>
      <c r="AC9" s="19">
        <v>3.3</v>
      </c>
      <c r="AD9" s="19">
        <v>1.6</v>
      </c>
      <c r="AE9" s="22">
        <v>3</v>
      </c>
      <c r="AF9" s="22"/>
    </row>
    <row r="10" spans="1:32" x14ac:dyDescent="0.25">
      <c r="A10" s="10">
        <v>16</v>
      </c>
      <c r="B10" s="19">
        <v>-1</v>
      </c>
      <c r="C10" s="15">
        <v>-1.3</v>
      </c>
      <c r="D10" s="19">
        <v>0.1</v>
      </c>
      <c r="E10" s="19">
        <v>2.2000000000000002</v>
      </c>
      <c r="F10" s="19">
        <v>3</v>
      </c>
      <c r="G10" s="19">
        <v>-2.6</v>
      </c>
      <c r="H10" s="15">
        <v>-0.8</v>
      </c>
      <c r="I10" s="19">
        <v>-2.8</v>
      </c>
      <c r="J10" s="19">
        <v>-6.9</v>
      </c>
      <c r="K10" s="19">
        <v>-2</v>
      </c>
      <c r="L10" s="20">
        <v>5.9</v>
      </c>
      <c r="M10" s="15">
        <v>11.4</v>
      </c>
      <c r="N10" s="15">
        <v>11.4</v>
      </c>
      <c r="O10" s="19">
        <v>10.199999999999999</v>
      </c>
      <c r="P10" s="15">
        <v>6</v>
      </c>
      <c r="Q10" s="15">
        <v>6.5</v>
      </c>
      <c r="R10" s="19">
        <v>-1.4</v>
      </c>
      <c r="S10" s="19">
        <v>2.9</v>
      </c>
      <c r="T10" s="20">
        <v>3.5</v>
      </c>
      <c r="U10" s="20">
        <v>2.2999999999999998</v>
      </c>
      <c r="V10" s="19">
        <v>-7.8</v>
      </c>
      <c r="W10" s="20">
        <v>-5.6</v>
      </c>
      <c r="X10" s="21">
        <v>-3.7</v>
      </c>
      <c r="Y10" s="20">
        <v>2.8</v>
      </c>
      <c r="Z10" s="20">
        <v>7</v>
      </c>
      <c r="AA10" s="19">
        <v>8.1999999999999993</v>
      </c>
      <c r="AB10" s="19">
        <v>5.0999999999999996</v>
      </c>
      <c r="AC10" s="19">
        <v>2.2000000000000002</v>
      </c>
      <c r="AD10" s="19">
        <v>0.6</v>
      </c>
      <c r="AE10" s="22">
        <v>4</v>
      </c>
      <c r="AF10" s="22"/>
    </row>
    <row r="11" spans="1:32" x14ac:dyDescent="0.25">
      <c r="A11" s="10">
        <v>18</v>
      </c>
      <c r="B11" s="19">
        <v>-5.2</v>
      </c>
      <c r="C11" s="15">
        <v>-1.6</v>
      </c>
      <c r="D11" s="19">
        <v>-3.2</v>
      </c>
      <c r="E11" s="19">
        <v>2.6</v>
      </c>
      <c r="F11" s="19">
        <v>3</v>
      </c>
      <c r="G11" s="19">
        <v>-4.3</v>
      </c>
      <c r="H11" s="15">
        <v>-3</v>
      </c>
      <c r="I11" s="19">
        <v>-5.6</v>
      </c>
      <c r="J11" s="19">
        <v>-7.6</v>
      </c>
      <c r="K11" s="19">
        <v>-3.3</v>
      </c>
      <c r="L11" s="20">
        <v>5.5</v>
      </c>
      <c r="M11" s="15">
        <v>5.3</v>
      </c>
      <c r="N11" s="15">
        <v>5.3</v>
      </c>
      <c r="O11" s="19">
        <v>8.5</v>
      </c>
      <c r="P11" s="15">
        <v>4</v>
      </c>
      <c r="Q11" s="15">
        <v>2</v>
      </c>
      <c r="R11" s="19">
        <v>-3.7</v>
      </c>
      <c r="S11" s="19">
        <v>0.9</v>
      </c>
      <c r="T11" s="20">
        <v>3</v>
      </c>
      <c r="U11" s="20">
        <v>-0.4</v>
      </c>
      <c r="V11" s="19">
        <v>-9</v>
      </c>
      <c r="W11" s="20">
        <v>-7.6</v>
      </c>
      <c r="X11" s="21">
        <v>-4.2</v>
      </c>
      <c r="Y11" s="20">
        <v>2</v>
      </c>
      <c r="Z11" s="20">
        <v>4</v>
      </c>
      <c r="AA11" s="19">
        <v>7.2</v>
      </c>
      <c r="AB11" s="19">
        <v>5.2</v>
      </c>
      <c r="AC11" s="19">
        <v>0.7</v>
      </c>
      <c r="AD11" s="19">
        <v>0</v>
      </c>
      <c r="AE11" s="22">
        <v>2.1</v>
      </c>
      <c r="AF11" s="22"/>
    </row>
    <row r="12" spans="1:32" x14ac:dyDescent="0.25">
      <c r="A12" s="10">
        <v>20</v>
      </c>
      <c r="B12" s="19">
        <v>-8.3000000000000007</v>
      </c>
      <c r="C12" s="15">
        <v>-6.7</v>
      </c>
      <c r="D12" s="19">
        <v>-6.3</v>
      </c>
      <c r="E12" s="15">
        <v>2.4</v>
      </c>
      <c r="F12" s="19">
        <v>5</v>
      </c>
      <c r="G12" s="19">
        <v>-5.4</v>
      </c>
      <c r="H12" s="15">
        <v>-7.4</v>
      </c>
      <c r="I12" s="19">
        <v>-10.9</v>
      </c>
      <c r="J12" s="19">
        <v>-11.2</v>
      </c>
      <c r="K12" s="19">
        <v>-4</v>
      </c>
      <c r="L12" s="20">
        <v>1.2</v>
      </c>
      <c r="M12" s="15">
        <v>2</v>
      </c>
      <c r="N12" s="15">
        <v>2</v>
      </c>
      <c r="O12" s="19">
        <v>4.8</v>
      </c>
      <c r="P12" s="15">
        <v>4.5</v>
      </c>
      <c r="Q12" s="15">
        <v>-1</v>
      </c>
      <c r="R12" s="19">
        <v>-5.4</v>
      </c>
      <c r="S12" s="19">
        <v>-1.5</v>
      </c>
      <c r="T12" s="20">
        <v>0.7</v>
      </c>
      <c r="U12" s="20">
        <v>-2</v>
      </c>
      <c r="V12" s="19">
        <v>-11</v>
      </c>
      <c r="W12" s="20">
        <v>-8.6</v>
      </c>
      <c r="X12" s="21">
        <v>-7.2</v>
      </c>
      <c r="Y12" s="20">
        <v>-1.1000000000000001</v>
      </c>
      <c r="Z12" s="20">
        <v>1.7</v>
      </c>
      <c r="AA12" s="19">
        <v>-1</v>
      </c>
      <c r="AB12" s="19">
        <v>3.6</v>
      </c>
      <c r="AC12" s="19">
        <v>0.4</v>
      </c>
      <c r="AD12" s="19">
        <v>-1.7</v>
      </c>
      <c r="AE12" s="22">
        <v>0</v>
      </c>
      <c r="AF12" s="22"/>
    </row>
    <row r="13" spans="1:32" x14ac:dyDescent="0.25">
      <c r="A13" s="10">
        <v>22</v>
      </c>
      <c r="B13" s="19">
        <v>-8.3000000000000007</v>
      </c>
      <c r="C13" s="15">
        <v>-8</v>
      </c>
      <c r="D13" s="19">
        <v>-6.7</v>
      </c>
      <c r="E13" s="15">
        <v>3.5</v>
      </c>
      <c r="F13" s="19">
        <v>3</v>
      </c>
      <c r="G13" s="19">
        <v>-6</v>
      </c>
      <c r="H13" s="15">
        <v>-9.9</v>
      </c>
      <c r="I13" s="19">
        <v>-13</v>
      </c>
      <c r="J13" s="19">
        <v>-12.7</v>
      </c>
      <c r="K13" s="19">
        <v>-3.8</v>
      </c>
      <c r="L13" s="20">
        <v>1</v>
      </c>
      <c r="M13" s="15">
        <v>1</v>
      </c>
      <c r="N13" s="15">
        <v>1</v>
      </c>
      <c r="O13" s="19">
        <v>3</v>
      </c>
      <c r="P13" s="15">
        <v>4.5999999999999996</v>
      </c>
      <c r="Q13" s="15">
        <v>-1</v>
      </c>
      <c r="R13" s="19">
        <v>-6</v>
      </c>
      <c r="S13" s="19">
        <v>-2</v>
      </c>
      <c r="T13" s="20">
        <v>0</v>
      </c>
      <c r="U13" s="20">
        <v>-4.5999999999999996</v>
      </c>
      <c r="V13" s="19">
        <v>-11</v>
      </c>
      <c r="W13" s="20">
        <v>-9</v>
      </c>
      <c r="X13" s="21">
        <v>-9.1</v>
      </c>
      <c r="Y13" s="20">
        <v>-2.7</v>
      </c>
      <c r="Z13" s="20">
        <v>1</v>
      </c>
      <c r="AA13" s="19">
        <v>-1</v>
      </c>
      <c r="AB13" s="19">
        <v>3.5</v>
      </c>
      <c r="AC13" s="19">
        <v>0</v>
      </c>
      <c r="AD13" s="19">
        <v>-2.2000000000000002</v>
      </c>
      <c r="AE13" s="22">
        <v>-2</v>
      </c>
      <c r="AF13" s="22"/>
    </row>
    <row r="14" spans="1:32" x14ac:dyDescent="0.25">
      <c r="A14" s="10">
        <v>24</v>
      </c>
      <c r="B14" s="19">
        <v>-12</v>
      </c>
      <c r="C14" s="15">
        <v>-10.9</v>
      </c>
      <c r="D14" s="19">
        <v>-4.9000000000000004</v>
      </c>
      <c r="E14" s="15">
        <v>3</v>
      </c>
      <c r="F14" s="19">
        <v>2</v>
      </c>
      <c r="G14" s="19">
        <v>-6</v>
      </c>
      <c r="H14" s="15">
        <v>-10.1</v>
      </c>
      <c r="I14" s="19">
        <v>-14.6</v>
      </c>
      <c r="J14" s="19">
        <v>-13.6</v>
      </c>
      <c r="K14" s="19">
        <v>-3.8</v>
      </c>
      <c r="L14" s="20">
        <v>-1</v>
      </c>
      <c r="M14" s="15">
        <v>0.4</v>
      </c>
      <c r="N14" s="15">
        <v>0.4</v>
      </c>
      <c r="O14" s="19">
        <v>3.2</v>
      </c>
      <c r="P14" s="15">
        <v>6.2</v>
      </c>
      <c r="Q14" s="15">
        <v>-1</v>
      </c>
      <c r="R14" s="19">
        <v>-6.4</v>
      </c>
      <c r="S14" s="19">
        <v>-2.1</v>
      </c>
      <c r="T14" s="20">
        <v>0</v>
      </c>
      <c r="U14" s="20">
        <v>-7.5</v>
      </c>
      <c r="V14" s="19">
        <v>-11</v>
      </c>
      <c r="W14" s="20">
        <v>-9.1999999999999993</v>
      </c>
      <c r="X14" s="21">
        <v>-10.5</v>
      </c>
      <c r="Y14" s="20">
        <v>-3.5</v>
      </c>
      <c r="Z14" s="20">
        <v>0</v>
      </c>
      <c r="AA14" s="19">
        <v>-2</v>
      </c>
      <c r="AB14" s="19">
        <v>3.7</v>
      </c>
      <c r="AC14" s="19">
        <v>-0.2</v>
      </c>
      <c r="AD14" s="19">
        <v>-2.8</v>
      </c>
      <c r="AE14" s="22">
        <v>-3.2</v>
      </c>
      <c r="AF14" s="22"/>
    </row>
    <row r="15" spans="1:32" x14ac:dyDescent="0.25">
      <c r="A15" s="10">
        <v>2</v>
      </c>
      <c r="B15" s="19">
        <v>-13</v>
      </c>
      <c r="C15" s="15">
        <v>-11.3</v>
      </c>
      <c r="D15" s="19">
        <v>-5.0999999999999996</v>
      </c>
      <c r="E15" s="19">
        <v>3.2</v>
      </c>
      <c r="F15" s="19">
        <v>2</v>
      </c>
      <c r="G15" s="19">
        <v>-6</v>
      </c>
      <c r="H15" s="15">
        <v>-6</v>
      </c>
      <c r="I15" s="19">
        <v>-15.8</v>
      </c>
      <c r="J15" s="19">
        <v>-13.7</v>
      </c>
      <c r="K15" s="19">
        <v>-4.7</v>
      </c>
      <c r="L15" s="20">
        <v>-1</v>
      </c>
      <c r="M15" s="15">
        <v>-1.2</v>
      </c>
      <c r="N15" s="15">
        <v>-1.2</v>
      </c>
      <c r="O15" s="19">
        <v>1.3</v>
      </c>
      <c r="P15" s="15">
        <v>7.2</v>
      </c>
      <c r="Q15" s="15">
        <v>-3.4</v>
      </c>
      <c r="R15" s="19">
        <v>-4.5999999999999996</v>
      </c>
      <c r="S15" s="19">
        <v>0.4</v>
      </c>
      <c r="T15" s="20">
        <v>0.3</v>
      </c>
      <c r="U15" s="20">
        <v>-8.1999999999999993</v>
      </c>
      <c r="V15" s="19">
        <v>-12.5</v>
      </c>
      <c r="W15" s="20">
        <v>-9.6</v>
      </c>
      <c r="X15" s="21">
        <v>-11</v>
      </c>
      <c r="Y15" s="20">
        <v>-1.8</v>
      </c>
      <c r="Z15" s="20">
        <v>-0.7</v>
      </c>
      <c r="AA15" s="19">
        <v>-2</v>
      </c>
      <c r="AB15" s="19">
        <v>3</v>
      </c>
      <c r="AC15" s="19">
        <v>0.6</v>
      </c>
      <c r="AD15" s="19">
        <v>-2.6</v>
      </c>
      <c r="AE15" s="22">
        <v>-3.1</v>
      </c>
      <c r="AF15" s="22"/>
    </row>
    <row r="16" spans="1:32" ht="30" x14ac:dyDescent="0.25">
      <c r="A16" s="11" t="s">
        <v>2</v>
      </c>
      <c r="B16" s="15">
        <f>(B4+B5+B6+B7+B8+B9+B10+B11+B12+B13+B14+B15)/12</f>
        <v>-7.7583333333333329</v>
      </c>
      <c r="C16" s="15">
        <f t="shared" ref="C16:O16" si="0">(C4+C5+C6+C7+C8+C9+C10+C11+C12+C13+C14+C15)/12</f>
        <v>-6.8583333333333334</v>
      </c>
      <c r="D16" s="15">
        <f t="shared" si="0"/>
        <v>-5.6416666666666657</v>
      </c>
      <c r="E16" s="15">
        <f t="shared" si="0"/>
        <v>0.30833333333333335</v>
      </c>
      <c r="F16" s="15">
        <f t="shared" si="0"/>
        <v>3.2416666666666671</v>
      </c>
      <c r="G16" s="15">
        <f t="shared" si="0"/>
        <v>-2.625</v>
      </c>
      <c r="H16" s="15">
        <f t="shared" si="0"/>
        <v>-5.1166666666666663</v>
      </c>
      <c r="I16" s="15">
        <f t="shared" si="0"/>
        <v>-8.35</v>
      </c>
      <c r="J16" s="15">
        <f t="shared" si="0"/>
        <v>-12.116666666666667</v>
      </c>
      <c r="K16" s="15">
        <f t="shared" si="0"/>
        <v>-5.9750000000000005</v>
      </c>
      <c r="L16" s="15">
        <f t="shared" si="0"/>
        <v>1.0250000000000001</v>
      </c>
      <c r="M16" s="15">
        <f t="shared" si="0"/>
        <v>3.3666666666666658</v>
      </c>
      <c r="N16" s="15">
        <f t="shared" si="0"/>
        <v>3.3666666666666658</v>
      </c>
      <c r="O16" s="15">
        <f t="shared" si="0"/>
        <v>4.2333333333333334</v>
      </c>
      <c r="P16" s="15">
        <f>(P4+P5+P6+P7+P8+P9+P10+P11+P12+P13+P14+P15)/12</f>
        <v>4.9583333333333339</v>
      </c>
      <c r="Q16" s="15">
        <f>(Q4+Q5+Q6+Q7+Q8+Q9+Q10+Q11+Q12+Q13+Q14+Q15)/12</f>
        <v>3.5666666666666664</v>
      </c>
      <c r="R16" s="15">
        <f>(R4+R5+R6+R7+R8+R9+R10+R11+R12+R13+R14+R15)/12</f>
        <v>-4.2749999999999995</v>
      </c>
      <c r="S16" s="15">
        <f t="shared" ref="S16:AF16" si="1">(S4+S5+S6+S7+S8+S9+S10+S11+S12+S13+S14+S15)/12</f>
        <v>-1.2916666666666665</v>
      </c>
      <c r="T16" s="15">
        <f t="shared" si="1"/>
        <v>1.5583333333333333</v>
      </c>
      <c r="U16" s="15">
        <f t="shared" si="1"/>
        <v>-0.18333333333333313</v>
      </c>
      <c r="V16" s="15">
        <f t="shared" si="1"/>
        <v>-9.1749999999999989</v>
      </c>
      <c r="W16" s="15">
        <f t="shared" si="1"/>
        <v>-8.4249999999999989</v>
      </c>
      <c r="X16" s="15">
        <f t="shared" si="1"/>
        <v>-7.8</v>
      </c>
      <c r="Y16" s="15">
        <f t="shared" si="1"/>
        <v>-3.5916666666666668</v>
      </c>
      <c r="Z16" s="15">
        <f t="shared" si="1"/>
        <v>2.2250000000000001</v>
      </c>
      <c r="AA16" s="15">
        <f t="shared" si="1"/>
        <v>2.7083333333333335</v>
      </c>
      <c r="AB16" s="15">
        <f t="shared" si="1"/>
        <v>3.0416666666666665</v>
      </c>
      <c r="AC16" s="15">
        <f t="shared" si="1"/>
        <v>2.35</v>
      </c>
      <c r="AD16" s="15">
        <f t="shared" si="1"/>
        <v>-1.6666666666666718E-2</v>
      </c>
      <c r="AE16" s="15">
        <f t="shared" si="1"/>
        <v>-0.77499999999999991</v>
      </c>
      <c r="AF16" s="15">
        <f t="shared" si="1"/>
        <v>0</v>
      </c>
    </row>
    <row r="21" spans="1:32" x14ac:dyDescent="0.25">
      <c r="A21" s="4" t="s">
        <v>7</v>
      </c>
      <c r="B21" s="9" t="s">
        <v>1</v>
      </c>
    </row>
    <row r="22" spans="1:32" x14ac:dyDescent="0.25">
      <c r="B22" s="131" t="s">
        <v>10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-12.1</v>
      </c>
      <c r="C24" s="17">
        <v>-11.2</v>
      </c>
      <c r="D24" s="17">
        <v>-12.3</v>
      </c>
      <c r="E24" s="17">
        <v>-4.8</v>
      </c>
      <c r="F24" s="17">
        <v>3.2</v>
      </c>
      <c r="G24" s="17">
        <v>2.2000000000000002</v>
      </c>
      <c r="H24" s="17">
        <v>-5.8</v>
      </c>
      <c r="I24" s="17">
        <v>-11</v>
      </c>
      <c r="J24" s="17">
        <v>-17.3</v>
      </c>
      <c r="K24" s="15">
        <v>-16.100000000000001</v>
      </c>
      <c r="L24" s="15">
        <v>-2.5</v>
      </c>
      <c r="M24" s="15">
        <v>0.1</v>
      </c>
      <c r="N24" s="15">
        <v>0.8</v>
      </c>
      <c r="O24" s="15">
        <v>1.5</v>
      </c>
      <c r="P24" s="15">
        <v>1.8</v>
      </c>
      <c r="Q24" s="15">
        <v>6.2</v>
      </c>
      <c r="R24" s="13">
        <v>-4.0999999999999996</v>
      </c>
      <c r="S24" s="13">
        <v>-6.6</v>
      </c>
      <c r="T24" s="13">
        <v>0.7</v>
      </c>
      <c r="U24" s="13">
        <v>0.6</v>
      </c>
      <c r="V24" s="13">
        <v>-9.9</v>
      </c>
      <c r="W24" s="13">
        <v>-13.3</v>
      </c>
      <c r="X24" s="13">
        <v>-10</v>
      </c>
      <c r="Y24" s="13">
        <v>-12.9</v>
      </c>
      <c r="Z24" s="13">
        <v>-3.3</v>
      </c>
      <c r="AA24" s="13">
        <v>-2</v>
      </c>
      <c r="AB24" s="13">
        <v>-1.3</v>
      </c>
      <c r="AC24" s="13">
        <v>3.6</v>
      </c>
      <c r="AD24" s="13">
        <v>0.9</v>
      </c>
      <c r="AE24" s="13">
        <v>-4.4000000000000004</v>
      </c>
      <c r="AF24" s="13"/>
    </row>
    <row r="25" spans="1:32" x14ac:dyDescent="0.25">
      <c r="A25" s="10">
        <v>6</v>
      </c>
      <c r="B25" s="17">
        <v>-12.4</v>
      </c>
      <c r="C25" s="17">
        <v>-12.1</v>
      </c>
      <c r="D25" s="17">
        <v>-13.7</v>
      </c>
      <c r="E25" s="17">
        <v>-3.9</v>
      </c>
      <c r="F25" s="17">
        <v>2.8</v>
      </c>
      <c r="G25" s="17">
        <v>1.8</v>
      </c>
      <c r="H25" s="17">
        <v>-5.7</v>
      </c>
      <c r="I25" s="17">
        <v>-10.1</v>
      </c>
      <c r="J25" s="17">
        <v>-18.399999999999999</v>
      </c>
      <c r="K25" s="15">
        <v>-15.2</v>
      </c>
      <c r="L25" s="15">
        <v>-2.4</v>
      </c>
      <c r="M25" s="15">
        <v>-0.5</v>
      </c>
      <c r="N25" s="15">
        <v>0.7</v>
      </c>
      <c r="O25" s="15">
        <v>-1.1000000000000001</v>
      </c>
      <c r="P25" s="15">
        <v>2</v>
      </c>
      <c r="Q25" s="15">
        <v>5.0999999999999996</v>
      </c>
      <c r="R25" s="13">
        <v>-5</v>
      </c>
      <c r="S25" s="13">
        <v>-5.8</v>
      </c>
      <c r="T25" s="13">
        <v>1.3</v>
      </c>
      <c r="U25" s="13">
        <v>1.1000000000000001</v>
      </c>
      <c r="V25" s="13">
        <v>-10.199999999999999</v>
      </c>
      <c r="W25" s="13">
        <v>-12.1</v>
      </c>
      <c r="X25" s="13">
        <v>-10.8</v>
      </c>
      <c r="Y25" s="13">
        <v>-11.2</v>
      </c>
      <c r="Z25" s="13">
        <v>-2.5</v>
      </c>
      <c r="AA25" s="13">
        <v>-1.3</v>
      </c>
      <c r="AB25" s="13">
        <v>0</v>
      </c>
      <c r="AC25" s="13">
        <v>3.6</v>
      </c>
      <c r="AD25" s="13">
        <v>1</v>
      </c>
      <c r="AE25" s="13">
        <v>-2</v>
      </c>
      <c r="AF25" s="13"/>
    </row>
    <row r="26" spans="1:32" x14ac:dyDescent="0.25">
      <c r="A26" s="10">
        <v>8</v>
      </c>
      <c r="B26" s="17">
        <v>-10.199999999999999</v>
      </c>
      <c r="C26" s="17">
        <v>-10.4</v>
      </c>
      <c r="D26" s="17">
        <v>-7.2</v>
      </c>
      <c r="E26" s="17">
        <v>-3</v>
      </c>
      <c r="F26" s="17">
        <v>2.5</v>
      </c>
      <c r="G26" s="17">
        <v>0.4</v>
      </c>
      <c r="H26" s="17">
        <v>-4.9000000000000004</v>
      </c>
      <c r="I26" s="17">
        <v>-8.8000000000000007</v>
      </c>
      <c r="J26" s="17">
        <v>-15</v>
      </c>
      <c r="K26" s="15">
        <v>-10.5</v>
      </c>
      <c r="L26" s="15">
        <v>-0.4</v>
      </c>
      <c r="M26" s="15">
        <v>1.5</v>
      </c>
      <c r="N26" s="15">
        <v>4.7</v>
      </c>
      <c r="O26" s="15">
        <v>2.6</v>
      </c>
      <c r="P26" s="15">
        <v>3.4</v>
      </c>
      <c r="Q26" s="15">
        <v>6.8</v>
      </c>
      <c r="R26" s="13">
        <v>-4.9000000000000004</v>
      </c>
      <c r="S26" s="13">
        <v>-4.2</v>
      </c>
      <c r="T26" s="13">
        <v>1.7</v>
      </c>
      <c r="U26" s="13">
        <v>1.9</v>
      </c>
      <c r="V26" s="13">
        <v>-10.4</v>
      </c>
      <c r="W26" s="13">
        <v>-10.1</v>
      </c>
      <c r="X26" s="13">
        <v>-10.4</v>
      </c>
      <c r="Y26" s="13">
        <v>-7.5</v>
      </c>
      <c r="Z26" s="13">
        <v>1.7</v>
      </c>
      <c r="AA26" s="13">
        <v>2.5</v>
      </c>
      <c r="AB26" s="13">
        <v>1.8</v>
      </c>
      <c r="AC26" s="13">
        <v>4</v>
      </c>
      <c r="AD26" s="13">
        <v>2.2999999999999998</v>
      </c>
      <c r="AE26" s="13">
        <v>-1.9</v>
      </c>
      <c r="AF26" s="13"/>
    </row>
    <row r="27" spans="1:32" x14ac:dyDescent="0.25">
      <c r="A27" s="10">
        <v>10</v>
      </c>
      <c r="B27" s="17">
        <v>-6.7</v>
      </c>
      <c r="C27" s="17">
        <v>-5.4</v>
      </c>
      <c r="D27" s="17">
        <v>0.7</v>
      </c>
      <c r="E27" s="17">
        <v>-1.7</v>
      </c>
      <c r="F27" s="17">
        <v>4.4000000000000004</v>
      </c>
      <c r="G27" s="17">
        <v>-0.8</v>
      </c>
      <c r="H27" s="17">
        <v>-3.7</v>
      </c>
      <c r="I27" s="17">
        <v>-5.5</v>
      </c>
      <c r="J27" s="17">
        <v>-12</v>
      </c>
      <c r="K27" s="15">
        <v>-6.5</v>
      </c>
      <c r="L27" s="15">
        <v>2.1</v>
      </c>
      <c r="M27" s="15">
        <v>4.5</v>
      </c>
      <c r="N27" s="15">
        <v>6.7</v>
      </c>
      <c r="O27" s="15">
        <v>5.9</v>
      </c>
      <c r="P27" s="15">
        <v>6.6</v>
      </c>
      <c r="Q27" s="15">
        <v>7.6</v>
      </c>
      <c r="R27" s="13">
        <v>-4.3</v>
      </c>
      <c r="S27" s="13">
        <v>-1.3</v>
      </c>
      <c r="T27" s="13">
        <v>2.6</v>
      </c>
      <c r="U27" s="13">
        <v>3.8</v>
      </c>
      <c r="V27" s="13">
        <v>-9.1</v>
      </c>
      <c r="W27" s="13">
        <v>-9.5</v>
      </c>
      <c r="X27" s="13">
        <v>-8.3000000000000007</v>
      </c>
      <c r="Y27" s="13">
        <v>-5.2</v>
      </c>
      <c r="Z27" s="13">
        <v>4</v>
      </c>
      <c r="AA27" s="13">
        <v>5.9</v>
      </c>
      <c r="AB27" s="13">
        <v>4.4000000000000004</v>
      </c>
      <c r="AC27" s="13">
        <v>5.2</v>
      </c>
      <c r="AD27" s="13">
        <v>3.1</v>
      </c>
      <c r="AE27" s="13">
        <v>-1.2</v>
      </c>
      <c r="AF27" s="13"/>
    </row>
    <row r="28" spans="1:32" x14ac:dyDescent="0.25">
      <c r="A28" s="10">
        <v>12</v>
      </c>
      <c r="B28" s="17">
        <v>-3.7</v>
      </c>
      <c r="C28" s="17">
        <v>-3</v>
      </c>
      <c r="D28" s="17">
        <v>0.3</v>
      </c>
      <c r="E28" s="17">
        <v>-0.2</v>
      </c>
      <c r="F28" s="17">
        <v>5.7</v>
      </c>
      <c r="G28" s="17">
        <v>-0.7</v>
      </c>
      <c r="H28" s="17">
        <v>-2.7</v>
      </c>
      <c r="I28" s="17">
        <v>-4.3</v>
      </c>
      <c r="J28" s="17">
        <v>-9</v>
      </c>
      <c r="K28" s="15">
        <v>-4.5</v>
      </c>
      <c r="L28" s="15">
        <v>4.3</v>
      </c>
      <c r="M28" s="15">
        <v>8</v>
      </c>
      <c r="N28" s="15">
        <v>9.6</v>
      </c>
      <c r="O28" s="15">
        <v>10</v>
      </c>
      <c r="P28" s="15">
        <v>9</v>
      </c>
      <c r="Q28" s="15">
        <v>7.3</v>
      </c>
      <c r="R28" s="13">
        <v>-3.3</v>
      </c>
      <c r="S28" s="13">
        <v>0.4</v>
      </c>
      <c r="T28" s="13">
        <v>4.2</v>
      </c>
      <c r="U28" s="13">
        <v>4.2</v>
      </c>
      <c r="V28" s="13">
        <v>-7.7</v>
      </c>
      <c r="W28" s="13">
        <v>-7.1</v>
      </c>
      <c r="X28" s="13">
        <v>-5.7</v>
      </c>
      <c r="Y28" s="13">
        <v>-3.1</v>
      </c>
      <c r="Z28" s="13">
        <v>5.7</v>
      </c>
      <c r="AA28" s="13">
        <v>6.1</v>
      </c>
      <c r="AB28" s="13">
        <v>6.3</v>
      </c>
      <c r="AC28" s="13">
        <v>5.9</v>
      </c>
      <c r="AD28" s="13">
        <v>2.4</v>
      </c>
      <c r="AE28" s="13">
        <v>-0.5</v>
      </c>
      <c r="AF28" s="13"/>
    </row>
    <row r="29" spans="1:32" x14ac:dyDescent="0.25">
      <c r="A29" s="10">
        <v>14</v>
      </c>
      <c r="B29" s="17">
        <v>-2</v>
      </c>
      <c r="C29" s="17">
        <v>-1.3</v>
      </c>
      <c r="D29" s="17">
        <v>0.9</v>
      </c>
      <c r="E29" s="17">
        <v>0.3</v>
      </c>
      <c r="F29" s="17">
        <v>5.9</v>
      </c>
      <c r="G29" s="17">
        <v>-0.9</v>
      </c>
      <c r="H29" s="17">
        <v>-2.1</v>
      </c>
      <c r="I29" s="17">
        <v>-5.5</v>
      </c>
      <c r="J29" s="17">
        <v>-7.4</v>
      </c>
      <c r="K29" s="15">
        <v>-2.2000000000000002</v>
      </c>
      <c r="L29" s="15">
        <v>5.7</v>
      </c>
      <c r="M29" s="15">
        <v>8.4</v>
      </c>
      <c r="N29" s="15">
        <v>10</v>
      </c>
      <c r="O29" s="15">
        <v>11.1</v>
      </c>
      <c r="P29" s="15">
        <v>9.3000000000000007</v>
      </c>
      <c r="Q29" s="15">
        <v>9.3000000000000007</v>
      </c>
      <c r="R29" s="13">
        <v>-2.8</v>
      </c>
      <c r="S29" s="13">
        <v>0.7</v>
      </c>
      <c r="T29" s="13">
        <v>3.9</v>
      </c>
      <c r="U29" s="13">
        <v>4.3</v>
      </c>
      <c r="V29" s="13">
        <v>-7.4</v>
      </c>
      <c r="W29" s="13">
        <v>-7.6</v>
      </c>
      <c r="X29" s="13">
        <v>-3.5</v>
      </c>
      <c r="Y29" s="13">
        <v>-0.7</v>
      </c>
      <c r="Z29" s="13">
        <v>6.2</v>
      </c>
      <c r="AA29" s="13">
        <v>6.9</v>
      </c>
      <c r="AB29" s="13">
        <v>3.7</v>
      </c>
      <c r="AC29" s="13">
        <v>4.8</v>
      </c>
      <c r="AD29" s="13">
        <v>2.1</v>
      </c>
      <c r="AE29" s="13">
        <v>1.8</v>
      </c>
      <c r="AF29" s="13"/>
    </row>
    <row r="30" spans="1:32" x14ac:dyDescent="0.25">
      <c r="A30" s="10">
        <v>16</v>
      </c>
      <c r="B30" s="17">
        <v>-1.9</v>
      </c>
      <c r="C30" s="17">
        <v>-1</v>
      </c>
      <c r="D30" s="17">
        <v>-0.9</v>
      </c>
      <c r="E30" s="17">
        <v>1.2</v>
      </c>
      <c r="F30" s="17">
        <v>5.4</v>
      </c>
      <c r="G30" s="17">
        <v>-2.2000000000000002</v>
      </c>
      <c r="H30" s="17">
        <v>-2.7</v>
      </c>
      <c r="I30" s="17">
        <v>-6.3</v>
      </c>
      <c r="J30" s="17">
        <v>-6</v>
      </c>
      <c r="K30" s="15">
        <v>-2.5</v>
      </c>
      <c r="L30" s="15">
        <v>4.9000000000000004</v>
      </c>
      <c r="M30" s="15">
        <v>9</v>
      </c>
      <c r="N30" s="15">
        <v>10.4</v>
      </c>
      <c r="O30" s="15">
        <v>9.8000000000000007</v>
      </c>
      <c r="P30" s="15">
        <v>9.6</v>
      </c>
      <c r="Q30" s="15">
        <v>9</v>
      </c>
      <c r="R30" s="13">
        <v>-2.6</v>
      </c>
      <c r="S30" s="13">
        <v>1.5</v>
      </c>
      <c r="T30" s="13">
        <v>2.8</v>
      </c>
      <c r="U30" s="13">
        <v>3.2</v>
      </c>
      <c r="V30" s="13">
        <v>-8.1999999999999993</v>
      </c>
      <c r="W30" s="13">
        <v>-6.5</v>
      </c>
      <c r="X30" s="13">
        <v>-3.3</v>
      </c>
      <c r="Y30" s="13">
        <v>1</v>
      </c>
      <c r="Z30" s="13">
        <v>5.3</v>
      </c>
      <c r="AA30" s="13">
        <v>8.8000000000000007</v>
      </c>
      <c r="AB30" s="13">
        <v>4.0999999999999996</v>
      </c>
      <c r="AC30" s="13">
        <v>3.1</v>
      </c>
      <c r="AD30" s="13">
        <v>1.9</v>
      </c>
      <c r="AE30" s="13">
        <v>1.8</v>
      </c>
      <c r="AF30" s="13"/>
    </row>
    <row r="31" spans="1:32" x14ac:dyDescent="0.25">
      <c r="A31" s="10">
        <v>18</v>
      </c>
      <c r="B31" s="17">
        <v>-2.7</v>
      </c>
      <c r="C31" s="17">
        <v>-1.4</v>
      </c>
      <c r="D31" s="17">
        <v>-2.9</v>
      </c>
      <c r="E31" s="17">
        <v>1.6</v>
      </c>
      <c r="F31" s="17">
        <v>4.5</v>
      </c>
      <c r="G31" s="17">
        <v>-3.7</v>
      </c>
      <c r="H31" s="17">
        <v>-5.2</v>
      </c>
      <c r="I31" s="17">
        <v>-8.1999999999999993</v>
      </c>
      <c r="J31" s="17">
        <v>-6.4</v>
      </c>
      <c r="K31" s="15">
        <v>-2.5</v>
      </c>
      <c r="L31" s="15">
        <v>5.0999999999999996</v>
      </c>
      <c r="M31" s="15">
        <v>7.2</v>
      </c>
      <c r="N31" s="15">
        <v>9</v>
      </c>
      <c r="O31" s="15">
        <v>7.2</v>
      </c>
      <c r="P31" s="15">
        <v>6.7</v>
      </c>
      <c r="Q31" s="15">
        <v>3.3</v>
      </c>
      <c r="R31" s="13">
        <v>-3</v>
      </c>
      <c r="S31" s="13">
        <v>0.8</v>
      </c>
      <c r="T31" s="13">
        <v>2.8</v>
      </c>
      <c r="U31" s="13">
        <v>-0.3</v>
      </c>
      <c r="V31" s="13">
        <v>-9.3000000000000007</v>
      </c>
      <c r="W31" s="13">
        <v>-7.8</v>
      </c>
      <c r="X31" s="13">
        <v>-3</v>
      </c>
      <c r="Y31" s="13">
        <v>1.9</v>
      </c>
      <c r="Z31" s="13">
        <v>3.6</v>
      </c>
      <c r="AA31" s="13">
        <v>7.1</v>
      </c>
      <c r="AB31" s="13">
        <v>6.1</v>
      </c>
      <c r="AC31" s="13">
        <v>2</v>
      </c>
      <c r="AD31" s="13">
        <v>0</v>
      </c>
      <c r="AE31" s="13">
        <v>2.2000000000000002</v>
      </c>
      <c r="AF31" s="13"/>
    </row>
    <row r="32" spans="1:32" x14ac:dyDescent="0.25">
      <c r="A32" s="10">
        <v>20</v>
      </c>
      <c r="B32" s="17">
        <v>-6.7</v>
      </c>
      <c r="C32" s="17">
        <v>-3.4</v>
      </c>
      <c r="D32" s="17">
        <v>-5.8</v>
      </c>
      <c r="E32" s="17">
        <v>2.2999999999999998</v>
      </c>
      <c r="F32" s="17">
        <v>4.5999999999999996</v>
      </c>
      <c r="G32" s="17">
        <v>-5</v>
      </c>
      <c r="H32" s="17">
        <v>-5.3</v>
      </c>
      <c r="I32" s="17">
        <v>-10.7</v>
      </c>
      <c r="J32" s="17">
        <v>-10.9</v>
      </c>
      <c r="K32" s="15">
        <v>-3.5</v>
      </c>
      <c r="L32" s="15">
        <v>4</v>
      </c>
      <c r="M32" s="15">
        <v>4.5</v>
      </c>
      <c r="N32" s="15">
        <v>6.7</v>
      </c>
      <c r="O32" s="15">
        <v>6.1</v>
      </c>
      <c r="P32" s="15">
        <v>4.5</v>
      </c>
      <c r="Q32" s="15">
        <v>1.1000000000000001</v>
      </c>
      <c r="R32" s="13">
        <v>-4.5999999999999996</v>
      </c>
      <c r="S32" s="13">
        <v>-0.2</v>
      </c>
      <c r="T32" s="13">
        <v>1.8</v>
      </c>
      <c r="U32" s="13">
        <v>-2</v>
      </c>
      <c r="V32" s="13">
        <v>-10.4</v>
      </c>
      <c r="W32" s="13">
        <v>-8.3000000000000007</v>
      </c>
      <c r="X32" s="13">
        <v>-5.7</v>
      </c>
      <c r="Y32" s="13">
        <v>0</v>
      </c>
      <c r="Z32" s="13">
        <v>1.8</v>
      </c>
      <c r="AA32" s="13">
        <v>2.5</v>
      </c>
      <c r="AB32" s="13">
        <v>5.5</v>
      </c>
      <c r="AC32" s="13">
        <v>1.9</v>
      </c>
      <c r="AD32" s="13">
        <v>-0.7</v>
      </c>
      <c r="AE32" s="13">
        <v>-0.1</v>
      </c>
      <c r="AF32" s="13"/>
    </row>
    <row r="33" spans="1:32" x14ac:dyDescent="0.25">
      <c r="A33" s="10">
        <v>22</v>
      </c>
      <c r="B33" s="17">
        <v>-8.6</v>
      </c>
      <c r="C33" s="17">
        <v>-6.2</v>
      </c>
      <c r="D33" s="17">
        <v>-5.4</v>
      </c>
      <c r="E33" s="17">
        <v>3.8</v>
      </c>
      <c r="F33" s="17">
        <v>3.4</v>
      </c>
      <c r="G33" s="17">
        <v>-5.3</v>
      </c>
      <c r="H33" s="17">
        <v>-6</v>
      </c>
      <c r="I33" s="17">
        <v>-12.5</v>
      </c>
      <c r="J33" s="17">
        <v>-13.1</v>
      </c>
      <c r="K33" s="15">
        <v>-3.4</v>
      </c>
      <c r="L33" s="15">
        <v>4.3</v>
      </c>
      <c r="M33" s="15">
        <v>3.3</v>
      </c>
      <c r="N33" s="15">
        <v>6.4</v>
      </c>
      <c r="O33" s="15">
        <v>4</v>
      </c>
      <c r="P33" s="15">
        <v>4.9000000000000004</v>
      </c>
      <c r="Q33" s="15">
        <v>-0.3</v>
      </c>
      <c r="R33" s="13">
        <v>-6.5</v>
      </c>
      <c r="S33" s="13">
        <v>-0.8</v>
      </c>
      <c r="T33" s="13">
        <v>1.4</v>
      </c>
      <c r="U33" s="13">
        <v>-5.2</v>
      </c>
      <c r="V33" s="13">
        <v>-11.4</v>
      </c>
      <c r="W33" s="13">
        <v>-8.6</v>
      </c>
      <c r="X33" s="13">
        <v>-8.1</v>
      </c>
      <c r="Y33" s="13">
        <v>-1</v>
      </c>
      <c r="Z33" s="13">
        <v>0.8</v>
      </c>
      <c r="AA33" s="13">
        <v>0.7</v>
      </c>
      <c r="AB33" s="13">
        <v>5.2</v>
      </c>
      <c r="AC33" s="13">
        <v>1.6</v>
      </c>
      <c r="AD33" s="13">
        <v>-1.1000000000000001</v>
      </c>
      <c r="AE33" s="13">
        <v>-1.3</v>
      </c>
      <c r="AF33" s="13"/>
    </row>
    <row r="34" spans="1:32" x14ac:dyDescent="0.25">
      <c r="A34" s="10">
        <v>24</v>
      </c>
      <c r="B34" s="17">
        <v>-9</v>
      </c>
      <c r="C34" s="17">
        <v>-9.5</v>
      </c>
      <c r="D34" s="17">
        <v>-5.2</v>
      </c>
      <c r="E34" s="17">
        <v>4.0999999999999996</v>
      </c>
      <c r="F34" s="17">
        <v>3.1</v>
      </c>
      <c r="G34" s="17">
        <v>-5.2</v>
      </c>
      <c r="H34" s="17">
        <v>-9</v>
      </c>
      <c r="I34" s="17">
        <v>-14.4</v>
      </c>
      <c r="J34" s="17">
        <v>-14.5</v>
      </c>
      <c r="K34" s="15">
        <v>-2.4</v>
      </c>
      <c r="L34" s="15">
        <v>2.1</v>
      </c>
      <c r="M34" s="15">
        <v>2.2999999999999998</v>
      </c>
      <c r="N34" s="15">
        <v>4.5999999999999996</v>
      </c>
      <c r="O34" s="15">
        <v>4.5999999999999996</v>
      </c>
      <c r="P34" s="15">
        <v>3.8</v>
      </c>
      <c r="Q34" s="15">
        <v>-1.9</v>
      </c>
      <c r="R34" s="13">
        <v>-7.6</v>
      </c>
      <c r="S34" s="13">
        <v>-0.8</v>
      </c>
      <c r="T34" s="13">
        <v>1.1000000000000001</v>
      </c>
      <c r="U34" s="13">
        <v>-6.6</v>
      </c>
      <c r="V34" s="13">
        <v>-12.1</v>
      </c>
      <c r="W34" s="13">
        <v>-8.9</v>
      </c>
      <c r="X34" s="13">
        <v>-10.9</v>
      </c>
      <c r="Y34" s="13">
        <v>-2.5</v>
      </c>
      <c r="Z34" s="13">
        <v>0.3</v>
      </c>
      <c r="AA34" s="13">
        <v>-1.8</v>
      </c>
      <c r="AB34" s="13">
        <v>5.3</v>
      </c>
      <c r="AC34" s="13">
        <v>1.1000000000000001</v>
      </c>
      <c r="AD34" s="13">
        <v>-2</v>
      </c>
      <c r="AE34" s="13">
        <v>-1.5</v>
      </c>
      <c r="AF34" s="13"/>
    </row>
    <row r="35" spans="1:32" x14ac:dyDescent="0.25">
      <c r="A35" s="10">
        <v>2</v>
      </c>
      <c r="B35" s="17">
        <v>-9.6</v>
      </c>
      <c r="C35" s="17">
        <v>-10.9</v>
      </c>
      <c r="D35" s="17">
        <v>-4.3</v>
      </c>
      <c r="E35" s="17">
        <v>3.7</v>
      </c>
      <c r="F35" s="17">
        <v>2.2000000000000002</v>
      </c>
      <c r="G35" s="17">
        <v>-5.4</v>
      </c>
      <c r="H35" s="17">
        <v>-9.8000000000000007</v>
      </c>
      <c r="I35" s="17">
        <v>-15.7</v>
      </c>
      <c r="J35" s="17">
        <v>-15.3</v>
      </c>
      <c r="K35" s="15">
        <v>-1.9</v>
      </c>
      <c r="L35" s="15">
        <v>0.5</v>
      </c>
      <c r="M35" s="15">
        <v>1.5</v>
      </c>
      <c r="N35" s="15">
        <v>2.7</v>
      </c>
      <c r="O35" s="15">
        <v>3.9</v>
      </c>
      <c r="P35" s="15">
        <v>6.2</v>
      </c>
      <c r="Q35" s="15">
        <v>-3.2</v>
      </c>
      <c r="R35" s="13">
        <v>-7.6</v>
      </c>
      <c r="S35" s="13">
        <v>-0.7</v>
      </c>
      <c r="T35" s="13">
        <v>1.1000000000000001</v>
      </c>
      <c r="U35" s="13">
        <v>-8.3000000000000007</v>
      </c>
      <c r="V35" s="13">
        <v>-12.8</v>
      </c>
      <c r="W35" s="13">
        <v>-9.6</v>
      </c>
      <c r="X35" s="13">
        <v>-12</v>
      </c>
      <c r="Y35" s="13">
        <v>-3.1</v>
      </c>
      <c r="Z35" s="13">
        <v>-0.4</v>
      </c>
      <c r="AA35" s="13">
        <v>-3</v>
      </c>
      <c r="AB35" s="13">
        <v>-3</v>
      </c>
      <c r="AC35" s="13">
        <v>0.9</v>
      </c>
      <c r="AD35" s="13">
        <v>-3.1</v>
      </c>
      <c r="AE35" s="13">
        <v>-2</v>
      </c>
      <c r="AF35" s="13"/>
    </row>
    <row r="36" spans="1:32" ht="30" x14ac:dyDescent="0.25">
      <c r="A36" s="11" t="s">
        <v>2</v>
      </c>
      <c r="B36" s="15">
        <f>(B24+B25+B26+B27+B28+B29+B30+B31+B32+B33+B34+B35)/12</f>
        <v>-7.1333333333333337</v>
      </c>
      <c r="C36" s="15">
        <f t="shared" ref="C36:J36" si="2">(C24+C25+C26+C27+C28+C29+C30+C31+C32+C33+C34+C35)/12</f>
        <v>-6.3166666666666664</v>
      </c>
      <c r="D36" s="15">
        <f t="shared" si="2"/>
        <v>-4.6499999999999995</v>
      </c>
      <c r="E36" s="15">
        <f t="shared" si="2"/>
        <v>0.28333333333333338</v>
      </c>
      <c r="F36" s="15">
        <f t="shared" si="2"/>
        <v>3.9750000000000001</v>
      </c>
      <c r="G36" s="15">
        <f t="shared" si="2"/>
        <v>-2.0666666666666664</v>
      </c>
      <c r="H36" s="15">
        <f t="shared" si="2"/>
        <v>-5.2416666666666663</v>
      </c>
      <c r="I36" s="15">
        <f t="shared" si="2"/>
        <v>-9.4166666666666679</v>
      </c>
      <c r="J36" s="15">
        <f t="shared" si="2"/>
        <v>-12.108333333333334</v>
      </c>
      <c r="K36" s="15">
        <f>(K24+K25+K26+K27+K28+K29+K30+K31+K32+K33+K34+K35)/12</f>
        <v>-5.9333333333333345</v>
      </c>
      <c r="L36" s="15">
        <f t="shared" ref="L36:AF36" si="3">(L24+L25+L26+L27+L28+L29+L30+L31+L32+L33+L34+L35)/12</f>
        <v>2.3083333333333331</v>
      </c>
      <c r="M36" s="15">
        <f t="shared" si="3"/>
        <v>4.1499999999999995</v>
      </c>
      <c r="N36" s="15">
        <f t="shared" si="3"/>
        <v>6.0249999999999995</v>
      </c>
      <c r="O36" s="15">
        <f t="shared" si="3"/>
        <v>5.4666666666666677</v>
      </c>
      <c r="P36" s="15">
        <f t="shared" si="3"/>
        <v>5.6499999999999995</v>
      </c>
      <c r="Q36" s="15">
        <f t="shared" si="3"/>
        <v>4.1916666666666664</v>
      </c>
      <c r="R36" s="15">
        <f t="shared" si="3"/>
        <v>-4.6916666666666673</v>
      </c>
      <c r="S36" s="15">
        <f t="shared" si="3"/>
        <v>-1.4166666666666667</v>
      </c>
      <c r="T36" s="15">
        <f t="shared" si="3"/>
        <v>2.1166666666666667</v>
      </c>
      <c r="U36" s="15">
        <f t="shared" si="3"/>
        <v>-0.27499999999999991</v>
      </c>
      <c r="V36" s="15">
        <f t="shared" si="3"/>
        <v>-9.9083333333333332</v>
      </c>
      <c r="W36" s="15">
        <f t="shared" si="3"/>
        <v>-9.1166666666666654</v>
      </c>
      <c r="X36" s="15">
        <f t="shared" si="3"/>
        <v>-7.6416666666666666</v>
      </c>
      <c r="Y36" s="15">
        <f t="shared" si="3"/>
        <v>-3.6916666666666678</v>
      </c>
      <c r="Z36" s="15">
        <f t="shared" si="3"/>
        <v>1.9333333333333338</v>
      </c>
      <c r="AA36" s="15">
        <f t="shared" si="3"/>
        <v>2.7000000000000006</v>
      </c>
      <c r="AB36" s="15">
        <f t="shared" si="3"/>
        <v>3.1750000000000003</v>
      </c>
      <c r="AC36" s="15">
        <f t="shared" si="3"/>
        <v>3.1416666666666671</v>
      </c>
      <c r="AD36" s="15">
        <f t="shared" si="3"/>
        <v>0.56666666666666676</v>
      </c>
      <c r="AE36" s="15">
        <f t="shared" si="3"/>
        <v>-0.75833333333333319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70" zoomScaleNormal="70" workbookViewId="0">
      <pane xSplit="1" topLeftCell="B1" activePane="topRight" state="frozen"/>
      <selection pane="topRight" activeCell="AG23" sqref="AG23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x14ac:dyDescent="0.25">
      <c r="A1" s="4" t="s">
        <v>8</v>
      </c>
      <c r="B1" s="9" t="s">
        <v>3</v>
      </c>
    </row>
    <row r="2" spans="1:33" x14ac:dyDescent="0.25">
      <c r="B2" s="131" t="s">
        <v>11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-1.5</v>
      </c>
      <c r="C4" s="15">
        <v>-2</v>
      </c>
      <c r="D4" s="19">
        <v>-2.2999999999999998</v>
      </c>
      <c r="E4" s="19">
        <v>-0.1</v>
      </c>
      <c r="F4" s="19">
        <v>6.2</v>
      </c>
      <c r="G4" s="19">
        <v>-1</v>
      </c>
      <c r="H4" s="15">
        <v>-4.5</v>
      </c>
      <c r="I4" s="19">
        <v>-3</v>
      </c>
      <c r="J4" s="19">
        <v>3.8</v>
      </c>
      <c r="K4" s="19">
        <v>6.1</v>
      </c>
      <c r="L4" s="20">
        <v>10.8</v>
      </c>
      <c r="M4" s="15">
        <v>7</v>
      </c>
      <c r="N4" s="15">
        <v>8.9</v>
      </c>
      <c r="O4" s="19">
        <v>8.6999999999999993</v>
      </c>
      <c r="P4" s="19">
        <v>9.4</v>
      </c>
      <c r="Q4" s="15">
        <v>12</v>
      </c>
      <c r="R4" s="19">
        <v>12</v>
      </c>
      <c r="S4" s="19">
        <v>9</v>
      </c>
      <c r="T4" s="20">
        <v>9.6999999999999993</v>
      </c>
      <c r="U4" s="20">
        <v>7.4</v>
      </c>
      <c r="V4" s="19">
        <v>5</v>
      </c>
      <c r="W4" s="20">
        <v>7</v>
      </c>
      <c r="X4" s="21">
        <v>7</v>
      </c>
      <c r="Y4" s="20" t="s">
        <v>12</v>
      </c>
      <c r="Z4" s="20" t="s">
        <v>20</v>
      </c>
      <c r="AA4" s="19">
        <v>12.7</v>
      </c>
      <c r="AB4" s="19">
        <v>14.3</v>
      </c>
      <c r="AC4" s="19">
        <v>14</v>
      </c>
      <c r="AD4" s="19" t="s">
        <v>28</v>
      </c>
      <c r="AE4" s="19" t="s">
        <v>40</v>
      </c>
      <c r="AF4" s="22" t="s">
        <v>49</v>
      </c>
    </row>
    <row r="5" spans="1:33" x14ac:dyDescent="0.25">
      <c r="A5" s="10">
        <v>6</v>
      </c>
      <c r="B5" s="19">
        <v>-1.2</v>
      </c>
      <c r="C5" s="15">
        <v>-2</v>
      </c>
      <c r="D5" s="19">
        <v>-2.1</v>
      </c>
      <c r="E5" s="19">
        <v>-1</v>
      </c>
      <c r="F5" s="19">
        <v>7.1</v>
      </c>
      <c r="G5" s="19">
        <v>-2</v>
      </c>
      <c r="H5" s="15">
        <v>-4.2</v>
      </c>
      <c r="I5" s="19">
        <v>-3</v>
      </c>
      <c r="J5" s="19">
        <v>4.7</v>
      </c>
      <c r="K5" s="19">
        <v>6</v>
      </c>
      <c r="L5" s="20">
        <v>11.3</v>
      </c>
      <c r="M5" s="15">
        <v>7</v>
      </c>
      <c r="N5" s="15">
        <v>9.1999999999999993</v>
      </c>
      <c r="O5" s="19">
        <v>8.9</v>
      </c>
      <c r="P5" s="19">
        <v>9.4</v>
      </c>
      <c r="Q5" s="15">
        <v>12</v>
      </c>
      <c r="R5" s="19">
        <v>12</v>
      </c>
      <c r="S5" s="19">
        <v>9.4</v>
      </c>
      <c r="T5" s="20">
        <v>10.199999999999999</v>
      </c>
      <c r="U5" s="20">
        <v>7.7</v>
      </c>
      <c r="V5" s="19">
        <v>5</v>
      </c>
      <c r="W5" s="20">
        <v>7.5</v>
      </c>
      <c r="X5" s="21">
        <v>7.5</v>
      </c>
      <c r="Y5" s="20" t="s">
        <v>13</v>
      </c>
      <c r="Z5" s="20" t="s">
        <v>20</v>
      </c>
      <c r="AA5" s="19">
        <v>12.7</v>
      </c>
      <c r="AB5" s="19">
        <v>14.3</v>
      </c>
      <c r="AC5" s="19">
        <v>14.8</v>
      </c>
      <c r="AD5" s="19" t="s">
        <v>29</v>
      </c>
      <c r="AE5" s="19" t="s">
        <v>41</v>
      </c>
      <c r="AF5" s="22" t="s">
        <v>13</v>
      </c>
    </row>
    <row r="6" spans="1:33" x14ac:dyDescent="0.25">
      <c r="A6" s="10">
        <v>8</v>
      </c>
      <c r="B6" s="19">
        <v>1.6</v>
      </c>
      <c r="C6" s="15">
        <v>-2</v>
      </c>
      <c r="D6" s="19">
        <v>-0.9</v>
      </c>
      <c r="E6" s="19">
        <v>4</v>
      </c>
      <c r="F6" s="19">
        <v>7.1</v>
      </c>
      <c r="G6" s="19">
        <v>-1.4</v>
      </c>
      <c r="H6" s="15">
        <v>-3.7</v>
      </c>
      <c r="I6" s="19">
        <v>0.8</v>
      </c>
      <c r="J6" s="19">
        <v>6</v>
      </c>
      <c r="K6" s="19">
        <v>11.4</v>
      </c>
      <c r="L6" s="20">
        <v>12.3</v>
      </c>
      <c r="M6" s="15">
        <v>12.1</v>
      </c>
      <c r="N6" s="15">
        <v>10</v>
      </c>
      <c r="O6" s="19">
        <v>13.5</v>
      </c>
      <c r="P6" s="19">
        <v>14.4</v>
      </c>
      <c r="Q6" s="15">
        <v>15</v>
      </c>
      <c r="R6" s="19">
        <v>15</v>
      </c>
      <c r="S6" s="19">
        <v>12.8</v>
      </c>
      <c r="T6" s="20">
        <v>14.3</v>
      </c>
      <c r="U6" s="20">
        <v>8.6</v>
      </c>
      <c r="V6" s="19">
        <v>5.3</v>
      </c>
      <c r="W6" s="20">
        <v>9.8000000000000007</v>
      </c>
      <c r="X6" s="21">
        <v>5.6</v>
      </c>
      <c r="Y6" s="20" t="s">
        <v>14</v>
      </c>
      <c r="Z6" s="20" t="s">
        <v>21</v>
      </c>
      <c r="AA6" s="19">
        <v>17</v>
      </c>
      <c r="AB6" s="19">
        <v>17</v>
      </c>
      <c r="AC6" s="19">
        <v>16.899999999999999</v>
      </c>
      <c r="AD6" s="19" t="s">
        <v>30</v>
      </c>
      <c r="AE6" s="19" t="s">
        <v>42</v>
      </c>
      <c r="AF6" s="22" t="s">
        <v>50</v>
      </c>
    </row>
    <row r="7" spans="1:33" x14ac:dyDescent="0.25">
      <c r="A7" s="10">
        <v>10</v>
      </c>
      <c r="B7" s="19">
        <v>4.5999999999999996</v>
      </c>
      <c r="C7" s="15">
        <v>5.5</v>
      </c>
      <c r="D7" s="19">
        <v>2.5</v>
      </c>
      <c r="E7" s="19">
        <v>5.8</v>
      </c>
      <c r="F7" s="19">
        <v>9</v>
      </c>
      <c r="G7" s="19">
        <v>-1.2</v>
      </c>
      <c r="H7" s="15">
        <v>-2.2000000000000002</v>
      </c>
      <c r="I7" s="19">
        <v>2.6</v>
      </c>
      <c r="J7" s="19">
        <v>9</v>
      </c>
      <c r="K7" s="19">
        <v>14</v>
      </c>
      <c r="L7" s="20">
        <v>14.5</v>
      </c>
      <c r="M7" s="15">
        <v>13.4</v>
      </c>
      <c r="N7" s="15">
        <v>10.4</v>
      </c>
      <c r="O7" s="19">
        <v>18.7</v>
      </c>
      <c r="P7" s="19">
        <v>16</v>
      </c>
      <c r="Q7" s="15">
        <v>18</v>
      </c>
      <c r="R7" s="19">
        <v>18</v>
      </c>
      <c r="S7" s="19">
        <v>15.4</v>
      </c>
      <c r="T7" s="20">
        <v>18</v>
      </c>
      <c r="U7" s="20">
        <v>8.6</v>
      </c>
      <c r="V7" s="19">
        <v>4.8</v>
      </c>
      <c r="W7" s="20">
        <v>13.4</v>
      </c>
      <c r="X7" s="21">
        <v>9</v>
      </c>
      <c r="Y7" s="20" t="s">
        <v>15</v>
      </c>
      <c r="Z7" s="20" t="s">
        <v>22</v>
      </c>
      <c r="AA7" s="19">
        <v>19.399999999999999</v>
      </c>
      <c r="AB7" s="19">
        <v>19.5</v>
      </c>
      <c r="AC7" s="19">
        <v>19.5</v>
      </c>
      <c r="AD7" s="19" t="s">
        <v>31</v>
      </c>
      <c r="AE7" s="19" t="s">
        <v>43</v>
      </c>
      <c r="AF7" s="22" t="s">
        <v>51</v>
      </c>
    </row>
    <row r="8" spans="1:33" x14ac:dyDescent="0.25">
      <c r="A8" s="10">
        <v>12</v>
      </c>
      <c r="B8" s="19">
        <v>5.3</v>
      </c>
      <c r="C8" s="15">
        <v>8.3000000000000007</v>
      </c>
      <c r="D8" s="19">
        <v>2.2000000000000002</v>
      </c>
      <c r="E8" s="19">
        <v>8</v>
      </c>
      <c r="F8" s="19">
        <v>9</v>
      </c>
      <c r="G8" s="19">
        <v>-1.6</v>
      </c>
      <c r="H8" s="15">
        <v>-0.5</v>
      </c>
      <c r="I8" s="19">
        <v>7.3</v>
      </c>
      <c r="J8" s="19">
        <v>9.6</v>
      </c>
      <c r="K8" s="19">
        <v>17</v>
      </c>
      <c r="L8" s="20">
        <v>17.399999999999999</v>
      </c>
      <c r="M8" s="15">
        <v>17.399999999999999</v>
      </c>
      <c r="N8" s="15">
        <v>13.3</v>
      </c>
      <c r="O8" s="19">
        <v>21.8</v>
      </c>
      <c r="P8" s="19">
        <v>16</v>
      </c>
      <c r="Q8" s="15">
        <v>18.600000000000001</v>
      </c>
      <c r="R8" s="19">
        <v>18.600000000000001</v>
      </c>
      <c r="S8" s="19">
        <v>16.7</v>
      </c>
      <c r="T8" s="20">
        <v>20.6</v>
      </c>
      <c r="U8" s="20">
        <v>8.3000000000000007</v>
      </c>
      <c r="V8" s="19">
        <v>5.3</v>
      </c>
      <c r="W8" s="20">
        <v>17.600000000000001</v>
      </c>
      <c r="X8" s="21">
        <v>11</v>
      </c>
      <c r="Y8" s="20" t="s">
        <v>14</v>
      </c>
      <c r="Z8" s="20" t="s">
        <v>22</v>
      </c>
      <c r="AA8" s="19">
        <v>21.7</v>
      </c>
      <c r="AB8" s="19">
        <v>21.1</v>
      </c>
      <c r="AC8" s="19">
        <v>22.5</v>
      </c>
      <c r="AD8" s="19" t="s">
        <v>32</v>
      </c>
      <c r="AE8" s="19" t="s">
        <v>43</v>
      </c>
      <c r="AF8" s="22" t="s">
        <v>52</v>
      </c>
    </row>
    <row r="9" spans="1:33" x14ac:dyDescent="0.25">
      <c r="A9" s="10">
        <v>14</v>
      </c>
      <c r="B9" s="19">
        <v>9.3000000000000007</v>
      </c>
      <c r="C9" s="15">
        <v>10.199999999999999</v>
      </c>
      <c r="D9" s="19">
        <v>5.4</v>
      </c>
      <c r="E9" s="19">
        <v>9</v>
      </c>
      <c r="F9" s="19">
        <v>2</v>
      </c>
      <c r="G9" s="19">
        <v>-2</v>
      </c>
      <c r="H9" s="15">
        <v>2.2999999999999998</v>
      </c>
      <c r="I9" s="19">
        <v>6</v>
      </c>
      <c r="J9" s="19">
        <v>12</v>
      </c>
      <c r="K9" s="19">
        <v>19</v>
      </c>
      <c r="L9" s="20">
        <v>21.4</v>
      </c>
      <c r="M9" s="15">
        <v>22.4</v>
      </c>
      <c r="N9" s="15">
        <v>16.7</v>
      </c>
      <c r="O9" s="19">
        <v>23</v>
      </c>
      <c r="P9" s="19">
        <v>17</v>
      </c>
      <c r="Q9" s="15">
        <v>20.9</v>
      </c>
      <c r="R9" s="19">
        <v>20.9</v>
      </c>
      <c r="S9" s="19">
        <v>21.2</v>
      </c>
      <c r="T9" s="20">
        <v>20.8</v>
      </c>
      <c r="U9" s="20">
        <v>9.1</v>
      </c>
      <c r="V9" s="19">
        <v>6.2</v>
      </c>
      <c r="W9" s="20">
        <v>21.2</v>
      </c>
      <c r="X9" s="21">
        <v>13.8</v>
      </c>
      <c r="Y9" s="20" t="s">
        <v>14</v>
      </c>
      <c r="Z9" s="20" t="s">
        <v>23</v>
      </c>
      <c r="AA9" s="19">
        <v>24.5</v>
      </c>
      <c r="AB9" s="19">
        <v>24.4</v>
      </c>
      <c r="AC9" s="19">
        <v>24.4</v>
      </c>
      <c r="AD9" s="19" t="s">
        <v>33</v>
      </c>
      <c r="AE9" s="19" t="s">
        <v>44</v>
      </c>
      <c r="AF9" s="22" t="s">
        <v>53</v>
      </c>
    </row>
    <row r="10" spans="1:33" x14ac:dyDescent="0.25">
      <c r="A10" s="10">
        <v>16</v>
      </c>
      <c r="B10" s="19">
        <v>9.8000000000000007</v>
      </c>
      <c r="C10" s="15">
        <v>6.8</v>
      </c>
      <c r="D10" s="19">
        <v>4.5</v>
      </c>
      <c r="E10" s="19">
        <v>11</v>
      </c>
      <c r="F10" s="19">
        <v>2</v>
      </c>
      <c r="G10" s="19">
        <v>-2.4</v>
      </c>
      <c r="H10" s="15">
        <v>2.2000000000000002</v>
      </c>
      <c r="I10" s="19">
        <v>5.8</v>
      </c>
      <c r="J10" s="19">
        <v>14</v>
      </c>
      <c r="K10" s="19">
        <v>19</v>
      </c>
      <c r="L10" s="20">
        <v>20.7</v>
      </c>
      <c r="M10" s="15">
        <v>20.7</v>
      </c>
      <c r="N10" s="15">
        <v>19</v>
      </c>
      <c r="O10" s="19">
        <v>23</v>
      </c>
      <c r="P10" s="19">
        <v>19.3</v>
      </c>
      <c r="Q10" s="15">
        <v>20.399999999999999</v>
      </c>
      <c r="R10" s="19">
        <v>20.399999999999999</v>
      </c>
      <c r="S10" s="19">
        <v>17.8</v>
      </c>
      <c r="T10" s="20">
        <v>17</v>
      </c>
      <c r="U10" s="20">
        <v>10</v>
      </c>
      <c r="V10" s="19">
        <v>5.6</v>
      </c>
      <c r="W10" s="20">
        <v>21.1</v>
      </c>
      <c r="X10" s="21">
        <v>15.4</v>
      </c>
      <c r="Y10" s="20" t="s">
        <v>15</v>
      </c>
      <c r="Z10" s="20" t="s">
        <v>23</v>
      </c>
      <c r="AA10" s="19">
        <v>25.7</v>
      </c>
      <c r="AB10" s="19">
        <v>23.9</v>
      </c>
      <c r="AC10" s="19">
        <v>22.7</v>
      </c>
      <c r="AD10" s="19" t="s">
        <v>34</v>
      </c>
      <c r="AE10" s="19" t="s">
        <v>22</v>
      </c>
      <c r="AF10" s="22" t="s">
        <v>54</v>
      </c>
    </row>
    <row r="11" spans="1:33" x14ac:dyDescent="0.25">
      <c r="A11" s="10">
        <v>18</v>
      </c>
      <c r="B11" s="19">
        <v>6.4</v>
      </c>
      <c r="C11" s="15">
        <v>5.6</v>
      </c>
      <c r="D11" s="19">
        <v>5.2</v>
      </c>
      <c r="E11" s="19">
        <v>10.5</v>
      </c>
      <c r="F11" s="19">
        <v>5</v>
      </c>
      <c r="G11" s="19">
        <v>-3.2</v>
      </c>
      <c r="H11" s="15">
        <v>2.2000000000000002</v>
      </c>
      <c r="I11" s="19">
        <v>6.3</v>
      </c>
      <c r="J11" s="19">
        <v>14.8</v>
      </c>
      <c r="K11" s="19">
        <v>19.3</v>
      </c>
      <c r="L11" s="20">
        <v>17</v>
      </c>
      <c r="M11" s="15">
        <v>14.4</v>
      </c>
      <c r="N11" s="15">
        <v>19.399999999999999</v>
      </c>
      <c r="O11" s="19">
        <v>21</v>
      </c>
      <c r="P11" s="19">
        <v>21.6</v>
      </c>
      <c r="Q11" s="15">
        <v>17</v>
      </c>
      <c r="R11" s="19">
        <v>17</v>
      </c>
      <c r="S11" s="19">
        <v>12.3</v>
      </c>
      <c r="T11" s="20">
        <v>14.5</v>
      </c>
      <c r="U11" s="20">
        <v>9</v>
      </c>
      <c r="V11" s="19">
        <v>6.7</v>
      </c>
      <c r="W11" s="20">
        <v>19.3</v>
      </c>
      <c r="X11" s="21">
        <v>13.4</v>
      </c>
      <c r="Y11" s="20" t="s">
        <v>16</v>
      </c>
      <c r="Z11" s="20" t="s">
        <v>24</v>
      </c>
      <c r="AA11" s="19">
        <v>20.7</v>
      </c>
      <c r="AB11" s="19">
        <v>21.9</v>
      </c>
      <c r="AC11" s="19">
        <v>20</v>
      </c>
      <c r="AD11" s="19" t="s">
        <v>35</v>
      </c>
      <c r="AE11" s="19">
        <v>16.600000000000001</v>
      </c>
      <c r="AF11" s="22" t="s">
        <v>55</v>
      </c>
    </row>
    <row r="12" spans="1:33" x14ac:dyDescent="0.25">
      <c r="A12" s="10">
        <v>20</v>
      </c>
      <c r="B12" s="19">
        <v>1</v>
      </c>
      <c r="C12" s="15">
        <v>0.9</v>
      </c>
      <c r="D12" s="19">
        <v>-1.1000000000000001</v>
      </c>
      <c r="E12" s="19">
        <v>6.7</v>
      </c>
      <c r="F12" s="19">
        <v>3</v>
      </c>
      <c r="G12" s="19">
        <v>-4.3</v>
      </c>
      <c r="H12" s="15">
        <v>-3.4</v>
      </c>
      <c r="I12" s="19">
        <v>2.9</v>
      </c>
      <c r="J12" s="19">
        <v>9.3000000000000007</v>
      </c>
      <c r="K12" s="19">
        <v>16.5</v>
      </c>
      <c r="L12" s="20">
        <v>12</v>
      </c>
      <c r="M12" s="15">
        <v>12.1</v>
      </c>
      <c r="N12" s="15">
        <v>12.9</v>
      </c>
      <c r="O12" s="19">
        <v>17.2</v>
      </c>
      <c r="P12" s="19">
        <v>16</v>
      </c>
      <c r="Q12" s="15">
        <v>12.2</v>
      </c>
      <c r="R12" s="19">
        <v>12.2</v>
      </c>
      <c r="S12" s="19">
        <v>12.3</v>
      </c>
      <c r="T12" s="20">
        <v>11.1</v>
      </c>
      <c r="U12" s="20">
        <v>9</v>
      </c>
      <c r="V12" s="19">
        <v>5</v>
      </c>
      <c r="W12" s="20">
        <v>16</v>
      </c>
      <c r="X12" s="21">
        <v>8.9</v>
      </c>
      <c r="Y12" s="20" t="s">
        <v>17</v>
      </c>
      <c r="Z12" s="20" t="s">
        <v>25</v>
      </c>
      <c r="AA12" s="19">
        <v>20.7</v>
      </c>
      <c r="AB12" s="19">
        <v>16.600000000000001</v>
      </c>
      <c r="AC12" s="19">
        <v>17</v>
      </c>
      <c r="AD12" s="19" t="s">
        <v>36</v>
      </c>
      <c r="AE12" s="19" t="s">
        <v>45</v>
      </c>
      <c r="AF12" s="22" t="s">
        <v>56</v>
      </c>
    </row>
    <row r="13" spans="1:33" x14ac:dyDescent="0.25">
      <c r="A13" s="10">
        <v>22</v>
      </c>
      <c r="B13" s="19">
        <v>1</v>
      </c>
      <c r="C13" s="15">
        <v>-0.1</v>
      </c>
      <c r="D13" s="19">
        <v>-2.9</v>
      </c>
      <c r="E13" s="19">
        <v>6</v>
      </c>
      <c r="F13" s="19">
        <v>1.8</v>
      </c>
      <c r="G13" s="19">
        <v>-4.7</v>
      </c>
      <c r="H13" s="15">
        <v>-6</v>
      </c>
      <c r="I13" s="19">
        <v>1.6</v>
      </c>
      <c r="J13" s="19">
        <v>7</v>
      </c>
      <c r="K13" s="19">
        <v>12.3</v>
      </c>
      <c r="L13" s="20">
        <v>11</v>
      </c>
      <c r="M13" s="15">
        <v>9.6999999999999993</v>
      </c>
      <c r="N13" s="15">
        <v>9.1999999999999993</v>
      </c>
      <c r="O13" s="19">
        <v>13.5</v>
      </c>
      <c r="P13" s="19">
        <v>15</v>
      </c>
      <c r="Q13" s="15">
        <v>10.5</v>
      </c>
      <c r="R13" s="19">
        <v>10.5</v>
      </c>
      <c r="S13" s="19">
        <v>11.1</v>
      </c>
      <c r="T13" s="20">
        <v>9.9</v>
      </c>
      <c r="U13" s="20">
        <v>7.2</v>
      </c>
      <c r="V13" s="19">
        <v>5</v>
      </c>
      <c r="W13" s="20">
        <v>15.1</v>
      </c>
      <c r="X13" s="21">
        <v>7.5</v>
      </c>
      <c r="Y13" s="20" t="s">
        <v>18</v>
      </c>
      <c r="Z13" s="20" t="s">
        <v>26</v>
      </c>
      <c r="AA13" s="19">
        <v>14.7</v>
      </c>
      <c r="AB13" s="19">
        <v>14</v>
      </c>
      <c r="AC13" s="19">
        <v>11.8</v>
      </c>
      <c r="AD13" s="19" t="s">
        <v>37</v>
      </c>
      <c r="AE13" s="19" t="s">
        <v>46</v>
      </c>
      <c r="AF13" s="22" t="s">
        <v>57</v>
      </c>
    </row>
    <row r="14" spans="1:33" x14ac:dyDescent="0.25">
      <c r="A14" s="10">
        <v>24</v>
      </c>
      <c r="B14" s="19">
        <v>-2</v>
      </c>
      <c r="C14" s="15">
        <v>-0.2</v>
      </c>
      <c r="D14" s="19">
        <v>-2.6</v>
      </c>
      <c r="E14" s="19">
        <v>5.2</v>
      </c>
      <c r="F14" s="19">
        <v>1</v>
      </c>
      <c r="G14" s="19">
        <v>-4.8</v>
      </c>
      <c r="H14" s="15">
        <v>-8</v>
      </c>
      <c r="I14" s="19">
        <v>0.8</v>
      </c>
      <c r="J14" s="19">
        <v>7</v>
      </c>
      <c r="K14" s="19">
        <v>10.199999999999999</v>
      </c>
      <c r="L14" s="20">
        <v>8.3000000000000007</v>
      </c>
      <c r="M14" s="15">
        <v>8.9</v>
      </c>
      <c r="N14" s="15">
        <v>7.7</v>
      </c>
      <c r="O14" s="19">
        <v>12.7</v>
      </c>
      <c r="P14" s="19">
        <v>12</v>
      </c>
      <c r="Q14" s="15">
        <v>9</v>
      </c>
      <c r="R14" s="19">
        <v>9</v>
      </c>
      <c r="S14" s="19">
        <v>9.3000000000000007</v>
      </c>
      <c r="T14" s="20">
        <v>8.1999999999999993</v>
      </c>
      <c r="U14" s="20">
        <v>7</v>
      </c>
      <c r="V14" s="19">
        <v>2</v>
      </c>
      <c r="W14" s="20">
        <v>12.6</v>
      </c>
      <c r="X14" s="21">
        <v>5.9</v>
      </c>
      <c r="Y14" s="20" t="s">
        <v>18</v>
      </c>
      <c r="Z14" s="20" t="s">
        <v>19</v>
      </c>
      <c r="AA14" s="19">
        <v>13</v>
      </c>
      <c r="AB14" s="19">
        <v>12.9</v>
      </c>
      <c r="AC14" s="19">
        <v>10.9</v>
      </c>
      <c r="AD14" s="19" t="s">
        <v>38</v>
      </c>
      <c r="AE14" s="19" t="s">
        <v>47</v>
      </c>
      <c r="AF14" s="22" t="s">
        <v>58</v>
      </c>
    </row>
    <row r="15" spans="1:33" x14ac:dyDescent="0.25">
      <c r="A15" s="10">
        <v>2</v>
      </c>
      <c r="B15" s="19">
        <v>-2</v>
      </c>
      <c r="C15" s="15">
        <v>-1.7</v>
      </c>
      <c r="D15" s="19">
        <v>-1.01</v>
      </c>
      <c r="E15" s="19">
        <v>8</v>
      </c>
      <c r="F15" s="19">
        <v>1</v>
      </c>
      <c r="G15" s="19">
        <v>-4.8</v>
      </c>
      <c r="H15" s="15">
        <v>-5.7</v>
      </c>
      <c r="I15" s="19">
        <v>2.59</v>
      </c>
      <c r="J15" s="19">
        <v>7.5</v>
      </c>
      <c r="K15" s="19">
        <v>9.8000000000000007</v>
      </c>
      <c r="L15" s="20">
        <v>8</v>
      </c>
      <c r="M15" s="15">
        <v>8</v>
      </c>
      <c r="N15" s="15">
        <v>9.9</v>
      </c>
      <c r="O15" s="19">
        <v>13.3</v>
      </c>
      <c r="P15" s="19">
        <v>13.4</v>
      </c>
      <c r="Q15" s="15">
        <v>9</v>
      </c>
      <c r="R15" s="19">
        <v>9</v>
      </c>
      <c r="S15" s="19">
        <v>10.4</v>
      </c>
      <c r="T15" s="20">
        <v>7.5</v>
      </c>
      <c r="U15" s="20">
        <v>7</v>
      </c>
      <c r="V15" s="19">
        <v>2</v>
      </c>
      <c r="W15" s="20">
        <v>11.6</v>
      </c>
      <c r="X15" s="21">
        <v>7.1</v>
      </c>
      <c r="Y15" s="20" t="s">
        <v>19</v>
      </c>
      <c r="Z15" s="20" t="s">
        <v>27</v>
      </c>
      <c r="AA15" s="19">
        <v>13</v>
      </c>
      <c r="AB15" s="19">
        <v>13.4</v>
      </c>
      <c r="AC15" s="19">
        <v>9.9</v>
      </c>
      <c r="AD15" s="19" t="s">
        <v>39</v>
      </c>
      <c r="AE15" s="19" t="s">
        <v>48</v>
      </c>
      <c r="AF15" s="22" t="s">
        <v>59</v>
      </c>
    </row>
    <row r="16" spans="1:33" ht="30" x14ac:dyDescent="0.25">
      <c r="A16" s="11" t="s">
        <v>2</v>
      </c>
      <c r="B16" s="15">
        <f>(B4+B5+B6+B7+B8+B9+B10+B11+B12+B13+B14+B15)/12</f>
        <v>2.6916666666666669</v>
      </c>
      <c r="C16" s="15">
        <f t="shared" ref="C16:O16" si="0">(C4+C5+C6+C7+C8+C9+C10+C11+C12+C13+C14+C15)/12</f>
        <v>2.4416666666666664</v>
      </c>
      <c r="D16" s="15">
        <f t="shared" si="0"/>
        <v>0.57416666666666671</v>
      </c>
      <c r="E16" s="15">
        <f t="shared" si="0"/>
        <v>6.0916666666666677</v>
      </c>
      <c r="F16" s="15">
        <f t="shared" si="0"/>
        <v>4.5166666666666666</v>
      </c>
      <c r="G16" s="15">
        <f t="shared" si="0"/>
        <v>-2.7833333333333332</v>
      </c>
      <c r="H16" s="15">
        <f t="shared" si="0"/>
        <v>-2.6249999999999996</v>
      </c>
      <c r="I16" s="15">
        <f t="shared" si="0"/>
        <v>2.5575000000000001</v>
      </c>
      <c r="J16" s="15">
        <f t="shared" si="0"/>
        <v>8.7249999999999996</v>
      </c>
      <c r="K16" s="15">
        <f t="shared" si="0"/>
        <v>13.383333333333335</v>
      </c>
      <c r="L16" s="15">
        <f t="shared" si="0"/>
        <v>13.725000000000003</v>
      </c>
      <c r="M16" s="15">
        <f t="shared" si="0"/>
        <v>12.758333333333333</v>
      </c>
      <c r="N16" s="15">
        <f t="shared" si="0"/>
        <v>12.216666666666667</v>
      </c>
      <c r="O16" s="15">
        <f t="shared" si="0"/>
        <v>16.274999999999999</v>
      </c>
      <c r="P16" s="15">
        <f>(P4+P5+P6+P7+P8+P9+P10+P11+P12+P13+P14+P15)/12</f>
        <v>14.958333333333334</v>
      </c>
      <c r="Q16" s="15">
        <f>(Q4+Q5+Q6+Q7+Q8+Q9+Q10+Q11+Q12+Q13+Q14+Q15)/12</f>
        <v>14.549999999999999</v>
      </c>
      <c r="R16" s="15">
        <f>(R4+R5+R6+R7+R8+R9+R10+R11+R12+R13+R14+R15)/12</f>
        <v>14.549999999999999</v>
      </c>
      <c r="S16" s="15">
        <f t="shared" ref="S16:AF16" si="1">(S4+S5+S6+S7+S8+S9+S10+S11+S12+S13+S14+S15)/12</f>
        <v>13.141666666666667</v>
      </c>
      <c r="T16" s="15">
        <f t="shared" si="1"/>
        <v>13.483333333333334</v>
      </c>
      <c r="U16" s="15">
        <f t="shared" si="1"/>
        <v>8.2416666666666689</v>
      </c>
      <c r="V16" s="15">
        <f t="shared" si="1"/>
        <v>4.8250000000000002</v>
      </c>
      <c r="W16" s="15">
        <f t="shared" si="1"/>
        <v>14.349999999999996</v>
      </c>
      <c r="X16" s="15">
        <f t="shared" si="1"/>
        <v>9.3416666666666686</v>
      </c>
      <c r="Y16" s="15">
        <f t="shared" si="1"/>
        <v>11.08333333333333</v>
      </c>
      <c r="Z16" s="15">
        <f t="shared" si="1"/>
        <v>14.58333333333333</v>
      </c>
      <c r="AA16" s="15">
        <f t="shared" si="1"/>
        <v>17.983333333333331</v>
      </c>
      <c r="AB16" s="15">
        <f t="shared" si="1"/>
        <v>17.775000000000002</v>
      </c>
      <c r="AC16" s="15">
        <f t="shared" si="1"/>
        <v>17.033333333333335</v>
      </c>
      <c r="AD16" s="15">
        <f t="shared" si="1"/>
        <v>18.149999999999999</v>
      </c>
      <c r="AE16" s="15">
        <f t="shared" si="1"/>
        <v>11.666666666666664</v>
      </c>
      <c r="AF16" s="15">
        <f t="shared" si="1"/>
        <v>12.066666666666665</v>
      </c>
    </row>
    <row r="21" spans="1:32" x14ac:dyDescent="0.25">
      <c r="A21" s="4" t="s">
        <v>7</v>
      </c>
      <c r="B21" s="9" t="s">
        <v>1</v>
      </c>
    </row>
    <row r="22" spans="1:32" x14ac:dyDescent="0.25">
      <c r="B22" s="131" t="s">
        <v>11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-2.2000000000000002</v>
      </c>
      <c r="C24" s="17">
        <v>-3.6</v>
      </c>
      <c r="D24" s="17">
        <v>-2.8</v>
      </c>
      <c r="E24" s="17">
        <v>-2</v>
      </c>
      <c r="F24" s="17">
        <v>7.4</v>
      </c>
      <c r="G24" s="17">
        <v>-0.2</v>
      </c>
      <c r="H24" s="17">
        <v>-4.5999999999999996</v>
      </c>
      <c r="I24" s="17">
        <v>-7.2</v>
      </c>
      <c r="J24" s="17">
        <v>1.8</v>
      </c>
      <c r="K24" s="15">
        <v>4.2</v>
      </c>
      <c r="L24" s="15">
        <v>8.6999999999999993</v>
      </c>
      <c r="M24" s="15">
        <v>6.5</v>
      </c>
      <c r="N24" s="15">
        <v>10.8</v>
      </c>
      <c r="O24" s="15">
        <v>10.9</v>
      </c>
      <c r="P24" s="15">
        <v>10.6</v>
      </c>
      <c r="Q24" s="15">
        <v>12.7</v>
      </c>
      <c r="R24" s="13">
        <v>10.6</v>
      </c>
      <c r="S24" s="13">
        <v>8.6</v>
      </c>
      <c r="T24" s="13">
        <v>12.3</v>
      </c>
      <c r="U24" s="13">
        <v>9.4</v>
      </c>
      <c r="V24" s="13">
        <v>6.1</v>
      </c>
      <c r="W24" s="13">
        <v>5.7</v>
      </c>
      <c r="X24" s="13">
        <v>6.1</v>
      </c>
      <c r="Y24" s="13">
        <v>9.6</v>
      </c>
      <c r="Z24" s="13">
        <v>10.9</v>
      </c>
      <c r="AA24" s="13">
        <v>12.4</v>
      </c>
      <c r="AB24" s="13">
        <v>13.3</v>
      </c>
      <c r="AC24" s="13">
        <v>13</v>
      </c>
      <c r="AD24" s="13">
        <v>12.7</v>
      </c>
      <c r="AE24" s="13">
        <v>9.6999999999999993</v>
      </c>
      <c r="AF24" s="13">
        <v>5.6</v>
      </c>
    </row>
    <row r="25" spans="1:32" x14ac:dyDescent="0.25">
      <c r="A25" s="10">
        <v>6</v>
      </c>
      <c r="B25" s="17">
        <v>-0.6</v>
      </c>
      <c r="C25" s="17">
        <v>-1.4</v>
      </c>
      <c r="D25" s="17">
        <v>-1.8</v>
      </c>
      <c r="E25" s="17">
        <v>0.3</v>
      </c>
      <c r="F25" s="17">
        <v>6.5</v>
      </c>
      <c r="G25" s="17">
        <v>-0.8</v>
      </c>
      <c r="H25" s="17">
        <v>-4.0999999999999996</v>
      </c>
      <c r="I25" s="17">
        <v>-2.1</v>
      </c>
      <c r="J25" s="17">
        <v>3.6</v>
      </c>
      <c r="K25" s="15">
        <v>6.5</v>
      </c>
      <c r="L25" s="15">
        <v>8.3000000000000007</v>
      </c>
      <c r="M25" s="15">
        <v>7.8</v>
      </c>
      <c r="N25" s="15">
        <v>10.199999999999999</v>
      </c>
      <c r="O25" s="15">
        <v>11.2</v>
      </c>
      <c r="P25" s="15">
        <v>11.6</v>
      </c>
      <c r="Q25" s="15">
        <v>14.4</v>
      </c>
      <c r="R25" s="13">
        <v>11.8</v>
      </c>
      <c r="S25" s="13">
        <v>10.6</v>
      </c>
      <c r="T25" s="13">
        <v>12.4</v>
      </c>
      <c r="U25" s="13">
        <v>9.5</v>
      </c>
      <c r="V25" s="13">
        <v>6.1</v>
      </c>
      <c r="W25" s="13">
        <v>8.1999999999999993</v>
      </c>
      <c r="X25" s="13">
        <v>6.1</v>
      </c>
      <c r="Y25" s="13">
        <v>10.1</v>
      </c>
      <c r="Z25" s="13">
        <v>13.4</v>
      </c>
      <c r="AA25" s="13">
        <v>15.4</v>
      </c>
      <c r="AB25" s="13">
        <v>15.2</v>
      </c>
      <c r="AC25" s="13">
        <v>14</v>
      </c>
      <c r="AD25" s="13">
        <v>16</v>
      </c>
      <c r="AE25" s="13">
        <v>9.1999999999999993</v>
      </c>
      <c r="AF25" s="13">
        <v>8.8000000000000007</v>
      </c>
    </row>
    <row r="26" spans="1:32" x14ac:dyDescent="0.25">
      <c r="A26" s="10">
        <v>8</v>
      </c>
      <c r="B26" s="17">
        <v>2.4</v>
      </c>
      <c r="C26" s="17">
        <v>4.2</v>
      </c>
      <c r="D26" s="17">
        <v>0.5</v>
      </c>
      <c r="E26" s="17">
        <v>3.5</v>
      </c>
      <c r="F26" s="17">
        <v>8.9</v>
      </c>
      <c r="G26" s="17">
        <v>-0.3</v>
      </c>
      <c r="H26" s="17">
        <v>-5</v>
      </c>
      <c r="I26" s="17">
        <v>1.4</v>
      </c>
      <c r="J26" s="17">
        <v>6</v>
      </c>
      <c r="K26" s="15">
        <v>11.3</v>
      </c>
      <c r="L26" s="15">
        <v>13.9</v>
      </c>
      <c r="M26" s="15">
        <v>11.5</v>
      </c>
      <c r="N26" s="15">
        <v>13.4</v>
      </c>
      <c r="O26" s="15">
        <v>13.9</v>
      </c>
      <c r="P26" s="15">
        <v>14.2</v>
      </c>
      <c r="Q26" s="15">
        <v>16.100000000000001</v>
      </c>
      <c r="R26" s="13">
        <v>11.3</v>
      </c>
      <c r="S26" s="13">
        <v>13.2</v>
      </c>
      <c r="T26" s="13">
        <v>13.4</v>
      </c>
      <c r="U26" s="13">
        <v>9.9</v>
      </c>
      <c r="V26" s="13">
        <v>5.9</v>
      </c>
      <c r="W26" s="13">
        <v>10.5</v>
      </c>
      <c r="X26" s="13">
        <v>5.9</v>
      </c>
      <c r="Y26" s="13">
        <v>12.2</v>
      </c>
      <c r="Z26" s="13">
        <v>16.600000000000001</v>
      </c>
      <c r="AA26" s="13">
        <v>18.100000000000001</v>
      </c>
      <c r="AB26" s="13">
        <v>18.100000000000001</v>
      </c>
      <c r="AC26" s="13">
        <v>16</v>
      </c>
      <c r="AD26" s="13">
        <v>18.5</v>
      </c>
      <c r="AE26" s="13">
        <v>10</v>
      </c>
      <c r="AF26" s="13">
        <v>10.7</v>
      </c>
    </row>
    <row r="27" spans="1:32" x14ac:dyDescent="0.25">
      <c r="A27" s="10">
        <v>10</v>
      </c>
      <c r="B27" s="17">
        <v>4.2</v>
      </c>
      <c r="C27" s="17">
        <v>6.8</v>
      </c>
      <c r="D27" s="17">
        <v>1.5</v>
      </c>
      <c r="E27" s="17">
        <v>6.2</v>
      </c>
      <c r="F27" s="17">
        <v>12</v>
      </c>
      <c r="G27" s="17">
        <v>-0.1</v>
      </c>
      <c r="H27" s="17">
        <v>-3.1</v>
      </c>
      <c r="I27" s="17">
        <v>3.7</v>
      </c>
      <c r="J27" s="17">
        <v>8.4</v>
      </c>
      <c r="K27" s="15">
        <v>13.6</v>
      </c>
      <c r="L27" s="15">
        <v>16.600000000000001</v>
      </c>
      <c r="M27" s="15">
        <v>14.4</v>
      </c>
      <c r="N27" s="15">
        <v>15.4</v>
      </c>
      <c r="O27" s="15">
        <v>18.5</v>
      </c>
      <c r="P27" s="15">
        <v>17.600000000000001</v>
      </c>
      <c r="Q27" s="15">
        <v>18.3</v>
      </c>
      <c r="R27" s="13">
        <v>11.9</v>
      </c>
      <c r="S27" s="13">
        <v>15.9</v>
      </c>
      <c r="T27" s="13">
        <v>17.3</v>
      </c>
      <c r="U27" s="13">
        <v>10.8</v>
      </c>
      <c r="V27" s="13">
        <v>6.4</v>
      </c>
      <c r="W27" s="13">
        <v>14.3</v>
      </c>
      <c r="X27" s="13">
        <v>6.4</v>
      </c>
      <c r="Y27" s="13">
        <v>12.6</v>
      </c>
      <c r="Z27" s="13">
        <v>18.8</v>
      </c>
      <c r="AA27" s="13">
        <v>19.5</v>
      </c>
      <c r="AB27" s="13">
        <v>19.7</v>
      </c>
      <c r="AC27" s="13">
        <v>22</v>
      </c>
      <c r="AD27" s="13">
        <v>20.9</v>
      </c>
      <c r="AE27" s="13">
        <v>12.8</v>
      </c>
      <c r="AF27" s="13">
        <v>13.9</v>
      </c>
    </row>
    <row r="28" spans="1:32" x14ac:dyDescent="0.25">
      <c r="A28" s="10">
        <v>12</v>
      </c>
      <c r="B28" s="17">
        <v>5.5</v>
      </c>
      <c r="C28" s="17">
        <v>7.6</v>
      </c>
      <c r="D28" s="17">
        <v>2.1</v>
      </c>
      <c r="E28" s="17">
        <v>8.1999999999999993</v>
      </c>
      <c r="F28" s="17">
        <v>12.5</v>
      </c>
      <c r="G28" s="17">
        <v>-0.2</v>
      </c>
      <c r="H28" s="17">
        <v>-2.2999999999999998</v>
      </c>
      <c r="I28" s="17">
        <v>5.3</v>
      </c>
      <c r="J28" s="17">
        <v>10.3</v>
      </c>
      <c r="K28" s="15">
        <v>16.899999999999999</v>
      </c>
      <c r="L28" s="15">
        <v>19.100000000000001</v>
      </c>
      <c r="M28" s="15">
        <v>16.2</v>
      </c>
      <c r="N28" s="15">
        <v>16.100000000000001</v>
      </c>
      <c r="O28" s="15">
        <v>21.6</v>
      </c>
      <c r="P28" s="15">
        <v>18.8</v>
      </c>
      <c r="Q28" s="15">
        <v>19.600000000000001</v>
      </c>
      <c r="R28" s="13">
        <v>14.4</v>
      </c>
      <c r="S28" s="13">
        <v>17.899999999999999</v>
      </c>
      <c r="T28" s="13">
        <v>21.3</v>
      </c>
      <c r="U28" s="13">
        <v>10.3</v>
      </c>
      <c r="V28" s="13">
        <v>5</v>
      </c>
      <c r="W28" s="13">
        <v>17.3</v>
      </c>
      <c r="X28" s="13">
        <v>5</v>
      </c>
      <c r="Y28" s="13">
        <v>13.7</v>
      </c>
      <c r="Z28" s="13">
        <v>19.5</v>
      </c>
      <c r="AA28" s="13">
        <v>21.3</v>
      </c>
      <c r="AB28" s="13">
        <v>20.7</v>
      </c>
      <c r="AC28" s="13">
        <v>24.8</v>
      </c>
      <c r="AD28" s="13">
        <v>22.2</v>
      </c>
      <c r="AE28" s="13">
        <v>14.8</v>
      </c>
      <c r="AF28" s="13">
        <v>14.7</v>
      </c>
    </row>
    <row r="29" spans="1:32" x14ac:dyDescent="0.25">
      <c r="A29" s="10">
        <v>14</v>
      </c>
      <c r="B29" s="17">
        <v>6.6</v>
      </c>
      <c r="C29" s="17">
        <v>7.4</v>
      </c>
      <c r="D29" s="17">
        <v>2.8</v>
      </c>
      <c r="E29" s="17">
        <v>8.1999999999999993</v>
      </c>
      <c r="F29" s="17">
        <v>6.4</v>
      </c>
      <c r="G29" s="17">
        <v>0</v>
      </c>
      <c r="H29" s="17">
        <v>-1.1000000000000001</v>
      </c>
      <c r="I29" s="17">
        <v>7.1</v>
      </c>
      <c r="J29" s="17">
        <v>10.6</v>
      </c>
      <c r="K29" s="15">
        <v>21.2</v>
      </c>
      <c r="L29" s="15">
        <v>19.899999999999999</v>
      </c>
      <c r="M29" s="15">
        <v>20.100000000000001</v>
      </c>
      <c r="N29" s="15">
        <v>17.3</v>
      </c>
      <c r="O29" s="15">
        <v>23.7</v>
      </c>
      <c r="P29" s="15">
        <v>17.5</v>
      </c>
      <c r="Q29" s="15">
        <v>20.399999999999999</v>
      </c>
      <c r="R29" s="13">
        <v>14.1</v>
      </c>
      <c r="S29" s="13">
        <v>19.600000000000001</v>
      </c>
      <c r="T29" s="13">
        <v>21.5</v>
      </c>
      <c r="U29" s="13">
        <v>9.6999999999999993</v>
      </c>
      <c r="V29" s="13">
        <v>6.6</v>
      </c>
      <c r="W29" s="13">
        <v>18.7</v>
      </c>
      <c r="X29" s="13">
        <v>6.6</v>
      </c>
      <c r="Y29" s="13">
        <v>14.2</v>
      </c>
      <c r="Z29" s="13">
        <v>19.399999999999999</v>
      </c>
      <c r="AA29" s="13">
        <v>22.3</v>
      </c>
      <c r="AB29" s="13">
        <v>21.4</v>
      </c>
      <c r="AC29" s="13">
        <v>25.1</v>
      </c>
      <c r="AD29" s="13">
        <v>24.9</v>
      </c>
      <c r="AE29" s="13">
        <v>16.2</v>
      </c>
      <c r="AF29" s="13">
        <v>16.2</v>
      </c>
    </row>
    <row r="30" spans="1:32" x14ac:dyDescent="0.25">
      <c r="A30" s="10">
        <v>16</v>
      </c>
      <c r="B30" s="17">
        <v>6.8</v>
      </c>
      <c r="C30" s="17">
        <v>6.8</v>
      </c>
      <c r="D30" s="17">
        <v>2.4</v>
      </c>
      <c r="E30" s="17">
        <v>9.5</v>
      </c>
      <c r="F30" s="17">
        <v>3.2</v>
      </c>
      <c r="G30" s="17">
        <v>-1.6</v>
      </c>
      <c r="H30" s="17">
        <v>-1</v>
      </c>
      <c r="I30" s="17">
        <v>7.2</v>
      </c>
      <c r="J30" s="17">
        <v>12.7</v>
      </c>
      <c r="K30" s="15">
        <v>20.9</v>
      </c>
      <c r="L30" s="15">
        <v>20.5</v>
      </c>
      <c r="M30" s="15">
        <v>20.7</v>
      </c>
      <c r="N30" s="15">
        <v>18.899999999999999</v>
      </c>
      <c r="O30" s="15">
        <v>23.9</v>
      </c>
      <c r="P30" s="15">
        <v>18</v>
      </c>
      <c r="Q30" s="15">
        <v>20.5</v>
      </c>
      <c r="R30" s="13">
        <v>15.1</v>
      </c>
      <c r="S30" s="13">
        <v>20.399999999999999</v>
      </c>
      <c r="T30" s="13">
        <v>20.5</v>
      </c>
      <c r="U30" s="13">
        <v>10.9</v>
      </c>
      <c r="V30" s="13">
        <v>7.6</v>
      </c>
      <c r="W30" s="13">
        <v>18.5</v>
      </c>
      <c r="X30" s="13">
        <v>7.6</v>
      </c>
      <c r="Y30" s="13">
        <v>14</v>
      </c>
      <c r="Z30" s="13">
        <v>20.100000000000001</v>
      </c>
      <c r="AA30" s="13">
        <v>22.5</v>
      </c>
      <c r="AB30" s="13">
        <v>21.8</v>
      </c>
      <c r="AC30" s="13">
        <v>24.7</v>
      </c>
      <c r="AD30" s="13">
        <v>25.6</v>
      </c>
      <c r="AE30" s="13">
        <v>16.100000000000001</v>
      </c>
      <c r="AF30" s="13">
        <v>16.3</v>
      </c>
    </row>
    <row r="31" spans="1:32" x14ac:dyDescent="0.25">
      <c r="A31" s="10">
        <v>18</v>
      </c>
      <c r="B31" s="17">
        <v>7.4</v>
      </c>
      <c r="C31" s="17">
        <v>7</v>
      </c>
      <c r="D31" s="17">
        <v>3.1</v>
      </c>
      <c r="E31" s="17">
        <v>8.6</v>
      </c>
      <c r="F31" s="17">
        <v>4</v>
      </c>
      <c r="G31" s="17">
        <v>-2.9</v>
      </c>
      <c r="H31" s="17">
        <v>-0.4</v>
      </c>
      <c r="I31" s="17">
        <v>6.9</v>
      </c>
      <c r="J31" s="17">
        <v>14.4</v>
      </c>
      <c r="K31" s="15">
        <v>20.399999999999999</v>
      </c>
      <c r="L31" s="15">
        <v>18.600000000000001</v>
      </c>
      <c r="M31" s="15">
        <v>18.2</v>
      </c>
      <c r="N31" s="15">
        <v>19.399999999999999</v>
      </c>
      <c r="O31" s="15">
        <v>20.2</v>
      </c>
      <c r="P31" s="15">
        <v>19.2</v>
      </c>
      <c r="Q31" s="15">
        <v>17.2</v>
      </c>
      <c r="R31" s="13">
        <v>14.8</v>
      </c>
      <c r="S31" s="13">
        <v>16.100000000000001</v>
      </c>
      <c r="T31" s="13">
        <v>18</v>
      </c>
      <c r="U31" s="13">
        <v>10.3</v>
      </c>
      <c r="V31" s="13">
        <v>7.4</v>
      </c>
      <c r="W31" s="13">
        <v>19.399999999999999</v>
      </c>
      <c r="X31" s="13">
        <v>7.4</v>
      </c>
      <c r="Y31" s="13">
        <v>14.4</v>
      </c>
      <c r="Z31" s="13">
        <v>20</v>
      </c>
      <c r="AA31" s="13">
        <v>21.9</v>
      </c>
      <c r="AB31" s="13">
        <v>21.3</v>
      </c>
      <c r="AC31" s="13">
        <v>21.2</v>
      </c>
      <c r="AD31" s="13">
        <v>23.3</v>
      </c>
      <c r="AE31" s="13">
        <v>15.3</v>
      </c>
      <c r="AF31" s="13">
        <v>16</v>
      </c>
    </row>
    <row r="32" spans="1:32" x14ac:dyDescent="0.25">
      <c r="A32" s="10">
        <v>20</v>
      </c>
      <c r="B32" s="17">
        <v>3</v>
      </c>
      <c r="C32" s="17">
        <v>3.7</v>
      </c>
      <c r="D32" s="17">
        <v>1</v>
      </c>
      <c r="E32" s="17">
        <v>7.8</v>
      </c>
      <c r="F32" s="17">
        <v>3.9</v>
      </c>
      <c r="G32" s="17">
        <v>-2.9</v>
      </c>
      <c r="H32" s="17">
        <v>-2.4</v>
      </c>
      <c r="I32" s="17">
        <v>5.7</v>
      </c>
      <c r="J32" s="17">
        <v>11</v>
      </c>
      <c r="K32" s="15">
        <v>15.1</v>
      </c>
      <c r="L32" s="15">
        <v>13</v>
      </c>
      <c r="M32" s="15">
        <v>13.1</v>
      </c>
      <c r="N32" s="15">
        <v>15.2</v>
      </c>
      <c r="O32" s="15">
        <v>18</v>
      </c>
      <c r="P32" s="15">
        <v>15.9</v>
      </c>
      <c r="Q32" s="15">
        <v>14</v>
      </c>
      <c r="R32" s="13">
        <v>13.1</v>
      </c>
      <c r="S32" s="13">
        <v>14.4</v>
      </c>
      <c r="T32" s="13">
        <v>16.399999999999999</v>
      </c>
      <c r="U32" s="13">
        <v>10.5</v>
      </c>
      <c r="V32" s="13">
        <v>6.9</v>
      </c>
      <c r="W32" s="13">
        <v>17.899999999999999</v>
      </c>
      <c r="X32" s="13">
        <v>6.9</v>
      </c>
      <c r="Y32" s="13">
        <v>13.8</v>
      </c>
      <c r="Z32" s="13">
        <v>18</v>
      </c>
      <c r="AA32" s="13">
        <v>19.2</v>
      </c>
      <c r="AB32" s="13">
        <v>21.4</v>
      </c>
      <c r="AC32" s="13">
        <v>19.399999999999999</v>
      </c>
      <c r="AD32" s="13">
        <v>19.8</v>
      </c>
      <c r="AE32" s="13">
        <v>13.1</v>
      </c>
      <c r="AF32" s="13">
        <v>13.9</v>
      </c>
    </row>
    <row r="33" spans="1:32" x14ac:dyDescent="0.25">
      <c r="A33" s="10">
        <v>22</v>
      </c>
      <c r="B33" s="17">
        <v>-0.3</v>
      </c>
      <c r="C33" s="17">
        <v>-0.2</v>
      </c>
      <c r="D33" s="17">
        <v>-1</v>
      </c>
      <c r="E33" s="17">
        <v>7.3</v>
      </c>
      <c r="F33" s="17">
        <v>1.4</v>
      </c>
      <c r="G33" s="17">
        <v>-3.8</v>
      </c>
      <c r="H33" s="17">
        <v>-4.5</v>
      </c>
      <c r="I33" s="17">
        <v>2.2999999999999998</v>
      </c>
      <c r="J33" s="17">
        <v>9.8000000000000007</v>
      </c>
      <c r="K33" s="15">
        <v>12.7</v>
      </c>
      <c r="L33" s="15">
        <v>10.5</v>
      </c>
      <c r="M33" s="15">
        <v>11.4</v>
      </c>
      <c r="N33" s="15">
        <v>11.7</v>
      </c>
      <c r="O33" s="15">
        <v>14.2</v>
      </c>
      <c r="P33" s="15">
        <v>12.1</v>
      </c>
      <c r="Q33" s="15">
        <v>12</v>
      </c>
      <c r="R33" s="13">
        <v>11.1</v>
      </c>
      <c r="S33" s="13">
        <v>13.8</v>
      </c>
      <c r="T33" s="13">
        <v>11.5</v>
      </c>
      <c r="U33" s="13">
        <v>8.6</v>
      </c>
      <c r="V33" s="13">
        <v>4.2</v>
      </c>
      <c r="W33" s="13">
        <v>17</v>
      </c>
      <c r="X33" s="13">
        <v>4.2</v>
      </c>
      <c r="Y33" s="13">
        <v>11.5</v>
      </c>
      <c r="Z33" s="13">
        <v>15.3</v>
      </c>
      <c r="AA33" s="13">
        <v>16.5</v>
      </c>
      <c r="AB33" s="13">
        <v>17</v>
      </c>
      <c r="AC33" s="13">
        <v>17.8</v>
      </c>
      <c r="AD33" s="13">
        <v>16.7</v>
      </c>
      <c r="AE33" s="13">
        <v>9.6999999999999993</v>
      </c>
      <c r="AF33" s="13">
        <v>11.3</v>
      </c>
    </row>
    <row r="34" spans="1:32" x14ac:dyDescent="0.25">
      <c r="A34" s="10">
        <v>24</v>
      </c>
      <c r="B34" s="17">
        <v>-1.5</v>
      </c>
      <c r="C34" s="17">
        <v>-0.4</v>
      </c>
      <c r="D34" s="17">
        <v>-1.2</v>
      </c>
      <c r="E34" s="17">
        <v>6.7</v>
      </c>
      <c r="F34" s="17">
        <v>1.3</v>
      </c>
      <c r="G34" s="17">
        <v>-3.9</v>
      </c>
      <c r="H34" s="17">
        <v>-5.9</v>
      </c>
      <c r="I34" s="17">
        <v>1</v>
      </c>
      <c r="J34" s="17">
        <v>7.1</v>
      </c>
      <c r="K34" s="15">
        <v>9.6999999999999993</v>
      </c>
      <c r="L34" s="15">
        <v>9.9</v>
      </c>
      <c r="M34" s="15">
        <v>9.4</v>
      </c>
      <c r="N34" s="15">
        <v>10.1</v>
      </c>
      <c r="O34" s="15">
        <v>12.6</v>
      </c>
      <c r="P34" s="15">
        <v>10</v>
      </c>
      <c r="Q34" s="15">
        <v>10.7</v>
      </c>
      <c r="R34" s="13">
        <v>9.5</v>
      </c>
      <c r="S34" s="13">
        <v>11.6</v>
      </c>
      <c r="T34" s="13">
        <v>10.6</v>
      </c>
      <c r="U34" s="13">
        <v>7.4</v>
      </c>
      <c r="V34" s="13">
        <v>4.4000000000000004</v>
      </c>
      <c r="W34" s="13">
        <v>15.3</v>
      </c>
      <c r="X34" s="13">
        <v>4.4000000000000004</v>
      </c>
      <c r="Y34" s="13">
        <v>11.4</v>
      </c>
      <c r="Z34" s="13">
        <v>13.7</v>
      </c>
      <c r="AA34" s="13">
        <v>15.3</v>
      </c>
      <c r="AB34" s="13">
        <v>15</v>
      </c>
      <c r="AC34" s="13">
        <v>15.3</v>
      </c>
      <c r="AD34" s="13">
        <v>15.3</v>
      </c>
      <c r="AE34" s="13">
        <v>7</v>
      </c>
      <c r="AF34" s="13">
        <v>8.1999999999999993</v>
      </c>
    </row>
    <row r="35" spans="1:32" x14ac:dyDescent="0.25">
      <c r="A35" s="10">
        <v>2</v>
      </c>
      <c r="B35" s="17">
        <v>-2.6</v>
      </c>
      <c r="C35" s="17">
        <v>-2.7</v>
      </c>
      <c r="D35" s="17">
        <v>-2.1</v>
      </c>
      <c r="E35" s="17">
        <v>7.5</v>
      </c>
      <c r="F35" s="17">
        <v>0.1</v>
      </c>
      <c r="G35" s="17">
        <v>-4.3</v>
      </c>
      <c r="H35" s="17">
        <v>-6.8</v>
      </c>
      <c r="I35" s="17">
        <v>1.6</v>
      </c>
      <c r="J35" s="17">
        <v>6.2</v>
      </c>
      <c r="K35" s="15">
        <v>10.1</v>
      </c>
      <c r="L35" s="15">
        <v>7.3</v>
      </c>
      <c r="M35" s="15">
        <v>10.3</v>
      </c>
      <c r="N35" s="15">
        <v>9.9</v>
      </c>
      <c r="O35" s="15">
        <v>12.1</v>
      </c>
      <c r="P35" s="15">
        <v>10.5</v>
      </c>
      <c r="Q35" s="15">
        <v>10.9</v>
      </c>
      <c r="R35" s="13">
        <v>8.4</v>
      </c>
      <c r="S35" s="13">
        <v>11.5</v>
      </c>
      <c r="T35" s="13">
        <v>9.8000000000000007</v>
      </c>
      <c r="U35" s="13">
        <v>7.3</v>
      </c>
      <c r="V35" s="13">
        <v>5</v>
      </c>
      <c r="W35" s="13">
        <v>14.2</v>
      </c>
      <c r="X35" s="13">
        <v>5</v>
      </c>
      <c r="Y35" s="13">
        <v>10.5</v>
      </c>
      <c r="Z35" s="13">
        <v>12.3</v>
      </c>
      <c r="AA35" s="13">
        <v>13.4</v>
      </c>
      <c r="AB35" s="13">
        <v>15.1</v>
      </c>
      <c r="AC35" s="13">
        <v>15.2</v>
      </c>
      <c r="AD35" s="13">
        <v>13.4</v>
      </c>
      <c r="AE35" s="13">
        <v>6.1</v>
      </c>
      <c r="AF35" s="13">
        <v>6.9</v>
      </c>
    </row>
    <row r="36" spans="1:32" ht="30" x14ac:dyDescent="0.25">
      <c r="A36" s="11" t="s">
        <v>2</v>
      </c>
      <c r="B36" s="15">
        <f>(B24+B25+B26+B27+B28+B29+B30+B31+B32+B33+B34+B35)/12</f>
        <v>2.3916666666666671</v>
      </c>
      <c r="C36" s="15">
        <f t="shared" ref="C36:J36" si="2">(C24+C25+C26+C27+C28+C29+C30+C31+C32+C33+C34+C35)/12</f>
        <v>2.9333333333333331</v>
      </c>
      <c r="D36" s="15">
        <f t="shared" si="2"/>
        <v>0.375</v>
      </c>
      <c r="E36" s="15">
        <f t="shared" si="2"/>
        <v>5.9833333333333334</v>
      </c>
      <c r="F36" s="15">
        <f t="shared" si="2"/>
        <v>5.6333333333333329</v>
      </c>
      <c r="G36" s="15">
        <f t="shared" si="2"/>
        <v>-1.75</v>
      </c>
      <c r="H36" s="15">
        <f t="shared" si="2"/>
        <v>-3.4333333333333331</v>
      </c>
      <c r="I36" s="15">
        <f t="shared" si="2"/>
        <v>2.7416666666666667</v>
      </c>
      <c r="J36" s="15">
        <f t="shared" si="2"/>
        <v>8.4916666666666671</v>
      </c>
      <c r="K36" s="15">
        <f>(K24+K25+K26+K27+K28+K29+K30+K31+K32+K33+K34+K35)/12</f>
        <v>13.549999999999997</v>
      </c>
      <c r="L36" s="15">
        <f t="shared" ref="L36:AF36" si="3">(L24+L25+L26+L27+L28+L29+L30+L31+L32+L33+L34+L35)/12</f>
        <v>13.858333333333334</v>
      </c>
      <c r="M36" s="15">
        <f t="shared" si="3"/>
        <v>13.300000000000002</v>
      </c>
      <c r="N36" s="15">
        <f t="shared" si="3"/>
        <v>14.033333333333331</v>
      </c>
      <c r="O36" s="15">
        <f t="shared" si="3"/>
        <v>16.733333333333331</v>
      </c>
      <c r="P36" s="15">
        <f t="shared" si="3"/>
        <v>14.666666666666666</v>
      </c>
      <c r="Q36" s="15">
        <f t="shared" si="3"/>
        <v>15.566666666666665</v>
      </c>
      <c r="R36" s="15">
        <f t="shared" si="3"/>
        <v>12.174999999999999</v>
      </c>
      <c r="S36" s="15">
        <f t="shared" si="3"/>
        <v>14.466666666666667</v>
      </c>
      <c r="T36" s="15">
        <f t="shared" si="3"/>
        <v>15.416666666666666</v>
      </c>
      <c r="U36" s="15">
        <f t="shared" si="3"/>
        <v>9.5499999999999989</v>
      </c>
      <c r="V36" s="15">
        <f t="shared" si="3"/>
        <v>5.9666666666666677</v>
      </c>
      <c r="W36" s="15">
        <f t="shared" si="3"/>
        <v>14.75</v>
      </c>
      <c r="X36" s="15">
        <f t="shared" si="3"/>
        <v>5.9666666666666677</v>
      </c>
      <c r="Y36" s="15">
        <f t="shared" si="3"/>
        <v>12.333333333333334</v>
      </c>
      <c r="Z36" s="15">
        <f t="shared" si="3"/>
        <v>16.5</v>
      </c>
      <c r="AA36" s="15">
        <f t="shared" si="3"/>
        <v>18.150000000000002</v>
      </c>
      <c r="AB36" s="15">
        <f t="shared" si="3"/>
        <v>18.333333333333336</v>
      </c>
      <c r="AC36" s="15">
        <f t="shared" si="3"/>
        <v>19.041666666666668</v>
      </c>
      <c r="AD36" s="15">
        <f t="shared" si="3"/>
        <v>19.108333333333334</v>
      </c>
      <c r="AE36" s="15">
        <f t="shared" si="3"/>
        <v>11.666666666666666</v>
      </c>
      <c r="AF36" s="15">
        <f t="shared" si="3"/>
        <v>11.875</v>
      </c>
    </row>
  </sheetData>
  <mergeCells count="2">
    <mergeCell ref="B2:AF2"/>
    <mergeCell ref="B22:AF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70" zoomScaleNormal="70" workbookViewId="0">
      <pane xSplit="1" topLeftCell="B1" activePane="topRight" state="frozen"/>
      <selection pane="topRight" activeCell="N40" sqref="N40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32" width="9.140625" style="9" hidden="1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60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7.5</v>
      </c>
      <c r="C4" s="15">
        <v>1.1000000000000001</v>
      </c>
      <c r="D4" s="19">
        <v>0.6</v>
      </c>
      <c r="E4" s="19">
        <v>0.2</v>
      </c>
      <c r="F4" s="19">
        <v>2</v>
      </c>
      <c r="G4" s="19">
        <v>4</v>
      </c>
      <c r="H4" s="19">
        <v>2.9</v>
      </c>
      <c r="I4" s="19">
        <v>8.1</v>
      </c>
      <c r="J4" s="19">
        <v>11.6</v>
      </c>
      <c r="K4" s="19">
        <v>14</v>
      </c>
      <c r="L4" s="20">
        <v>15</v>
      </c>
      <c r="M4" s="19">
        <v>12</v>
      </c>
      <c r="N4" s="19">
        <v>12.5</v>
      </c>
      <c r="O4" s="19">
        <v>11</v>
      </c>
      <c r="P4" s="19">
        <v>14</v>
      </c>
      <c r="Q4" s="19">
        <v>13</v>
      </c>
      <c r="R4" s="19">
        <v>10</v>
      </c>
      <c r="S4" s="19">
        <v>15</v>
      </c>
      <c r="T4" s="20">
        <v>11.8</v>
      </c>
      <c r="U4" s="20">
        <v>17.100000000000001</v>
      </c>
      <c r="V4" s="19">
        <v>22</v>
      </c>
      <c r="W4" s="20">
        <v>21</v>
      </c>
      <c r="X4" s="19">
        <v>16</v>
      </c>
      <c r="Y4" s="20">
        <v>18.5</v>
      </c>
      <c r="Z4" s="20">
        <v>13.9</v>
      </c>
      <c r="AA4" s="19">
        <v>13</v>
      </c>
      <c r="AB4" s="19">
        <v>13.7</v>
      </c>
      <c r="AC4" s="19">
        <v>8.5</v>
      </c>
      <c r="AD4" s="19">
        <v>9.1999999999999993</v>
      </c>
      <c r="AE4" s="19">
        <v>7.8</v>
      </c>
      <c r="AF4" s="22"/>
    </row>
    <row r="5" spans="1:33" x14ac:dyDescent="0.25">
      <c r="A5" s="10">
        <v>6</v>
      </c>
      <c r="B5" s="19">
        <v>7.5</v>
      </c>
      <c r="C5" s="15">
        <v>1.1000000000000001</v>
      </c>
      <c r="D5" s="19">
        <v>0.8</v>
      </c>
      <c r="E5" s="19">
        <v>0.2</v>
      </c>
      <c r="F5" s="19">
        <v>3</v>
      </c>
      <c r="G5" s="19">
        <v>4.2</v>
      </c>
      <c r="H5" s="19">
        <v>3.6</v>
      </c>
      <c r="I5" s="19">
        <v>8.1</v>
      </c>
      <c r="J5" s="19">
        <v>12</v>
      </c>
      <c r="K5" s="19">
        <v>14.8</v>
      </c>
      <c r="L5" s="20">
        <v>15.3</v>
      </c>
      <c r="M5" s="19">
        <v>12.6</v>
      </c>
      <c r="N5" s="19">
        <v>13</v>
      </c>
      <c r="O5" s="19">
        <v>12.4</v>
      </c>
      <c r="P5" s="19">
        <v>14.1</v>
      </c>
      <c r="Q5" s="19">
        <v>13.4</v>
      </c>
      <c r="R5" s="19">
        <v>10.3</v>
      </c>
      <c r="S5" s="19">
        <v>15.1</v>
      </c>
      <c r="T5" s="20">
        <v>15.6</v>
      </c>
      <c r="U5" s="20">
        <v>17.8</v>
      </c>
      <c r="V5" s="19">
        <v>23</v>
      </c>
      <c r="W5" s="20">
        <v>22</v>
      </c>
      <c r="X5" s="19">
        <v>16.7</v>
      </c>
      <c r="Y5" s="20">
        <v>20</v>
      </c>
      <c r="Z5" s="20">
        <v>14</v>
      </c>
      <c r="AA5" s="19">
        <v>14</v>
      </c>
      <c r="AB5" s="19">
        <v>14</v>
      </c>
      <c r="AC5" s="19">
        <v>8</v>
      </c>
      <c r="AD5" s="19">
        <v>10.6</v>
      </c>
      <c r="AE5" s="19">
        <v>9</v>
      </c>
      <c r="AF5" s="22"/>
    </row>
    <row r="6" spans="1:33" x14ac:dyDescent="0.25">
      <c r="A6" s="10">
        <v>8</v>
      </c>
      <c r="B6" s="19">
        <v>9.1</v>
      </c>
      <c r="C6" s="15">
        <v>0</v>
      </c>
      <c r="D6" s="19">
        <v>0</v>
      </c>
      <c r="E6" s="19">
        <v>0.6</v>
      </c>
      <c r="F6" s="19">
        <v>3</v>
      </c>
      <c r="G6" s="19">
        <v>7</v>
      </c>
      <c r="H6" s="19">
        <v>7</v>
      </c>
      <c r="I6" s="19">
        <v>11.5</v>
      </c>
      <c r="J6" s="19">
        <v>14.8</v>
      </c>
      <c r="K6" s="19">
        <v>10.1</v>
      </c>
      <c r="L6" s="20">
        <v>17.399999999999999</v>
      </c>
      <c r="M6" s="19">
        <v>14</v>
      </c>
      <c r="N6" s="19">
        <v>17</v>
      </c>
      <c r="O6" s="19">
        <v>12.2</v>
      </c>
      <c r="P6" s="19">
        <v>14</v>
      </c>
      <c r="Q6" s="19">
        <v>11.3</v>
      </c>
      <c r="R6" s="19">
        <v>11.7</v>
      </c>
      <c r="S6" s="19">
        <v>19.3</v>
      </c>
      <c r="T6" s="20">
        <v>22</v>
      </c>
      <c r="U6" s="20">
        <v>22.8</v>
      </c>
      <c r="V6" s="19">
        <v>23.5</v>
      </c>
      <c r="W6" s="20">
        <v>22.2</v>
      </c>
      <c r="X6" s="19">
        <v>17.2</v>
      </c>
      <c r="Y6" s="20">
        <v>22.8</v>
      </c>
      <c r="Z6" s="20">
        <v>13.6</v>
      </c>
      <c r="AA6" s="19">
        <v>16</v>
      </c>
      <c r="AB6" s="19">
        <v>14.8</v>
      </c>
      <c r="AC6" s="19">
        <v>8.6</v>
      </c>
      <c r="AD6" s="19">
        <v>9.6</v>
      </c>
      <c r="AE6" s="19">
        <v>10.199999999999999</v>
      </c>
      <c r="AF6" s="22"/>
    </row>
    <row r="7" spans="1:33" x14ac:dyDescent="0.25">
      <c r="A7" s="10">
        <v>10</v>
      </c>
      <c r="B7" s="19">
        <v>9.1999999999999993</v>
      </c>
      <c r="C7" s="15">
        <v>0.5</v>
      </c>
      <c r="D7" s="19">
        <v>0</v>
      </c>
      <c r="E7" s="19">
        <v>0.1</v>
      </c>
      <c r="F7" s="19">
        <v>6.4</v>
      </c>
      <c r="G7" s="19">
        <v>7</v>
      </c>
      <c r="H7" s="19">
        <v>8</v>
      </c>
      <c r="I7" s="19">
        <v>14.7</v>
      </c>
      <c r="J7" s="19">
        <v>14.9</v>
      </c>
      <c r="K7" s="19">
        <v>10.4</v>
      </c>
      <c r="L7" s="20">
        <v>19.8</v>
      </c>
      <c r="M7" s="19">
        <v>14</v>
      </c>
      <c r="N7" s="19">
        <v>18</v>
      </c>
      <c r="O7" s="19">
        <v>13.4</v>
      </c>
      <c r="P7" s="19">
        <v>12.7</v>
      </c>
      <c r="Q7" s="19">
        <v>11.1</v>
      </c>
      <c r="R7" s="19">
        <v>14.9</v>
      </c>
      <c r="S7" s="19">
        <v>21.5</v>
      </c>
      <c r="T7" s="20">
        <v>23.4</v>
      </c>
      <c r="U7" s="20">
        <v>26.3</v>
      </c>
      <c r="V7" s="19">
        <v>26.1</v>
      </c>
      <c r="W7" s="20">
        <v>24.4</v>
      </c>
      <c r="X7" s="19">
        <v>21.7</v>
      </c>
      <c r="Y7" s="20">
        <v>23.8</v>
      </c>
      <c r="Z7" s="20">
        <v>16.2</v>
      </c>
      <c r="AA7" s="19">
        <v>18</v>
      </c>
      <c r="AB7" s="19">
        <v>15.3</v>
      </c>
      <c r="AC7" s="19">
        <v>9</v>
      </c>
      <c r="AD7" s="19">
        <v>9</v>
      </c>
      <c r="AE7" s="19">
        <v>11</v>
      </c>
      <c r="AF7" s="22"/>
    </row>
    <row r="8" spans="1:33" x14ac:dyDescent="0.25">
      <c r="A8" s="10">
        <v>12</v>
      </c>
      <c r="B8" s="19">
        <v>7</v>
      </c>
      <c r="C8" s="15">
        <v>1.7</v>
      </c>
      <c r="D8" s="19">
        <v>1.5</v>
      </c>
      <c r="E8" s="19">
        <v>1.9</v>
      </c>
      <c r="F8" s="19">
        <v>7.1</v>
      </c>
      <c r="G8" s="19">
        <v>7</v>
      </c>
      <c r="H8" s="19">
        <v>10</v>
      </c>
      <c r="I8" s="19">
        <v>16.2</v>
      </c>
      <c r="J8" s="19">
        <v>15.6</v>
      </c>
      <c r="K8" s="19">
        <v>13.3</v>
      </c>
      <c r="L8" s="20">
        <v>21</v>
      </c>
      <c r="M8" s="19">
        <v>17</v>
      </c>
      <c r="N8" s="19">
        <v>18</v>
      </c>
      <c r="O8" s="19">
        <v>12.8</v>
      </c>
      <c r="P8" s="19">
        <v>13.7</v>
      </c>
      <c r="Q8" s="19">
        <v>11.6</v>
      </c>
      <c r="R8" s="19">
        <v>15.2</v>
      </c>
      <c r="S8" s="19">
        <v>22.8</v>
      </c>
      <c r="T8" s="20">
        <v>24.5</v>
      </c>
      <c r="U8" s="20">
        <v>26.4</v>
      </c>
      <c r="V8" s="19">
        <v>25.2</v>
      </c>
      <c r="W8" s="20">
        <v>24.7</v>
      </c>
      <c r="X8" s="19">
        <v>21.7</v>
      </c>
      <c r="Y8" s="20">
        <v>23.8</v>
      </c>
      <c r="Z8" s="20">
        <v>16.2</v>
      </c>
      <c r="AA8" s="19">
        <v>18</v>
      </c>
      <c r="AB8" s="19">
        <v>15.5</v>
      </c>
      <c r="AC8" s="19">
        <v>9</v>
      </c>
      <c r="AD8" s="19">
        <v>9</v>
      </c>
      <c r="AE8" s="19">
        <v>11</v>
      </c>
      <c r="AF8" s="22"/>
    </row>
    <row r="9" spans="1:33" x14ac:dyDescent="0.25">
      <c r="A9" s="10">
        <v>14</v>
      </c>
      <c r="B9" s="19">
        <v>6.8</v>
      </c>
      <c r="C9" s="15">
        <v>4</v>
      </c>
      <c r="D9" s="19">
        <v>3</v>
      </c>
      <c r="E9" s="19">
        <v>0.8</v>
      </c>
      <c r="F9" s="19">
        <v>8.1</v>
      </c>
      <c r="G9" s="19">
        <v>8</v>
      </c>
      <c r="H9" s="19">
        <v>12</v>
      </c>
      <c r="I9" s="19">
        <v>21</v>
      </c>
      <c r="J9" s="19">
        <v>14.9</v>
      </c>
      <c r="K9" s="19">
        <v>15.8</v>
      </c>
      <c r="L9" s="20">
        <v>20.3</v>
      </c>
      <c r="M9" s="19">
        <v>19</v>
      </c>
      <c r="N9" s="19">
        <v>18</v>
      </c>
      <c r="O9" s="19">
        <v>13.2</v>
      </c>
      <c r="P9" s="19">
        <v>15.4</v>
      </c>
      <c r="Q9" s="19">
        <v>11.7</v>
      </c>
      <c r="R9" s="19">
        <v>18.399999999999999</v>
      </c>
      <c r="S9" s="19">
        <v>23.5</v>
      </c>
      <c r="T9" s="20">
        <v>25.1</v>
      </c>
      <c r="U9" s="20">
        <v>28</v>
      </c>
      <c r="V9" s="19">
        <v>27.1</v>
      </c>
      <c r="W9" s="20">
        <v>21</v>
      </c>
      <c r="X9" s="21">
        <v>21</v>
      </c>
      <c r="Y9" s="20">
        <v>23.8</v>
      </c>
      <c r="Z9" s="20">
        <v>16.2</v>
      </c>
      <c r="AA9" s="19">
        <v>18</v>
      </c>
      <c r="AB9" s="19">
        <v>14.4</v>
      </c>
      <c r="AC9" s="19">
        <v>9</v>
      </c>
      <c r="AD9" s="19">
        <v>9</v>
      </c>
      <c r="AE9" s="19">
        <v>11</v>
      </c>
      <c r="AF9" s="22"/>
    </row>
    <row r="10" spans="1:33" x14ac:dyDescent="0.25">
      <c r="A10" s="10">
        <v>16</v>
      </c>
      <c r="B10" s="19">
        <v>6.2</v>
      </c>
      <c r="C10" s="15">
        <v>6.9</v>
      </c>
      <c r="D10" s="19">
        <v>4</v>
      </c>
      <c r="E10" s="19">
        <v>0.5</v>
      </c>
      <c r="F10" s="19">
        <v>10.3</v>
      </c>
      <c r="G10" s="19">
        <v>8</v>
      </c>
      <c r="H10" s="19">
        <v>13</v>
      </c>
      <c r="I10" s="19">
        <v>20</v>
      </c>
      <c r="J10" s="19">
        <v>14.1</v>
      </c>
      <c r="K10" s="19">
        <v>19</v>
      </c>
      <c r="L10" s="20">
        <v>17.2</v>
      </c>
      <c r="M10" s="19">
        <v>19</v>
      </c>
      <c r="N10" s="19">
        <v>18.399999999999999</v>
      </c>
      <c r="O10" s="19">
        <v>13</v>
      </c>
      <c r="P10" s="19">
        <v>16.100000000000001</v>
      </c>
      <c r="Q10" s="19">
        <v>12.7</v>
      </c>
      <c r="R10" s="19">
        <v>18.8</v>
      </c>
      <c r="S10" s="19">
        <v>23.5</v>
      </c>
      <c r="T10" s="20">
        <v>25.6</v>
      </c>
      <c r="U10" s="20">
        <v>28.5</v>
      </c>
      <c r="V10" s="19">
        <v>20.8</v>
      </c>
      <c r="W10" s="20">
        <v>20.3</v>
      </c>
      <c r="X10" s="19">
        <v>24.5</v>
      </c>
      <c r="Y10" s="20">
        <v>19.3</v>
      </c>
      <c r="Z10" s="20">
        <v>20.2</v>
      </c>
      <c r="AA10" s="19">
        <v>13.8</v>
      </c>
      <c r="AB10" s="19">
        <v>13.6</v>
      </c>
      <c r="AC10" s="19">
        <v>9.3000000000000007</v>
      </c>
      <c r="AD10" s="19">
        <v>9.3000000000000007</v>
      </c>
      <c r="AE10" s="19">
        <v>12</v>
      </c>
      <c r="AF10" s="22"/>
    </row>
    <row r="11" spans="1:33" x14ac:dyDescent="0.25">
      <c r="A11" s="10">
        <v>18</v>
      </c>
      <c r="B11" s="19">
        <v>5.2</v>
      </c>
      <c r="C11" s="15">
        <v>2.1</v>
      </c>
      <c r="D11" s="19">
        <v>4</v>
      </c>
      <c r="E11" s="19">
        <v>0.5</v>
      </c>
      <c r="F11" s="19">
        <v>9</v>
      </c>
      <c r="G11" s="19">
        <v>8</v>
      </c>
      <c r="H11" s="19">
        <v>14</v>
      </c>
      <c r="I11" s="19">
        <v>19.5</v>
      </c>
      <c r="J11" s="19">
        <v>16</v>
      </c>
      <c r="K11" s="19">
        <v>18</v>
      </c>
      <c r="L11" s="20">
        <v>13</v>
      </c>
      <c r="M11" s="19">
        <v>19.5</v>
      </c>
      <c r="N11" s="19">
        <v>14.4</v>
      </c>
      <c r="O11" s="19">
        <v>12.8</v>
      </c>
      <c r="P11" s="19">
        <v>15.8</v>
      </c>
      <c r="Q11" s="19">
        <v>12.3</v>
      </c>
      <c r="R11" s="19">
        <v>19</v>
      </c>
      <c r="S11" s="19">
        <v>23.5</v>
      </c>
      <c r="T11" s="20">
        <v>25.8</v>
      </c>
      <c r="U11" s="20">
        <v>27.7</v>
      </c>
      <c r="V11" s="19">
        <v>22.3</v>
      </c>
      <c r="W11" s="20">
        <v>19.3</v>
      </c>
      <c r="X11" s="19">
        <v>22.8</v>
      </c>
      <c r="Y11" s="20">
        <v>18.8</v>
      </c>
      <c r="Z11" s="20">
        <v>17.8</v>
      </c>
      <c r="AA11" s="19">
        <v>14.8</v>
      </c>
      <c r="AB11" s="19">
        <v>14.1</v>
      </c>
      <c r="AC11" s="19">
        <v>9.1999999999999993</v>
      </c>
      <c r="AD11" s="19">
        <v>9.6</v>
      </c>
      <c r="AE11" s="19">
        <v>12</v>
      </c>
      <c r="AF11" s="22"/>
    </row>
    <row r="12" spans="1:33" x14ac:dyDescent="0.25">
      <c r="A12" s="10">
        <v>20</v>
      </c>
      <c r="B12" s="19">
        <v>4.0999999999999996</v>
      </c>
      <c r="C12" s="15">
        <v>0.6</v>
      </c>
      <c r="D12" s="19">
        <v>0.8</v>
      </c>
      <c r="E12" s="19">
        <v>1</v>
      </c>
      <c r="F12" s="19">
        <v>7</v>
      </c>
      <c r="G12" s="19">
        <v>5.4</v>
      </c>
      <c r="H12" s="19">
        <v>10.8</v>
      </c>
      <c r="I12" s="19">
        <v>17</v>
      </c>
      <c r="J12" s="19">
        <v>17.399999999999999</v>
      </c>
      <c r="K12" s="19">
        <v>15.2</v>
      </c>
      <c r="L12" s="20">
        <v>12.5</v>
      </c>
      <c r="M12" s="19">
        <v>17.3</v>
      </c>
      <c r="N12" s="19">
        <v>14.7</v>
      </c>
      <c r="O12" s="19">
        <v>14.2</v>
      </c>
      <c r="P12" s="19">
        <v>14.8</v>
      </c>
      <c r="Q12" s="19">
        <v>11.3</v>
      </c>
      <c r="R12" s="19">
        <v>17.8</v>
      </c>
      <c r="S12" s="19">
        <v>18.899999999999999</v>
      </c>
      <c r="T12" s="20">
        <v>20.5</v>
      </c>
      <c r="U12" s="20">
        <v>26</v>
      </c>
      <c r="V12" s="19">
        <v>20</v>
      </c>
      <c r="W12" s="20">
        <v>17.5</v>
      </c>
      <c r="X12" s="19">
        <v>19.600000000000001</v>
      </c>
      <c r="Y12" s="20">
        <v>17.3</v>
      </c>
      <c r="Z12" s="20">
        <v>17.3</v>
      </c>
      <c r="AA12" s="19">
        <v>13.1</v>
      </c>
      <c r="AB12" s="19">
        <v>13.2</v>
      </c>
      <c r="AC12" s="19">
        <v>8.9</v>
      </c>
      <c r="AD12" s="19">
        <v>8.1999999999999993</v>
      </c>
      <c r="AE12" s="19">
        <v>13.8</v>
      </c>
      <c r="AF12" s="22"/>
    </row>
    <row r="13" spans="1:33" x14ac:dyDescent="0.25">
      <c r="A13" s="10">
        <v>22</v>
      </c>
      <c r="B13" s="19">
        <v>2.8</v>
      </c>
      <c r="C13" s="15">
        <v>0.5</v>
      </c>
      <c r="D13" s="19">
        <v>1.5</v>
      </c>
      <c r="E13" s="19">
        <v>1.1000000000000001</v>
      </c>
      <c r="F13" s="19">
        <v>5</v>
      </c>
      <c r="G13" s="19">
        <v>2.8</v>
      </c>
      <c r="H13" s="19">
        <v>7.1</v>
      </c>
      <c r="I13" s="19">
        <v>15.5</v>
      </c>
      <c r="J13" s="19">
        <v>15.3</v>
      </c>
      <c r="K13" s="19">
        <v>15</v>
      </c>
      <c r="L13" s="20">
        <v>11.8</v>
      </c>
      <c r="M13" s="19">
        <v>11.2</v>
      </c>
      <c r="N13" s="19">
        <v>13.6</v>
      </c>
      <c r="O13" s="19">
        <v>14.4</v>
      </c>
      <c r="P13" s="19">
        <v>14.4</v>
      </c>
      <c r="Q13" s="19">
        <v>11</v>
      </c>
      <c r="R13" s="19">
        <v>15</v>
      </c>
      <c r="S13" s="19">
        <v>13.5</v>
      </c>
      <c r="T13" s="20">
        <v>16.8</v>
      </c>
      <c r="U13" s="20">
        <v>22.8</v>
      </c>
      <c r="V13" s="19">
        <v>19.600000000000001</v>
      </c>
      <c r="W13" s="20">
        <v>15</v>
      </c>
      <c r="X13" s="19">
        <v>15.5</v>
      </c>
      <c r="Y13" s="20">
        <v>16.600000000000001</v>
      </c>
      <c r="Z13" s="20">
        <v>14</v>
      </c>
      <c r="AA13" s="19">
        <v>13</v>
      </c>
      <c r="AB13" s="19">
        <v>12.2</v>
      </c>
      <c r="AC13" s="19">
        <v>8.9</v>
      </c>
      <c r="AD13" s="19">
        <v>7.8</v>
      </c>
      <c r="AE13" s="19">
        <v>14</v>
      </c>
      <c r="AF13" s="22"/>
    </row>
    <row r="14" spans="1:33" x14ac:dyDescent="0.25">
      <c r="A14" s="10">
        <v>24</v>
      </c>
      <c r="B14" s="19">
        <v>1.2</v>
      </c>
      <c r="C14" s="15">
        <v>-0.2</v>
      </c>
      <c r="D14" s="19">
        <v>0.4</v>
      </c>
      <c r="E14" s="19">
        <v>0.8</v>
      </c>
      <c r="F14" s="19">
        <v>3.5</v>
      </c>
      <c r="G14" s="19">
        <v>2</v>
      </c>
      <c r="H14" s="19">
        <v>5.2</v>
      </c>
      <c r="I14" s="19">
        <v>10.6</v>
      </c>
      <c r="J14" s="19">
        <v>13.2</v>
      </c>
      <c r="K14" s="19">
        <v>14.2</v>
      </c>
      <c r="L14" s="20">
        <v>11.8</v>
      </c>
      <c r="M14" s="19">
        <v>12</v>
      </c>
      <c r="N14" s="19">
        <v>12.6</v>
      </c>
      <c r="O14" s="19">
        <v>14</v>
      </c>
      <c r="P14" s="19">
        <v>13.9</v>
      </c>
      <c r="Q14" s="15">
        <v>11</v>
      </c>
      <c r="R14" s="19">
        <v>14.1</v>
      </c>
      <c r="S14" s="19">
        <v>11.7</v>
      </c>
      <c r="T14" s="20">
        <v>14.2</v>
      </c>
      <c r="U14" s="20">
        <v>21</v>
      </c>
      <c r="V14" s="19">
        <v>18.3</v>
      </c>
      <c r="W14" s="20">
        <v>14.5</v>
      </c>
      <c r="X14" s="19">
        <v>18</v>
      </c>
      <c r="Y14" s="20">
        <v>16.8</v>
      </c>
      <c r="Z14" s="20">
        <v>12.2</v>
      </c>
      <c r="AA14" s="19">
        <v>12</v>
      </c>
      <c r="AB14" s="19">
        <v>11.1</v>
      </c>
      <c r="AC14" s="19">
        <v>8.9</v>
      </c>
      <c r="AD14" s="19">
        <v>7.5</v>
      </c>
      <c r="AE14" s="19">
        <v>14.2</v>
      </c>
      <c r="AF14" s="22"/>
    </row>
    <row r="15" spans="1:33" x14ac:dyDescent="0.25">
      <c r="A15" s="10">
        <v>2</v>
      </c>
      <c r="B15" s="19">
        <v>2.1</v>
      </c>
      <c r="C15" s="15">
        <v>0.7</v>
      </c>
      <c r="D15" s="19">
        <v>1.8</v>
      </c>
      <c r="E15" s="19">
        <v>0.8</v>
      </c>
      <c r="F15" s="19">
        <v>3.8</v>
      </c>
      <c r="G15" s="19">
        <v>0.5</v>
      </c>
      <c r="H15" s="19">
        <v>5.7</v>
      </c>
      <c r="I15" s="19">
        <v>11.3</v>
      </c>
      <c r="J15" s="19">
        <v>12.1</v>
      </c>
      <c r="K15" s="19">
        <v>14.8</v>
      </c>
      <c r="L15" s="20">
        <v>13.5</v>
      </c>
      <c r="M15" s="19">
        <v>14.2</v>
      </c>
      <c r="N15" s="19">
        <v>12.8</v>
      </c>
      <c r="O15" s="19">
        <v>14.4</v>
      </c>
      <c r="P15" s="19">
        <v>13.9</v>
      </c>
      <c r="Q15" s="19">
        <v>11.5</v>
      </c>
      <c r="R15" s="19">
        <v>14</v>
      </c>
      <c r="S15" s="19">
        <v>15.2</v>
      </c>
      <c r="T15" s="20">
        <v>19.100000000000001</v>
      </c>
      <c r="U15" s="20">
        <v>19.2</v>
      </c>
      <c r="V15" s="19">
        <v>19.899999999999999</v>
      </c>
      <c r="W15" s="20">
        <v>14.1</v>
      </c>
      <c r="X15" s="19">
        <v>17.3</v>
      </c>
      <c r="Y15" s="20">
        <v>16.899999999999999</v>
      </c>
      <c r="Z15" s="20">
        <v>14</v>
      </c>
      <c r="AA15" s="19">
        <v>14.2</v>
      </c>
      <c r="AB15" s="19">
        <v>10.7</v>
      </c>
      <c r="AC15" s="19">
        <v>10.4</v>
      </c>
      <c r="AD15" s="19">
        <v>8.6</v>
      </c>
      <c r="AE15" s="19">
        <v>14.6</v>
      </c>
      <c r="AF15" s="22"/>
    </row>
    <row r="16" spans="1:33" ht="30" x14ac:dyDescent="0.25">
      <c r="A16" s="11" t="s">
        <v>2</v>
      </c>
      <c r="B16" s="15">
        <f>(B4+B5+B6+B7+B8+B9+B10+B11+B12+B13+B14+B15)/12</f>
        <v>5.7250000000000005</v>
      </c>
      <c r="C16" s="15">
        <f t="shared" ref="C16:O16" si="0">(C4+C5+C6+C7+C8+C9+C10+C11+C12+C13+C14+C15)/12</f>
        <v>1.5833333333333337</v>
      </c>
      <c r="D16" s="15">
        <f t="shared" si="0"/>
        <v>1.5333333333333334</v>
      </c>
      <c r="E16" s="15">
        <f t="shared" si="0"/>
        <v>0.70833333333333337</v>
      </c>
      <c r="F16" s="15">
        <f t="shared" si="0"/>
        <v>5.6833333333333336</v>
      </c>
      <c r="G16" s="15">
        <f t="shared" si="0"/>
        <v>5.3250000000000002</v>
      </c>
      <c r="H16" s="15">
        <f t="shared" si="0"/>
        <v>8.2750000000000004</v>
      </c>
      <c r="I16" s="15">
        <f t="shared" si="0"/>
        <v>14.458333333333334</v>
      </c>
      <c r="J16" s="15">
        <f t="shared" si="0"/>
        <v>14.325000000000001</v>
      </c>
      <c r="K16" s="15">
        <f t="shared" si="0"/>
        <v>14.549999999999999</v>
      </c>
      <c r="L16" s="15">
        <f t="shared" si="0"/>
        <v>15.716666666666669</v>
      </c>
      <c r="M16" s="15">
        <f t="shared" si="0"/>
        <v>15.149999999999999</v>
      </c>
      <c r="N16" s="15">
        <f t="shared" si="0"/>
        <v>15.25</v>
      </c>
      <c r="O16" s="15">
        <f t="shared" si="0"/>
        <v>13.15</v>
      </c>
      <c r="P16" s="15">
        <f>(P4+P5+P6+P7+P8+P9+P10+P11+P12+P13+P14+P15)/12</f>
        <v>14.4</v>
      </c>
      <c r="Q16" s="15">
        <f>(Q4+Q5+Q6+Q7+Q8+Q9+Q10+Q11+Q12+Q13+Q14+Q15)/12</f>
        <v>11.825000000000001</v>
      </c>
      <c r="R16" s="15">
        <f>(R4+R5+R6+R7+R8+R9+R10+R11+R12+R13+R14+R15)/12</f>
        <v>14.933333333333332</v>
      </c>
      <c r="S16" s="15">
        <f t="shared" ref="S16:AF16" si="1">(S4+S5+S6+S7+S8+S9+S10+S11+S12+S13+S14+S15)/12</f>
        <v>18.624999999999996</v>
      </c>
      <c r="T16" s="15">
        <f t="shared" si="1"/>
        <v>20.366666666666667</v>
      </c>
      <c r="U16" s="15">
        <f t="shared" si="1"/>
        <v>23.633333333333329</v>
      </c>
      <c r="V16" s="15">
        <f t="shared" si="1"/>
        <v>22.316666666666666</v>
      </c>
      <c r="W16" s="15">
        <f t="shared" si="1"/>
        <v>19.666666666666668</v>
      </c>
      <c r="X16" s="15">
        <f t="shared" si="1"/>
        <v>19.333333333333336</v>
      </c>
      <c r="Y16" s="15">
        <f t="shared" si="1"/>
        <v>19.866666666666671</v>
      </c>
      <c r="Z16" s="15">
        <f t="shared" si="1"/>
        <v>15.466666666666669</v>
      </c>
      <c r="AA16" s="15">
        <f t="shared" si="1"/>
        <v>14.824999999999998</v>
      </c>
      <c r="AB16" s="15">
        <f t="shared" si="1"/>
        <v>13.549999999999997</v>
      </c>
      <c r="AC16" s="15">
        <f t="shared" si="1"/>
        <v>8.9750000000000032</v>
      </c>
      <c r="AD16" s="15">
        <f t="shared" si="1"/>
        <v>8.9499999999999993</v>
      </c>
      <c r="AE16" s="15">
        <f t="shared" si="1"/>
        <v>11.716666666666667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6.4</v>
      </c>
      <c r="C24" s="17">
        <v>1.2</v>
      </c>
      <c r="D24" s="17">
        <v>0.2</v>
      </c>
      <c r="E24" s="17">
        <v>1.5</v>
      </c>
      <c r="F24" s="17">
        <v>2.2000000000000002</v>
      </c>
      <c r="G24" s="17">
        <v>0.8</v>
      </c>
      <c r="H24" s="17">
        <v>3.1</v>
      </c>
      <c r="I24" s="17">
        <v>6.7</v>
      </c>
      <c r="J24" s="17">
        <v>11.7</v>
      </c>
      <c r="K24" s="15">
        <v>13.1</v>
      </c>
      <c r="L24" s="15">
        <v>15.3</v>
      </c>
      <c r="M24" s="15">
        <v>13.3</v>
      </c>
      <c r="N24" s="15">
        <v>15.4</v>
      </c>
      <c r="O24" s="15">
        <v>15.1</v>
      </c>
      <c r="P24" s="15">
        <v>14.2</v>
      </c>
      <c r="Q24" s="15">
        <v>14.2</v>
      </c>
      <c r="R24" s="13">
        <v>13.2</v>
      </c>
      <c r="S24" s="13">
        <v>15.2</v>
      </c>
      <c r="T24" s="13">
        <v>15.3</v>
      </c>
      <c r="U24" s="13">
        <v>17.7</v>
      </c>
      <c r="V24" s="13">
        <v>19</v>
      </c>
      <c r="W24" s="13">
        <v>20</v>
      </c>
      <c r="X24" s="13">
        <v>16.899999999999999</v>
      </c>
      <c r="Y24" s="13">
        <v>18.100000000000001</v>
      </c>
      <c r="Z24" s="13">
        <v>17.2</v>
      </c>
      <c r="AA24" s="13">
        <v>13.7</v>
      </c>
      <c r="AB24" s="19">
        <v>11.9</v>
      </c>
      <c r="AC24" s="13">
        <v>10.3</v>
      </c>
      <c r="AD24" s="13">
        <v>10.7</v>
      </c>
      <c r="AE24" s="13">
        <v>8.4</v>
      </c>
      <c r="AF24" s="13"/>
    </row>
    <row r="25" spans="1:32" x14ac:dyDescent="0.25">
      <c r="A25" s="10">
        <v>6</v>
      </c>
      <c r="B25" s="17">
        <v>8.6</v>
      </c>
      <c r="C25" s="17">
        <v>0.9</v>
      </c>
      <c r="D25" s="17">
        <v>0.5</v>
      </c>
      <c r="E25" s="17">
        <v>1.7</v>
      </c>
      <c r="F25" s="17">
        <v>3.9</v>
      </c>
      <c r="G25" s="17">
        <v>4.8</v>
      </c>
      <c r="H25" s="17">
        <v>5.4</v>
      </c>
      <c r="I25" s="17">
        <v>9.6999999999999993</v>
      </c>
      <c r="J25" s="17">
        <v>13.4</v>
      </c>
      <c r="K25" s="15">
        <v>14.2</v>
      </c>
      <c r="L25" s="15">
        <v>17</v>
      </c>
      <c r="M25" s="15">
        <v>14.1</v>
      </c>
      <c r="N25" s="15">
        <v>16.100000000000001</v>
      </c>
      <c r="O25" s="15">
        <v>13.8</v>
      </c>
      <c r="P25" s="15">
        <v>15</v>
      </c>
      <c r="Q25" s="15">
        <v>14.2</v>
      </c>
      <c r="R25" s="13">
        <v>12.7</v>
      </c>
      <c r="S25" s="13">
        <v>17.7</v>
      </c>
      <c r="T25" s="13">
        <v>19.100000000000001</v>
      </c>
      <c r="U25" s="13">
        <v>21.3</v>
      </c>
      <c r="V25" s="13">
        <v>20</v>
      </c>
      <c r="W25" s="13">
        <v>22.1</v>
      </c>
      <c r="X25" s="13">
        <v>17.3</v>
      </c>
      <c r="Y25" s="13">
        <v>20.3</v>
      </c>
      <c r="Z25" s="13">
        <v>17.100000000000001</v>
      </c>
      <c r="AA25" s="13">
        <v>15.7</v>
      </c>
      <c r="AB25" s="19">
        <v>13</v>
      </c>
      <c r="AC25" s="13">
        <v>10.199999999999999</v>
      </c>
      <c r="AD25" s="13">
        <v>10.6</v>
      </c>
      <c r="AE25" s="13">
        <v>9.1</v>
      </c>
      <c r="AF25" s="13"/>
    </row>
    <row r="26" spans="1:32" x14ac:dyDescent="0.25">
      <c r="A26" s="10">
        <v>8</v>
      </c>
      <c r="B26" s="17">
        <v>9.6</v>
      </c>
      <c r="C26" s="17">
        <v>0.5</v>
      </c>
      <c r="D26" s="17">
        <v>0.9</v>
      </c>
      <c r="E26" s="17">
        <v>1.1000000000000001</v>
      </c>
      <c r="F26" s="17">
        <v>5.8</v>
      </c>
      <c r="G26" s="17">
        <v>5.2</v>
      </c>
      <c r="H26" s="17">
        <v>8.3000000000000007</v>
      </c>
      <c r="I26" s="17">
        <v>12.7</v>
      </c>
      <c r="J26" s="17">
        <v>14.8</v>
      </c>
      <c r="K26" s="15">
        <v>12.3</v>
      </c>
      <c r="L26" s="15">
        <v>18.2</v>
      </c>
      <c r="M26" s="15">
        <v>15.6</v>
      </c>
      <c r="N26" s="15">
        <v>18.100000000000001</v>
      </c>
      <c r="O26" s="15">
        <v>14.4</v>
      </c>
      <c r="P26" s="15">
        <v>16.100000000000001</v>
      </c>
      <c r="Q26" s="15">
        <v>13.9</v>
      </c>
      <c r="R26" s="13">
        <v>12.3</v>
      </c>
      <c r="S26" s="13">
        <v>19.899999999999999</v>
      </c>
      <c r="T26" s="13">
        <v>23.2</v>
      </c>
      <c r="U26" s="13">
        <v>24.6</v>
      </c>
      <c r="V26" s="13">
        <v>23</v>
      </c>
      <c r="W26" s="13">
        <v>24.1</v>
      </c>
      <c r="X26" s="13">
        <v>17.8</v>
      </c>
      <c r="Y26" s="13">
        <v>23</v>
      </c>
      <c r="Z26" s="13">
        <v>16</v>
      </c>
      <c r="AA26" s="13">
        <v>17.899999999999999</v>
      </c>
      <c r="AB26" s="19">
        <v>12.4</v>
      </c>
      <c r="AC26" s="13">
        <v>11.4</v>
      </c>
      <c r="AD26" s="13">
        <v>10</v>
      </c>
      <c r="AE26" s="13">
        <v>9.6999999999999993</v>
      </c>
      <c r="AF26" s="13"/>
    </row>
    <row r="27" spans="1:32" x14ac:dyDescent="0.25">
      <c r="A27" s="10">
        <v>10</v>
      </c>
      <c r="B27" s="17">
        <v>9.1999999999999993</v>
      </c>
      <c r="C27" s="17">
        <v>0.7</v>
      </c>
      <c r="D27" s="17">
        <v>2.2999999999999998</v>
      </c>
      <c r="E27" s="17">
        <v>1.9</v>
      </c>
      <c r="F27" s="17">
        <v>8.4</v>
      </c>
      <c r="G27" s="17">
        <v>6.7</v>
      </c>
      <c r="H27" s="17">
        <v>10.5</v>
      </c>
      <c r="I27" s="17">
        <v>15.6</v>
      </c>
      <c r="J27" s="17">
        <v>15.8</v>
      </c>
      <c r="K27" s="15">
        <v>12.4</v>
      </c>
      <c r="L27" s="15">
        <v>20.3</v>
      </c>
      <c r="M27" s="15">
        <v>20</v>
      </c>
      <c r="N27" s="15">
        <v>19.3</v>
      </c>
      <c r="O27" s="15">
        <v>14.7</v>
      </c>
      <c r="P27" s="15">
        <v>16.399999999999999</v>
      </c>
      <c r="Q27" s="15">
        <v>13.6</v>
      </c>
      <c r="R27" s="13">
        <v>12.9</v>
      </c>
      <c r="S27" s="13">
        <v>22.2</v>
      </c>
      <c r="T27" s="13">
        <v>25.1</v>
      </c>
      <c r="U27" s="13">
        <v>26.6</v>
      </c>
      <c r="V27" s="13">
        <v>25</v>
      </c>
      <c r="W27" s="13">
        <v>25.6</v>
      </c>
      <c r="X27" s="13">
        <v>19.5</v>
      </c>
      <c r="Y27" s="13">
        <v>25.8</v>
      </c>
      <c r="Z27" s="13">
        <v>17.600000000000001</v>
      </c>
      <c r="AA27" s="13">
        <v>19</v>
      </c>
      <c r="AB27" s="19">
        <v>12.6</v>
      </c>
      <c r="AC27" s="13">
        <v>11.9</v>
      </c>
      <c r="AD27" s="13">
        <v>9.6999999999999993</v>
      </c>
      <c r="AE27" s="13">
        <v>10.4</v>
      </c>
      <c r="AF27" s="13"/>
    </row>
    <row r="28" spans="1:32" x14ac:dyDescent="0.25">
      <c r="A28" s="10">
        <v>12</v>
      </c>
      <c r="B28" s="17">
        <v>7.9</v>
      </c>
      <c r="C28" s="17">
        <v>1.7</v>
      </c>
      <c r="D28" s="17">
        <v>2.7</v>
      </c>
      <c r="E28" s="17">
        <v>0.7</v>
      </c>
      <c r="F28" s="17">
        <v>9.5</v>
      </c>
      <c r="G28" s="17">
        <v>7.3</v>
      </c>
      <c r="H28" s="17">
        <v>12.2</v>
      </c>
      <c r="I28" s="17">
        <v>17.399999999999999</v>
      </c>
      <c r="J28" s="17">
        <v>18.600000000000001</v>
      </c>
      <c r="K28" s="15">
        <v>14.4</v>
      </c>
      <c r="L28" s="15">
        <v>20</v>
      </c>
      <c r="M28" s="15">
        <v>20</v>
      </c>
      <c r="N28" s="15">
        <v>19.600000000000001</v>
      </c>
      <c r="O28" s="15">
        <v>15.5</v>
      </c>
      <c r="P28" s="15">
        <v>18.100000000000001</v>
      </c>
      <c r="Q28" s="15">
        <v>13.9</v>
      </c>
      <c r="R28" s="13">
        <v>17.2</v>
      </c>
      <c r="S28" s="13">
        <v>23.6</v>
      </c>
      <c r="T28" s="13">
        <v>27.8</v>
      </c>
      <c r="U28" s="13">
        <v>28.2</v>
      </c>
      <c r="V28" s="13">
        <v>27.8</v>
      </c>
      <c r="W28" s="13">
        <v>25.8</v>
      </c>
      <c r="X28" s="13">
        <v>22.7</v>
      </c>
      <c r="Y28" s="13">
        <v>19.5</v>
      </c>
      <c r="Z28" s="13">
        <v>19.8</v>
      </c>
      <c r="AA28" s="13">
        <v>17</v>
      </c>
      <c r="AB28" s="19">
        <v>12.6</v>
      </c>
      <c r="AC28" s="13">
        <v>12.6</v>
      </c>
      <c r="AD28" s="13">
        <v>9.8000000000000007</v>
      </c>
      <c r="AE28" s="13">
        <v>12.5</v>
      </c>
      <c r="AF28" s="13"/>
    </row>
    <row r="29" spans="1:32" x14ac:dyDescent="0.25">
      <c r="A29" s="10">
        <v>14</v>
      </c>
      <c r="B29" s="17">
        <v>7</v>
      </c>
      <c r="C29" s="17">
        <v>1.1000000000000001</v>
      </c>
      <c r="D29" s="17">
        <v>3</v>
      </c>
      <c r="E29" s="17">
        <v>1.7</v>
      </c>
      <c r="F29" s="17">
        <v>10.4</v>
      </c>
      <c r="G29" s="17">
        <v>7.6</v>
      </c>
      <c r="H29" s="17">
        <v>13</v>
      </c>
      <c r="I29" s="17">
        <v>20.5</v>
      </c>
      <c r="J29" s="17">
        <v>17.5</v>
      </c>
      <c r="K29" s="15">
        <v>16.899999999999999</v>
      </c>
      <c r="L29" s="15">
        <v>17</v>
      </c>
      <c r="M29" s="15">
        <v>20.2</v>
      </c>
      <c r="N29" s="15">
        <v>21.1</v>
      </c>
      <c r="O29" s="15">
        <v>14.9</v>
      </c>
      <c r="P29" s="15">
        <v>19.3</v>
      </c>
      <c r="Q29" s="15">
        <v>13.7</v>
      </c>
      <c r="R29" s="13">
        <v>18.899999999999999</v>
      </c>
      <c r="S29" s="13">
        <v>25</v>
      </c>
      <c r="T29" s="13">
        <v>26.7</v>
      </c>
      <c r="U29" s="13">
        <v>29.2</v>
      </c>
      <c r="V29" s="13">
        <v>28.8</v>
      </c>
      <c r="W29" s="13">
        <v>22.6</v>
      </c>
      <c r="X29" s="13">
        <v>24.4</v>
      </c>
      <c r="Y29" s="13">
        <v>25.8</v>
      </c>
      <c r="Z29" s="13">
        <v>21.1</v>
      </c>
      <c r="AA29" s="13">
        <v>21.5</v>
      </c>
      <c r="AB29" s="19">
        <v>12.6</v>
      </c>
      <c r="AC29" s="13">
        <v>12</v>
      </c>
      <c r="AD29" s="13">
        <v>9.9</v>
      </c>
      <c r="AE29" s="13">
        <v>12.8</v>
      </c>
      <c r="AF29" s="13"/>
    </row>
    <row r="30" spans="1:32" x14ac:dyDescent="0.25">
      <c r="A30" s="10">
        <v>16</v>
      </c>
      <c r="B30" s="17">
        <v>5.9</v>
      </c>
      <c r="C30" s="17">
        <v>-0.5</v>
      </c>
      <c r="D30" s="17">
        <v>4</v>
      </c>
      <c r="E30" s="17">
        <v>1.4</v>
      </c>
      <c r="F30" s="17">
        <v>10.4</v>
      </c>
      <c r="G30" s="17">
        <v>7.8</v>
      </c>
      <c r="H30" s="17">
        <v>14</v>
      </c>
      <c r="I30" s="17">
        <v>20.8</v>
      </c>
      <c r="J30" s="17">
        <v>17.2</v>
      </c>
      <c r="K30" s="15">
        <v>20.9</v>
      </c>
      <c r="L30" s="15">
        <v>15.4</v>
      </c>
      <c r="M30" s="15">
        <v>20.100000000000001</v>
      </c>
      <c r="N30" s="15">
        <v>17.600000000000001</v>
      </c>
      <c r="O30" s="15">
        <v>14.9</v>
      </c>
      <c r="P30" s="15">
        <v>19.600000000000001</v>
      </c>
      <c r="Q30" s="15">
        <v>14.4</v>
      </c>
      <c r="R30" s="13">
        <v>19.5</v>
      </c>
      <c r="S30" s="13">
        <v>24.8</v>
      </c>
      <c r="T30" s="13">
        <v>27.8</v>
      </c>
      <c r="U30" s="13">
        <v>30.1</v>
      </c>
      <c r="V30" s="13">
        <v>28.7</v>
      </c>
      <c r="W30" s="13">
        <v>21</v>
      </c>
      <c r="X30" s="13">
        <v>25.7</v>
      </c>
      <c r="Y30" s="13">
        <v>23.2</v>
      </c>
      <c r="Z30" s="13">
        <v>20.8</v>
      </c>
      <c r="AA30" s="13">
        <v>14.6</v>
      </c>
      <c r="AB30" s="19">
        <v>11.8</v>
      </c>
      <c r="AC30" s="13">
        <v>12.1</v>
      </c>
      <c r="AD30" s="13">
        <v>9.6999999999999993</v>
      </c>
      <c r="AE30" s="13">
        <v>13.6</v>
      </c>
      <c r="AF30" s="13"/>
    </row>
    <row r="31" spans="1:32" x14ac:dyDescent="0.25">
      <c r="A31" s="10">
        <v>18</v>
      </c>
      <c r="B31" s="17">
        <v>6</v>
      </c>
      <c r="C31" s="17">
        <v>1.8</v>
      </c>
      <c r="D31" s="17">
        <v>4.0999999999999996</v>
      </c>
      <c r="E31" s="17">
        <v>1.6</v>
      </c>
      <c r="F31" s="17">
        <v>9.4</v>
      </c>
      <c r="G31" s="17">
        <v>7.6</v>
      </c>
      <c r="H31" s="17">
        <v>13.9</v>
      </c>
      <c r="I31" s="17">
        <v>21.6</v>
      </c>
      <c r="J31" s="17">
        <v>18.100000000000001</v>
      </c>
      <c r="K31" s="15">
        <v>18.399999999999999</v>
      </c>
      <c r="L31" s="15">
        <v>14.7</v>
      </c>
      <c r="M31" s="15">
        <v>20.100000000000001</v>
      </c>
      <c r="N31" s="15">
        <v>18.5</v>
      </c>
      <c r="O31" s="15">
        <v>14.5</v>
      </c>
      <c r="P31" s="15">
        <v>18.899999999999999</v>
      </c>
      <c r="Q31" s="15">
        <v>14.2</v>
      </c>
      <c r="R31" s="13">
        <v>20.399999999999999</v>
      </c>
      <c r="S31" s="13">
        <v>25.4</v>
      </c>
      <c r="T31" s="13">
        <v>27.3</v>
      </c>
      <c r="U31" s="13">
        <v>28.9</v>
      </c>
      <c r="V31" s="13">
        <v>26.9</v>
      </c>
      <c r="W31" s="13">
        <v>21.2</v>
      </c>
      <c r="X31" s="13">
        <v>25.4</v>
      </c>
      <c r="Y31" s="13">
        <v>21.3</v>
      </c>
      <c r="Z31" s="13">
        <v>19</v>
      </c>
      <c r="AA31" s="13">
        <v>14.7</v>
      </c>
      <c r="AB31" s="19">
        <v>11.6</v>
      </c>
      <c r="AC31" s="13">
        <v>11.5</v>
      </c>
      <c r="AD31" s="13">
        <v>9.6999999999999993</v>
      </c>
      <c r="AE31" s="13">
        <v>13.7</v>
      </c>
      <c r="AF31" s="13"/>
    </row>
    <row r="32" spans="1:32" x14ac:dyDescent="0.25">
      <c r="A32" s="10">
        <v>20</v>
      </c>
      <c r="B32" s="17">
        <v>4.7</v>
      </c>
      <c r="C32" s="17">
        <v>1.4</v>
      </c>
      <c r="D32" s="17">
        <v>1.7</v>
      </c>
      <c r="E32" s="17">
        <v>1.1000000000000001</v>
      </c>
      <c r="F32" s="17">
        <v>6.7</v>
      </c>
      <c r="G32" s="17">
        <v>6.1</v>
      </c>
      <c r="H32" s="17">
        <v>12.3</v>
      </c>
      <c r="I32" s="17">
        <v>18.399999999999999</v>
      </c>
      <c r="J32" s="17">
        <v>17.899999999999999</v>
      </c>
      <c r="K32" s="15">
        <v>17.399999999999999</v>
      </c>
      <c r="L32" s="15">
        <v>13.8</v>
      </c>
      <c r="M32" s="15">
        <v>18.8</v>
      </c>
      <c r="N32" s="15">
        <v>19.5</v>
      </c>
      <c r="O32" s="15">
        <v>14.7</v>
      </c>
      <c r="P32" s="15">
        <v>15.5</v>
      </c>
      <c r="Q32" s="15">
        <v>14.3</v>
      </c>
      <c r="R32" s="13">
        <v>19.2</v>
      </c>
      <c r="S32" s="13">
        <v>22</v>
      </c>
      <c r="T32" s="13">
        <v>24.5</v>
      </c>
      <c r="U32" s="13">
        <v>25.9</v>
      </c>
      <c r="V32" s="13">
        <v>23.6</v>
      </c>
      <c r="W32" s="13">
        <v>20.9</v>
      </c>
      <c r="X32" s="13">
        <v>22.8</v>
      </c>
      <c r="Y32" s="13">
        <v>19.2</v>
      </c>
      <c r="Z32" s="13">
        <v>17.2</v>
      </c>
      <c r="AA32" s="13">
        <v>14.7</v>
      </c>
      <c r="AB32" s="19">
        <v>12</v>
      </c>
      <c r="AC32" s="13">
        <v>11</v>
      </c>
      <c r="AD32" s="13">
        <v>9.6999999999999993</v>
      </c>
      <c r="AE32" s="13">
        <v>13.6</v>
      </c>
      <c r="AF32" s="13"/>
    </row>
    <row r="33" spans="1:32" x14ac:dyDescent="0.25">
      <c r="A33" s="10">
        <v>22</v>
      </c>
      <c r="B33" s="17">
        <v>3.7</v>
      </c>
      <c r="C33" s="17">
        <v>1.6</v>
      </c>
      <c r="D33" s="17">
        <v>2</v>
      </c>
      <c r="E33" s="17">
        <v>1</v>
      </c>
      <c r="F33" s="17">
        <v>5.9</v>
      </c>
      <c r="G33" s="17">
        <v>5.0999999999999996</v>
      </c>
      <c r="H33" s="17">
        <v>9.6</v>
      </c>
      <c r="I33" s="17">
        <v>14.6</v>
      </c>
      <c r="J33" s="17">
        <v>15.6</v>
      </c>
      <c r="K33" s="15">
        <v>16.399999999999999</v>
      </c>
      <c r="L33" s="15">
        <v>13.6</v>
      </c>
      <c r="M33" s="15">
        <v>16.5</v>
      </c>
      <c r="N33" s="15">
        <v>17.100000000000001</v>
      </c>
      <c r="O33" s="15">
        <v>14.2</v>
      </c>
      <c r="P33" s="15">
        <v>15</v>
      </c>
      <c r="Q33" s="15">
        <v>13.9</v>
      </c>
      <c r="R33" s="13">
        <v>16.899999999999999</v>
      </c>
      <c r="S33" s="13">
        <v>17.2</v>
      </c>
      <c r="T33" s="13">
        <v>20.100000000000001</v>
      </c>
      <c r="U33" s="13">
        <v>23</v>
      </c>
      <c r="V33" s="13">
        <v>21.7</v>
      </c>
      <c r="W33" s="13">
        <v>18.899999999999999</v>
      </c>
      <c r="X33" s="13">
        <v>20</v>
      </c>
      <c r="Y33" s="13">
        <v>18.8</v>
      </c>
      <c r="Z33" s="13">
        <v>14.2</v>
      </c>
      <c r="AA33" s="13">
        <v>14.3</v>
      </c>
      <c r="AB33" s="19">
        <v>11.3</v>
      </c>
      <c r="AC33" s="13">
        <v>10.7</v>
      </c>
      <c r="AD33" s="13">
        <v>8.9</v>
      </c>
      <c r="AE33" s="13">
        <v>13.6</v>
      </c>
      <c r="AF33" s="13"/>
    </row>
    <row r="34" spans="1:32" x14ac:dyDescent="0.25">
      <c r="A34" s="10">
        <v>24</v>
      </c>
      <c r="B34" s="17">
        <v>2.4</v>
      </c>
      <c r="C34" s="17">
        <v>1</v>
      </c>
      <c r="D34" s="17">
        <v>1.5</v>
      </c>
      <c r="E34" s="17">
        <v>0.7</v>
      </c>
      <c r="F34" s="17">
        <v>4.9000000000000004</v>
      </c>
      <c r="G34" s="17">
        <v>3.8</v>
      </c>
      <c r="H34" s="17">
        <v>7.4</v>
      </c>
      <c r="I34" s="17">
        <v>12.6</v>
      </c>
      <c r="J34" s="17">
        <v>11.5</v>
      </c>
      <c r="K34" s="15">
        <v>16.600000000000001</v>
      </c>
      <c r="L34" s="15">
        <v>13.5</v>
      </c>
      <c r="M34" s="15">
        <v>15.2</v>
      </c>
      <c r="N34" s="15">
        <v>15.6</v>
      </c>
      <c r="O34" s="15">
        <v>14.1</v>
      </c>
      <c r="P34" s="15">
        <v>15.4</v>
      </c>
      <c r="Q34" s="15">
        <v>12.6</v>
      </c>
      <c r="R34" s="13">
        <v>15.7</v>
      </c>
      <c r="S34" s="13">
        <v>14.2</v>
      </c>
      <c r="T34" s="13">
        <v>18.8</v>
      </c>
      <c r="U34" s="13">
        <v>19</v>
      </c>
      <c r="V34" s="13">
        <v>21</v>
      </c>
      <c r="W34" s="13">
        <v>17.100000000000001</v>
      </c>
      <c r="X34" s="13">
        <v>18.399999999999999</v>
      </c>
      <c r="Y34" s="13">
        <v>18.5</v>
      </c>
      <c r="Z34" s="13">
        <v>13.3</v>
      </c>
      <c r="AA34" s="13">
        <v>14.1</v>
      </c>
      <c r="AB34" s="19">
        <v>10.3</v>
      </c>
      <c r="AC34" s="13">
        <v>10.7</v>
      </c>
      <c r="AD34" s="13">
        <v>8.3000000000000007</v>
      </c>
      <c r="AE34" s="13">
        <v>13.5</v>
      </c>
      <c r="AF34" s="13"/>
    </row>
    <row r="35" spans="1:32" x14ac:dyDescent="0.25">
      <c r="A35" s="10">
        <v>2</v>
      </c>
      <c r="B35" s="17">
        <v>2.2000000000000002</v>
      </c>
      <c r="C35" s="17">
        <v>0.3</v>
      </c>
      <c r="D35" s="17">
        <v>1.6</v>
      </c>
      <c r="E35" s="17">
        <v>1.4</v>
      </c>
      <c r="F35" s="17">
        <v>2.2000000000000002</v>
      </c>
      <c r="G35" s="17">
        <v>3.2</v>
      </c>
      <c r="H35" s="17">
        <v>6.1</v>
      </c>
      <c r="I35" s="17">
        <v>12.7</v>
      </c>
      <c r="J35" s="17">
        <v>12.7</v>
      </c>
      <c r="K35" s="15">
        <v>14.6</v>
      </c>
      <c r="L35" s="15">
        <v>13.1</v>
      </c>
      <c r="M35" s="15">
        <v>15.8</v>
      </c>
      <c r="N35" s="15">
        <v>15.4</v>
      </c>
      <c r="O35" s="15">
        <v>14.1</v>
      </c>
      <c r="P35" s="15">
        <v>14.7</v>
      </c>
      <c r="Q35" s="15">
        <v>12.3</v>
      </c>
      <c r="R35" s="13">
        <v>15.5</v>
      </c>
      <c r="S35" s="13">
        <v>12.7</v>
      </c>
      <c r="T35" s="13">
        <v>17.5</v>
      </c>
      <c r="U35" s="13">
        <v>18</v>
      </c>
      <c r="V35" s="13">
        <v>20.7</v>
      </c>
      <c r="W35" s="13">
        <v>17.100000000000001</v>
      </c>
      <c r="X35" s="13">
        <v>17</v>
      </c>
      <c r="Y35" s="13">
        <v>17.7</v>
      </c>
      <c r="Z35" s="13">
        <v>13</v>
      </c>
      <c r="AA35" s="13">
        <v>14.4</v>
      </c>
      <c r="AB35" s="19">
        <v>9.8000000000000007</v>
      </c>
      <c r="AC35" s="13">
        <v>10.6</v>
      </c>
      <c r="AD35" s="13">
        <v>8.5</v>
      </c>
      <c r="AE35" s="13">
        <v>14.1</v>
      </c>
      <c r="AF35" s="13"/>
    </row>
    <row r="36" spans="1:32" ht="30" x14ac:dyDescent="0.25">
      <c r="A36" s="11" t="s">
        <v>2</v>
      </c>
      <c r="B36" s="15">
        <f>(B24+B25+B26+B27+B28+B29+B30+B31+B32+B33+B34+B35)/12</f>
        <v>6.1333333333333337</v>
      </c>
      <c r="C36" s="15">
        <f t="shared" ref="C36:J36" si="2">(C24+C25+C26+C27+C28+C29+C30+C31+C32+C33+C34+C35)/12</f>
        <v>0.97499999999999998</v>
      </c>
      <c r="D36" s="15">
        <f t="shared" si="2"/>
        <v>2.0416666666666665</v>
      </c>
      <c r="E36" s="15">
        <f t="shared" si="2"/>
        <v>1.3166666666666667</v>
      </c>
      <c r="F36" s="15">
        <f t="shared" si="2"/>
        <v>6.6416666666666666</v>
      </c>
      <c r="G36" s="15">
        <f t="shared" si="2"/>
        <v>5.5</v>
      </c>
      <c r="H36" s="15">
        <f t="shared" si="2"/>
        <v>9.65</v>
      </c>
      <c r="I36" s="15">
        <f t="shared" si="2"/>
        <v>15.274999999999999</v>
      </c>
      <c r="J36" s="15">
        <f t="shared" si="2"/>
        <v>15.4</v>
      </c>
      <c r="K36" s="15">
        <f>(K24+K25+K26+K27+K28+K29+K30+K31+K32+K33+K34+K35)/12</f>
        <v>15.633333333333333</v>
      </c>
      <c r="L36" s="15">
        <f t="shared" ref="L36:AF36" si="3">(L24+L25+L26+L27+L28+L29+L30+L31+L32+L33+L34+L35)/12</f>
        <v>15.991666666666667</v>
      </c>
      <c r="M36" s="15">
        <f t="shared" si="3"/>
        <v>17.475000000000001</v>
      </c>
      <c r="N36" s="15">
        <f t="shared" si="3"/>
        <v>17.774999999999999</v>
      </c>
      <c r="O36" s="15">
        <f t="shared" si="3"/>
        <v>14.574999999999998</v>
      </c>
      <c r="P36" s="15">
        <f t="shared" si="3"/>
        <v>16.516666666666666</v>
      </c>
      <c r="Q36" s="15">
        <f t="shared" si="3"/>
        <v>13.766666666666667</v>
      </c>
      <c r="R36" s="15">
        <f t="shared" si="3"/>
        <v>16.2</v>
      </c>
      <c r="S36" s="15">
        <f t="shared" si="3"/>
        <v>19.991666666666664</v>
      </c>
      <c r="T36" s="15">
        <f t="shared" si="3"/>
        <v>22.766666666666669</v>
      </c>
      <c r="U36" s="15">
        <f t="shared" si="3"/>
        <v>24.375</v>
      </c>
      <c r="V36" s="15">
        <f t="shared" si="3"/>
        <v>23.849999999999998</v>
      </c>
      <c r="W36" s="15">
        <f t="shared" si="3"/>
        <v>21.366666666666671</v>
      </c>
      <c r="X36" s="15">
        <f t="shared" si="3"/>
        <v>20.658333333333335</v>
      </c>
      <c r="Y36" s="15">
        <f t="shared" si="3"/>
        <v>20.933333333333334</v>
      </c>
      <c r="Z36" s="15">
        <f t="shared" si="3"/>
        <v>17.191666666666666</v>
      </c>
      <c r="AA36" s="15">
        <f t="shared" si="3"/>
        <v>15.966666666666667</v>
      </c>
      <c r="AB36" s="15">
        <f t="shared" si="3"/>
        <v>11.825000000000001</v>
      </c>
      <c r="AC36" s="15">
        <f t="shared" si="3"/>
        <v>11.25</v>
      </c>
      <c r="AD36" s="15">
        <f t="shared" si="3"/>
        <v>9.625</v>
      </c>
      <c r="AE36" s="15">
        <f t="shared" si="3"/>
        <v>12.08333333333333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AE38" sqref="AE38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13</v>
      </c>
      <c r="C4" s="19">
        <v>9</v>
      </c>
      <c r="D4" s="19">
        <v>12.3</v>
      </c>
      <c r="E4" s="19">
        <v>8.8000000000000007</v>
      </c>
      <c r="F4" s="19">
        <v>8.5</v>
      </c>
      <c r="G4" s="19">
        <v>14.4</v>
      </c>
      <c r="H4" s="19">
        <v>17</v>
      </c>
      <c r="I4" s="19">
        <v>18</v>
      </c>
      <c r="J4" s="19">
        <v>20</v>
      </c>
      <c r="K4" s="19">
        <v>16.7</v>
      </c>
      <c r="L4" s="20">
        <v>18.5</v>
      </c>
      <c r="M4" s="19">
        <v>13.6</v>
      </c>
      <c r="N4" s="19">
        <v>12</v>
      </c>
      <c r="O4" s="19">
        <v>13.7</v>
      </c>
      <c r="P4" s="19">
        <v>17.8</v>
      </c>
      <c r="Q4" s="19">
        <v>16</v>
      </c>
      <c r="R4" s="19">
        <v>12</v>
      </c>
      <c r="S4" s="19">
        <v>12</v>
      </c>
      <c r="T4" s="19">
        <v>14.9</v>
      </c>
      <c r="U4" s="19">
        <v>17</v>
      </c>
      <c r="V4" s="19">
        <v>14.2</v>
      </c>
      <c r="W4" s="20">
        <v>12</v>
      </c>
      <c r="X4" s="19">
        <v>10.5</v>
      </c>
      <c r="Y4" s="20">
        <v>12.1</v>
      </c>
      <c r="Z4" s="19">
        <v>11.2</v>
      </c>
      <c r="AA4" s="19">
        <v>14.9</v>
      </c>
      <c r="AB4" s="19">
        <v>15.9</v>
      </c>
      <c r="AC4" s="19">
        <v>12.8</v>
      </c>
      <c r="AD4" s="19">
        <v>15.9</v>
      </c>
      <c r="AE4" s="19">
        <v>19.100000000000001</v>
      </c>
      <c r="AF4" s="19">
        <v>13</v>
      </c>
    </row>
    <row r="5" spans="1:33" x14ac:dyDescent="0.25">
      <c r="A5" s="10">
        <v>6</v>
      </c>
      <c r="B5" s="19">
        <v>13</v>
      </c>
      <c r="C5" s="19">
        <v>9.6999999999999993</v>
      </c>
      <c r="D5" s="19">
        <v>12.3</v>
      </c>
      <c r="E5" s="19">
        <v>9.8000000000000007</v>
      </c>
      <c r="F5" s="19">
        <v>9.3000000000000007</v>
      </c>
      <c r="G5" s="19">
        <v>15</v>
      </c>
      <c r="H5" s="19">
        <v>19.7</v>
      </c>
      <c r="I5" s="19">
        <v>20.399999999999999</v>
      </c>
      <c r="J5" s="19">
        <v>21.2</v>
      </c>
      <c r="K5" s="19">
        <v>16.8</v>
      </c>
      <c r="L5" s="20">
        <v>19</v>
      </c>
      <c r="M5" s="19">
        <v>15</v>
      </c>
      <c r="N5" s="19">
        <v>14.5</v>
      </c>
      <c r="O5" s="19">
        <v>14</v>
      </c>
      <c r="P5" s="19">
        <v>18</v>
      </c>
      <c r="Q5" s="19">
        <v>16.5</v>
      </c>
      <c r="R5" s="19">
        <v>15</v>
      </c>
      <c r="S5" s="19">
        <v>15</v>
      </c>
      <c r="T5" s="19">
        <v>15.1</v>
      </c>
      <c r="U5" s="19">
        <v>18.7</v>
      </c>
      <c r="V5" s="19">
        <v>15.1</v>
      </c>
      <c r="W5" s="20">
        <v>13</v>
      </c>
      <c r="X5" s="19">
        <v>11</v>
      </c>
      <c r="Y5" s="20">
        <v>12.3</v>
      </c>
      <c r="Z5" s="19">
        <v>12.3</v>
      </c>
      <c r="AA5" s="19">
        <v>15.9</v>
      </c>
      <c r="AB5" s="19">
        <v>16.7</v>
      </c>
      <c r="AC5" s="19">
        <v>13</v>
      </c>
      <c r="AD5" s="19">
        <v>16.399999999999999</v>
      </c>
      <c r="AE5" s="19">
        <v>16.2</v>
      </c>
      <c r="AF5" s="19">
        <v>12.9</v>
      </c>
    </row>
    <row r="6" spans="1:33" x14ac:dyDescent="0.25">
      <c r="A6" s="10">
        <v>8</v>
      </c>
      <c r="B6" s="19">
        <v>12</v>
      </c>
      <c r="C6" s="19">
        <v>10.199999999999999</v>
      </c>
      <c r="D6" s="19">
        <v>13</v>
      </c>
      <c r="E6" s="19">
        <v>12</v>
      </c>
      <c r="F6" s="19">
        <v>13.9</v>
      </c>
      <c r="G6" s="19">
        <v>18</v>
      </c>
      <c r="H6" s="19">
        <v>19.399999999999999</v>
      </c>
      <c r="I6" s="19">
        <v>23.9</v>
      </c>
      <c r="J6" s="19">
        <v>26</v>
      </c>
      <c r="K6" s="19">
        <v>20.399999999999999</v>
      </c>
      <c r="L6" s="20">
        <v>22</v>
      </c>
      <c r="M6" s="19">
        <v>15.7</v>
      </c>
      <c r="N6" s="19">
        <v>18</v>
      </c>
      <c r="O6" s="19">
        <v>15</v>
      </c>
      <c r="P6" s="19">
        <v>17.3</v>
      </c>
      <c r="Q6" s="19">
        <v>18.8</v>
      </c>
      <c r="R6" s="19">
        <v>16.2</v>
      </c>
      <c r="S6" s="19">
        <v>16.2</v>
      </c>
      <c r="T6" s="19">
        <v>19</v>
      </c>
      <c r="U6" s="19">
        <v>20.9</v>
      </c>
      <c r="V6" s="19">
        <v>16.3</v>
      </c>
      <c r="W6" s="20">
        <v>13.5</v>
      </c>
      <c r="X6" s="19">
        <v>11.7</v>
      </c>
      <c r="Y6" s="20">
        <v>12.3</v>
      </c>
      <c r="Z6" s="19">
        <v>16.2</v>
      </c>
      <c r="AA6" s="19">
        <v>18.600000000000001</v>
      </c>
      <c r="AB6" s="19">
        <v>14.8</v>
      </c>
      <c r="AC6" s="19">
        <v>13.6</v>
      </c>
      <c r="AD6" s="19">
        <v>20.5</v>
      </c>
      <c r="AE6" s="19">
        <v>22.8</v>
      </c>
      <c r="AF6" s="19">
        <v>15.5</v>
      </c>
    </row>
    <row r="7" spans="1:33" x14ac:dyDescent="0.25">
      <c r="A7" s="10">
        <v>10</v>
      </c>
      <c r="B7" s="19">
        <v>13.4</v>
      </c>
      <c r="C7" s="19">
        <v>12.9</v>
      </c>
      <c r="D7" s="19">
        <v>13.3</v>
      </c>
      <c r="E7" s="19">
        <v>12</v>
      </c>
      <c r="F7" s="19">
        <v>16.399999999999999</v>
      </c>
      <c r="G7" s="19">
        <v>22</v>
      </c>
      <c r="H7" s="19">
        <v>22.4</v>
      </c>
      <c r="I7" s="19">
        <v>24.4</v>
      </c>
      <c r="J7" s="19">
        <v>28.5</v>
      </c>
      <c r="K7" s="19">
        <v>23</v>
      </c>
      <c r="L7" s="20">
        <v>22.7</v>
      </c>
      <c r="M7" s="19">
        <v>17.2</v>
      </c>
      <c r="N7" s="19">
        <v>20.100000000000001</v>
      </c>
      <c r="O7" s="19">
        <v>15.3</v>
      </c>
      <c r="P7" s="19">
        <v>20.2</v>
      </c>
      <c r="Q7" s="19">
        <v>21.3</v>
      </c>
      <c r="R7" s="19">
        <v>17.5</v>
      </c>
      <c r="S7" s="19">
        <v>17.5</v>
      </c>
      <c r="T7" s="19">
        <v>21.5</v>
      </c>
      <c r="U7" s="19">
        <v>22</v>
      </c>
      <c r="V7" s="19">
        <v>18</v>
      </c>
      <c r="W7" s="20">
        <v>14.5</v>
      </c>
      <c r="X7" s="19">
        <v>14.7</v>
      </c>
      <c r="Y7" s="20">
        <v>12.5</v>
      </c>
      <c r="Z7" s="19">
        <v>20.7</v>
      </c>
      <c r="AA7" s="19">
        <v>18.2</v>
      </c>
      <c r="AB7" s="19">
        <v>17.100000000000001</v>
      </c>
      <c r="AC7" s="19">
        <v>16.5</v>
      </c>
      <c r="AD7" s="19">
        <v>24.2</v>
      </c>
      <c r="AE7" s="19">
        <v>24.8</v>
      </c>
      <c r="AF7" s="19">
        <v>17.3</v>
      </c>
    </row>
    <row r="8" spans="1:33" x14ac:dyDescent="0.25">
      <c r="A8" s="10">
        <v>12</v>
      </c>
      <c r="B8" s="19">
        <v>13.4</v>
      </c>
      <c r="C8" s="19">
        <v>12.9</v>
      </c>
      <c r="D8" s="19">
        <v>13.3</v>
      </c>
      <c r="E8" s="19">
        <v>12</v>
      </c>
      <c r="F8" s="19">
        <v>16.399999999999999</v>
      </c>
      <c r="G8" s="19">
        <v>22</v>
      </c>
      <c r="H8" s="19">
        <v>22.4</v>
      </c>
      <c r="I8" s="19">
        <v>24.4</v>
      </c>
      <c r="J8" s="19">
        <v>28.5</v>
      </c>
      <c r="K8" s="19">
        <v>23</v>
      </c>
      <c r="L8" s="20">
        <v>22.7</v>
      </c>
      <c r="M8" s="19">
        <v>17.2</v>
      </c>
      <c r="N8" s="19">
        <v>20.100000000000001</v>
      </c>
      <c r="O8" s="19">
        <v>15.3</v>
      </c>
      <c r="P8" s="19">
        <v>20.2</v>
      </c>
      <c r="Q8" s="19">
        <v>21.3</v>
      </c>
      <c r="R8" s="19">
        <v>17.5</v>
      </c>
      <c r="S8" s="19">
        <v>17.5</v>
      </c>
      <c r="T8" s="19">
        <v>21.5</v>
      </c>
      <c r="U8" s="19">
        <v>22</v>
      </c>
      <c r="V8" s="19">
        <v>18</v>
      </c>
      <c r="W8" s="20">
        <v>14.5</v>
      </c>
      <c r="X8" s="19">
        <v>14.7</v>
      </c>
      <c r="Y8" s="20">
        <v>12.5</v>
      </c>
      <c r="Z8" s="19">
        <v>20.7</v>
      </c>
      <c r="AA8" s="19">
        <v>18.2</v>
      </c>
      <c r="AB8" s="19">
        <v>17.100000000000001</v>
      </c>
      <c r="AC8" s="19">
        <v>16.5</v>
      </c>
      <c r="AD8" s="19">
        <v>24.2</v>
      </c>
      <c r="AE8" s="19">
        <v>24.8</v>
      </c>
      <c r="AF8" s="19">
        <v>17.3</v>
      </c>
    </row>
    <row r="9" spans="1:33" x14ac:dyDescent="0.25">
      <c r="A9" s="10">
        <v>14</v>
      </c>
      <c r="B9" s="19">
        <v>13.4</v>
      </c>
      <c r="C9" s="19">
        <v>12.9</v>
      </c>
      <c r="D9" s="19">
        <v>13.3</v>
      </c>
      <c r="E9" s="19">
        <v>12</v>
      </c>
      <c r="F9" s="19">
        <v>16.399999999999999</v>
      </c>
      <c r="G9" s="19">
        <v>22</v>
      </c>
      <c r="H9" s="19">
        <v>22.4</v>
      </c>
      <c r="I9" s="19">
        <v>24.4</v>
      </c>
      <c r="J9" s="19">
        <v>28.5</v>
      </c>
      <c r="K9" s="19">
        <v>23</v>
      </c>
      <c r="L9" s="20">
        <v>22.7</v>
      </c>
      <c r="M9" s="19">
        <v>17.2</v>
      </c>
      <c r="N9" s="19">
        <v>20.100000000000001</v>
      </c>
      <c r="O9" s="19">
        <v>15.3</v>
      </c>
      <c r="P9" s="19">
        <v>20.2</v>
      </c>
      <c r="Q9" s="19">
        <v>21.3</v>
      </c>
      <c r="R9" s="19">
        <v>17.5</v>
      </c>
      <c r="S9" s="19">
        <v>17.5</v>
      </c>
      <c r="T9" s="19">
        <v>21.5</v>
      </c>
      <c r="U9" s="19">
        <v>22</v>
      </c>
      <c r="V9" s="19">
        <v>18</v>
      </c>
      <c r="W9" s="20">
        <v>14.5</v>
      </c>
      <c r="X9" s="19">
        <v>14.7</v>
      </c>
      <c r="Y9" s="20">
        <v>12.5</v>
      </c>
      <c r="Z9" s="19">
        <v>20.7</v>
      </c>
      <c r="AA9" s="19">
        <v>18.2</v>
      </c>
      <c r="AB9" s="19">
        <v>17.100000000000001</v>
      </c>
      <c r="AC9" s="19">
        <v>16.5</v>
      </c>
      <c r="AD9" s="19">
        <v>24.2</v>
      </c>
      <c r="AE9" s="19">
        <v>24.8</v>
      </c>
      <c r="AF9" s="19">
        <v>17.3</v>
      </c>
    </row>
    <row r="10" spans="1:33" x14ac:dyDescent="0.25">
      <c r="A10" s="10">
        <v>16</v>
      </c>
      <c r="B10" s="19">
        <v>15.4</v>
      </c>
      <c r="C10" s="19">
        <v>15.8</v>
      </c>
      <c r="D10" s="19">
        <v>14.4</v>
      </c>
      <c r="E10" s="19">
        <v>14.9</v>
      </c>
      <c r="F10" s="19">
        <v>22</v>
      </c>
      <c r="G10" s="19">
        <v>23</v>
      </c>
      <c r="H10" s="19">
        <v>27.3</v>
      </c>
      <c r="I10" s="19">
        <v>25.9</v>
      </c>
      <c r="J10" s="19">
        <v>31</v>
      </c>
      <c r="K10" s="19">
        <v>28.2</v>
      </c>
      <c r="L10" s="20">
        <v>22.8</v>
      </c>
      <c r="M10" s="19">
        <v>21.9</v>
      </c>
      <c r="N10" s="19">
        <v>20.6</v>
      </c>
      <c r="O10" s="19">
        <v>19.3</v>
      </c>
      <c r="P10" s="19">
        <v>22</v>
      </c>
      <c r="Q10" s="19">
        <v>20.3</v>
      </c>
      <c r="R10" s="19">
        <v>23.6</v>
      </c>
      <c r="S10" s="19">
        <v>23.6</v>
      </c>
      <c r="T10" s="19">
        <v>21.5</v>
      </c>
      <c r="U10" s="19">
        <v>21</v>
      </c>
      <c r="V10" s="19">
        <v>18.8</v>
      </c>
      <c r="W10" s="20">
        <v>18.600000000000001</v>
      </c>
      <c r="X10" s="19">
        <v>17</v>
      </c>
      <c r="Y10" s="20">
        <v>12.1</v>
      </c>
      <c r="Z10" s="19">
        <v>22.6</v>
      </c>
      <c r="AA10" s="19">
        <v>25.1</v>
      </c>
      <c r="AB10" s="19">
        <v>19.899999999999999</v>
      </c>
      <c r="AC10" s="19">
        <v>20.399999999999999</v>
      </c>
      <c r="AD10" s="19">
        <v>25.7</v>
      </c>
      <c r="AE10" s="19">
        <v>27</v>
      </c>
      <c r="AF10" s="19">
        <v>20.9</v>
      </c>
    </row>
    <row r="11" spans="1:33" x14ac:dyDescent="0.25">
      <c r="A11" s="10">
        <v>18</v>
      </c>
      <c r="B11" s="19">
        <v>14</v>
      </c>
      <c r="C11" s="19">
        <v>17.3</v>
      </c>
      <c r="D11" s="19">
        <v>15.6</v>
      </c>
      <c r="E11" s="19">
        <v>14.5</v>
      </c>
      <c r="F11" s="19">
        <v>18.8</v>
      </c>
      <c r="G11" s="19">
        <v>22</v>
      </c>
      <c r="H11" s="19">
        <v>24.6</v>
      </c>
      <c r="I11" s="19">
        <v>27</v>
      </c>
      <c r="J11" s="19">
        <v>27.8</v>
      </c>
      <c r="K11" s="19">
        <v>26</v>
      </c>
      <c r="L11" s="20">
        <v>21.9</v>
      </c>
      <c r="M11" s="19">
        <v>18.899999999999999</v>
      </c>
      <c r="N11" s="19">
        <v>20</v>
      </c>
      <c r="O11" s="19">
        <v>19.399999999999999</v>
      </c>
      <c r="P11" s="19">
        <v>21</v>
      </c>
      <c r="Q11" s="19">
        <v>22.2</v>
      </c>
      <c r="R11" s="19">
        <v>17.5</v>
      </c>
      <c r="S11" s="19">
        <v>17.5</v>
      </c>
      <c r="T11" s="19">
        <v>20.8</v>
      </c>
      <c r="U11" s="19">
        <v>22</v>
      </c>
      <c r="V11" s="19">
        <v>19.2</v>
      </c>
      <c r="W11" s="20">
        <v>18.100000000000001</v>
      </c>
      <c r="X11" s="19">
        <v>15</v>
      </c>
      <c r="Y11" s="20">
        <v>13.4</v>
      </c>
      <c r="Z11" s="19">
        <v>21.5</v>
      </c>
      <c r="AA11" s="19">
        <v>21.9</v>
      </c>
      <c r="AB11" s="19">
        <v>21</v>
      </c>
      <c r="AC11" s="19">
        <v>20.6</v>
      </c>
      <c r="AD11" s="19">
        <v>26.3</v>
      </c>
      <c r="AE11" s="19">
        <v>27</v>
      </c>
      <c r="AF11" s="19">
        <v>20</v>
      </c>
    </row>
    <row r="12" spans="1:33" x14ac:dyDescent="0.25">
      <c r="A12" s="10">
        <v>20</v>
      </c>
      <c r="B12" s="19">
        <v>13</v>
      </c>
      <c r="C12" s="19">
        <v>15</v>
      </c>
      <c r="D12" s="19">
        <v>12.4</v>
      </c>
      <c r="E12" s="19">
        <v>12.6</v>
      </c>
      <c r="F12" s="19">
        <v>18.2</v>
      </c>
      <c r="G12" s="19">
        <v>22</v>
      </c>
      <c r="H12" s="19">
        <v>22.2</v>
      </c>
      <c r="I12" s="19">
        <v>22</v>
      </c>
      <c r="J12" s="19">
        <v>23.6</v>
      </c>
      <c r="K12" s="19">
        <v>23.2</v>
      </c>
      <c r="L12" s="20">
        <v>19.2</v>
      </c>
      <c r="M12" s="19">
        <v>17.2</v>
      </c>
      <c r="N12" s="19">
        <v>15.5</v>
      </c>
      <c r="O12" s="19">
        <v>18</v>
      </c>
      <c r="P12" s="19">
        <v>19</v>
      </c>
      <c r="Q12" s="19">
        <v>19</v>
      </c>
      <c r="R12" s="19">
        <v>14.9</v>
      </c>
      <c r="S12" s="19">
        <v>14.9</v>
      </c>
      <c r="T12" s="19">
        <v>18.8</v>
      </c>
      <c r="U12" s="19">
        <v>20</v>
      </c>
      <c r="V12" s="19">
        <v>16</v>
      </c>
      <c r="W12" s="20">
        <v>15.5</v>
      </c>
      <c r="X12" s="19">
        <v>12.9</v>
      </c>
      <c r="Y12" s="20">
        <v>10.6</v>
      </c>
      <c r="Z12" s="19">
        <v>18.399999999999999</v>
      </c>
      <c r="AA12" s="19">
        <v>18.5</v>
      </c>
      <c r="AB12" s="19">
        <v>18</v>
      </c>
      <c r="AC12" s="19">
        <v>18.399999999999999</v>
      </c>
      <c r="AD12" s="19">
        <v>20</v>
      </c>
      <c r="AE12" s="19">
        <v>20.5</v>
      </c>
      <c r="AF12" s="19">
        <v>17</v>
      </c>
    </row>
    <row r="13" spans="1:33" x14ac:dyDescent="0.25">
      <c r="A13" s="10">
        <v>22</v>
      </c>
      <c r="B13" s="19">
        <v>12</v>
      </c>
      <c r="C13" s="19">
        <v>13</v>
      </c>
      <c r="D13" s="19">
        <v>10.8</v>
      </c>
      <c r="E13" s="19">
        <v>11.1</v>
      </c>
      <c r="F13" s="19">
        <v>15.9</v>
      </c>
      <c r="G13" s="19">
        <v>16</v>
      </c>
      <c r="H13" s="19">
        <v>20.8</v>
      </c>
      <c r="I13" s="19">
        <v>18</v>
      </c>
      <c r="J13" s="19">
        <v>20.5</v>
      </c>
      <c r="K13" s="19">
        <v>21.4</v>
      </c>
      <c r="L13" s="20">
        <v>17.399999999999999</v>
      </c>
      <c r="M13" s="19">
        <v>12</v>
      </c>
      <c r="N13" s="19">
        <v>12.7</v>
      </c>
      <c r="O13" s="19">
        <v>17.2</v>
      </c>
      <c r="P13" s="19">
        <v>15.6</v>
      </c>
      <c r="Q13" s="19">
        <v>15</v>
      </c>
      <c r="R13" s="19">
        <v>13.7</v>
      </c>
      <c r="S13" s="19">
        <v>13.7</v>
      </c>
      <c r="T13" s="19">
        <v>16.5</v>
      </c>
      <c r="U13" s="19">
        <v>17.100000000000001</v>
      </c>
      <c r="V13" s="19">
        <v>12.5</v>
      </c>
      <c r="W13" s="20">
        <v>12.7</v>
      </c>
      <c r="X13" s="19">
        <v>11.3</v>
      </c>
      <c r="Y13" s="20">
        <v>10.3</v>
      </c>
      <c r="Z13" s="19">
        <v>15.6</v>
      </c>
      <c r="AA13" s="19">
        <v>17</v>
      </c>
      <c r="AB13" s="19">
        <v>15</v>
      </c>
      <c r="AC13" s="19">
        <v>15.9</v>
      </c>
      <c r="AD13" s="19">
        <v>18</v>
      </c>
      <c r="AE13" s="19">
        <v>18.899999999999999</v>
      </c>
      <c r="AF13" s="19">
        <v>14</v>
      </c>
    </row>
    <row r="14" spans="1:33" x14ac:dyDescent="0.25">
      <c r="A14" s="10">
        <v>24</v>
      </c>
      <c r="B14" s="19">
        <v>11.1</v>
      </c>
      <c r="C14" s="19">
        <v>12</v>
      </c>
      <c r="D14" s="19">
        <v>8.8000000000000007</v>
      </c>
      <c r="E14" s="19">
        <v>8.1999999999999993</v>
      </c>
      <c r="F14" s="19">
        <v>13.6</v>
      </c>
      <c r="G14" s="19">
        <v>14.2</v>
      </c>
      <c r="H14" s="19">
        <v>18</v>
      </c>
      <c r="I14" s="19">
        <v>17.399999999999999</v>
      </c>
      <c r="J14" s="19">
        <v>17.2</v>
      </c>
      <c r="K14" s="19">
        <v>18</v>
      </c>
      <c r="L14" s="20">
        <v>15.2</v>
      </c>
      <c r="M14" s="19">
        <v>12.2</v>
      </c>
      <c r="N14" s="19">
        <v>12.4</v>
      </c>
      <c r="O14" s="19">
        <v>15.3</v>
      </c>
      <c r="P14" s="19">
        <v>14</v>
      </c>
      <c r="Q14" s="19">
        <v>14</v>
      </c>
      <c r="R14" s="19">
        <v>13.5</v>
      </c>
      <c r="S14" s="19">
        <v>13.5</v>
      </c>
      <c r="T14" s="19">
        <v>15.4</v>
      </c>
      <c r="U14" s="19">
        <v>15.2</v>
      </c>
      <c r="V14" s="19">
        <v>12.6</v>
      </c>
      <c r="W14" s="20">
        <v>10.3</v>
      </c>
      <c r="X14" s="19">
        <v>11.5</v>
      </c>
      <c r="Y14" s="20">
        <v>9.5</v>
      </c>
      <c r="Z14" s="19">
        <v>13.2</v>
      </c>
      <c r="AA14" s="19">
        <v>16.399999999999999</v>
      </c>
      <c r="AB14" s="19">
        <v>14</v>
      </c>
      <c r="AC14" s="19">
        <v>13.5</v>
      </c>
      <c r="AD14" s="19">
        <v>17.100000000000001</v>
      </c>
      <c r="AE14" s="19">
        <v>18</v>
      </c>
      <c r="AF14" s="19">
        <v>12.7</v>
      </c>
    </row>
    <row r="15" spans="1:33" x14ac:dyDescent="0.25">
      <c r="A15" s="10">
        <v>2</v>
      </c>
      <c r="B15" s="19">
        <v>11.7</v>
      </c>
      <c r="C15" s="19">
        <v>11.6</v>
      </c>
      <c r="D15" s="19">
        <v>9.6</v>
      </c>
      <c r="E15" s="19">
        <v>8.6999999999999993</v>
      </c>
      <c r="F15" s="19">
        <v>11.4</v>
      </c>
      <c r="G15" s="19">
        <v>13</v>
      </c>
      <c r="H15" s="19">
        <v>18</v>
      </c>
      <c r="I15" s="19">
        <v>18.8</v>
      </c>
      <c r="J15" s="19">
        <v>18.899999999999999</v>
      </c>
      <c r="K15" s="19">
        <v>16.899999999999999</v>
      </c>
      <c r="L15" s="20">
        <v>14</v>
      </c>
      <c r="M15" s="19">
        <v>15.6</v>
      </c>
      <c r="N15" s="19">
        <v>15.7</v>
      </c>
      <c r="O15" s="19">
        <v>14.4</v>
      </c>
      <c r="P15" s="19">
        <v>14</v>
      </c>
      <c r="Q15" s="19">
        <v>13.5</v>
      </c>
      <c r="R15" s="19">
        <v>16.100000000000001</v>
      </c>
      <c r="S15" s="19">
        <v>16.100000000000001</v>
      </c>
      <c r="T15" s="19">
        <v>14.5</v>
      </c>
      <c r="U15" s="19">
        <v>14.2</v>
      </c>
      <c r="V15" s="19">
        <v>12.1</v>
      </c>
      <c r="W15" s="20">
        <v>10.8</v>
      </c>
      <c r="X15" s="19">
        <v>11.4</v>
      </c>
      <c r="Y15" s="20">
        <v>11.6</v>
      </c>
      <c r="Z15" s="19">
        <v>13.2</v>
      </c>
      <c r="AA15" s="19">
        <v>17.2</v>
      </c>
      <c r="AB15" s="19">
        <v>13</v>
      </c>
      <c r="AC15" s="19">
        <v>13</v>
      </c>
      <c r="AD15" s="19">
        <v>19.100000000000001</v>
      </c>
      <c r="AE15" s="19">
        <v>17.5</v>
      </c>
      <c r="AF15" s="19">
        <v>10.6</v>
      </c>
    </row>
    <row r="16" spans="1:33" ht="30" x14ac:dyDescent="0.25">
      <c r="A16" s="11" t="s">
        <v>2</v>
      </c>
      <c r="B16" s="15">
        <f>(B4+B5+B6+B7+B8+B9+B10+B11+B12+B13+B14+B15)/12</f>
        <v>12.950000000000001</v>
      </c>
      <c r="C16" s="15">
        <f t="shared" ref="C16:O16" si="0">(C4+C5+C6+C7+C8+C9+C10+C11+C12+C13+C14+C15)/12</f>
        <v>12.691666666666665</v>
      </c>
      <c r="D16" s="15">
        <f t="shared" si="0"/>
        <v>12.425000000000002</v>
      </c>
      <c r="E16" s="15">
        <f t="shared" si="0"/>
        <v>11.383333333333333</v>
      </c>
      <c r="F16" s="15">
        <f t="shared" si="0"/>
        <v>15.066666666666668</v>
      </c>
      <c r="G16" s="15">
        <f t="shared" si="0"/>
        <v>18.633333333333333</v>
      </c>
      <c r="H16" s="15">
        <f t="shared" si="0"/>
        <v>21.183333333333334</v>
      </c>
      <c r="I16" s="15">
        <f t="shared" si="0"/>
        <v>22.05</v>
      </c>
      <c r="J16" s="15">
        <f t="shared" si="0"/>
        <v>24.308333333333334</v>
      </c>
      <c r="K16" s="15">
        <f t="shared" si="0"/>
        <v>21.383333333333329</v>
      </c>
      <c r="L16" s="15">
        <f t="shared" si="0"/>
        <v>19.841666666666665</v>
      </c>
      <c r="M16" s="15">
        <f t="shared" si="0"/>
        <v>16.141666666666666</v>
      </c>
      <c r="N16" s="15">
        <f t="shared" si="0"/>
        <v>16.80833333333333</v>
      </c>
      <c r="O16" s="15">
        <f t="shared" si="0"/>
        <v>16.016666666666666</v>
      </c>
      <c r="P16" s="15">
        <f>(P4+P5+P6+P7+P8+P9+P10+P11+P12+P13+P14+P15)/12</f>
        <v>18.274999999999999</v>
      </c>
      <c r="Q16" s="15">
        <f>(Q4+Q5+Q6+Q7+Q8+Q9+Q10+Q11+Q12+Q13+Q14+Q15)/12</f>
        <v>18.266666666666666</v>
      </c>
      <c r="R16" s="15">
        <f>(R4+R5+R6+R7+R8+R9+R10+R11+R12+R13+R14+R15)/12</f>
        <v>16.25</v>
      </c>
      <c r="S16" s="15">
        <f t="shared" ref="S16:AF16" si="1">(S4+S5+S6+S7+S8+S9+S10+S11+S12+S13+S14+S15)/12</f>
        <v>16.25</v>
      </c>
      <c r="T16" s="15">
        <f t="shared" si="1"/>
        <v>18.416666666666668</v>
      </c>
      <c r="U16" s="15">
        <f t="shared" si="1"/>
        <v>19.341666666666665</v>
      </c>
      <c r="V16" s="15">
        <f t="shared" si="1"/>
        <v>15.899999999999999</v>
      </c>
      <c r="W16" s="15">
        <f t="shared" si="1"/>
        <v>14</v>
      </c>
      <c r="X16" s="15">
        <f t="shared" si="1"/>
        <v>13.033333333333337</v>
      </c>
      <c r="Y16" s="15">
        <f t="shared" si="1"/>
        <v>11.808333333333332</v>
      </c>
      <c r="Z16" s="15">
        <f t="shared" si="1"/>
        <v>17.191666666666666</v>
      </c>
      <c r="AA16" s="15">
        <f t="shared" si="1"/>
        <v>18.341666666666669</v>
      </c>
      <c r="AB16" s="15">
        <f t="shared" si="1"/>
        <v>16.633333333333333</v>
      </c>
      <c r="AC16" s="15">
        <f t="shared" si="1"/>
        <v>15.891666666666667</v>
      </c>
      <c r="AD16" s="15">
        <f t="shared" si="1"/>
        <v>20.966666666666665</v>
      </c>
      <c r="AE16" s="15">
        <f t="shared" si="1"/>
        <v>21.783333333333331</v>
      </c>
      <c r="AF16" s="15">
        <f t="shared" si="1"/>
        <v>15.70833333333333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61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13.8</v>
      </c>
      <c r="C24" s="17">
        <v>11.4</v>
      </c>
      <c r="D24" s="17">
        <v>11.3</v>
      </c>
      <c r="E24" s="17">
        <v>10.4</v>
      </c>
      <c r="F24" s="17">
        <v>9</v>
      </c>
      <c r="G24" s="17">
        <v>11.6</v>
      </c>
      <c r="H24" s="17">
        <v>13.6</v>
      </c>
      <c r="I24" s="17">
        <v>17.600000000000001</v>
      </c>
      <c r="J24" s="17">
        <v>19.899999999999999</v>
      </c>
      <c r="K24" s="15">
        <v>19</v>
      </c>
      <c r="L24" s="15">
        <v>17.399999999999999</v>
      </c>
      <c r="M24" s="15">
        <v>13.8</v>
      </c>
      <c r="N24" s="15">
        <v>14.7</v>
      </c>
      <c r="O24" s="15">
        <v>15.5</v>
      </c>
      <c r="P24" s="15">
        <v>16.3</v>
      </c>
      <c r="Q24" s="15">
        <v>13.6</v>
      </c>
      <c r="R24" s="13">
        <v>13.1</v>
      </c>
      <c r="S24" s="13">
        <v>15.2</v>
      </c>
      <c r="T24" s="19">
        <v>13.2</v>
      </c>
      <c r="U24" s="19">
        <v>13.6</v>
      </c>
      <c r="V24" s="19">
        <v>12.4</v>
      </c>
      <c r="W24" s="13">
        <v>10.4</v>
      </c>
      <c r="X24" s="13">
        <v>8</v>
      </c>
      <c r="Y24" s="13">
        <v>11.6</v>
      </c>
      <c r="Z24" s="19">
        <v>10.3</v>
      </c>
      <c r="AA24" s="19">
        <v>11</v>
      </c>
      <c r="AB24" s="19">
        <v>14</v>
      </c>
      <c r="AC24" s="19">
        <v>11.9</v>
      </c>
      <c r="AD24" s="19">
        <v>11.4</v>
      </c>
      <c r="AE24" s="19">
        <v>17.600000000000001</v>
      </c>
      <c r="AF24" s="19">
        <v>16</v>
      </c>
    </row>
    <row r="25" spans="1:32" x14ac:dyDescent="0.25">
      <c r="A25" s="10">
        <v>6</v>
      </c>
      <c r="B25" s="17">
        <v>13.1</v>
      </c>
      <c r="C25" s="17">
        <v>10.9</v>
      </c>
      <c r="D25" s="17">
        <v>11.8</v>
      </c>
      <c r="E25" s="17">
        <v>11.8</v>
      </c>
      <c r="F25" s="17">
        <v>12.5</v>
      </c>
      <c r="G25" s="17">
        <v>16.8</v>
      </c>
      <c r="H25" s="17">
        <v>18.8</v>
      </c>
      <c r="I25" s="17">
        <v>21.2</v>
      </c>
      <c r="J25" s="17">
        <v>22.1</v>
      </c>
      <c r="K25" s="15">
        <v>20.3</v>
      </c>
      <c r="L25" s="15">
        <v>19.7</v>
      </c>
      <c r="M25" s="15">
        <v>16.2</v>
      </c>
      <c r="N25" s="15">
        <v>16.899999999999999</v>
      </c>
      <c r="O25" s="15">
        <v>15.9</v>
      </c>
      <c r="P25" s="15">
        <v>17.3</v>
      </c>
      <c r="Q25" s="15">
        <v>16.7</v>
      </c>
      <c r="R25" s="13">
        <v>15.9</v>
      </c>
      <c r="S25" s="13">
        <v>17</v>
      </c>
      <c r="T25" s="19">
        <v>14.6</v>
      </c>
      <c r="U25" s="19">
        <v>17.100000000000001</v>
      </c>
      <c r="V25" s="19">
        <v>15</v>
      </c>
      <c r="W25" s="13">
        <v>14</v>
      </c>
      <c r="X25" s="13">
        <v>9</v>
      </c>
      <c r="Y25" s="13">
        <v>11.6</v>
      </c>
      <c r="Z25" s="19">
        <v>12.9</v>
      </c>
      <c r="AA25" s="19">
        <v>15</v>
      </c>
      <c r="AB25" s="19">
        <v>16</v>
      </c>
      <c r="AC25" s="19">
        <v>13.6</v>
      </c>
      <c r="AD25" s="19">
        <v>15.6</v>
      </c>
      <c r="AE25" s="19">
        <v>19.7</v>
      </c>
      <c r="AF25" s="19">
        <v>14.2</v>
      </c>
    </row>
    <row r="26" spans="1:32" x14ac:dyDescent="0.25">
      <c r="A26" s="10">
        <v>8</v>
      </c>
      <c r="B26" s="17">
        <v>13.1</v>
      </c>
      <c r="C26" s="17">
        <v>12</v>
      </c>
      <c r="D26" s="17">
        <v>13.8</v>
      </c>
      <c r="E26" s="17">
        <v>12.4</v>
      </c>
      <c r="F26" s="17">
        <v>15.8</v>
      </c>
      <c r="G26" s="17">
        <v>19.2</v>
      </c>
      <c r="H26" s="17">
        <v>23</v>
      </c>
      <c r="I26" s="17">
        <v>24.3</v>
      </c>
      <c r="J26" s="17">
        <v>25.8</v>
      </c>
      <c r="K26" s="15">
        <v>23.2</v>
      </c>
      <c r="L26" s="15">
        <v>21.7</v>
      </c>
      <c r="M26" s="15">
        <v>17.100000000000001</v>
      </c>
      <c r="N26" s="15">
        <v>18.899999999999999</v>
      </c>
      <c r="O26" s="15">
        <v>14.4</v>
      </c>
      <c r="P26" s="15">
        <v>19.600000000000001</v>
      </c>
      <c r="Q26" s="15">
        <v>20.2</v>
      </c>
      <c r="R26" s="13">
        <v>18.8</v>
      </c>
      <c r="S26" s="13">
        <v>19.5</v>
      </c>
      <c r="T26" s="19">
        <v>19.899999999999999</v>
      </c>
      <c r="U26" s="19">
        <v>21</v>
      </c>
      <c r="V26" s="19">
        <v>18</v>
      </c>
      <c r="W26" s="13">
        <v>15.4</v>
      </c>
      <c r="X26" s="13">
        <v>11.4</v>
      </c>
      <c r="Y26" s="13">
        <v>12.2</v>
      </c>
      <c r="Z26" s="19">
        <v>17</v>
      </c>
      <c r="AA26" s="19">
        <v>17</v>
      </c>
      <c r="AB26" s="19">
        <v>18</v>
      </c>
      <c r="AC26" s="19">
        <v>15.3</v>
      </c>
      <c r="AD26" s="19">
        <v>20.5</v>
      </c>
      <c r="AE26" s="19">
        <v>23.5</v>
      </c>
      <c r="AF26" s="19">
        <v>14.9</v>
      </c>
    </row>
    <row r="27" spans="1:32" x14ac:dyDescent="0.25">
      <c r="A27" s="10">
        <v>10</v>
      </c>
      <c r="B27" s="17">
        <v>12.6</v>
      </c>
      <c r="C27" s="17">
        <v>13.8</v>
      </c>
      <c r="D27" s="17">
        <v>16</v>
      </c>
      <c r="E27" s="17">
        <v>14.8</v>
      </c>
      <c r="F27" s="17">
        <v>18.3</v>
      </c>
      <c r="G27" s="17">
        <v>21.6</v>
      </c>
      <c r="H27" s="17">
        <v>23.8</v>
      </c>
      <c r="I27" s="17">
        <v>26.3</v>
      </c>
      <c r="J27" s="17">
        <v>28.6</v>
      </c>
      <c r="K27" s="15">
        <v>25.1</v>
      </c>
      <c r="L27" s="15">
        <v>23</v>
      </c>
      <c r="M27" s="15">
        <v>17.8</v>
      </c>
      <c r="N27" s="15">
        <v>19.899999999999999</v>
      </c>
      <c r="O27" s="15">
        <v>14.4</v>
      </c>
      <c r="P27" s="15">
        <v>21.1</v>
      </c>
      <c r="Q27" s="15">
        <v>22.6</v>
      </c>
      <c r="R27" s="13">
        <v>21</v>
      </c>
      <c r="S27" s="13">
        <v>19.399999999999999</v>
      </c>
      <c r="T27" s="19">
        <v>21.4</v>
      </c>
      <c r="U27" s="19">
        <v>23.1</v>
      </c>
      <c r="V27" s="19">
        <v>19.3</v>
      </c>
      <c r="W27" s="13">
        <v>15.2</v>
      </c>
      <c r="X27" s="13">
        <v>12.6</v>
      </c>
      <c r="Y27" s="13">
        <v>13.3</v>
      </c>
      <c r="Z27" s="19">
        <v>18</v>
      </c>
      <c r="AA27" s="19">
        <v>19</v>
      </c>
      <c r="AB27" s="19">
        <v>18</v>
      </c>
      <c r="AC27" s="19">
        <v>17.600000000000001</v>
      </c>
      <c r="AD27" s="19">
        <v>23.3</v>
      </c>
      <c r="AE27" s="19">
        <v>26.5</v>
      </c>
      <c r="AF27" s="19">
        <v>16.100000000000001</v>
      </c>
    </row>
    <row r="28" spans="1:32" x14ac:dyDescent="0.25">
      <c r="A28" s="10">
        <v>12</v>
      </c>
      <c r="B28" s="17">
        <v>13.9</v>
      </c>
      <c r="C28" s="17">
        <v>15.8</v>
      </c>
      <c r="D28" s="17">
        <v>15.6</v>
      </c>
      <c r="E28" s="17">
        <v>16.7</v>
      </c>
      <c r="F28" s="17">
        <v>20.100000000000001</v>
      </c>
      <c r="G28" s="17">
        <v>22.1</v>
      </c>
      <c r="H28" s="17">
        <v>27.3</v>
      </c>
      <c r="I28" s="17">
        <v>27.6</v>
      </c>
      <c r="J28" s="17">
        <v>30.7</v>
      </c>
      <c r="K28" s="15">
        <v>26.1</v>
      </c>
      <c r="L28" s="15">
        <v>24.3</v>
      </c>
      <c r="M28" s="15">
        <v>19</v>
      </c>
      <c r="N28" s="15">
        <v>21</v>
      </c>
      <c r="O28" s="15">
        <v>16.3</v>
      </c>
      <c r="P28" s="15">
        <v>22</v>
      </c>
      <c r="Q28" s="15">
        <v>23.2</v>
      </c>
      <c r="R28" s="13">
        <v>22.3</v>
      </c>
      <c r="S28" s="13">
        <v>21.2</v>
      </c>
      <c r="T28" s="19">
        <v>21.8</v>
      </c>
      <c r="U28" s="19">
        <v>24.5</v>
      </c>
      <c r="V28" s="19">
        <v>21.8</v>
      </c>
      <c r="W28" s="13">
        <v>17.100000000000001</v>
      </c>
      <c r="X28" s="13">
        <v>14.4</v>
      </c>
      <c r="Y28" s="13">
        <v>12.7</v>
      </c>
      <c r="Z28" s="19">
        <v>18</v>
      </c>
      <c r="AA28" s="19">
        <v>19</v>
      </c>
      <c r="AB28" s="19">
        <v>20</v>
      </c>
      <c r="AC28" s="19">
        <v>19</v>
      </c>
      <c r="AD28" s="19">
        <v>25.2</v>
      </c>
      <c r="AE28" s="19">
        <v>27.3</v>
      </c>
      <c r="AF28" s="19">
        <v>17.8</v>
      </c>
    </row>
    <row r="29" spans="1:32" x14ac:dyDescent="0.25">
      <c r="A29" s="10">
        <v>14</v>
      </c>
      <c r="B29" s="17">
        <v>14.5</v>
      </c>
      <c r="C29" s="17">
        <v>17.7</v>
      </c>
      <c r="D29" s="17">
        <v>15.1</v>
      </c>
      <c r="E29" s="17">
        <v>15.2</v>
      </c>
      <c r="F29" s="17">
        <v>21</v>
      </c>
      <c r="G29" s="17">
        <v>23.9</v>
      </c>
      <c r="H29" s="17">
        <v>26.9</v>
      </c>
      <c r="I29" s="17">
        <v>28.2</v>
      </c>
      <c r="J29" s="17">
        <v>31</v>
      </c>
      <c r="K29" s="15">
        <v>27.7</v>
      </c>
      <c r="L29" s="15">
        <v>23.7</v>
      </c>
      <c r="M29" s="15">
        <v>20.5</v>
      </c>
      <c r="N29" s="15">
        <v>22</v>
      </c>
      <c r="O29" s="15">
        <v>18.100000000000001</v>
      </c>
      <c r="P29" s="15">
        <v>23.4</v>
      </c>
      <c r="Q29" s="15">
        <v>24.4</v>
      </c>
      <c r="R29" s="13">
        <v>24.2</v>
      </c>
      <c r="S29" s="13">
        <v>19.7</v>
      </c>
      <c r="T29" s="19">
        <v>21.6</v>
      </c>
      <c r="U29" s="19">
        <v>23.3</v>
      </c>
      <c r="V29" s="19">
        <v>20.9</v>
      </c>
      <c r="W29" s="13">
        <v>18.100000000000001</v>
      </c>
      <c r="X29" s="13">
        <v>17.100000000000001</v>
      </c>
      <c r="Y29" s="13">
        <v>13.1</v>
      </c>
      <c r="Z29" s="19">
        <v>21</v>
      </c>
      <c r="AA29" s="19">
        <v>18</v>
      </c>
      <c r="AB29" s="19">
        <v>20</v>
      </c>
      <c r="AC29" s="19">
        <v>20.5</v>
      </c>
      <c r="AD29" s="19">
        <v>25.9</v>
      </c>
      <c r="AE29" s="19">
        <v>28.4</v>
      </c>
      <c r="AF29" s="19">
        <v>19.3</v>
      </c>
    </row>
    <row r="30" spans="1:32" x14ac:dyDescent="0.25">
      <c r="A30" s="10">
        <v>16</v>
      </c>
      <c r="B30" s="17">
        <v>14.3</v>
      </c>
      <c r="C30" s="17">
        <v>18.2</v>
      </c>
      <c r="D30" s="17">
        <v>16.100000000000001</v>
      </c>
      <c r="E30" s="17">
        <v>16.3</v>
      </c>
      <c r="F30" s="17">
        <v>20.3</v>
      </c>
      <c r="G30" s="17">
        <v>24.6</v>
      </c>
      <c r="H30" s="17">
        <v>27.7</v>
      </c>
      <c r="I30" s="17">
        <v>29.3</v>
      </c>
      <c r="J30" s="17">
        <v>32.4</v>
      </c>
      <c r="K30" s="15">
        <v>27.1</v>
      </c>
      <c r="L30" s="15">
        <v>22.8</v>
      </c>
      <c r="M30" s="15">
        <v>20.3</v>
      </c>
      <c r="N30" s="15">
        <v>21.4</v>
      </c>
      <c r="O30" s="15">
        <v>19.5</v>
      </c>
      <c r="P30" s="15">
        <v>25.4</v>
      </c>
      <c r="Q30" s="15">
        <v>24</v>
      </c>
      <c r="R30" s="13">
        <v>17</v>
      </c>
      <c r="S30" s="13">
        <v>22.5</v>
      </c>
      <c r="T30" s="19">
        <v>21.5</v>
      </c>
      <c r="U30" s="19">
        <v>23.1</v>
      </c>
      <c r="V30" s="19">
        <v>20.399999999999999</v>
      </c>
      <c r="W30" s="13">
        <v>19.3</v>
      </c>
      <c r="X30" s="13">
        <v>15.5</v>
      </c>
      <c r="Y30" s="13">
        <v>13.3</v>
      </c>
      <c r="Z30" s="19">
        <v>22</v>
      </c>
      <c r="AA30" s="19">
        <v>21</v>
      </c>
      <c r="AB30" s="19">
        <v>21</v>
      </c>
      <c r="AC30" s="19">
        <v>22.5</v>
      </c>
      <c r="AD30" s="19">
        <v>26</v>
      </c>
      <c r="AE30" s="19">
        <v>28.5</v>
      </c>
      <c r="AF30" s="19">
        <v>20.3</v>
      </c>
    </row>
    <row r="31" spans="1:32" x14ac:dyDescent="0.25">
      <c r="A31" s="10">
        <v>18</v>
      </c>
      <c r="B31" s="17">
        <v>13.2</v>
      </c>
      <c r="C31" s="17">
        <v>16.3</v>
      </c>
      <c r="D31" s="17">
        <v>16.100000000000001</v>
      </c>
      <c r="E31" s="17">
        <v>15.3</v>
      </c>
      <c r="F31" s="17">
        <v>21.9</v>
      </c>
      <c r="G31" s="17">
        <v>24.1</v>
      </c>
      <c r="H31" s="17">
        <v>26.9</v>
      </c>
      <c r="I31" s="17">
        <v>28.2</v>
      </c>
      <c r="J31" s="17">
        <v>27.5</v>
      </c>
      <c r="K31" s="15">
        <v>26.4</v>
      </c>
      <c r="L31" s="15">
        <v>21.9</v>
      </c>
      <c r="M31" s="15">
        <v>19</v>
      </c>
      <c r="N31" s="15">
        <v>21.5</v>
      </c>
      <c r="O31" s="15">
        <v>19.100000000000001</v>
      </c>
      <c r="P31" s="15">
        <v>23.8</v>
      </c>
      <c r="Q31" s="15">
        <v>21.3</v>
      </c>
      <c r="R31" s="13">
        <v>20.8</v>
      </c>
      <c r="S31" s="13">
        <v>21</v>
      </c>
      <c r="T31" s="19">
        <v>20</v>
      </c>
      <c r="U31" s="19">
        <v>22</v>
      </c>
      <c r="V31" s="19">
        <v>18</v>
      </c>
      <c r="W31" s="13">
        <v>18.2</v>
      </c>
      <c r="X31" s="13">
        <v>14.7</v>
      </c>
      <c r="Y31" s="13">
        <v>12.1</v>
      </c>
      <c r="Z31" s="19">
        <v>21</v>
      </c>
      <c r="AA31" s="19">
        <v>20</v>
      </c>
      <c r="AB31" s="19">
        <v>21.8</v>
      </c>
      <c r="AC31" s="19">
        <v>21.5</v>
      </c>
      <c r="AD31" s="19">
        <v>26</v>
      </c>
      <c r="AE31" s="19">
        <v>27</v>
      </c>
      <c r="AF31" s="19">
        <v>19.2</v>
      </c>
    </row>
    <row r="32" spans="1:32" x14ac:dyDescent="0.25">
      <c r="A32" s="10">
        <v>20</v>
      </c>
      <c r="B32" s="17">
        <v>13</v>
      </c>
      <c r="C32" s="17">
        <v>15.2</v>
      </c>
      <c r="D32" s="17">
        <v>14.3</v>
      </c>
      <c r="E32" s="17">
        <v>14.4</v>
      </c>
      <c r="F32" s="17">
        <v>18.2</v>
      </c>
      <c r="G32" s="17">
        <v>23.8</v>
      </c>
      <c r="H32" s="17">
        <v>23.8</v>
      </c>
      <c r="I32" s="17">
        <v>25.3</v>
      </c>
      <c r="J32" s="17">
        <v>26.7</v>
      </c>
      <c r="K32" s="15">
        <v>22.9</v>
      </c>
      <c r="L32" s="15">
        <v>19.100000000000001</v>
      </c>
      <c r="M32" s="15">
        <v>17.3</v>
      </c>
      <c r="N32" s="15">
        <v>17.5</v>
      </c>
      <c r="O32" s="15">
        <v>18</v>
      </c>
      <c r="P32" s="15">
        <v>20</v>
      </c>
      <c r="Q32" s="15">
        <v>21.1</v>
      </c>
      <c r="R32" s="13">
        <v>17.100000000000001</v>
      </c>
      <c r="S32" s="13">
        <v>20.5</v>
      </c>
      <c r="T32" s="19">
        <v>18.7</v>
      </c>
      <c r="U32" s="19">
        <v>21</v>
      </c>
      <c r="V32" s="19">
        <v>17.5</v>
      </c>
      <c r="W32" s="13">
        <v>15.9</v>
      </c>
      <c r="X32" s="13">
        <v>14.3</v>
      </c>
      <c r="Y32" s="13">
        <v>12.1</v>
      </c>
      <c r="Z32" s="19">
        <v>18</v>
      </c>
      <c r="AA32" s="19">
        <v>19</v>
      </c>
      <c r="AB32" s="19">
        <v>18.100000000000001</v>
      </c>
      <c r="AC32" s="19">
        <v>19.100000000000001</v>
      </c>
      <c r="AD32" s="19">
        <v>23.5</v>
      </c>
      <c r="AE32" s="19">
        <v>23.4</v>
      </c>
      <c r="AF32" s="19">
        <v>16.899999999999999</v>
      </c>
    </row>
    <row r="33" spans="1:32" x14ac:dyDescent="0.25">
      <c r="A33" s="10">
        <v>22</v>
      </c>
      <c r="B33" s="17">
        <v>13</v>
      </c>
      <c r="C33" s="17">
        <v>13.6</v>
      </c>
      <c r="D33" s="17">
        <v>12.5</v>
      </c>
      <c r="E33" s="17">
        <v>12.1</v>
      </c>
      <c r="F33" s="17">
        <v>14.7</v>
      </c>
      <c r="G33" s="17">
        <v>17.7</v>
      </c>
      <c r="H33" s="17">
        <v>20.2</v>
      </c>
      <c r="I33" s="17">
        <v>22.3</v>
      </c>
      <c r="J33" s="17">
        <v>23.5</v>
      </c>
      <c r="K33" s="15">
        <v>21</v>
      </c>
      <c r="L33" s="15">
        <v>17.2</v>
      </c>
      <c r="M33" s="15">
        <v>13.7</v>
      </c>
      <c r="N33" s="15">
        <v>14.9</v>
      </c>
      <c r="O33" s="15">
        <v>16.600000000000001</v>
      </c>
      <c r="P33" s="15">
        <v>17.2</v>
      </c>
      <c r="Q33" s="15">
        <v>17.3</v>
      </c>
      <c r="R33" s="13">
        <v>14.9</v>
      </c>
      <c r="S33" s="13">
        <v>16.2</v>
      </c>
      <c r="T33" s="19">
        <v>15.2</v>
      </c>
      <c r="U33" s="19">
        <v>17.5</v>
      </c>
      <c r="V33" s="19">
        <v>12.2</v>
      </c>
      <c r="W33" s="13">
        <v>11.9</v>
      </c>
      <c r="X33" s="13">
        <v>13</v>
      </c>
      <c r="Y33" s="13">
        <v>12</v>
      </c>
      <c r="Z33" s="19">
        <v>14</v>
      </c>
      <c r="AA33" s="19">
        <v>17</v>
      </c>
      <c r="AB33" s="19">
        <v>14.7</v>
      </c>
      <c r="AC33" s="19">
        <v>14.5</v>
      </c>
      <c r="AD33" s="19">
        <v>19.399999999999999</v>
      </c>
      <c r="AE33" s="19">
        <v>20.6</v>
      </c>
      <c r="AF33" s="19">
        <v>14.2</v>
      </c>
    </row>
    <row r="34" spans="1:32" x14ac:dyDescent="0.25">
      <c r="A34" s="10">
        <v>24</v>
      </c>
      <c r="B34" s="17">
        <v>13.2</v>
      </c>
      <c r="C34" s="17">
        <v>12.3</v>
      </c>
      <c r="D34" s="17">
        <v>10.7</v>
      </c>
      <c r="E34" s="17">
        <v>9.6</v>
      </c>
      <c r="F34" s="17">
        <v>11.5</v>
      </c>
      <c r="G34" s="17">
        <v>15.5</v>
      </c>
      <c r="H34" s="17">
        <v>18.600000000000001</v>
      </c>
      <c r="I34" s="17">
        <v>21.2</v>
      </c>
      <c r="J34" s="17">
        <v>22.5</v>
      </c>
      <c r="K34" s="15">
        <v>18.899999999999999</v>
      </c>
      <c r="L34" s="15">
        <v>14</v>
      </c>
      <c r="M34" s="15">
        <v>13.4</v>
      </c>
      <c r="N34" s="15">
        <v>14.9</v>
      </c>
      <c r="O34" s="15">
        <v>16.5</v>
      </c>
      <c r="P34" s="15">
        <v>14.8</v>
      </c>
      <c r="Q34" s="15">
        <v>15.1</v>
      </c>
      <c r="R34" s="13">
        <v>14.1</v>
      </c>
      <c r="S34" s="13">
        <v>13.8</v>
      </c>
      <c r="T34" s="19">
        <v>14.1</v>
      </c>
      <c r="U34" s="19">
        <v>15.6</v>
      </c>
      <c r="V34" s="19">
        <v>11</v>
      </c>
      <c r="W34" s="13">
        <v>9</v>
      </c>
      <c r="X34" s="13">
        <v>10.9</v>
      </c>
      <c r="Y34" s="13">
        <v>12.1</v>
      </c>
      <c r="Z34" s="19">
        <v>13</v>
      </c>
      <c r="AA34" s="19">
        <v>16</v>
      </c>
      <c r="AB34" s="19">
        <v>12.3</v>
      </c>
      <c r="AC34" s="19">
        <v>12.8</v>
      </c>
      <c r="AD34" s="19">
        <v>18.2</v>
      </c>
      <c r="AE34" s="19">
        <v>20.6</v>
      </c>
      <c r="AF34" s="19">
        <v>11.9</v>
      </c>
    </row>
    <row r="35" spans="1:32" x14ac:dyDescent="0.25">
      <c r="A35" s="10">
        <v>2</v>
      </c>
      <c r="B35" s="17">
        <v>12.3</v>
      </c>
      <c r="C35" s="17">
        <v>11.2</v>
      </c>
      <c r="D35" s="17">
        <v>10.1</v>
      </c>
      <c r="E35" s="17">
        <v>8.1999999999999993</v>
      </c>
      <c r="F35" s="17">
        <v>10.3</v>
      </c>
      <c r="G35" s="17">
        <v>13.5</v>
      </c>
      <c r="H35" s="17">
        <v>17.100000000000001</v>
      </c>
      <c r="I35" s="17">
        <v>19.8</v>
      </c>
      <c r="J35" s="17">
        <v>19.899999999999999</v>
      </c>
      <c r="K35" s="15">
        <v>17.7</v>
      </c>
      <c r="L35" s="15">
        <v>14</v>
      </c>
      <c r="M35" s="15">
        <v>13.6</v>
      </c>
      <c r="N35" s="15">
        <v>15</v>
      </c>
      <c r="O35" s="15">
        <v>15.4</v>
      </c>
      <c r="P35" s="15">
        <v>14.2</v>
      </c>
      <c r="Q35" s="15">
        <v>13.6</v>
      </c>
      <c r="R35" s="13">
        <v>15</v>
      </c>
      <c r="S35" s="13">
        <v>13.2</v>
      </c>
      <c r="T35" s="19">
        <v>14.6</v>
      </c>
      <c r="U35" s="19">
        <v>12.9</v>
      </c>
      <c r="V35" s="19">
        <v>9.3000000000000007</v>
      </c>
      <c r="W35" s="13">
        <v>8.1</v>
      </c>
      <c r="X35" s="13">
        <v>11.4</v>
      </c>
      <c r="Y35" s="13">
        <v>11.4</v>
      </c>
      <c r="Z35" s="19">
        <v>12</v>
      </c>
      <c r="AA35" s="19">
        <v>15</v>
      </c>
      <c r="AB35" s="19">
        <v>12.9</v>
      </c>
      <c r="AC35" s="19">
        <v>11.9</v>
      </c>
      <c r="AD35" s="19">
        <v>17.8</v>
      </c>
      <c r="AE35" s="19">
        <v>17.899999999999999</v>
      </c>
      <c r="AF35" s="19">
        <v>10.5</v>
      </c>
    </row>
    <row r="36" spans="1:32" ht="30" x14ac:dyDescent="0.25">
      <c r="A36" s="11" t="s">
        <v>2</v>
      </c>
      <c r="B36" s="15">
        <f>(B24+B25+B26+B27+B28+B29+B30+B31+B32+B33+B34+B35)/12</f>
        <v>13.333333333333334</v>
      </c>
      <c r="C36" s="15">
        <f t="shared" ref="C36:J36" si="2">(C24+C25+C26+C27+C28+C29+C30+C31+C32+C33+C34+C35)/12</f>
        <v>14.033333333333331</v>
      </c>
      <c r="D36" s="15">
        <f t="shared" si="2"/>
        <v>13.616666666666665</v>
      </c>
      <c r="E36" s="15">
        <f t="shared" si="2"/>
        <v>13.1</v>
      </c>
      <c r="F36" s="15">
        <f t="shared" si="2"/>
        <v>16.133333333333329</v>
      </c>
      <c r="G36" s="15">
        <f t="shared" si="2"/>
        <v>19.533333333333331</v>
      </c>
      <c r="H36" s="15">
        <f t="shared" si="2"/>
        <v>22.308333333333334</v>
      </c>
      <c r="I36" s="15">
        <f t="shared" si="2"/>
        <v>24.275000000000002</v>
      </c>
      <c r="J36" s="15">
        <f t="shared" si="2"/>
        <v>25.883333333333336</v>
      </c>
      <c r="K36" s="15">
        <f>(K24+K25+K26+K27+K28+K29+K30+K31+K32+K33+K34+K35)/12</f>
        <v>22.95</v>
      </c>
      <c r="L36" s="15">
        <f t="shared" ref="L36:AF36" si="3">(L24+L25+L26+L27+L28+L29+L30+L31+L32+L33+L34+L35)/12</f>
        <v>19.899999999999999</v>
      </c>
      <c r="M36" s="15">
        <f t="shared" si="3"/>
        <v>16.808333333333334</v>
      </c>
      <c r="N36" s="15">
        <f t="shared" si="3"/>
        <v>18.216666666666669</v>
      </c>
      <c r="O36" s="15">
        <f t="shared" si="3"/>
        <v>16.641666666666666</v>
      </c>
      <c r="P36" s="15">
        <f t="shared" si="3"/>
        <v>19.591666666666669</v>
      </c>
      <c r="Q36" s="15">
        <f t="shared" si="3"/>
        <v>19.425000000000001</v>
      </c>
      <c r="R36" s="15">
        <f t="shared" si="3"/>
        <v>17.850000000000001</v>
      </c>
      <c r="S36" s="15">
        <f t="shared" si="3"/>
        <v>18.266666666666666</v>
      </c>
      <c r="T36" s="15">
        <f t="shared" si="3"/>
        <v>18.049999999999997</v>
      </c>
      <c r="U36" s="15">
        <f t="shared" si="3"/>
        <v>19.558333333333334</v>
      </c>
      <c r="V36" s="15">
        <f t="shared" si="3"/>
        <v>16.316666666666666</v>
      </c>
      <c r="W36" s="15">
        <f t="shared" si="3"/>
        <v>14.383333333333333</v>
      </c>
      <c r="X36" s="15">
        <f t="shared" si="3"/>
        <v>12.691666666666668</v>
      </c>
      <c r="Y36" s="15">
        <f t="shared" si="3"/>
        <v>12.291666666666666</v>
      </c>
      <c r="Z36" s="15">
        <f t="shared" si="3"/>
        <v>16.433333333333334</v>
      </c>
      <c r="AA36" s="15">
        <f t="shared" si="3"/>
        <v>17.25</v>
      </c>
      <c r="AB36" s="15">
        <f t="shared" si="3"/>
        <v>17.233333333333334</v>
      </c>
      <c r="AC36" s="15">
        <f t="shared" si="3"/>
        <v>16.683333333333334</v>
      </c>
      <c r="AD36" s="15">
        <f t="shared" si="3"/>
        <v>21.066666666666666</v>
      </c>
      <c r="AE36" s="15">
        <f t="shared" si="3"/>
        <v>23.416666666666668</v>
      </c>
      <c r="AF36" s="15">
        <f t="shared" si="3"/>
        <v>15.941666666666665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B22" sqref="B22:AF22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62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10.5</v>
      </c>
      <c r="C4" s="19">
        <v>9.6</v>
      </c>
      <c r="D4" s="19">
        <v>14</v>
      </c>
      <c r="E4" s="19">
        <v>15</v>
      </c>
      <c r="F4" s="19">
        <v>14</v>
      </c>
      <c r="G4" s="19">
        <v>16.5</v>
      </c>
      <c r="H4" s="19">
        <v>13.5</v>
      </c>
      <c r="I4" s="19">
        <v>15.4</v>
      </c>
      <c r="J4" s="19">
        <v>16.7</v>
      </c>
      <c r="K4" s="19">
        <v>15.4</v>
      </c>
      <c r="L4" s="20">
        <v>10.9</v>
      </c>
      <c r="M4" s="19">
        <v>12.4</v>
      </c>
      <c r="N4" s="19">
        <v>13.5</v>
      </c>
      <c r="O4" s="19">
        <v>11.1</v>
      </c>
      <c r="P4" s="19">
        <v>8.1</v>
      </c>
      <c r="Q4" s="19">
        <v>10.199999999999999</v>
      </c>
      <c r="R4" s="19">
        <v>6.7</v>
      </c>
      <c r="S4" s="19">
        <v>8.3000000000000007</v>
      </c>
      <c r="T4" s="19">
        <v>8.6999999999999993</v>
      </c>
      <c r="U4" s="19">
        <v>12.2</v>
      </c>
      <c r="V4" s="19">
        <v>7.9</v>
      </c>
      <c r="W4" s="20">
        <v>8</v>
      </c>
      <c r="X4" s="19">
        <v>12.3</v>
      </c>
      <c r="Y4" s="20">
        <v>14.6</v>
      </c>
      <c r="Z4" s="19">
        <v>14.3</v>
      </c>
      <c r="AA4" s="19">
        <v>12</v>
      </c>
      <c r="AB4" s="19">
        <v>5.3</v>
      </c>
      <c r="AC4" s="19">
        <v>10.5</v>
      </c>
      <c r="AD4" s="19">
        <v>7.9</v>
      </c>
      <c r="AE4" s="19">
        <v>12</v>
      </c>
      <c r="AF4" s="19">
        <v>6.6</v>
      </c>
    </row>
    <row r="5" spans="1:33" x14ac:dyDescent="0.25">
      <c r="A5" s="10">
        <v>6</v>
      </c>
      <c r="B5" s="19">
        <v>12.4</v>
      </c>
      <c r="C5" s="19">
        <v>11.1</v>
      </c>
      <c r="D5" s="19">
        <v>14.7</v>
      </c>
      <c r="E5" s="19">
        <v>15</v>
      </c>
      <c r="F5" s="19">
        <v>13</v>
      </c>
      <c r="G5" s="19">
        <v>18.7</v>
      </c>
      <c r="H5" s="19">
        <v>13.5</v>
      </c>
      <c r="I5" s="19">
        <v>16.5</v>
      </c>
      <c r="J5" s="19">
        <v>16.899999999999999</v>
      </c>
      <c r="K5" s="19">
        <v>16.100000000000001</v>
      </c>
      <c r="L5" s="20">
        <v>11.4</v>
      </c>
      <c r="M5" s="19">
        <v>13.4</v>
      </c>
      <c r="N5" s="19">
        <v>14</v>
      </c>
      <c r="O5" s="19">
        <v>12.1</v>
      </c>
      <c r="P5" s="19">
        <v>8.1</v>
      </c>
      <c r="Q5" s="19">
        <v>10.199999999999999</v>
      </c>
      <c r="R5" s="19">
        <v>7.2</v>
      </c>
      <c r="S5" s="19">
        <v>8.4</v>
      </c>
      <c r="T5" s="19">
        <v>8.6999999999999993</v>
      </c>
      <c r="U5" s="19">
        <v>12.6</v>
      </c>
      <c r="V5" s="19">
        <v>8.6999999999999993</v>
      </c>
      <c r="W5" s="20">
        <v>8.3000000000000007</v>
      </c>
      <c r="X5" s="19">
        <v>12.4</v>
      </c>
      <c r="Y5" s="20">
        <v>15.8</v>
      </c>
      <c r="Z5" s="19">
        <v>14.5</v>
      </c>
      <c r="AA5" s="19">
        <v>12.8</v>
      </c>
      <c r="AB5" s="19">
        <v>5.4</v>
      </c>
      <c r="AC5" s="19">
        <v>11.3</v>
      </c>
      <c r="AD5" s="19">
        <v>6.1</v>
      </c>
      <c r="AE5" s="19">
        <v>12.2</v>
      </c>
      <c r="AF5" s="19">
        <v>6.7</v>
      </c>
    </row>
    <row r="6" spans="1:33" x14ac:dyDescent="0.25">
      <c r="A6" s="10">
        <v>8</v>
      </c>
      <c r="B6" s="19">
        <v>15.1</v>
      </c>
      <c r="C6" s="19">
        <v>13.8</v>
      </c>
      <c r="D6" s="19">
        <v>16.3</v>
      </c>
      <c r="E6" s="19">
        <v>20</v>
      </c>
      <c r="F6" s="19">
        <v>18.3</v>
      </c>
      <c r="G6" s="19">
        <v>16.3</v>
      </c>
      <c r="H6" s="19">
        <v>17.600000000000001</v>
      </c>
      <c r="I6" s="19">
        <v>21</v>
      </c>
      <c r="J6" s="19">
        <v>20.100000000000001</v>
      </c>
      <c r="K6" s="19">
        <v>16.5</v>
      </c>
      <c r="L6" s="20">
        <v>15.3</v>
      </c>
      <c r="M6" s="19">
        <v>17.399999999999999</v>
      </c>
      <c r="N6" s="19">
        <v>14.8</v>
      </c>
      <c r="O6" s="19">
        <v>13.4</v>
      </c>
      <c r="P6" s="19">
        <v>8.1999999999999993</v>
      </c>
      <c r="Q6" s="19">
        <v>13.1</v>
      </c>
      <c r="R6" s="19">
        <v>8</v>
      </c>
      <c r="S6" s="19">
        <v>9.5</v>
      </c>
      <c r="T6" s="19">
        <v>9.8000000000000007</v>
      </c>
      <c r="U6" s="19">
        <v>12.8</v>
      </c>
      <c r="V6" s="19">
        <v>8.9</v>
      </c>
      <c r="W6" s="20">
        <v>12.2</v>
      </c>
      <c r="X6" s="19">
        <v>15.8</v>
      </c>
      <c r="Y6" s="20">
        <v>18.3</v>
      </c>
      <c r="Z6" s="19">
        <v>14.1</v>
      </c>
      <c r="AA6" s="19">
        <v>12.8</v>
      </c>
      <c r="AB6" s="19">
        <v>7.2</v>
      </c>
      <c r="AC6" s="19">
        <v>11.9</v>
      </c>
      <c r="AD6" s="19">
        <v>7.2</v>
      </c>
      <c r="AE6" s="19">
        <v>13.5</v>
      </c>
      <c r="AF6" s="19">
        <v>8</v>
      </c>
    </row>
    <row r="7" spans="1:33" x14ac:dyDescent="0.25">
      <c r="A7" s="10">
        <v>10</v>
      </c>
      <c r="B7" s="19">
        <v>17</v>
      </c>
      <c r="C7" s="19">
        <v>15.9</v>
      </c>
      <c r="D7" s="19">
        <v>19.5</v>
      </c>
      <c r="E7" s="19">
        <v>23.1</v>
      </c>
      <c r="F7" s="19">
        <v>22</v>
      </c>
      <c r="G7" s="19">
        <v>16.600000000000001</v>
      </c>
      <c r="H7" s="19">
        <v>19.2</v>
      </c>
      <c r="I7" s="19">
        <v>23.1</v>
      </c>
      <c r="J7" s="19">
        <v>22.9</v>
      </c>
      <c r="K7" s="19">
        <v>21.4</v>
      </c>
      <c r="L7" s="20">
        <v>19.600000000000001</v>
      </c>
      <c r="M7" s="19">
        <v>19.899999999999999</v>
      </c>
      <c r="N7" s="19">
        <v>15</v>
      </c>
      <c r="O7" s="19">
        <v>15.1</v>
      </c>
      <c r="P7" s="19">
        <v>8.5</v>
      </c>
      <c r="Q7" s="19">
        <v>14.1</v>
      </c>
      <c r="R7" s="19">
        <v>10.199999999999999</v>
      </c>
      <c r="S7" s="19">
        <v>11.8</v>
      </c>
      <c r="T7" s="19">
        <v>11</v>
      </c>
      <c r="U7" s="19">
        <v>14</v>
      </c>
      <c r="V7" s="19">
        <v>9.8000000000000007</v>
      </c>
      <c r="W7" s="20">
        <v>13.9</v>
      </c>
      <c r="X7" s="19">
        <v>17.399999999999999</v>
      </c>
      <c r="Y7" s="20">
        <v>21.2</v>
      </c>
      <c r="Z7" s="19">
        <v>15.3</v>
      </c>
      <c r="AA7" s="19">
        <v>12.6</v>
      </c>
      <c r="AB7" s="19">
        <v>10.9</v>
      </c>
      <c r="AC7" s="19">
        <v>14.2</v>
      </c>
      <c r="AD7" s="19">
        <v>9.6999999999999993</v>
      </c>
      <c r="AE7" s="19">
        <v>16.2</v>
      </c>
      <c r="AF7" s="19">
        <v>9.3000000000000007</v>
      </c>
    </row>
    <row r="8" spans="1:33" x14ac:dyDescent="0.25">
      <c r="A8" s="10">
        <v>12</v>
      </c>
      <c r="B8" s="19">
        <v>17</v>
      </c>
      <c r="C8" s="19">
        <v>15.9</v>
      </c>
      <c r="D8" s="19">
        <v>19.5</v>
      </c>
      <c r="E8" s="19">
        <v>23.1</v>
      </c>
      <c r="F8" s="19">
        <v>24.1</v>
      </c>
      <c r="G8" s="19">
        <v>16.600000000000001</v>
      </c>
      <c r="H8" s="19">
        <v>19.2</v>
      </c>
      <c r="I8" s="19">
        <v>23.1</v>
      </c>
      <c r="J8" s="19">
        <v>27</v>
      </c>
      <c r="K8" s="19">
        <v>21.4</v>
      </c>
      <c r="L8" s="20">
        <v>19.600000000000001</v>
      </c>
      <c r="M8" s="19">
        <v>19.899999999999999</v>
      </c>
      <c r="N8" s="19">
        <v>15.4</v>
      </c>
      <c r="O8" s="19">
        <v>12.6</v>
      </c>
      <c r="P8" s="19">
        <v>8.9</v>
      </c>
      <c r="Q8" s="19">
        <v>12.2</v>
      </c>
      <c r="R8" s="19">
        <v>9.6</v>
      </c>
      <c r="S8" s="19">
        <v>15</v>
      </c>
      <c r="T8" s="19">
        <v>11.1</v>
      </c>
      <c r="U8" s="19">
        <v>14.4</v>
      </c>
      <c r="V8" s="19">
        <v>10.4</v>
      </c>
      <c r="W8" s="20">
        <v>17</v>
      </c>
      <c r="X8" s="19">
        <v>19.3</v>
      </c>
      <c r="Y8" s="20">
        <v>24.1</v>
      </c>
      <c r="Z8" s="19">
        <v>15.9</v>
      </c>
      <c r="AA8" s="19">
        <v>12.3</v>
      </c>
      <c r="AB8" s="19">
        <v>10.8</v>
      </c>
      <c r="AC8" s="19">
        <v>17.399999999999999</v>
      </c>
      <c r="AD8" s="19">
        <v>11.6</v>
      </c>
      <c r="AE8" s="19">
        <v>21.2</v>
      </c>
      <c r="AF8" s="19">
        <v>12.9</v>
      </c>
    </row>
    <row r="9" spans="1:33" x14ac:dyDescent="0.25">
      <c r="A9" s="10">
        <v>14</v>
      </c>
      <c r="B9" s="19">
        <v>17</v>
      </c>
      <c r="C9" s="19">
        <v>15.9</v>
      </c>
      <c r="D9" s="19">
        <v>19.5</v>
      </c>
      <c r="E9" s="19">
        <v>23.1</v>
      </c>
      <c r="F9" s="19">
        <v>26</v>
      </c>
      <c r="G9" s="19">
        <v>16.600000000000001</v>
      </c>
      <c r="H9" s="19">
        <v>19.2</v>
      </c>
      <c r="I9" s="19">
        <v>23.1</v>
      </c>
      <c r="J9" s="19">
        <v>27.5</v>
      </c>
      <c r="K9" s="19">
        <v>21.4</v>
      </c>
      <c r="L9" s="20">
        <v>19.600000000000001</v>
      </c>
      <c r="M9" s="19">
        <v>19.899999999999999</v>
      </c>
      <c r="N9" s="19">
        <v>14.9</v>
      </c>
      <c r="O9" s="19">
        <v>14.4</v>
      </c>
      <c r="P9" s="19">
        <v>10.1</v>
      </c>
      <c r="Q9" s="19">
        <v>14.4</v>
      </c>
      <c r="R9" s="19">
        <v>9.9</v>
      </c>
      <c r="S9" s="19">
        <v>17</v>
      </c>
      <c r="T9" s="19">
        <v>12.1</v>
      </c>
      <c r="U9" s="19">
        <v>14.6</v>
      </c>
      <c r="V9" s="19">
        <v>11.3</v>
      </c>
      <c r="W9" s="20">
        <v>18</v>
      </c>
      <c r="X9" s="19">
        <v>22.9</v>
      </c>
      <c r="Y9" s="20">
        <v>25.2</v>
      </c>
      <c r="Z9" s="19">
        <v>17.8</v>
      </c>
      <c r="AA9" s="19">
        <v>11.8</v>
      </c>
      <c r="AB9" s="19">
        <v>13.9</v>
      </c>
      <c r="AC9" s="19">
        <v>20.6</v>
      </c>
      <c r="AD9" s="19">
        <v>16.899999999999999</v>
      </c>
      <c r="AE9" s="19">
        <v>20.9</v>
      </c>
      <c r="AF9" s="19">
        <v>11.9</v>
      </c>
    </row>
    <row r="10" spans="1:33" x14ac:dyDescent="0.25">
      <c r="A10" s="10">
        <v>16</v>
      </c>
      <c r="B10" s="19">
        <v>19.399999999999999</v>
      </c>
      <c r="C10" s="19">
        <v>20.2</v>
      </c>
      <c r="D10" s="19">
        <v>23.1</v>
      </c>
      <c r="E10" s="19">
        <v>26.9</v>
      </c>
      <c r="F10" s="19">
        <v>24.7</v>
      </c>
      <c r="G10" s="19">
        <v>23.4</v>
      </c>
      <c r="H10" s="19">
        <v>21.3</v>
      </c>
      <c r="I10" s="19">
        <v>28.7</v>
      </c>
      <c r="J10" s="19">
        <v>25.1</v>
      </c>
      <c r="K10" s="19">
        <v>23.3</v>
      </c>
      <c r="L10" s="20">
        <v>22.7</v>
      </c>
      <c r="M10" s="19">
        <v>22.3</v>
      </c>
      <c r="N10" s="19">
        <v>15.3</v>
      </c>
      <c r="O10" s="19">
        <v>15.4</v>
      </c>
      <c r="P10" s="19">
        <v>10.9</v>
      </c>
      <c r="Q10" s="19">
        <v>13.3</v>
      </c>
      <c r="R10" s="19">
        <v>10.1</v>
      </c>
      <c r="S10" s="19">
        <v>15.5</v>
      </c>
      <c r="T10" s="19">
        <v>12</v>
      </c>
      <c r="U10" s="19">
        <v>15.1</v>
      </c>
      <c r="V10" s="19">
        <v>11</v>
      </c>
      <c r="W10" s="20">
        <v>17.2</v>
      </c>
      <c r="X10" s="19">
        <v>21.8</v>
      </c>
      <c r="Y10" s="20">
        <v>24.7</v>
      </c>
      <c r="Z10" s="19">
        <v>14.9</v>
      </c>
      <c r="AA10" s="19">
        <v>12</v>
      </c>
      <c r="AB10" s="19">
        <v>10.8</v>
      </c>
      <c r="AC10" s="19">
        <v>19.899999999999999</v>
      </c>
      <c r="AD10" s="19">
        <v>14.5</v>
      </c>
      <c r="AE10" s="19">
        <v>19.7</v>
      </c>
      <c r="AF10" s="19">
        <v>12.1</v>
      </c>
    </row>
    <row r="11" spans="1:33" x14ac:dyDescent="0.25">
      <c r="A11" s="10">
        <v>18</v>
      </c>
      <c r="B11" s="19">
        <v>19.600000000000001</v>
      </c>
      <c r="C11" s="19">
        <v>20.399999999999999</v>
      </c>
      <c r="D11" s="19">
        <v>22.1</v>
      </c>
      <c r="E11" s="19">
        <v>25.1</v>
      </c>
      <c r="F11" s="19">
        <v>19.3</v>
      </c>
      <c r="G11" s="19">
        <v>18.399999999999999</v>
      </c>
      <c r="H11" s="19">
        <v>20.7</v>
      </c>
      <c r="I11" s="19">
        <v>27.7</v>
      </c>
      <c r="J11" s="19">
        <v>21.8</v>
      </c>
      <c r="K11" s="19">
        <v>21.8</v>
      </c>
      <c r="L11" s="20">
        <v>19.5</v>
      </c>
      <c r="M11" s="19">
        <v>22.1</v>
      </c>
      <c r="N11" s="19">
        <v>15</v>
      </c>
      <c r="O11" s="19">
        <v>14.7</v>
      </c>
      <c r="P11" s="19">
        <v>10.4</v>
      </c>
      <c r="Q11" s="19">
        <v>10.7</v>
      </c>
      <c r="R11" s="19">
        <v>8.5</v>
      </c>
      <c r="S11" s="19">
        <v>16.3</v>
      </c>
      <c r="T11" s="19">
        <v>11.4</v>
      </c>
      <c r="U11" s="19">
        <v>12.6</v>
      </c>
      <c r="V11" s="19">
        <v>11.3</v>
      </c>
      <c r="W11" s="20">
        <v>16.899999999999999</v>
      </c>
      <c r="X11" s="19">
        <v>19.600000000000001</v>
      </c>
      <c r="Y11" s="20">
        <v>23</v>
      </c>
      <c r="Z11" s="19">
        <v>13.8</v>
      </c>
      <c r="AA11" s="19">
        <v>12.8</v>
      </c>
      <c r="AB11" s="19">
        <v>11.9</v>
      </c>
      <c r="AC11" s="19">
        <v>19</v>
      </c>
      <c r="AD11" s="19">
        <v>12.1</v>
      </c>
      <c r="AE11" s="19">
        <v>18.3</v>
      </c>
      <c r="AF11" s="19">
        <v>12.1</v>
      </c>
    </row>
    <row r="12" spans="1:33" x14ac:dyDescent="0.25">
      <c r="A12" s="10">
        <v>20</v>
      </c>
      <c r="B12" s="19">
        <v>16</v>
      </c>
      <c r="C12" s="19">
        <v>19</v>
      </c>
      <c r="D12" s="19">
        <v>19.100000000000001</v>
      </c>
      <c r="E12" s="19">
        <v>19</v>
      </c>
      <c r="F12" s="19">
        <v>19</v>
      </c>
      <c r="G12" s="19">
        <v>17.2</v>
      </c>
      <c r="H12" s="19">
        <v>18.3</v>
      </c>
      <c r="I12" s="19">
        <v>21.5</v>
      </c>
      <c r="J12" s="19">
        <v>20.6</v>
      </c>
      <c r="K12" s="19">
        <v>15.5</v>
      </c>
      <c r="L12" s="20">
        <v>18.3</v>
      </c>
      <c r="M12" s="19">
        <v>15.8</v>
      </c>
      <c r="N12" s="19">
        <v>14.1</v>
      </c>
      <c r="O12" s="19">
        <v>11.6</v>
      </c>
      <c r="P12" s="19">
        <v>11</v>
      </c>
      <c r="Q12" s="19">
        <v>10.5</v>
      </c>
      <c r="R12" s="19">
        <v>8.5</v>
      </c>
      <c r="S12" s="19">
        <v>12.3</v>
      </c>
      <c r="T12" s="19">
        <v>13</v>
      </c>
      <c r="U12" s="19">
        <v>10.6</v>
      </c>
      <c r="V12" s="19">
        <v>9</v>
      </c>
      <c r="W12" s="20">
        <v>11.1</v>
      </c>
      <c r="X12" s="19">
        <v>18.3</v>
      </c>
      <c r="Y12" s="20">
        <v>18.7</v>
      </c>
      <c r="Z12" s="19">
        <v>12.3</v>
      </c>
      <c r="AA12" s="19">
        <v>8.1</v>
      </c>
      <c r="AB12" s="19">
        <v>12.3</v>
      </c>
      <c r="AC12" s="19">
        <v>13.9</v>
      </c>
      <c r="AD12" s="19">
        <v>10.5</v>
      </c>
      <c r="AE12" s="19">
        <v>12.2</v>
      </c>
      <c r="AF12" s="19">
        <v>7.7</v>
      </c>
    </row>
    <row r="13" spans="1:33" x14ac:dyDescent="0.25">
      <c r="A13" s="10">
        <v>22</v>
      </c>
      <c r="B13" s="19">
        <v>14</v>
      </c>
      <c r="C13" s="19">
        <v>15.2</v>
      </c>
      <c r="D13" s="19">
        <v>15.8</v>
      </c>
      <c r="E13" s="19">
        <v>14.6</v>
      </c>
      <c r="F13" s="19">
        <v>17</v>
      </c>
      <c r="G13" s="19">
        <v>15.4</v>
      </c>
      <c r="H13" s="19">
        <v>15.2</v>
      </c>
      <c r="I13" s="19">
        <v>18.899999999999999</v>
      </c>
      <c r="J13" s="19">
        <v>18.7</v>
      </c>
      <c r="K13" s="19">
        <v>14.8</v>
      </c>
      <c r="L13" s="20">
        <v>15.5</v>
      </c>
      <c r="M13" s="19">
        <v>14.5</v>
      </c>
      <c r="N13" s="19">
        <v>14</v>
      </c>
      <c r="O13" s="19">
        <v>10.4</v>
      </c>
      <c r="P13" s="19">
        <v>11</v>
      </c>
      <c r="Q13" s="19">
        <v>8.4</v>
      </c>
      <c r="R13" s="19">
        <v>8.1999999999999993</v>
      </c>
      <c r="S13" s="19">
        <v>11.2</v>
      </c>
      <c r="T13" s="19">
        <v>12.7</v>
      </c>
      <c r="U13" s="19">
        <v>9.8000000000000007</v>
      </c>
      <c r="V13" s="19">
        <v>8.6</v>
      </c>
      <c r="W13" s="20">
        <v>10.199999999999999</v>
      </c>
      <c r="X13" s="19">
        <v>16.100000000000001</v>
      </c>
      <c r="Y13" s="20">
        <v>18.399999999999999</v>
      </c>
      <c r="Z13" s="19">
        <v>12</v>
      </c>
      <c r="AA13" s="19">
        <v>7.5</v>
      </c>
      <c r="AB13" s="19">
        <v>13.2</v>
      </c>
      <c r="AC13" s="19">
        <v>14.7</v>
      </c>
      <c r="AD13" s="19">
        <v>10</v>
      </c>
      <c r="AE13" s="19">
        <v>11.1</v>
      </c>
      <c r="AF13" s="19">
        <v>6.4</v>
      </c>
    </row>
    <row r="14" spans="1:33" x14ac:dyDescent="0.25">
      <c r="A14" s="10">
        <v>24</v>
      </c>
      <c r="B14" s="19">
        <v>11.1</v>
      </c>
      <c r="C14" s="19">
        <v>14.3</v>
      </c>
      <c r="D14" s="19">
        <v>15.7</v>
      </c>
      <c r="E14" s="19">
        <v>13.8</v>
      </c>
      <c r="F14" s="19">
        <v>15.6</v>
      </c>
      <c r="G14" s="19">
        <v>15.1</v>
      </c>
      <c r="H14" s="19">
        <v>15.5</v>
      </c>
      <c r="I14" s="19">
        <v>17.600000000000001</v>
      </c>
      <c r="J14" s="19">
        <v>16.8</v>
      </c>
      <c r="K14" s="19">
        <v>12.9</v>
      </c>
      <c r="L14" s="20">
        <v>14</v>
      </c>
      <c r="M14" s="19">
        <v>14.3</v>
      </c>
      <c r="N14" s="19">
        <v>13.2</v>
      </c>
      <c r="O14" s="19">
        <v>9.8000000000000007</v>
      </c>
      <c r="P14" s="19">
        <v>11.2</v>
      </c>
      <c r="Q14" s="19">
        <v>8.1999999999999993</v>
      </c>
      <c r="R14" s="19">
        <v>8.3000000000000007</v>
      </c>
      <c r="S14" s="19">
        <v>11</v>
      </c>
      <c r="T14" s="19">
        <v>12</v>
      </c>
      <c r="U14" s="19">
        <v>9.1999999999999993</v>
      </c>
      <c r="V14" s="19">
        <v>8</v>
      </c>
      <c r="W14" s="20">
        <v>10.1</v>
      </c>
      <c r="X14" s="19">
        <v>15.9</v>
      </c>
      <c r="Y14" s="20">
        <v>16.7</v>
      </c>
      <c r="Z14" s="19">
        <v>11.5</v>
      </c>
      <c r="AA14" s="19">
        <v>6.7</v>
      </c>
      <c r="AB14" s="19">
        <v>12.6</v>
      </c>
      <c r="AC14" s="19">
        <v>14.5</v>
      </c>
      <c r="AD14" s="19">
        <v>9.3000000000000007</v>
      </c>
      <c r="AE14" s="19">
        <v>10.1</v>
      </c>
      <c r="AF14" s="19">
        <v>5.6</v>
      </c>
    </row>
    <row r="15" spans="1:33" x14ac:dyDescent="0.25">
      <c r="A15" s="10">
        <v>2</v>
      </c>
      <c r="B15" s="19">
        <v>10.3</v>
      </c>
      <c r="C15" s="19">
        <v>13.7</v>
      </c>
      <c r="D15" s="19">
        <v>18</v>
      </c>
      <c r="E15" s="19">
        <v>16.8</v>
      </c>
      <c r="F15" s="19">
        <v>17.600000000000001</v>
      </c>
      <c r="G15" s="19">
        <v>15.6</v>
      </c>
      <c r="H15" s="19">
        <v>15.7</v>
      </c>
      <c r="I15" s="19">
        <v>20.3</v>
      </c>
      <c r="J15" s="19">
        <v>16</v>
      </c>
      <c r="K15" s="19">
        <v>12.3</v>
      </c>
      <c r="L15" s="20">
        <v>13.6</v>
      </c>
      <c r="M15" s="19">
        <v>16.2</v>
      </c>
      <c r="N15" s="19">
        <v>12.2</v>
      </c>
      <c r="O15" s="19">
        <v>9.8000000000000007</v>
      </c>
      <c r="P15" s="19">
        <v>9.82</v>
      </c>
      <c r="Q15" s="19">
        <v>6.7</v>
      </c>
      <c r="R15" s="19">
        <v>8.1999999999999993</v>
      </c>
      <c r="S15" s="19">
        <v>11</v>
      </c>
      <c r="T15" s="19">
        <v>11.3</v>
      </c>
      <c r="U15" s="19">
        <v>9.8000000000000007</v>
      </c>
      <c r="V15" s="19">
        <v>8</v>
      </c>
      <c r="W15" s="20">
        <v>12</v>
      </c>
      <c r="X15" s="19">
        <v>15.5</v>
      </c>
      <c r="Y15" s="20">
        <v>19</v>
      </c>
      <c r="Z15" s="19">
        <v>11.4</v>
      </c>
      <c r="AA15" s="19">
        <v>7.8</v>
      </c>
      <c r="AB15" s="19">
        <v>12.6</v>
      </c>
      <c r="AC15" s="19">
        <v>14.7</v>
      </c>
      <c r="AD15" s="19">
        <v>9.5</v>
      </c>
      <c r="AE15" s="19">
        <v>9.9</v>
      </c>
      <c r="AF15" s="19">
        <v>5.4</v>
      </c>
    </row>
    <row r="16" spans="1:33" ht="30" x14ac:dyDescent="0.25">
      <c r="A16" s="11" t="s">
        <v>2</v>
      </c>
      <c r="B16" s="15">
        <f>(B4+B5+B6+B7+B8+B9+B10+B11+B12+B13+B14+B15)/12</f>
        <v>14.950000000000001</v>
      </c>
      <c r="C16" s="15">
        <f t="shared" ref="C16:O16" si="0">(C4+C5+C6+C7+C8+C9+C10+C11+C12+C13+C14+C15)/12</f>
        <v>15.416666666666666</v>
      </c>
      <c r="D16" s="15">
        <f t="shared" si="0"/>
        <v>18.108333333333331</v>
      </c>
      <c r="E16" s="15">
        <f t="shared" si="0"/>
        <v>19.625</v>
      </c>
      <c r="F16" s="15">
        <f t="shared" si="0"/>
        <v>19.216666666666665</v>
      </c>
      <c r="G16" s="15">
        <f t="shared" si="0"/>
        <v>17.2</v>
      </c>
      <c r="H16" s="15">
        <f t="shared" si="0"/>
        <v>17.408333333333331</v>
      </c>
      <c r="I16" s="15">
        <f t="shared" si="0"/>
        <v>21.408333333333331</v>
      </c>
      <c r="J16" s="15">
        <f t="shared" si="0"/>
        <v>20.841666666666665</v>
      </c>
      <c r="K16" s="15">
        <f t="shared" si="0"/>
        <v>17.733333333333338</v>
      </c>
      <c r="L16" s="15">
        <f t="shared" si="0"/>
        <v>16.666666666666668</v>
      </c>
      <c r="M16" s="15">
        <f t="shared" si="0"/>
        <v>17.341666666666669</v>
      </c>
      <c r="N16" s="15">
        <f t="shared" si="0"/>
        <v>14.283333333333331</v>
      </c>
      <c r="O16" s="15">
        <f t="shared" si="0"/>
        <v>12.533333333333337</v>
      </c>
      <c r="P16" s="15">
        <f>(P4+P5+P6+P7+P8+P9+P10+P11+P12+P13+P14+P15)/12</f>
        <v>9.6850000000000005</v>
      </c>
      <c r="Q16" s="15">
        <f>(Q4+Q5+Q6+Q7+Q8+Q9+Q10+Q11+Q12+Q13+Q14+Q15)/12</f>
        <v>11</v>
      </c>
      <c r="R16" s="15">
        <f>(R4+R5+R6+R7+R8+R9+R10+R11+R12+R13+R14+R15)/12</f>
        <v>8.6166666666666654</v>
      </c>
      <c r="S16" s="15">
        <f t="shared" ref="S16:AF16" si="1">(S4+S5+S6+S7+S8+S9+S10+S11+S12+S13+S14+S15)/12</f>
        <v>12.275</v>
      </c>
      <c r="T16" s="15">
        <f t="shared" si="1"/>
        <v>11.15</v>
      </c>
      <c r="U16" s="15">
        <f t="shared" si="1"/>
        <v>12.308333333333332</v>
      </c>
      <c r="V16" s="15">
        <f t="shared" si="1"/>
        <v>9.4083333333333332</v>
      </c>
      <c r="W16" s="15">
        <f t="shared" si="1"/>
        <v>12.908333333333331</v>
      </c>
      <c r="X16" s="15">
        <f t="shared" si="1"/>
        <v>17.275000000000002</v>
      </c>
      <c r="Y16" s="15">
        <f t="shared" si="1"/>
        <v>19.974999999999998</v>
      </c>
      <c r="Z16" s="15">
        <f t="shared" si="1"/>
        <v>13.983333333333334</v>
      </c>
      <c r="AA16" s="15">
        <f t="shared" si="1"/>
        <v>10.766666666666666</v>
      </c>
      <c r="AB16" s="15">
        <f t="shared" si="1"/>
        <v>10.574999999999999</v>
      </c>
      <c r="AC16" s="15">
        <f t="shared" si="1"/>
        <v>15.216666666666667</v>
      </c>
      <c r="AD16" s="15">
        <f t="shared" si="1"/>
        <v>10.441666666666666</v>
      </c>
      <c r="AE16" s="15">
        <f t="shared" si="1"/>
        <v>14.774999999999999</v>
      </c>
      <c r="AF16" s="15">
        <f t="shared" si="1"/>
        <v>8.7249999999999996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62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9.3000000000000007</v>
      </c>
      <c r="C24" s="17">
        <v>7.7</v>
      </c>
      <c r="D24" s="17">
        <v>10.6</v>
      </c>
      <c r="E24" s="17">
        <v>12.4</v>
      </c>
      <c r="F24" s="19">
        <v>16.2</v>
      </c>
      <c r="G24" s="19">
        <v>15.5</v>
      </c>
      <c r="H24" s="19">
        <v>13.3</v>
      </c>
      <c r="I24" s="17">
        <v>14.4</v>
      </c>
      <c r="J24" s="17">
        <v>18.100000000000001</v>
      </c>
      <c r="K24" s="15">
        <v>16</v>
      </c>
      <c r="L24" s="15">
        <v>11.2</v>
      </c>
      <c r="M24" s="15">
        <v>14.3</v>
      </c>
      <c r="N24" s="15">
        <v>14.9</v>
      </c>
      <c r="O24" s="15">
        <v>12</v>
      </c>
      <c r="P24" s="15">
        <v>9.1999999999999993</v>
      </c>
      <c r="Q24" s="15">
        <v>9.5</v>
      </c>
      <c r="R24" s="13">
        <v>8.3000000000000007</v>
      </c>
      <c r="S24" s="13">
        <v>6.6</v>
      </c>
      <c r="T24" s="19">
        <v>11.2</v>
      </c>
      <c r="U24" s="19">
        <v>11.5</v>
      </c>
      <c r="V24" s="19">
        <v>9.1</v>
      </c>
      <c r="W24" s="13">
        <v>5.3</v>
      </c>
      <c r="X24" s="13">
        <v>11.6</v>
      </c>
      <c r="Y24" s="13">
        <v>15</v>
      </c>
      <c r="Z24" s="19">
        <v>17</v>
      </c>
      <c r="AA24" s="19">
        <v>10.9</v>
      </c>
      <c r="AB24" s="19">
        <v>7.1</v>
      </c>
      <c r="AC24" s="19">
        <v>11.1</v>
      </c>
      <c r="AD24" s="19">
        <v>9.3000000000000007</v>
      </c>
      <c r="AE24" s="19">
        <v>9.5</v>
      </c>
      <c r="AF24" s="19">
        <v>7.7</v>
      </c>
    </row>
    <row r="25" spans="1:32" x14ac:dyDescent="0.25">
      <c r="A25" s="10">
        <v>6</v>
      </c>
      <c r="B25" s="17">
        <v>12</v>
      </c>
      <c r="C25" s="17">
        <v>11.9</v>
      </c>
      <c r="D25" s="17">
        <v>14.4</v>
      </c>
      <c r="E25" s="17">
        <v>15.1</v>
      </c>
      <c r="F25" s="19">
        <v>16.7</v>
      </c>
      <c r="G25" s="19">
        <v>16</v>
      </c>
      <c r="H25" s="19">
        <v>15.6</v>
      </c>
      <c r="I25" s="17">
        <v>15.7</v>
      </c>
      <c r="J25" s="17">
        <v>19</v>
      </c>
      <c r="K25" s="15">
        <v>16.3</v>
      </c>
      <c r="L25" s="15">
        <v>13.6</v>
      </c>
      <c r="M25" s="15">
        <v>14.9</v>
      </c>
      <c r="N25" s="15">
        <v>14.9</v>
      </c>
      <c r="O25" s="15">
        <v>11.2</v>
      </c>
      <c r="P25" s="15">
        <v>8.6999999999999993</v>
      </c>
      <c r="Q25" s="15">
        <v>9.8000000000000007</v>
      </c>
      <c r="R25" s="13">
        <v>8.6</v>
      </c>
      <c r="S25" s="13">
        <v>7.2</v>
      </c>
      <c r="T25" s="19">
        <v>10.4</v>
      </c>
      <c r="U25" s="19">
        <v>12</v>
      </c>
      <c r="V25" s="19">
        <v>9.4</v>
      </c>
      <c r="W25" s="13">
        <v>6.5</v>
      </c>
      <c r="X25" s="13">
        <v>12.3</v>
      </c>
      <c r="Y25" s="13">
        <v>15.4</v>
      </c>
      <c r="Z25" s="19">
        <v>15.7</v>
      </c>
      <c r="AA25" s="19">
        <v>12.1</v>
      </c>
      <c r="AB25" s="19">
        <v>6.8</v>
      </c>
      <c r="AC25" s="19">
        <v>10.6</v>
      </c>
      <c r="AD25" s="19">
        <v>7.2</v>
      </c>
      <c r="AE25" s="19">
        <v>10.4</v>
      </c>
      <c r="AF25" s="19">
        <v>7.9</v>
      </c>
    </row>
    <row r="26" spans="1:32" x14ac:dyDescent="0.25">
      <c r="A26" s="10">
        <v>8</v>
      </c>
      <c r="B26" s="17">
        <v>14.5</v>
      </c>
      <c r="C26" s="17">
        <v>14.1</v>
      </c>
      <c r="D26" s="17">
        <v>17.2</v>
      </c>
      <c r="E26" s="17">
        <v>21.2</v>
      </c>
      <c r="F26" s="19">
        <v>21</v>
      </c>
      <c r="G26" s="19">
        <v>19.5</v>
      </c>
      <c r="H26" s="19">
        <v>19.100000000000001</v>
      </c>
      <c r="I26" s="17">
        <v>20.2</v>
      </c>
      <c r="J26" s="17">
        <v>23.4</v>
      </c>
      <c r="K26" s="15">
        <v>18.7</v>
      </c>
      <c r="L26" s="15">
        <v>18.100000000000001</v>
      </c>
      <c r="M26" s="15">
        <v>19</v>
      </c>
      <c r="N26" s="15">
        <v>16</v>
      </c>
      <c r="O26" s="15">
        <v>11.8</v>
      </c>
      <c r="P26" s="15">
        <v>8.4</v>
      </c>
      <c r="Q26" s="15">
        <v>11.2</v>
      </c>
      <c r="R26" s="13">
        <v>10</v>
      </c>
      <c r="S26" s="13">
        <v>8.6</v>
      </c>
      <c r="T26" s="19">
        <v>10.8</v>
      </c>
      <c r="U26" s="19">
        <v>12.2</v>
      </c>
      <c r="V26" s="19">
        <v>10</v>
      </c>
      <c r="W26" s="13">
        <v>12.4</v>
      </c>
      <c r="X26" s="13">
        <v>17.600000000000001</v>
      </c>
      <c r="Y26" s="13">
        <v>18.3</v>
      </c>
      <c r="Z26" s="19">
        <v>16.399999999999999</v>
      </c>
      <c r="AA26" s="19">
        <v>12.2</v>
      </c>
      <c r="AB26" s="19">
        <v>9.1999999999999993</v>
      </c>
      <c r="AC26" s="19">
        <v>10.7</v>
      </c>
      <c r="AD26" s="19">
        <v>9</v>
      </c>
      <c r="AE26" s="19">
        <v>12.9</v>
      </c>
      <c r="AF26" s="19">
        <v>9.6</v>
      </c>
    </row>
    <row r="27" spans="1:32" x14ac:dyDescent="0.25">
      <c r="A27" s="10">
        <v>10</v>
      </c>
      <c r="B27" s="17">
        <v>15.5</v>
      </c>
      <c r="C27" s="17">
        <v>17.3</v>
      </c>
      <c r="D27" s="17">
        <v>20.2</v>
      </c>
      <c r="E27" s="17">
        <v>25</v>
      </c>
      <c r="F27" s="19">
        <v>23.9</v>
      </c>
      <c r="G27" s="19">
        <v>17.2</v>
      </c>
      <c r="H27" s="19">
        <v>21</v>
      </c>
      <c r="I27" s="17">
        <v>24.5</v>
      </c>
      <c r="J27" s="17">
        <v>26.2</v>
      </c>
      <c r="K27" s="15">
        <v>21.2</v>
      </c>
      <c r="L27" s="15">
        <v>20.399999999999999</v>
      </c>
      <c r="M27" s="15">
        <v>21</v>
      </c>
      <c r="N27" s="15">
        <v>16.100000000000001</v>
      </c>
      <c r="O27" s="15">
        <v>12.3</v>
      </c>
      <c r="P27" s="15">
        <v>9</v>
      </c>
      <c r="Q27" s="15">
        <v>14</v>
      </c>
      <c r="R27" s="13">
        <v>11.3</v>
      </c>
      <c r="S27" s="13">
        <v>12</v>
      </c>
      <c r="T27" s="19">
        <v>12.2</v>
      </c>
      <c r="U27" s="19">
        <v>12.6</v>
      </c>
      <c r="V27" s="19">
        <v>10.9</v>
      </c>
      <c r="W27" s="13">
        <v>14.9</v>
      </c>
      <c r="X27" s="13">
        <v>18.899999999999999</v>
      </c>
      <c r="Y27" s="13">
        <v>22</v>
      </c>
      <c r="Z27" s="19">
        <v>16.5</v>
      </c>
      <c r="AA27" s="19">
        <v>12.3</v>
      </c>
      <c r="AB27" s="19">
        <v>11.5</v>
      </c>
      <c r="AC27" s="19">
        <v>11.6</v>
      </c>
      <c r="AD27" s="19">
        <v>11</v>
      </c>
      <c r="AE27" s="19">
        <v>14.4</v>
      </c>
      <c r="AF27" s="19">
        <v>10</v>
      </c>
    </row>
    <row r="28" spans="1:32" x14ac:dyDescent="0.25">
      <c r="A28" s="10">
        <v>12</v>
      </c>
      <c r="B28" s="17">
        <v>16.8</v>
      </c>
      <c r="C28" s="17">
        <v>19.100000000000001</v>
      </c>
      <c r="D28" s="17">
        <v>22.3</v>
      </c>
      <c r="E28" s="17">
        <v>27.8</v>
      </c>
      <c r="F28" s="19">
        <v>26.2</v>
      </c>
      <c r="G28" s="19">
        <v>19.600000000000001</v>
      </c>
      <c r="H28" s="19">
        <v>21.7</v>
      </c>
      <c r="I28" s="17">
        <v>27.7</v>
      </c>
      <c r="J28" s="17">
        <v>27.9</v>
      </c>
      <c r="K28" s="15">
        <v>21.8</v>
      </c>
      <c r="L28" s="15">
        <v>22.3</v>
      </c>
      <c r="M28" s="15">
        <v>21.4</v>
      </c>
      <c r="N28" s="15">
        <v>15.9</v>
      </c>
      <c r="O28" s="15">
        <v>12.6</v>
      </c>
      <c r="P28" s="15">
        <v>9.8000000000000007</v>
      </c>
      <c r="Q28" s="15">
        <v>13.9</v>
      </c>
      <c r="R28" s="13">
        <v>10.5</v>
      </c>
      <c r="S28" s="13">
        <v>13</v>
      </c>
      <c r="T28" s="19">
        <v>13.2</v>
      </c>
      <c r="U28" s="19">
        <v>14.6</v>
      </c>
      <c r="V28" s="19">
        <v>12.2</v>
      </c>
      <c r="W28" s="13">
        <v>17.2</v>
      </c>
      <c r="X28" s="13">
        <v>22.2</v>
      </c>
      <c r="Y28" s="13">
        <v>24.1</v>
      </c>
      <c r="Z28" s="19">
        <v>17</v>
      </c>
      <c r="AA28" s="19">
        <v>11.7</v>
      </c>
      <c r="AB28" s="19">
        <v>12.1</v>
      </c>
      <c r="AC28" s="19">
        <v>14.5</v>
      </c>
      <c r="AD28" s="19">
        <v>13.6</v>
      </c>
      <c r="AE28" s="19">
        <v>17.8</v>
      </c>
      <c r="AF28" s="19">
        <v>13.2</v>
      </c>
    </row>
    <row r="29" spans="1:32" x14ac:dyDescent="0.25">
      <c r="A29" s="10">
        <v>14</v>
      </c>
      <c r="B29" s="17">
        <v>18.399999999999999</v>
      </c>
      <c r="C29" s="17">
        <v>21.4</v>
      </c>
      <c r="D29" s="17">
        <v>23.4</v>
      </c>
      <c r="E29" s="17">
        <v>28.2</v>
      </c>
      <c r="F29" s="19">
        <v>27.2</v>
      </c>
      <c r="G29" s="19">
        <v>23.9</v>
      </c>
      <c r="H29" s="19">
        <v>22.3</v>
      </c>
      <c r="I29" s="17">
        <v>28.2</v>
      </c>
      <c r="J29" s="17">
        <v>29.4</v>
      </c>
      <c r="K29" s="15">
        <v>22.1</v>
      </c>
      <c r="L29" s="15">
        <v>20.5</v>
      </c>
      <c r="M29" s="15">
        <v>22.2</v>
      </c>
      <c r="N29" s="15">
        <v>15.9</v>
      </c>
      <c r="O29" s="15">
        <v>13</v>
      </c>
      <c r="P29" s="15">
        <v>10.4</v>
      </c>
      <c r="Q29" s="15">
        <v>12.5</v>
      </c>
      <c r="R29" s="13">
        <v>11.4</v>
      </c>
      <c r="S29" s="13">
        <v>14.1</v>
      </c>
      <c r="T29" s="19">
        <v>13.3</v>
      </c>
      <c r="U29" s="19">
        <v>13</v>
      </c>
      <c r="V29" s="19">
        <v>13.6</v>
      </c>
      <c r="W29" s="13">
        <v>18.100000000000001</v>
      </c>
      <c r="X29" s="13">
        <v>23.8</v>
      </c>
      <c r="Y29" s="13">
        <v>25.8</v>
      </c>
      <c r="Z29" s="19">
        <v>16</v>
      </c>
      <c r="AA29" s="19">
        <v>11.3</v>
      </c>
      <c r="AB29" s="19">
        <v>13.1</v>
      </c>
      <c r="AC29" s="19">
        <v>15.9</v>
      </c>
      <c r="AD29" s="19">
        <v>15</v>
      </c>
      <c r="AE29" s="19">
        <v>19.600000000000001</v>
      </c>
      <c r="AF29" s="19">
        <v>12.4</v>
      </c>
    </row>
    <row r="30" spans="1:32" x14ac:dyDescent="0.25">
      <c r="A30" s="10">
        <v>16</v>
      </c>
      <c r="B30" s="17">
        <v>19</v>
      </c>
      <c r="C30" s="17">
        <v>22.3</v>
      </c>
      <c r="D30" s="17">
        <v>24.5</v>
      </c>
      <c r="E30" s="17">
        <v>28.1</v>
      </c>
      <c r="F30" s="19">
        <v>26.6</v>
      </c>
      <c r="G30" s="19">
        <v>22.5</v>
      </c>
      <c r="H30" s="19">
        <v>21.9</v>
      </c>
      <c r="I30" s="17">
        <v>30.4</v>
      </c>
      <c r="J30" s="17">
        <v>27.7</v>
      </c>
      <c r="K30" s="15">
        <v>24.4</v>
      </c>
      <c r="L30" s="15">
        <v>24.8</v>
      </c>
      <c r="M30" s="15">
        <v>22.3</v>
      </c>
      <c r="N30" s="15">
        <v>15.5</v>
      </c>
      <c r="O30" s="15">
        <v>14.1</v>
      </c>
      <c r="P30" s="15">
        <v>11.4</v>
      </c>
      <c r="Q30" s="15">
        <v>12.2</v>
      </c>
      <c r="R30" s="13">
        <v>10</v>
      </c>
      <c r="S30" s="13">
        <v>14.1</v>
      </c>
      <c r="T30" s="19">
        <v>13</v>
      </c>
      <c r="U30" s="19">
        <v>14.1</v>
      </c>
      <c r="V30" s="19">
        <v>15.1</v>
      </c>
      <c r="W30" s="13">
        <v>16</v>
      </c>
      <c r="X30" s="13">
        <v>23.4</v>
      </c>
      <c r="Y30" s="13">
        <v>24.4</v>
      </c>
      <c r="Z30" s="19">
        <v>15.9</v>
      </c>
      <c r="AA30" s="19">
        <v>11.1</v>
      </c>
      <c r="AB30" s="19">
        <v>12.1</v>
      </c>
      <c r="AC30" s="19">
        <v>17.899999999999999</v>
      </c>
      <c r="AD30" s="19">
        <v>15.2</v>
      </c>
      <c r="AE30" s="19">
        <v>19.100000000000001</v>
      </c>
      <c r="AF30" s="19">
        <v>12.2</v>
      </c>
    </row>
    <row r="31" spans="1:32" x14ac:dyDescent="0.25">
      <c r="A31" s="10">
        <v>18</v>
      </c>
      <c r="B31" s="17">
        <v>18.600000000000001</v>
      </c>
      <c r="C31" s="17">
        <v>21.2</v>
      </c>
      <c r="D31" s="17">
        <v>23.3</v>
      </c>
      <c r="E31" s="17">
        <v>26.8</v>
      </c>
      <c r="F31" s="19">
        <v>25.9</v>
      </c>
      <c r="G31" s="19">
        <v>20.9</v>
      </c>
      <c r="H31" s="19">
        <v>22.2</v>
      </c>
      <c r="I31" s="17">
        <v>29.3</v>
      </c>
      <c r="J31" s="17">
        <v>24.9</v>
      </c>
      <c r="K31" s="15">
        <v>22.4</v>
      </c>
      <c r="L31" s="15">
        <v>22</v>
      </c>
      <c r="M31" s="15">
        <v>21.9</v>
      </c>
      <c r="N31" s="15">
        <v>14.9</v>
      </c>
      <c r="O31" s="15">
        <v>13.7</v>
      </c>
      <c r="P31" s="15">
        <v>11.6</v>
      </c>
      <c r="Q31" s="15">
        <v>11.3</v>
      </c>
      <c r="R31" s="13">
        <v>9.8000000000000007</v>
      </c>
      <c r="S31" s="13">
        <v>16.8</v>
      </c>
      <c r="T31" s="19">
        <v>12.6</v>
      </c>
      <c r="U31" s="19">
        <v>13.4</v>
      </c>
      <c r="V31" s="19">
        <v>14.2</v>
      </c>
      <c r="W31" s="13">
        <v>16.5</v>
      </c>
      <c r="X31" s="13">
        <v>22.4</v>
      </c>
      <c r="Y31" s="13">
        <v>22.3</v>
      </c>
      <c r="Z31" s="19">
        <v>14.7</v>
      </c>
      <c r="AA31" s="19">
        <v>12.2</v>
      </c>
      <c r="AB31" s="19">
        <v>11.8</v>
      </c>
      <c r="AC31" s="19">
        <v>18.2</v>
      </c>
      <c r="AD31" s="19">
        <v>13.4</v>
      </c>
      <c r="AE31" s="19">
        <v>18</v>
      </c>
      <c r="AF31" s="19">
        <v>10.9</v>
      </c>
    </row>
    <row r="32" spans="1:32" x14ac:dyDescent="0.25">
      <c r="A32" s="10">
        <v>20</v>
      </c>
      <c r="B32" s="17">
        <v>15.2</v>
      </c>
      <c r="C32" s="17">
        <v>19</v>
      </c>
      <c r="D32" s="17">
        <v>20.5</v>
      </c>
      <c r="E32" s="17">
        <v>22.7</v>
      </c>
      <c r="F32" s="19">
        <v>21.3</v>
      </c>
      <c r="G32" s="19">
        <v>19.3</v>
      </c>
      <c r="H32" s="19">
        <v>19.399999999999999</v>
      </c>
      <c r="I32" s="17">
        <v>25.6</v>
      </c>
      <c r="J32" s="17">
        <v>22.1</v>
      </c>
      <c r="K32" s="15">
        <v>18.399999999999999</v>
      </c>
      <c r="L32" s="15">
        <v>18.100000000000001</v>
      </c>
      <c r="M32" s="15">
        <v>19.8</v>
      </c>
      <c r="N32" s="15">
        <v>14.8</v>
      </c>
      <c r="O32" s="15">
        <v>12.3</v>
      </c>
      <c r="P32" s="15">
        <v>10.6</v>
      </c>
      <c r="Q32" s="15">
        <v>10.5</v>
      </c>
      <c r="R32" s="13">
        <v>8.5</v>
      </c>
      <c r="S32" s="13">
        <v>14.1</v>
      </c>
      <c r="T32" s="19">
        <v>12</v>
      </c>
      <c r="U32" s="19">
        <v>12.1</v>
      </c>
      <c r="V32" s="19">
        <v>9.6999999999999993</v>
      </c>
      <c r="W32" s="13">
        <v>13.4</v>
      </c>
      <c r="X32" s="13">
        <v>18.8</v>
      </c>
      <c r="Y32" s="13">
        <v>20.5</v>
      </c>
      <c r="Z32" s="19">
        <v>12.4</v>
      </c>
      <c r="AA32" s="19">
        <v>9.1999999999999993</v>
      </c>
      <c r="AB32" s="19">
        <v>11</v>
      </c>
      <c r="AC32" s="19">
        <v>16.100000000000001</v>
      </c>
      <c r="AD32" s="19">
        <v>9.6</v>
      </c>
      <c r="AE32" s="19">
        <v>13.9</v>
      </c>
      <c r="AF32" s="19">
        <v>8.6</v>
      </c>
    </row>
    <row r="33" spans="1:32" x14ac:dyDescent="0.25">
      <c r="A33" s="10">
        <v>22</v>
      </c>
      <c r="B33" s="17">
        <v>13.2</v>
      </c>
      <c r="C33" s="17">
        <v>14.4</v>
      </c>
      <c r="D33" s="17">
        <v>16.100000000000001</v>
      </c>
      <c r="E33" s="17">
        <v>19.5</v>
      </c>
      <c r="F33" s="19">
        <v>18.8</v>
      </c>
      <c r="G33" s="19">
        <v>16.5</v>
      </c>
      <c r="H33" s="19">
        <v>16.5</v>
      </c>
      <c r="I33" s="17">
        <v>21.4</v>
      </c>
      <c r="J33" s="17">
        <v>18.5</v>
      </c>
      <c r="K33" s="15">
        <v>14.7</v>
      </c>
      <c r="L33" s="15">
        <v>15.4</v>
      </c>
      <c r="M33" s="15">
        <v>18.899999999999999</v>
      </c>
      <c r="N33" s="15">
        <v>14.2</v>
      </c>
      <c r="O33" s="15">
        <v>11.9</v>
      </c>
      <c r="P33" s="15">
        <v>10.199999999999999</v>
      </c>
      <c r="Q33" s="15">
        <v>10.1</v>
      </c>
      <c r="R33" s="13">
        <v>8.1999999999999993</v>
      </c>
      <c r="S33" s="13">
        <v>13.1</v>
      </c>
      <c r="T33" s="19">
        <v>11.8</v>
      </c>
      <c r="U33" s="19">
        <v>11.4</v>
      </c>
      <c r="V33" s="19">
        <v>7.7</v>
      </c>
      <c r="W33" s="13">
        <v>12.2</v>
      </c>
      <c r="X33" s="13">
        <v>16.600000000000001</v>
      </c>
      <c r="Y33" s="13">
        <v>19.399999999999999</v>
      </c>
      <c r="Z33" s="19">
        <v>8.9</v>
      </c>
      <c r="AA33" s="19">
        <v>8.1</v>
      </c>
      <c r="AB33" s="19">
        <v>11.4</v>
      </c>
      <c r="AC33" s="19">
        <v>15.9</v>
      </c>
      <c r="AD33" s="19">
        <v>8.6</v>
      </c>
      <c r="AE33" s="19">
        <v>13.1</v>
      </c>
      <c r="AF33" s="19">
        <v>5.8</v>
      </c>
    </row>
    <row r="34" spans="1:32" x14ac:dyDescent="0.25">
      <c r="A34" s="10">
        <v>24</v>
      </c>
      <c r="B34" s="17">
        <v>11.5</v>
      </c>
      <c r="C34" s="17">
        <v>12.3</v>
      </c>
      <c r="D34" s="17">
        <v>14.2</v>
      </c>
      <c r="E34" s="17">
        <v>18.3</v>
      </c>
      <c r="F34" s="19">
        <v>16.5</v>
      </c>
      <c r="G34" s="19">
        <v>15.1</v>
      </c>
      <c r="H34" s="19">
        <v>14.4</v>
      </c>
      <c r="I34" s="17">
        <v>19.8</v>
      </c>
      <c r="J34" s="17">
        <v>17.5</v>
      </c>
      <c r="K34" s="15">
        <v>12.5</v>
      </c>
      <c r="L34" s="15">
        <v>14.6</v>
      </c>
      <c r="M34" s="15">
        <v>17.600000000000001</v>
      </c>
      <c r="N34" s="15">
        <v>13.6</v>
      </c>
      <c r="O34" s="15">
        <v>10.5</v>
      </c>
      <c r="P34" s="15">
        <v>10</v>
      </c>
      <c r="Q34" s="15">
        <v>9.6</v>
      </c>
      <c r="R34" s="13">
        <v>7.5</v>
      </c>
      <c r="S34" s="13">
        <v>12.7</v>
      </c>
      <c r="T34" s="19">
        <v>11.8</v>
      </c>
      <c r="U34" s="19">
        <v>10.7</v>
      </c>
      <c r="V34" s="19">
        <v>6.8</v>
      </c>
      <c r="W34" s="13">
        <v>11.8</v>
      </c>
      <c r="X34" s="13">
        <v>15.9</v>
      </c>
      <c r="Y34" s="13">
        <v>19.100000000000001</v>
      </c>
      <c r="Z34" s="19">
        <v>9.1999999999999993</v>
      </c>
      <c r="AA34" s="19">
        <v>6.8</v>
      </c>
      <c r="AB34" s="19">
        <v>12</v>
      </c>
      <c r="AC34" s="19">
        <v>14</v>
      </c>
      <c r="AD34" s="19">
        <v>8.9</v>
      </c>
      <c r="AE34" s="19">
        <v>11.8</v>
      </c>
      <c r="AF34" s="19">
        <v>4.5999999999999996</v>
      </c>
    </row>
    <row r="35" spans="1:32" x14ac:dyDescent="0.25">
      <c r="A35" s="10">
        <v>2</v>
      </c>
      <c r="B35" s="17">
        <v>8.4</v>
      </c>
      <c r="C35" s="17">
        <v>11.3</v>
      </c>
      <c r="D35" s="17">
        <v>12.8</v>
      </c>
      <c r="E35" s="17">
        <v>16.600000000000001</v>
      </c>
      <c r="F35" s="19">
        <v>15.7</v>
      </c>
      <c r="G35" s="19">
        <v>14.2</v>
      </c>
      <c r="H35" s="19">
        <v>13.9</v>
      </c>
      <c r="I35" s="17">
        <v>19.899999999999999</v>
      </c>
      <c r="J35" s="17">
        <v>16.3</v>
      </c>
      <c r="K35" s="15">
        <v>11</v>
      </c>
      <c r="L35" s="15">
        <v>15.2</v>
      </c>
      <c r="M35" s="15">
        <v>14.9</v>
      </c>
      <c r="N35" s="15">
        <v>12.6</v>
      </c>
      <c r="O35" s="15">
        <v>9.3000000000000007</v>
      </c>
      <c r="P35" s="15">
        <v>9</v>
      </c>
      <c r="Q35" s="15">
        <v>8.9</v>
      </c>
      <c r="R35" s="13">
        <v>7.4</v>
      </c>
      <c r="S35" s="13">
        <v>12.4</v>
      </c>
      <c r="T35" s="19">
        <v>11.4</v>
      </c>
      <c r="U35" s="19">
        <v>9.9</v>
      </c>
      <c r="V35" s="19">
        <v>6</v>
      </c>
      <c r="W35" s="13">
        <v>12.5</v>
      </c>
      <c r="X35" s="13">
        <v>15.6</v>
      </c>
      <c r="Y35" s="13">
        <v>18.3</v>
      </c>
      <c r="Z35" s="19">
        <v>9.9</v>
      </c>
      <c r="AA35" s="19">
        <v>7.8</v>
      </c>
      <c r="AB35" s="19">
        <v>12.2</v>
      </c>
      <c r="AC35" s="19">
        <v>11.9</v>
      </c>
      <c r="AD35" s="19">
        <v>9.3000000000000007</v>
      </c>
      <c r="AE35" s="19">
        <v>9.6999999999999993</v>
      </c>
      <c r="AF35" s="19">
        <v>4.3</v>
      </c>
    </row>
    <row r="36" spans="1:32" ht="30" x14ac:dyDescent="0.25">
      <c r="A36" s="11" t="s">
        <v>2</v>
      </c>
      <c r="B36" s="15">
        <f>(B24+B25+B26+B27+B28+B29+B30+B31+B32+B33+B34+B35)/12</f>
        <v>14.366666666666665</v>
      </c>
      <c r="C36" s="15">
        <f t="shared" ref="C36:J36" si="2">(C24+C25+C26+C27+C28+C29+C30+C31+C32+C33+C34+C35)/12</f>
        <v>16.000000000000004</v>
      </c>
      <c r="D36" s="15">
        <f t="shared" si="2"/>
        <v>18.291666666666668</v>
      </c>
      <c r="E36" s="15">
        <f t="shared" si="2"/>
        <v>21.808333333333334</v>
      </c>
      <c r="F36" s="15">
        <f t="shared" si="2"/>
        <v>21.333333333333332</v>
      </c>
      <c r="G36" s="15">
        <f t="shared" si="2"/>
        <v>18.350000000000001</v>
      </c>
      <c r="H36" s="15">
        <f t="shared" si="2"/>
        <v>18.441666666666666</v>
      </c>
      <c r="I36" s="15">
        <f t="shared" si="2"/>
        <v>23.091666666666665</v>
      </c>
      <c r="J36" s="15">
        <f t="shared" si="2"/>
        <v>22.583333333333332</v>
      </c>
      <c r="K36" s="15">
        <f>(K24+K25+K26+K27+K28+K29+K30+K31+K32+K33+K34+K35)/12</f>
        <v>18.291666666666668</v>
      </c>
      <c r="L36" s="15">
        <f t="shared" ref="L36:AF36" si="3">(L24+L25+L26+L27+L28+L29+L30+L31+L32+L33+L34+L35)/12</f>
        <v>18.016666666666666</v>
      </c>
      <c r="M36" s="15">
        <f t="shared" si="3"/>
        <v>19.016666666666669</v>
      </c>
      <c r="N36" s="15">
        <f t="shared" si="3"/>
        <v>14.941666666666665</v>
      </c>
      <c r="O36" s="15">
        <f t="shared" si="3"/>
        <v>12.058333333333335</v>
      </c>
      <c r="P36" s="15">
        <f t="shared" si="3"/>
        <v>9.8583333333333325</v>
      </c>
      <c r="Q36" s="15">
        <f t="shared" si="3"/>
        <v>11.125</v>
      </c>
      <c r="R36" s="15">
        <f t="shared" si="3"/>
        <v>9.2916666666666661</v>
      </c>
      <c r="S36" s="15">
        <f t="shared" si="3"/>
        <v>12.058333333333332</v>
      </c>
      <c r="T36" s="15">
        <f t="shared" si="3"/>
        <v>11.975000000000001</v>
      </c>
      <c r="U36" s="15">
        <f t="shared" si="3"/>
        <v>12.291666666666666</v>
      </c>
      <c r="V36" s="15">
        <f t="shared" si="3"/>
        <v>10.391666666666666</v>
      </c>
      <c r="W36" s="15">
        <f t="shared" si="3"/>
        <v>13.066666666666668</v>
      </c>
      <c r="X36" s="15">
        <f t="shared" si="3"/>
        <v>18.258333333333333</v>
      </c>
      <c r="Y36" s="15">
        <f t="shared" si="3"/>
        <v>20.383333333333336</v>
      </c>
      <c r="Z36" s="15">
        <f t="shared" si="3"/>
        <v>14.133333333333333</v>
      </c>
      <c r="AA36" s="15">
        <f t="shared" si="3"/>
        <v>10.475</v>
      </c>
      <c r="AB36" s="15">
        <f t="shared" si="3"/>
        <v>10.858333333333333</v>
      </c>
      <c r="AC36" s="15">
        <f t="shared" si="3"/>
        <v>14.033333333333337</v>
      </c>
      <c r="AD36" s="15">
        <f>(AD24+AD25+AD26+AD27+AD28+AD29+AD30+AD31+AD32+AD33+AD34+AD35)/12</f>
        <v>10.841666666666667</v>
      </c>
      <c r="AE36" s="15">
        <f>(AE24+AE25+AE26+AE27+AE28+AE29+AE30+AE31+AE32+AE33+AE34+AE35)/12</f>
        <v>14.183333333333332</v>
      </c>
      <c r="AF36" s="15">
        <f t="shared" si="3"/>
        <v>8.9333333333333318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N39" sqref="N39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32" width="9.140625" style="9" hidden="1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7</v>
      </c>
      <c r="C4" s="19">
        <v>2.5</v>
      </c>
      <c r="D4" s="19">
        <v>8.5</v>
      </c>
      <c r="E4" s="19">
        <v>3.8</v>
      </c>
      <c r="F4" s="19">
        <v>8.5</v>
      </c>
      <c r="G4" s="19">
        <v>7</v>
      </c>
      <c r="H4" s="19">
        <v>4.5999999999999996</v>
      </c>
      <c r="I4" s="19">
        <v>4.5</v>
      </c>
      <c r="J4" s="19">
        <v>2.1</v>
      </c>
      <c r="K4" s="19">
        <v>2.2999999999999998</v>
      </c>
      <c r="L4" s="20">
        <v>2.4</v>
      </c>
      <c r="M4" s="19">
        <v>2.5</v>
      </c>
      <c r="N4" s="19">
        <v>4.9000000000000004</v>
      </c>
      <c r="O4" s="19">
        <v>4.8</v>
      </c>
      <c r="P4" s="19">
        <v>4.5999999999999996</v>
      </c>
      <c r="Q4" s="19">
        <v>4.3</v>
      </c>
      <c r="R4" s="19">
        <v>8.1</v>
      </c>
      <c r="S4" s="19">
        <v>6</v>
      </c>
      <c r="T4" s="19">
        <v>9.5</v>
      </c>
      <c r="U4" s="19">
        <v>3.1</v>
      </c>
      <c r="V4" s="19">
        <v>10.9</v>
      </c>
      <c r="W4" s="20">
        <v>9.1</v>
      </c>
      <c r="X4" s="19">
        <v>6</v>
      </c>
      <c r="Y4" s="19">
        <v>0.8</v>
      </c>
      <c r="Z4" s="19">
        <v>0.5</v>
      </c>
      <c r="AA4" s="19">
        <v>-1.3</v>
      </c>
      <c r="AB4" s="19">
        <v>-2.5</v>
      </c>
      <c r="AC4" s="19">
        <v>-3.3</v>
      </c>
      <c r="AD4" s="19">
        <v>-2</v>
      </c>
      <c r="AE4" s="19">
        <v>-4.5</v>
      </c>
      <c r="AF4" s="19"/>
    </row>
    <row r="5" spans="1:33" x14ac:dyDescent="0.25">
      <c r="A5" s="10">
        <v>6</v>
      </c>
      <c r="B5" s="19">
        <v>7.5</v>
      </c>
      <c r="C5" s="19">
        <v>4.0999999999999996</v>
      </c>
      <c r="D5" s="19">
        <v>9.4</v>
      </c>
      <c r="E5" s="19">
        <v>3.8</v>
      </c>
      <c r="F5" s="19">
        <v>9.1</v>
      </c>
      <c r="G5" s="19">
        <v>7.2</v>
      </c>
      <c r="H5" s="19">
        <v>5</v>
      </c>
      <c r="I5" s="19">
        <v>5.0999999999999996</v>
      </c>
      <c r="J5" s="19">
        <v>2.9</v>
      </c>
      <c r="K5" s="19">
        <v>3.1</v>
      </c>
      <c r="L5" s="20">
        <v>2.7</v>
      </c>
      <c r="M5" s="19">
        <v>2.2999999999999998</v>
      </c>
      <c r="N5" s="19">
        <v>5</v>
      </c>
      <c r="O5" s="19">
        <v>4.8</v>
      </c>
      <c r="P5" s="19">
        <v>4.0999999999999996</v>
      </c>
      <c r="Q5" s="19">
        <v>4</v>
      </c>
      <c r="R5" s="19">
        <v>7.2</v>
      </c>
      <c r="S5" s="19">
        <v>6.4</v>
      </c>
      <c r="T5" s="19">
        <v>10</v>
      </c>
      <c r="U5" s="19">
        <v>3</v>
      </c>
      <c r="V5" s="19">
        <v>10.9</v>
      </c>
      <c r="W5" s="20">
        <v>10</v>
      </c>
      <c r="X5" s="19">
        <v>6.3</v>
      </c>
      <c r="Y5" s="19">
        <v>0.7</v>
      </c>
      <c r="Z5" s="19">
        <v>0</v>
      </c>
      <c r="AA5" s="19">
        <v>-1.4</v>
      </c>
      <c r="AB5" s="19">
        <v>-2.2999999999999998</v>
      </c>
      <c r="AC5" s="19">
        <v>-3</v>
      </c>
      <c r="AD5" s="19">
        <v>-2</v>
      </c>
      <c r="AE5" s="19">
        <v>-4.7</v>
      </c>
      <c r="AF5" s="19"/>
    </row>
    <row r="6" spans="1:33" x14ac:dyDescent="0.25">
      <c r="A6" s="10">
        <v>8</v>
      </c>
      <c r="B6" s="19">
        <v>9.4</v>
      </c>
      <c r="C6" s="19">
        <v>8</v>
      </c>
      <c r="D6" s="19">
        <v>10</v>
      </c>
      <c r="E6" s="19">
        <v>10</v>
      </c>
      <c r="F6" s="19">
        <v>6.8</v>
      </c>
      <c r="G6" s="19">
        <v>8.5</v>
      </c>
      <c r="H6" s="19">
        <v>7.2</v>
      </c>
      <c r="I6" s="19">
        <v>6.2</v>
      </c>
      <c r="J6" s="19">
        <v>4.5</v>
      </c>
      <c r="K6" s="19">
        <v>6.1</v>
      </c>
      <c r="L6" s="20">
        <v>4.2</v>
      </c>
      <c r="M6" s="19">
        <v>4.8</v>
      </c>
      <c r="N6" s="19">
        <v>6.7</v>
      </c>
      <c r="O6" s="19">
        <v>6.7</v>
      </c>
      <c r="P6" s="19">
        <v>9.6999999999999993</v>
      </c>
      <c r="Q6" s="19">
        <v>8.6</v>
      </c>
      <c r="R6" s="19">
        <v>8.9</v>
      </c>
      <c r="S6" s="19">
        <v>8.6</v>
      </c>
      <c r="T6" s="19">
        <v>9.3000000000000007</v>
      </c>
      <c r="U6" s="19">
        <v>6.3</v>
      </c>
      <c r="V6" s="19">
        <v>14.1</v>
      </c>
      <c r="W6" s="20">
        <v>8.1</v>
      </c>
      <c r="X6" s="19">
        <v>4.8</v>
      </c>
      <c r="Y6" s="19">
        <v>1.2</v>
      </c>
      <c r="Z6" s="19">
        <v>1.5</v>
      </c>
      <c r="AA6" s="19">
        <v>1</v>
      </c>
      <c r="AB6" s="19">
        <v>-2.1</v>
      </c>
      <c r="AC6" s="19">
        <v>-2</v>
      </c>
      <c r="AD6" s="19">
        <v>-1.1000000000000001</v>
      </c>
      <c r="AE6" s="19">
        <v>-3.2</v>
      </c>
      <c r="AF6" s="19"/>
    </row>
    <row r="7" spans="1:33" x14ac:dyDescent="0.25">
      <c r="A7" s="10">
        <v>10</v>
      </c>
      <c r="B7" s="19">
        <v>12.3</v>
      </c>
      <c r="C7" s="19">
        <v>11.9</v>
      </c>
      <c r="D7" s="19">
        <v>11</v>
      </c>
      <c r="E7" s="19">
        <v>13</v>
      </c>
      <c r="F7" s="19">
        <v>7.8</v>
      </c>
      <c r="G7" s="19">
        <v>11.2</v>
      </c>
      <c r="H7" s="19">
        <v>9.1</v>
      </c>
      <c r="I7" s="19">
        <v>8.1</v>
      </c>
      <c r="J7" s="19">
        <v>8.3000000000000007</v>
      </c>
      <c r="K7" s="19">
        <v>9.4</v>
      </c>
      <c r="L7" s="20">
        <v>5.7</v>
      </c>
      <c r="M7" s="19">
        <v>6.5</v>
      </c>
      <c r="N7" s="19">
        <v>9.6999999999999993</v>
      </c>
      <c r="O7" s="19">
        <v>8.5</v>
      </c>
      <c r="P7" s="19">
        <v>13.1</v>
      </c>
      <c r="Q7" s="19">
        <v>15.2</v>
      </c>
      <c r="R7" s="19">
        <v>11.7</v>
      </c>
      <c r="S7" s="19">
        <v>11.8</v>
      </c>
      <c r="T7" s="19">
        <v>10.5</v>
      </c>
      <c r="U7" s="19">
        <v>11.4</v>
      </c>
      <c r="V7" s="19">
        <v>15.6</v>
      </c>
      <c r="W7" s="20">
        <v>9.3000000000000007</v>
      </c>
      <c r="X7" s="19">
        <v>5.9</v>
      </c>
      <c r="Y7" s="19">
        <v>5.2</v>
      </c>
      <c r="Z7" s="19">
        <v>1.1000000000000001</v>
      </c>
      <c r="AA7" s="19">
        <v>1.5</v>
      </c>
      <c r="AB7" s="19">
        <v>-1</v>
      </c>
      <c r="AC7" s="19">
        <v>-0.5</v>
      </c>
      <c r="AD7" s="19">
        <v>1.9</v>
      </c>
      <c r="AE7" s="19">
        <v>0.9</v>
      </c>
      <c r="AF7" s="19"/>
    </row>
    <row r="8" spans="1:33" x14ac:dyDescent="0.25">
      <c r="A8" s="10">
        <v>12</v>
      </c>
      <c r="B8" s="19">
        <v>12.4</v>
      </c>
      <c r="C8" s="19">
        <v>13.9</v>
      </c>
      <c r="D8" s="19">
        <v>12.4</v>
      </c>
      <c r="E8" s="19">
        <v>13.5</v>
      </c>
      <c r="F8" s="19">
        <v>6.2</v>
      </c>
      <c r="G8" s="19">
        <v>11.4</v>
      </c>
      <c r="H8" s="19">
        <v>10.199999999999999</v>
      </c>
      <c r="I8" s="19">
        <v>9.1999999999999993</v>
      </c>
      <c r="J8" s="19">
        <v>10.199999999999999</v>
      </c>
      <c r="K8" s="19">
        <v>11.2</v>
      </c>
      <c r="L8" s="20">
        <v>6.5</v>
      </c>
      <c r="M8" s="19">
        <v>8.1</v>
      </c>
      <c r="N8" s="19">
        <v>9.8000000000000007</v>
      </c>
      <c r="O8" s="19">
        <v>11.2</v>
      </c>
      <c r="P8" s="19">
        <v>14.4</v>
      </c>
      <c r="Q8" s="19">
        <v>18.2</v>
      </c>
      <c r="R8" s="19">
        <v>17.899999999999999</v>
      </c>
      <c r="S8" s="19">
        <v>13.5</v>
      </c>
      <c r="T8" s="19">
        <v>10.8</v>
      </c>
      <c r="U8" s="19">
        <v>16</v>
      </c>
      <c r="V8" s="19">
        <v>18.899999999999999</v>
      </c>
      <c r="W8" s="20">
        <v>7.1</v>
      </c>
      <c r="X8" s="19">
        <v>8.5</v>
      </c>
      <c r="Y8" s="19">
        <v>7.2</v>
      </c>
      <c r="Z8" s="19">
        <v>3.4</v>
      </c>
      <c r="AA8" s="19">
        <v>2.4</v>
      </c>
      <c r="AB8" s="19">
        <v>0.8</v>
      </c>
      <c r="AC8" s="19">
        <v>0</v>
      </c>
      <c r="AD8" s="19">
        <v>2</v>
      </c>
      <c r="AE8" s="19">
        <v>3.2</v>
      </c>
      <c r="AF8" s="19"/>
    </row>
    <row r="9" spans="1:33" x14ac:dyDescent="0.25">
      <c r="A9" s="10">
        <v>14</v>
      </c>
      <c r="B9" s="19">
        <v>10.9</v>
      </c>
      <c r="C9" s="19">
        <v>15</v>
      </c>
      <c r="D9" s="19">
        <v>12.5</v>
      </c>
      <c r="E9" s="19">
        <v>13.5</v>
      </c>
      <c r="F9" s="19">
        <v>9</v>
      </c>
      <c r="G9" s="19">
        <v>11.1</v>
      </c>
      <c r="H9" s="19">
        <v>9.3000000000000007</v>
      </c>
      <c r="I9" s="19">
        <v>10</v>
      </c>
      <c r="J9" s="19">
        <v>13</v>
      </c>
      <c r="K9" s="19">
        <v>10.4</v>
      </c>
      <c r="L9" s="20">
        <v>8.4</v>
      </c>
      <c r="M9" s="19">
        <v>9.9</v>
      </c>
      <c r="N9" s="19">
        <v>10.9</v>
      </c>
      <c r="O9" s="19">
        <v>9.9</v>
      </c>
      <c r="P9" s="19">
        <v>19.2</v>
      </c>
      <c r="Q9" s="19">
        <v>22.3</v>
      </c>
      <c r="R9" s="19">
        <v>14.8</v>
      </c>
      <c r="S9" s="19">
        <v>12.8</v>
      </c>
      <c r="T9" s="19">
        <v>11.4</v>
      </c>
      <c r="U9" s="19">
        <v>14</v>
      </c>
      <c r="V9" s="19">
        <v>21.5</v>
      </c>
      <c r="W9" s="20">
        <v>7.7</v>
      </c>
      <c r="X9" s="19">
        <v>10.199999999999999</v>
      </c>
      <c r="Y9" s="19">
        <v>12</v>
      </c>
      <c r="Z9" s="19">
        <v>2.7</v>
      </c>
      <c r="AA9" s="19">
        <v>2.8</v>
      </c>
      <c r="AB9" s="19">
        <v>-1.8</v>
      </c>
      <c r="AC9" s="19">
        <v>-0.2</v>
      </c>
      <c r="AD9" s="19">
        <v>2.2000000000000002</v>
      </c>
      <c r="AE9" s="19">
        <v>4.5999999999999996</v>
      </c>
      <c r="AF9" s="19"/>
    </row>
    <row r="10" spans="1:33" x14ac:dyDescent="0.25">
      <c r="A10" s="10">
        <v>16</v>
      </c>
      <c r="B10" s="19">
        <v>10.1</v>
      </c>
      <c r="C10" s="19">
        <v>14.7</v>
      </c>
      <c r="D10" s="19">
        <v>13.3</v>
      </c>
      <c r="E10" s="19">
        <v>12.8</v>
      </c>
      <c r="F10" s="19">
        <v>8.1999999999999993</v>
      </c>
      <c r="G10" s="19">
        <v>10.1</v>
      </c>
      <c r="H10" s="19">
        <v>7.6</v>
      </c>
      <c r="I10" s="19">
        <v>8.4</v>
      </c>
      <c r="J10" s="19">
        <v>9.6999999999999993</v>
      </c>
      <c r="K10" s="19">
        <v>7.4</v>
      </c>
      <c r="L10" s="20">
        <v>7.6</v>
      </c>
      <c r="M10" s="19">
        <v>11.5</v>
      </c>
      <c r="N10" s="19">
        <v>11.1</v>
      </c>
      <c r="O10" s="19">
        <v>9.8000000000000007</v>
      </c>
      <c r="P10" s="19">
        <v>16.2</v>
      </c>
      <c r="Q10" s="19">
        <v>18</v>
      </c>
      <c r="R10" s="19">
        <v>14</v>
      </c>
      <c r="S10" s="19">
        <v>7.8</v>
      </c>
      <c r="T10" s="19">
        <v>11.2</v>
      </c>
      <c r="U10" s="19">
        <v>11.7</v>
      </c>
      <c r="V10" s="19">
        <v>19.3</v>
      </c>
      <c r="W10" s="20">
        <v>7.5</v>
      </c>
      <c r="X10" s="19">
        <v>8</v>
      </c>
      <c r="Y10" s="19">
        <v>5.9</v>
      </c>
      <c r="Z10" s="19">
        <v>1.5</v>
      </c>
      <c r="AA10" s="19">
        <v>2.5</v>
      </c>
      <c r="AB10" s="19">
        <v>-0.5</v>
      </c>
      <c r="AC10" s="19">
        <v>-0.3</v>
      </c>
      <c r="AD10" s="19">
        <v>1</v>
      </c>
      <c r="AE10" s="19">
        <v>-0.3</v>
      </c>
      <c r="AF10" s="19"/>
    </row>
    <row r="11" spans="1:33" x14ac:dyDescent="0.25">
      <c r="A11" s="10">
        <v>18</v>
      </c>
      <c r="B11" s="19">
        <v>9.4</v>
      </c>
      <c r="C11" s="19">
        <v>12.2</v>
      </c>
      <c r="D11" s="19">
        <v>13.5</v>
      </c>
      <c r="E11" s="19">
        <v>10.31</v>
      </c>
      <c r="F11" s="19">
        <v>8</v>
      </c>
      <c r="G11" s="19">
        <v>9.9</v>
      </c>
      <c r="H11" s="19">
        <v>7.5</v>
      </c>
      <c r="I11" s="19">
        <v>6.9</v>
      </c>
      <c r="J11" s="19">
        <v>6.6</v>
      </c>
      <c r="K11" s="19">
        <v>6.7</v>
      </c>
      <c r="L11" s="20">
        <v>8.1</v>
      </c>
      <c r="M11" s="19">
        <v>11.7</v>
      </c>
      <c r="N11" s="19">
        <v>10</v>
      </c>
      <c r="O11" s="19">
        <v>9.1</v>
      </c>
      <c r="P11" s="19">
        <v>13.2</v>
      </c>
      <c r="Q11" s="19">
        <v>13</v>
      </c>
      <c r="R11" s="19">
        <v>12.6</v>
      </c>
      <c r="S11" s="19">
        <v>7.5</v>
      </c>
      <c r="T11" s="19">
        <v>11.7</v>
      </c>
      <c r="U11" s="19">
        <v>11.3</v>
      </c>
      <c r="V11" s="19">
        <v>13.9</v>
      </c>
      <c r="W11" s="20">
        <v>6.8</v>
      </c>
      <c r="X11" s="19">
        <v>5.7</v>
      </c>
      <c r="Y11" s="19">
        <v>4</v>
      </c>
      <c r="Z11" s="19">
        <v>2.2000000000000002</v>
      </c>
      <c r="AA11" s="19">
        <v>2.2000000000000002</v>
      </c>
      <c r="AB11" s="19">
        <v>-2.6</v>
      </c>
      <c r="AC11" s="19">
        <v>-1</v>
      </c>
      <c r="AD11" s="19">
        <v>0.4</v>
      </c>
      <c r="AE11" s="19">
        <v>-1</v>
      </c>
      <c r="AF11" s="19"/>
    </row>
    <row r="12" spans="1:33" x14ac:dyDescent="0.25">
      <c r="A12" s="10">
        <v>20</v>
      </c>
      <c r="B12" s="19">
        <v>5.3</v>
      </c>
      <c r="C12" s="19">
        <v>9.6</v>
      </c>
      <c r="D12" s="19">
        <v>11.1</v>
      </c>
      <c r="E12" s="19">
        <v>8.1</v>
      </c>
      <c r="F12" s="19">
        <v>9.1999999999999993</v>
      </c>
      <c r="G12" s="19">
        <v>6.7</v>
      </c>
      <c r="H12" s="19">
        <v>7</v>
      </c>
      <c r="I12" s="19">
        <v>6</v>
      </c>
      <c r="J12" s="19">
        <v>4</v>
      </c>
      <c r="K12" s="19">
        <v>2.9</v>
      </c>
      <c r="L12" s="20">
        <v>5.6</v>
      </c>
      <c r="M12" s="19">
        <v>8.6999999999999993</v>
      </c>
      <c r="N12" s="19">
        <v>6.5</v>
      </c>
      <c r="O12" s="19">
        <v>7.2</v>
      </c>
      <c r="P12" s="19">
        <v>7.3</v>
      </c>
      <c r="Q12" s="19">
        <v>9.8000000000000007</v>
      </c>
      <c r="R12" s="19">
        <v>10.3</v>
      </c>
      <c r="S12" s="19">
        <v>9.6</v>
      </c>
      <c r="T12" s="19">
        <v>9</v>
      </c>
      <c r="U12" s="19">
        <v>8.3000000000000007</v>
      </c>
      <c r="V12" s="19">
        <v>12.1</v>
      </c>
      <c r="W12" s="20">
        <v>6.9</v>
      </c>
      <c r="X12" s="19">
        <v>2.5</v>
      </c>
      <c r="Y12" s="19">
        <v>1.7</v>
      </c>
      <c r="Z12" s="19">
        <v>1</v>
      </c>
      <c r="AA12" s="19">
        <v>-1.3</v>
      </c>
      <c r="AB12" s="19">
        <v>-2.5</v>
      </c>
      <c r="AC12" s="19">
        <v>-1</v>
      </c>
      <c r="AD12" s="19">
        <v>0.4</v>
      </c>
      <c r="AE12" s="19">
        <v>-1</v>
      </c>
      <c r="AF12" s="19"/>
    </row>
    <row r="13" spans="1:33" x14ac:dyDescent="0.25">
      <c r="A13" s="10">
        <v>22</v>
      </c>
      <c r="B13" s="19">
        <v>4.2</v>
      </c>
      <c r="C13" s="19">
        <v>9.5</v>
      </c>
      <c r="D13" s="19">
        <v>8.9</v>
      </c>
      <c r="E13" s="19">
        <v>8.1</v>
      </c>
      <c r="F13" s="19">
        <v>8.9</v>
      </c>
      <c r="G13" s="19">
        <v>6</v>
      </c>
      <c r="H13" s="19">
        <v>6.9</v>
      </c>
      <c r="I13" s="19">
        <v>4.3</v>
      </c>
      <c r="J13" s="19">
        <v>1.1000000000000001</v>
      </c>
      <c r="K13" s="19">
        <v>2.5</v>
      </c>
      <c r="L13" s="20">
        <v>4</v>
      </c>
      <c r="M13" s="19">
        <v>7.9</v>
      </c>
      <c r="N13" s="19">
        <v>6.5</v>
      </c>
      <c r="O13" s="19">
        <v>5.6</v>
      </c>
      <c r="P13" s="19">
        <v>6.2</v>
      </c>
      <c r="Q13" s="19">
        <v>7.5</v>
      </c>
      <c r="R13" s="19">
        <v>10.8</v>
      </c>
      <c r="S13" s="19">
        <v>10.1</v>
      </c>
      <c r="T13" s="19">
        <v>8.4</v>
      </c>
      <c r="U13" s="19">
        <v>8.5</v>
      </c>
      <c r="V13" s="19">
        <v>12.3</v>
      </c>
      <c r="W13" s="20">
        <v>7.3</v>
      </c>
      <c r="X13" s="19">
        <v>2</v>
      </c>
      <c r="Y13" s="19">
        <v>0.7</v>
      </c>
      <c r="Z13" s="19">
        <v>-1.1000000000000001</v>
      </c>
      <c r="AA13" s="19">
        <v>-1.2</v>
      </c>
      <c r="AB13" s="19">
        <v>-2.6</v>
      </c>
      <c r="AC13" s="19">
        <v>-2.2000000000000002</v>
      </c>
      <c r="AD13" s="19">
        <v>-1.2</v>
      </c>
      <c r="AE13" s="19">
        <v>-0.9</v>
      </c>
      <c r="AF13" s="19"/>
    </row>
    <row r="14" spans="1:33" x14ac:dyDescent="0.25">
      <c r="A14" s="10">
        <v>24</v>
      </c>
      <c r="B14" s="19">
        <v>4</v>
      </c>
      <c r="C14" s="19">
        <v>9</v>
      </c>
      <c r="D14" s="19">
        <v>7.4</v>
      </c>
      <c r="E14" s="19">
        <v>8</v>
      </c>
      <c r="F14" s="19">
        <v>8.8000000000000007</v>
      </c>
      <c r="G14" s="19">
        <v>5.2</v>
      </c>
      <c r="H14" s="19">
        <v>6.5</v>
      </c>
      <c r="I14" s="19">
        <v>4.0999999999999996</v>
      </c>
      <c r="J14" s="19">
        <v>0.4</v>
      </c>
      <c r="K14" s="19">
        <v>3.3</v>
      </c>
      <c r="L14" s="20">
        <v>4</v>
      </c>
      <c r="M14" s="19">
        <v>6.6</v>
      </c>
      <c r="N14" s="19">
        <v>6.4</v>
      </c>
      <c r="O14" s="19">
        <v>5.6</v>
      </c>
      <c r="P14" s="19">
        <v>5.6</v>
      </c>
      <c r="Q14" s="19">
        <v>6.4</v>
      </c>
      <c r="R14" s="19">
        <v>9.4</v>
      </c>
      <c r="S14" s="19">
        <v>10.7</v>
      </c>
      <c r="T14" s="19">
        <v>7.8</v>
      </c>
      <c r="U14" s="19">
        <v>9.3000000000000007</v>
      </c>
      <c r="V14" s="19">
        <v>11.6</v>
      </c>
      <c r="W14" s="20">
        <v>8.1999999999999993</v>
      </c>
      <c r="X14" s="19">
        <v>2.6</v>
      </c>
      <c r="Y14" s="19">
        <v>1.5</v>
      </c>
      <c r="Z14" s="19">
        <v>-1.3</v>
      </c>
      <c r="AA14" s="19">
        <v>-1.9</v>
      </c>
      <c r="AB14" s="19">
        <v>-2.5</v>
      </c>
      <c r="AC14" s="19">
        <v>-2.9</v>
      </c>
      <c r="AD14" s="19">
        <v>-1.2</v>
      </c>
      <c r="AE14" s="19">
        <v>-1.2</v>
      </c>
      <c r="AF14" s="19"/>
    </row>
    <row r="15" spans="1:33" x14ac:dyDescent="0.25">
      <c r="A15" s="10">
        <v>2</v>
      </c>
      <c r="B15" s="19">
        <v>2</v>
      </c>
      <c r="C15" s="19">
        <v>10.3</v>
      </c>
      <c r="D15" s="19">
        <v>3.6</v>
      </c>
      <c r="E15" s="19">
        <v>8.5</v>
      </c>
      <c r="F15" s="19">
        <v>8</v>
      </c>
      <c r="G15" s="19">
        <v>6.87</v>
      </c>
      <c r="H15" s="19">
        <v>6.2</v>
      </c>
      <c r="I15" s="19">
        <v>2.2999999999999998</v>
      </c>
      <c r="J15" s="19">
        <v>2.2999999999999998</v>
      </c>
      <c r="K15" s="19">
        <v>3.6</v>
      </c>
      <c r="L15" s="20">
        <v>3.5</v>
      </c>
      <c r="M15" s="19">
        <v>5</v>
      </c>
      <c r="N15" s="19">
        <v>5.3</v>
      </c>
      <c r="O15" s="19">
        <v>6.1</v>
      </c>
      <c r="P15" s="19">
        <v>5.2</v>
      </c>
      <c r="Q15" s="19">
        <v>7.9</v>
      </c>
      <c r="R15" s="19">
        <v>7.5</v>
      </c>
      <c r="S15" s="19">
        <v>11.3</v>
      </c>
      <c r="T15" s="19">
        <v>6.8</v>
      </c>
      <c r="U15" s="19">
        <v>9.6999999999999993</v>
      </c>
      <c r="V15" s="19">
        <v>10.1</v>
      </c>
      <c r="W15" s="20">
        <v>5.9</v>
      </c>
      <c r="X15" s="19">
        <v>1.5</v>
      </c>
      <c r="Y15" s="19">
        <v>0.5</v>
      </c>
      <c r="Z15" s="19">
        <v>-1.4</v>
      </c>
      <c r="AA15" s="19">
        <v>-1.9</v>
      </c>
      <c r="AB15" s="19">
        <v>-2.6</v>
      </c>
      <c r="AC15" s="19">
        <v>-2</v>
      </c>
      <c r="AD15" s="19">
        <v>-1.6</v>
      </c>
      <c r="AE15" s="19">
        <v>-1.2</v>
      </c>
      <c r="AF15" s="19"/>
    </row>
    <row r="16" spans="1:33" ht="30" x14ac:dyDescent="0.25">
      <c r="A16" s="11" t="s">
        <v>2</v>
      </c>
      <c r="B16" s="15">
        <f>(B4+B5+B6+B7+B8+B9+B10+B11+B12+B13+B14+B15)/12</f>
        <v>7.875</v>
      </c>
      <c r="C16" s="15">
        <f t="shared" ref="C16:O16" si="0">(C4+C5+C6+C7+C8+C9+C10+C11+C12+C13+C14+C15)/12</f>
        <v>10.058333333333332</v>
      </c>
      <c r="D16" s="15">
        <f t="shared" si="0"/>
        <v>10.133333333333333</v>
      </c>
      <c r="E16" s="15">
        <f t="shared" si="0"/>
        <v>9.4508333333333336</v>
      </c>
      <c r="F16" s="15">
        <f t="shared" si="0"/>
        <v>8.2083333333333339</v>
      </c>
      <c r="G16" s="15">
        <f t="shared" si="0"/>
        <v>8.4308333333333341</v>
      </c>
      <c r="H16" s="15">
        <f t="shared" si="0"/>
        <v>7.2583333333333337</v>
      </c>
      <c r="I16" s="15">
        <f t="shared" si="0"/>
        <v>6.258333333333332</v>
      </c>
      <c r="J16" s="15">
        <f t="shared" si="0"/>
        <v>5.4250000000000007</v>
      </c>
      <c r="K16" s="15">
        <f t="shared" si="0"/>
        <v>5.7416666666666663</v>
      </c>
      <c r="L16" s="15">
        <f t="shared" si="0"/>
        <v>5.2250000000000005</v>
      </c>
      <c r="M16" s="15">
        <f t="shared" si="0"/>
        <v>7.125</v>
      </c>
      <c r="N16" s="15">
        <f t="shared" si="0"/>
        <v>7.7333333333333334</v>
      </c>
      <c r="O16" s="15">
        <f t="shared" si="0"/>
        <v>7.4416666666666655</v>
      </c>
      <c r="P16" s="15">
        <f>(P4+P5+P6+P7+P8+P9+P10+P11+P12+P13+P14+P15)/12</f>
        <v>9.9</v>
      </c>
      <c r="Q16" s="15">
        <f>(Q4+Q5+Q6+Q7+Q8+Q9+Q10+Q11+Q12+Q13+Q14+Q15)/12</f>
        <v>11.266666666666666</v>
      </c>
      <c r="R16" s="15">
        <f>(R4+R5+R6+R7+R8+R9+R10+R11+R12+R13+R14+R15)/12</f>
        <v>11.1</v>
      </c>
      <c r="S16" s="15">
        <f t="shared" ref="S16:AF16" si="1">(S4+S5+S6+S7+S8+S9+S10+S11+S12+S13+S14+S15)/12</f>
        <v>9.6749999999999989</v>
      </c>
      <c r="T16" s="15">
        <f t="shared" si="1"/>
        <v>9.6999999999999993</v>
      </c>
      <c r="U16" s="15">
        <f t="shared" si="1"/>
        <v>9.3833333333333329</v>
      </c>
      <c r="V16" s="15">
        <f t="shared" si="1"/>
        <v>14.266666666666667</v>
      </c>
      <c r="W16" s="15">
        <f t="shared" si="1"/>
        <v>7.825000000000002</v>
      </c>
      <c r="X16" s="15">
        <f t="shared" si="1"/>
        <v>5.333333333333333</v>
      </c>
      <c r="Y16" s="15">
        <f t="shared" si="1"/>
        <v>3.4500000000000006</v>
      </c>
      <c r="Z16" s="15">
        <f t="shared" si="1"/>
        <v>0.84166666666666645</v>
      </c>
      <c r="AA16" s="15">
        <f t="shared" si="1"/>
        <v>0.28333333333333327</v>
      </c>
      <c r="AB16" s="15">
        <f t="shared" si="1"/>
        <v>-1.8500000000000003</v>
      </c>
      <c r="AC16" s="15">
        <f t="shared" si="1"/>
        <v>-1.5333333333333332</v>
      </c>
      <c r="AD16" s="15">
        <f t="shared" si="1"/>
        <v>-9.9999999999999978E-2</v>
      </c>
      <c r="AE16" s="15">
        <f t="shared" si="1"/>
        <v>-0.7749999999999998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63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6.1</v>
      </c>
      <c r="C24" s="19">
        <v>3.1</v>
      </c>
      <c r="D24" s="17">
        <v>9.3000000000000007</v>
      </c>
      <c r="E24" s="17">
        <v>6.4</v>
      </c>
      <c r="F24" s="19">
        <v>8.3000000000000007</v>
      </c>
      <c r="G24" s="19">
        <v>7.1</v>
      </c>
      <c r="H24" s="19">
        <v>6.8</v>
      </c>
      <c r="I24" s="17">
        <v>5.8</v>
      </c>
      <c r="J24" s="17">
        <v>0.4</v>
      </c>
      <c r="K24" s="15">
        <v>0.6</v>
      </c>
      <c r="L24" s="15">
        <v>1.6</v>
      </c>
      <c r="M24" s="15">
        <v>2</v>
      </c>
      <c r="N24" s="15">
        <v>5.6</v>
      </c>
      <c r="O24" s="15">
        <v>7.1</v>
      </c>
      <c r="P24" s="15">
        <v>7.4</v>
      </c>
      <c r="Q24" s="15">
        <v>7.3</v>
      </c>
      <c r="R24" s="13">
        <v>10.3</v>
      </c>
      <c r="S24" s="13">
        <v>8.6</v>
      </c>
      <c r="T24" s="19">
        <v>10.7</v>
      </c>
      <c r="U24" s="19">
        <v>5.6</v>
      </c>
      <c r="V24" s="19">
        <v>11.6</v>
      </c>
      <c r="W24" s="13">
        <v>10.8</v>
      </c>
      <c r="X24" s="19">
        <v>6.6</v>
      </c>
      <c r="Y24" s="19">
        <v>0.8</v>
      </c>
      <c r="Z24" s="19">
        <v>1.9</v>
      </c>
      <c r="AA24" s="19">
        <v>-0.6</v>
      </c>
      <c r="AB24" s="19">
        <v>-1.7</v>
      </c>
      <c r="AC24" s="19">
        <v>-2.1</v>
      </c>
      <c r="AD24" s="19">
        <v>-0.6</v>
      </c>
      <c r="AE24" s="19">
        <v>-3.1</v>
      </c>
      <c r="AF24" s="19"/>
    </row>
    <row r="25" spans="1:32" x14ac:dyDescent="0.25">
      <c r="A25" s="10">
        <v>6</v>
      </c>
      <c r="B25" s="17">
        <v>6.9</v>
      </c>
      <c r="C25" s="19">
        <v>4.4000000000000004</v>
      </c>
      <c r="D25" s="17">
        <v>8.5</v>
      </c>
      <c r="E25" s="17">
        <v>6.6</v>
      </c>
      <c r="F25" s="19">
        <v>8.3000000000000007</v>
      </c>
      <c r="G25" s="19">
        <v>5.7</v>
      </c>
      <c r="H25" s="19">
        <v>7</v>
      </c>
      <c r="I25" s="17">
        <v>5</v>
      </c>
      <c r="J25" s="17">
        <v>0.2</v>
      </c>
      <c r="K25" s="15">
        <v>0.4</v>
      </c>
      <c r="L25" s="15">
        <v>0.4</v>
      </c>
      <c r="M25" s="15">
        <v>1.7</v>
      </c>
      <c r="N25" s="15">
        <v>4.5999999999999996</v>
      </c>
      <c r="O25" s="15">
        <v>6.4</v>
      </c>
      <c r="P25" s="15">
        <v>6.8</v>
      </c>
      <c r="Q25" s="15">
        <v>7.1</v>
      </c>
      <c r="R25" s="13">
        <v>10.199999999999999</v>
      </c>
      <c r="S25" s="13">
        <v>8.5</v>
      </c>
      <c r="T25" s="19">
        <v>10</v>
      </c>
      <c r="U25" s="19">
        <v>4.8</v>
      </c>
      <c r="V25" s="19">
        <v>12.2</v>
      </c>
      <c r="W25" s="13">
        <v>10.4</v>
      </c>
      <c r="X25" s="19">
        <v>5.9</v>
      </c>
      <c r="Y25" s="19">
        <v>1</v>
      </c>
      <c r="Z25" s="19">
        <v>0.5</v>
      </c>
      <c r="AA25" s="19">
        <v>-0.4</v>
      </c>
      <c r="AB25" s="19">
        <v>-1.9</v>
      </c>
      <c r="AC25" s="19">
        <v>-1.5</v>
      </c>
      <c r="AD25" s="19">
        <v>-0.9</v>
      </c>
      <c r="AE25" s="19">
        <v>-3.7</v>
      </c>
      <c r="AF25" s="19"/>
    </row>
    <row r="26" spans="1:32" x14ac:dyDescent="0.25">
      <c r="A26" s="10">
        <v>8</v>
      </c>
      <c r="B26" s="17">
        <v>8.9</v>
      </c>
      <c r="C26" s="19">
        <v>9.3000000000000007</v>
      </c>
      <c r="D26" s="17">
        <v>9.4</v>
      </c>
      <c r="E26" s="17">
        <v>10.1</v>
      </c>
      <c r="F26" s="19">
        <v>8.4</v>
      </c>
      <c r="G26" s="19">
        <v>8</v>
      </c>
      <c r="H26" s="19">
        <v>9.4</v>
      </c>
      <c r="I26" s="17">
        <v>5.4</v>
      </c>
      <c r="J26" s="17">
        <v>4.7</v>
      </c>
      <c r="K26" s="15">
        <v>5.9</v>
      </c>
      <c r="L26" s="15">
        <v>3.9</v>
      </c>
      <c r="M26" s="15">
        <v>4.3</v>
      </c>
      <c r="N26" s="15">
        <v>6.4</v>
      </c>
      <c r="O26" s="15">
        <v>8.1999999999999993</v>
      </c>
      <c r="P26" s="15">
        <v>9.1</v>
      </c>
      <c r="Q26" s="15">
        <v>9.3000000000000007</v>
      </c>
      <c r="R26" s="13">
        <v>10.8</v>
      </c>
      <c r="S26" s="13">
        <v>11.2</v>
      </c>
      <c r="T26" s="19">
        <v>10.9</v>
      </c>
      <c r="U26" s="19">
        <v>7.8</v>
      </c>
      <c r="V26" s="19">
        <v>13</v>
      </c>
      <c r="W26" s="13">
        <v>8.1</v>
      </c>
      <c r="X26" s="19">
        <v>5.9</v>
      </c>
      <c r="Y26" s="19">
        <v>25</v>
      </c>
      <c r="Z26" s="19">
        <v>0.3</v>
      </c>
      <c r="AA26" s="19">
        <v>-0.2</v>
      </c>
      <c r="AB26" s="19">
        <v>-2</v>
      </c>
      <c r="AC26" s="19">
        <v>-0.7</v>
      </c>
      <c r="AD26" s="19">
        <v>-0.2</v>
      </c>
      <c r="AE26" s="19">
        <v>-1.7</v>
      </c>
      <c r="AF26" s="19"/>
    </row>
    <row r="27" spans="1:32" x14ac:dyDescent="0.25">
      <c r="A27" s="10">
        <v>10</v>
      </c>
      <c r="B27" s="17">
        <v>11</v>
      </c>
      <c r="C27" s="19">
        <v>13.4</v>
      </c>
      <c r="D27" s="17">
        <v>10.6</v>
      </c>
      <c r="E27" s="17">
        <v>11.9</v>
      </c>
      <c r="F27" s="19">
        <v>7.9</v>
      </c>
      <c r="G27" s="19">
        <v>8.9</v>
      </c>
      <c r="H27" s="19">
        <v>10.5</v>
      </c>
      <c r="I27" s="17">
        <v>6.6</v>
      </c>
      <c r="J27" s="17">
        <v>9.3000000000000007</v>
      </c>
      <c r="K27" s="15">
        <v>8.6</v>
      </c>
      <c r="L27" s="15">
        <v>7.2</v>
      </c>
      <c r="M27" s="15">
        <v>7.3</v>
      </c>
      <c r="N27" s="15">
        <v>11.3</v>
      </c>
      <c r="O27" s="15">
        <v>9.1999999999999993</v>
      </c>
      <c r="P27" s="15">
        <v>12.3</v>
      </c>
      <c r="Q27" s="15">
        <v>13.6</v>
      </c>
      <c r="R27" s="13">
        <v>13.5</v>
      </c>
      <c r="S27" s="13">
        <v>14.4</v>
      </c>
      <c r="T27" s="19">
        <v>11.5</v>
      </c>
      <c r="U27" s="19">
        <v>11.9</v>
      </c>
      <c r="V27" s="19">
        <v>15.1</v>
      </c>
      <c r="W27" s="13">
        <v>9.5</v>
      </c>
      <c r="X27" s="19">
        <v>6.5</v>
      </c>
      <c r="Y27" s="19">
        <v>4.2</v>
      </c>
      <c r="Z27" s="19">
        <v>0.4</v>
      </c>
      <c r="AA27" s="19">
        <v>0.1</v>
      </c>
      <c r="AB27" s="19">
        <v>-0.8</v>
      </c>
      <c r="AC27" s="19">
        <v>0.5</v>
      </c>
      <c r="AD27" s="19">
        <v>2</v>
      </c>
      <c r="AE27" s="19">
        <v>0.7</v>
      </c>
      <c r="AF27" s="19"/>
    </row>
    <row r="28" spans="1:32" x14ac:dyDescent="0.25">
      <c r="A28" s="10">
        <v>12</v>
      </c>
      <c r="B28" s="17">
        <v>11.2</v>
      </c>
      <c r="C28" s="19">
        <v>15</v>
      </c>
      <c r="D28" s="17">
        <v>12.2</v>
      </c>
      <c r="E28" s="17">
        <v>12.4</v>
      </c>
      <c r="F28" s="19">
        <v>8.1999999999999993</v>
      </c>
      <c r="G28" s="19">
        <v>10.3</v>
      </c>
      <c r="H28" s="19">
        <v>11.4</v>
      </c>
      <c r="I28" s="17">
        <v>6.9</v>
      </c>
      <c r="J28" s="17">
        <v>8.8000000000000007</v>
      </c>
      <c r="K28" s="15">
        <v>11.8</v>
      </c>
      <c r="L28" s="15">
        <v>9.4</v>
      </c>
      <c r="M28" s="15">
        <v>9.1999999999999993</v>
      </c>
      <c r="N28" s="15">
        <v>12.3</v>
      </c>
      <c r="O28" s="15">
        <v>11.7</v>
      </c>
      <c r="P28" s="15">
        <v>14.3</v>
      </c>
      <c r="Q28" s="15">
        <v>16.7</v>
      </c>
      <c r="R28" s="13">
        <v>15.8</v>
      </c>
      <c r="S28" s="13">
        <v>16.399999999999999</v>
      </c>
      <c r="T28" s="19">
        <v>11.6</v>
      </c>
      <c r="U28" s="19">
        <v>12.6</v>
      </c>
      <c r="V28" s="19">
        <v>17.600000000000001</v>
      </c>
      <c r="W28" s="13">
        <v>9</v>
      </c>
      <c r="X28" s="19">
        <v>8.1999999999999993</v>
      </c>
      <c r="Y28" s="19">
        <v>6.6</v>
      </c>
      <c r="Z28" s="19">
        <v>1.3</v>
      </c>
      <c r="AA28" s="19">
        <v>0.2</v>
      </c>
      <c r="AB28" s="19">
        <v>-0.3</v>
      </c>
      <c r="AC28" s="19">
        <v>0.6</v>
      </c>
      <c r="AD28" s="19">
        <v>4.5</v>
      </c>
      <c r="AE28" s="19">
        <v>0.6</v>
      </c>
      <c r="AF28" s="19"/>
    </row>
    <row r="29" spans="1:32" x14ac:dyDescent="0.25">
      <c r="A29" s="10">
        <v>14</v>
      </c>
      <c r="B29" s="17">
        <v>11.7</v>
      </c>
      <c r="C29" s="19">
        <v>16</v>
      </c>
      <c r="D29" s="17">
        <v>12.8</v>
      </c>
      <c r="E29" s="17">
        <v>12.6</v>
      </c>
      <c r="F29" s="19">
        <v>9.5</v>
      </c>
      <c r="G29" s="19">
        <v>10.8</v>
      </c>
      <c r="H29" s="19">
        <v>10.8</v>
      </c>
      <c r="I29" s="17">
        <v>8.8000000000000007</v>
      </c>
      <c r="J29" s="17">
        <v>9.1</v>
      </c>
      <c r="K29" s="15">
        <v>9.6999999999999993</v>
      </c>
      <c r="L29" s="15">
        <v>9.6</v>
      </c>
      <c r="M29" s="15">
        <v>10.8</v>
      </c>
      <c r="N29" s="15">
        <v>12.1</v>
      </c>
      <c r="O29" s="15">
        <v>12.1</v>
      </c>
      <c r="P29" s="15">
        <v>15.3</v>
      </c>
      <c r="Q29" s="15">
        <v>17.3</v>
      </c>
      <c r="R29" s="13">
        <v>18</v>
      </c>
      <c r="S29" s="13">
        <v>15.3</v>
      </c>
      <c r="T29" s="19">
        <v>12.1</v>
      </c>
      <c r="U29" s="19">
        <v>11.6</v>
      </c>
      <c r="V29" s="19">
        <v>18.399999999999999</v>
      </c>
      <c r="W29" s="13">
        <v>8.8000000000000007</v>
      </c>
      <c r="X29" s="19">
        <v>7.4</v>
      </c>
      <c r="Y29" s="19">
        <v>8.1</v>
      </c>
      <c r="Z29" s="19">
        <v>1.2</v>
      </c>
      <c r="AA29" s="19">
        <v>1.2</v>
      </c>
      <c r="AB29" s="19">
        <v>0.4</v>
      </c>
      <c r="AC29" s="19">
        <v>1</v>
      </c>
      <c r="AD29" s="19">
        <v>3</v>
      </c>
      <c r="AE29" s="19">
        <v>-0.3</v>
      </c>
      <c r="AF29" s="19"/>
    </row>
    <row r="30" spans="1:32" x14ac:dyDescent="0.25">
      <c r="A30" s="10">
        <v>16</v>
      </c>
      <c r="B30" s="17">
        <v>11.2</v>
      </c>
      <c r="C30" s="19">
        <v>15.4</v>
      </c>
      <c r="D30" s="17">
        <v>12.9</v>
      </c>
      <c r="E30" s="17">
        <v>12.4</v>
      </c>
      <c r="F30" s="19">
        <v>9.3000000000000007</v>
      </c>
      <c r="G30" s="19">
        <v>11.4</v>
      </c>
      <c r="H30" s="19">
        <v>9.1</v>
      </c>
      <c r="I30" s="17">
        <v>7.7</v>
      </c>
      <c r="J30" s="17">
        <v>9.3000000000000007</v>
      </c>
      <c r="K30" s="15">
        <v>11.5</v>
      </c>
      <c r="L30" s="15">
        <v>10.3</v>
      </c>
      <c r="M30" s="15">
        <v>12.3</v>
      </c>
      <c r="N30" s="15">
        <v>12.6</v>
      </c>
      <c r="O30" s="15">
        <v>11.3</v>
      </c>
      <c r="P30" s="15">
        <v>15.2</v>
      </c>
      <c r="Q30" s="15">
        <v>16.5</v>
      </c>
      <c r="R30" s="13">
        <v>16.100000000000001</v>
      </c>
      <c r="S30" s="13">
        <v>13.4</v>
      </c>
      <c r="T30" s="19">
        <v>10.4</v>
      </c>
      <c r="U30" s="19">
        <v>9.5</v>
      </c>
      <c r="V30" s="19">
        <v>18.2</v>
      </c>
      <c r="W30" s="13">
        <v>7.3</v>
      </c>
      <c r="X30" s="19">
        <v>7.2</v>
      </c>
      <c r="Y30" s="19">
        <v>7.1</v>
      </c>
      <c r="Z30" s="19">
        <v>-0.2</v>
      </c>
      <c r="AA30" s="19">
        <v>1.1000000000000001</v>
      </c>
      <c r="AB30" s="19">
        <v>0.4</v>
      </c>
      <c r="AC30" s="19">
        <v>-0.1</v>
      </c>
      <c r="AD30" s="19">
        <v>2.2999999999999998</v>
      </c>
      <c r="AE30" s="19">
        <v>0.2</v>
      </c>
      <c r="AF30" s="19"/>
    </row>
    <row r="31" spans="1:32" x14ac:dyDescent="0.25">
      <c r="A31" s="10">
        <v>18</v>
      </c>
      <c r="B31" s="17">
        <v>12.9</v>
      </c>
      <c r="C31" s="19">
        <v>12.9</v>
      </c>
      <c r="D31" s="17">
        <v>12.6</v>
      </c>
      <c r="E31" s="17">
        <v>10.9</v>
      </c>
      <c r="F31" s="19">
        <v>8.8000000000000007</v>
      </c>
      <c r="G31" s="19">
        <v>9.4</v>
      </c>
      <c r="H31" s="19">
        <v>7.4</v>
      </c>
      <c r="I31" s="17">
        <v>6.8</v>
      </c>
      <c r="J31" s="17">
        <v>6.5</v>
      </c>
      <c r="K31" s="15">
        <v>7.6</v>
      </c>
      <c r="L31" s="15">
        <v>8.1</v>
      </c>
      <c r="M31" s="15">
        <v>9.6999999999999993</v>
      </c>
      <c r="N31" s="15">
        <v>11.1</v>
      </c>
      <c r="O31" s="15">
        <v>10.8</v>
      </c>
      <c r="P31" s="15">
        <v>13.6</v>
      </c>
      <c r="Q31" s="15">
        <v>14.6</v>
      </c>
      <c r="R31" s="13">
        <v>14.1</v>
      </c>
      <c r="S31" s="13">
        <v>9.6999999999999993</v>
      </c>
      <c r="T31" s="19">
        <v>10.3</v>
      </c>
      <c r="U31" s="19">
        <v>10</v>
      </c>
      <c r="V31" s="19">
        <v>16</v>
      </c>
      <c r="W31" s="13">
        <v>7.1</v>
      </c>
      <c r="X31" s="19">
        <v>6.6</v>
      </c>
      <c r="Y31" s="19">
        <v>3.9</v>
      </c>
      <c r="Z31" s="19">
        <v>0.2</v>
      </c>
      <c r="AA31" s="19">
        <v>0.1</v>
      </c>
      <c r="AB31" s="19">
        <v>-1.3</v>
      </c>
      <c r="AC31" s="19">
        <v>0.2</v>
      </c>
      <c r="AD31" s="19">
        <v>1.3</v>
      </c>
      <c r="AE31" s="19">
        <v>0</v>
      </c>
      <c r="AF31" s="19"/>
    </row>
    <row r="32" spans="1:32" x14ac:dyDescent="0.25">
      <c r="A32" s="10">
        <v>20</v>
      </c>
      <c r="B32" s="17">
        <v>7.4</v>
      </c>
      <c r="C32" s="19">
        <v>9.6999999999999993</v>
      </c>
      <c r="D32" s="17">
        <v>12.7</v>
      </c>
      <c r="E32" s="17">
        <v>9.3000000000000007</v>
      </c>
      <c r="F32" s="19">
        <v>8.6</v>
      </c>
      <c r="G32" s="19">
        <v>8.9</v>
      </c>
      <c r="H32" s="19">
        <v>6.9</v>
      </c>
      <c r="I32" s="17">
        <v>5.7</v>
      </c>
      <c r="J32" s="17">
        <v>5.2</v>
      </c>
      <c r="K32" s="15">
        <v>6.2</v>
      </c>
      <c r="L32" s="15">
        <v>4.4000000000000004</v>
      </c>
      <c r="M32" s="15">
        <v>8.1999999999999993</v>
      </c>
      <c r="N32" s="15">
        <v>8.4</v>
      </c>
      <c r="O32" s="15">
        <v>9.6999999999999993</v>
      </c>
      <c r="P32" s="15">
        <v>11.1</v>
      </c>
      <c r="Q32" s="15">
        <v>13.4</v>
      </c>
      <c r="R32" s="13">
        <v>11.6</v>
      </c>
      <c r="S32" s="13">
        <v>9.3000000000000007</v>
      </c>
      <c r="T32" s="19">
        <v>10.1</v>
      </c>
      <c r="U32" s="19">
        <v>9.8000000000000007</v>
      </c>
      <c r="V32" s="19">
        <v>14</v>
      </c>
      <c r="W32" s="13">
        <v>6.7</v>
      </c>
      <c r="X32" s="19">
        <v>5.7</v>
      </c>
      <c r="Y32" s="19">
        <v>1.9</v>
      </c>
      <c r="Z32" s="19">
        <v>-0.6</v>
      </c>
      <c r="AA32" s="19">
        <v>-0.7</v>
      </c>
      <c r="AB32" s="19">
        <v>-1.2</v>
      </c>
      <c r="AC32" s="19">
        <v>-0.1</v>
      </c>
      <c r="AD32" s="19">
        <v>-0.1</v>
      </c>
      <c r="AE32" s="19">
        <v>0.3</v>
      </c>
      <c r="AF32" s="19"/>
    </row>
    <row r="33" spans="1:32" x14ac:dyDescent="0.25">
      <c r="A33" s="10">
        <v>22</v>
      </c>
      <c r="B33" s="17">
        <v>5.4</v>
      </c>
      <c r="C33" s="19">
        <v>10.199999999999999</v>
      </c>
      <c r="D33" s="17">
        <v>12.4</v>
      </c>
      <c r="E33" s="17">
        <v>8.1999999999999993</v>
      </c>
      <c r="F33" s="19">
        <v>7.9</v>
      </c>
      <c r="G33" s="19">
        <v>7.7</v>
      </c>
      <c r="H33" s="19">
        <v>6.7</v>
      </c>
      <c r="I33" s="17">
        <v>5.3</v>
      </c>
      <c r="J33" s="17">
        <v>4.7</v>
      </c>
      <c r="K33" s="15">
        <v>5.0999999999999996</v>
      </c>
      <c r="L33" s="15">
        <v>4.3</v>
      </c>
      <c r="M33" s="15">
        <v>8</v>
      </c>
      <c r="N33" s="15">
        <v>8.4</v>
      </c>
      <c r="O33" s="15">
        <v>7.5</v>
      </c>
      <c r="P33" s="15">
        <v>9.5</v>
      </c>
      <c r="Q33" s="15">
        <v>12.1</v>
      </c>
      <c r="R33" s="13">
        <v>10.5</v>
      </c>
      <c r="S33" s="13">
        <v>9.6</v>
      </c>
      <c r="T33" s="19">
        <v>9.4</v>
      </c>
      <c r="U33" s="19">
        <v>9.8000000000000007</v>
      </c>
      <c r="V33" s="19">
        <v>13.7</v>
      </c>
      <c r="W33" s="13">
        <v>6.8</v>
      </c>
      <c r="X33" s="19">
        <v>3.3</v>
      </c>
      <c r="Y33" s="19">
        <v>0.3</v>
      </c>
      <c r="Z33" s="19">
        <v>-0.2</v>
      </c>
      <c r="AA33" s="19">
        <v>-0.5</v>
      </c>
      <c r="AB33" s="19">
        <v>-1.4</v>
      </c>
      <c r="AC33" s="19">
        <v>-0.6</v>
      </c>
      <c r="AD33" s="19">
        <v>-0.5</v>
      </c>
      <c r="AE33" s="19">
        <v>0.2</v>
      </c>
      <c r="AF33" s="19"/>
    </row>
    <row r="34" spans="1:32" x14ac:dyDescent="0.25">
      <c r="A34" s="10">
        <v>24</v>
      </c>
      <c r="B34" s="17">
        <v>4.5</v>
      </c>
      <c r="C34" s="19">
        <v>10.3</v>
      </c>
      <c r="D34" s="17">
        <v>9.9</v>
      </c>
      <c r="E34" s="17">
        <v>7.9</v>
      </c>
      <c r="F34" s="19">
        <v>7.7</v>
      </c>
      <c r="G34" s="19">
        <v>7.6</v>
      </c>
      <c r="H34" s="19">
        <v>7.4</v>
      </c>
      <c r="I34" s="17">
        <v>3.9</v>
      </c>
      <c r="J34" s="17">
        <v>3.2</v>
      </c>
      <c r="K34" s="15">
        <v>4</v>
      </c>
      <c r="L34" s="15">
        <v>3.3</v>
      </c>
      <c r="M34" s="15">
        <v>7</v>
      </c>
      <c r="N34" s="15">
        <v>8.1999999999999993</v>
      </c>
      <c r="O34" s="15">
        <v>8</v>
      </c>
      <c r="P34" s="15">
        <v>8.3000000000000007</v>
      </c>
      <c r="Q34" s="15">
        <v>10.7</v>
      </c>
      <c r="R34" s="13">
        <v>10.1</v>
      </c>
      <c r="S34" s="13">
        <v>10.1</v>
      </c>
      <c r="T34" s="19">
        <v>8.6</v>
      </c>
      <c r="U34" s="19">
        <v>10.1</v>
      </c>
      <c r="V34" s="19">
        <v>13.4</v>
      </c>
      <c r="W34" s="13">
        <v>6.8</v>
      </c>
      <c r="X34" s="19">
        <v>2.4</v>
      </c>
      <c r="Y34" s="19">
        <v>1</v>
      </c>
      <c r="Z34" s="19">
        <v>-0.6</v>
      </c>
      <c r="AA34" s="19">
        <v>-0.9</v>
      </c>
      <c r="AB34" s="19">
        <v>-1.3</v>
      </c>
      <c r="AC34" s="19">
        <v>-0.9</v>
      </c>
      <c r="AD34" s="19">
        <v>0.1</v>
      </c>
      <c r="AE34" s="19">
        <v>-0.1</v>
      </c>
      <c r="AF34" s="19"/>
    </row>
    <row r="35" spans="1:32" x14ac:dyDescent="0.25">
      <c r="A35" s="10">
        <v>2</v>
      </c>
      <c r="B35" s="17">
        <v>3.8</v>
      </c>
      <c r="C35" s="19">
        <v>10.6</v>
      </c>
      <c r="D35" s="17">
        <v>8.5</v>
      </c>
      <c r="E35" s="17">
        <v>7.9</v>
      </c>
      <c r="F35" s="19">
        <v>7.9</v>
      </c>
      <c r="G35" s="19">
        <v>7.3</v>
      </c>
      <c r="H35" s="19">
        <v>6.9</v>
      </c>
      <c r="I35" s="17">
        <v>2.1</v>
      </c>
      <c r="J35" s="17">
        <v>1</v>
      </c>
      <c r="K35" s="15">
        <v>3.2</v>
      </c>
      <c r="L35" s="15">
        <v>2.8</v>
      </c>
      <c r="M35" s="15">
        <v>6.9</v>
      </c>
      <c r="N35" s="15">
        <v>8</v>
      </c>
      <c r="O35" s="15">
        <v>7.6</v>
      </c>
      <c r="P35" s="15">
        <v>8.3000000000000007</v>
      </c>
      <c r="Q35" s="15">
        <v>8.9</v>
      </c>
      <c r="R35" s="13">
        <v>9</v>
      </c>
      <c r="S35" s="13">
        <v>10.6</v>
      </c>
      <c r="T35" s="19">
        <v>8.1</v>
      </c>
      <c r="U35" s="19">
        <v>10.9</v>
      </c>
      <c r="V35" s="19">
        <v>12.7</v>
      </c>
      <c r="W35" s="13">
        <v>7.1</v>
      </c>
      <c r="X35" s="19">
        <v>1.6</v>
      </c>
      <c r="Y35" s="19">
        <v>1.1000000000000001</v>
      </c>
      <c r="Z35" s="19">
        <v>-0.3</v>
      </c>
      <c r="AA35" s="19">
        <v>-1.9</v>
      </c>
      <c r="AB35" s="19">
        <v>-1.4</v>
      </c>
      <c r="AC35" s="19">
        <v>-0.6</v>
      </c>
      <c r="AD35" s="19">
        <v>-1.7</v>
      </c>
      <c r="AE35" s="19">
        <v>-0.2</v>
      </c>
      <c r="AF35" s="19"/>
    </row>
    <row r="36" spans="1:32" ht="30" x14ac:dyDescent="0.25">
      <c r="A36" s="11" t="s">
        <v>2</v>
      </c>
      <c r="B36" s="15">
        <f>(B24+B25+B26+B27+B28+B29+B30+B31+B32+B33+B34+B35)/12</f>
        <v>8.4166666666666679</v>
      </c>
      <c r="C36" s="15">
        <f t="shared" ref="C36:J36" si="2">(C24+C25+C26+C27+C28+C29+C30+C31+C32+C33+C34+C35)/12</f>
        <v>10.858333333333334</v>
      </c>
      <c r="D36" s="15">
        <f t="shared" si="2"/>
        <v>10.983333333333334</v>
      </c>
      <c r="E36" s="15">
        <f t="shared" si="2"/>
        <v>9.7166666666666686</v>
      </c>
      <c r="F36" s="15">
        <f t="shared" si="2"/>
        <v>8.4</v>
      </c>
      <c r="G36" s="15">
        <f t="shared" si="2"/>
        <v>8.5916666666666668</v>
      </c>
      <c r="H36" s="15">
        <f t="shared" si="2"/>
        <v>8.3583333333333361</v>
      </c>
      <c r="I36" s="15">
        <f t="shared" si="2"/>
        <v>5.833333333333333</v>
      </c>
      <c r="J36" s="15">
        <f t="shared" si="2"/>
        <v>5.2</v>
      </c>
      <c r="K36" s="15">
        <f>(K24+K25+K26+K27+K28+K29+K30+K31+K32+K33+K34+K35)/12</f>
        <v>6.2166666666666677</v>
      </c>
      <c r="L36" s="15">
        <f t="shared" ref="L36:AF36" si="3">(L24+L25+L26+L27+L28+L29+L30+L31+L32+L33+L34+L35)/12</f>
        <v>5.4416666666666664</v>
      </c>
      <c r="M36" s="15">
        <f t="shared" si="3"/>
        <v>7.2833333333333341</v>
      </c>
      <c r="N36" s="15">
        <f t="shared" si="3"/>
        <v>9.0833333333333339</v>
      </c>
      <c r="O36" s="15">
        <f t="shared" si="3"/>
        <v>9.1333333333333329</v>
      </c>
      <c r="P36" s="15">
        <f t="shared" si="3"/>
        <v>10.933333333333332</v>
      </c>
      <c r="Q36" s="15">
        <f t="shared" si="3"/>
        <v>12.291666666666666</v>
      </c>
      <c r="R36" s="15">
        <f t="shared" si="3"/>
        <v>12.499999999999998</v>
      </c>
      <c r="S36" s="15">
        <f t="shared" si="3"/>
        <v>11.424999999999999</v>
      </c>
      <c r="T36" s="15">
        <f t="shared" si="3"/>
        <v>10.308333333333332</v>
      </c>
      <c r="U36" s="15">
        <f t="shared" si="3"/>
        <v>9.5333333333333332</v>
      </c>
      <c r="V36" s="15">
        <f t="shared" si="3"/>
        <v>14.658333333333333</v>
      </c>
      <c r="W36" s="15">
        <f t="shared" si="3"/>
        <v>8.1999999999999993</v>
      </c>
      <c r="X36" s="15">
        <f t="shared" si="3"/>
        <v>5.6083333333333334</v>
      </c>
      <c r="Y36" s="15">
        <f t="shared" si="3"/>
        <v>5.083333333333333</v>
      </c>
      <c r="Z36" s="15">
        <f t="shared" si="3"/>
        <v>0.32500000000000001</v>
      </c>
      <c r="AA36" s="15">
        <f t="shared" si="3"/>
        <v>-0.20833333333333329</v>
      </c>
      <c r="AB36" s="15">
        <f t="shared" si="3"/>
        <v>-1.0416666666666667</v>
      </c>
      <c r="AC36" s="15">
        <f t="shared" si="3"/>
        <v>-0.35833333333333334</v>
      </c>
      <c r="AD36" s="15">
        <f>(AD24+AD25+AD26+AD27+AD28+AD29+AD30+AD31+AD32+AD33+AD34+AD35)/12</f>
        <v>0.76666666666666672</v>
      </c>
      <c r="AE36" s="15">
        <f>(AE24+AE25+AE26+AE27+AE28+AE29+AE30+AE31+AE32+AE33+AE34+AE35)/12</f>
        <v>-0.59166666666666667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E36" sqref="E36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-1.3</v>
      </c>
      <c r="C4" s="19">
        <v>-5</v>
      </c>
      <c r="D4" s="19">
        <v>-1.1000000000000001</v>
      </c>
      <c r="E4" s="19">
        <v>3</v>
      </c>
      <c r="F4" s="19">
        <v>0</v>
      </c>
      <c r="G4" s="19">
        <v>-1</v>
      </c>
      <c r="H4" s="19">
        <v>2</v>
      </c>
      <c r="I4" s="19">
        <v>6.2</v>
      </c>
      <c r="J4" s="19">
        <v>4.8</v>
      </c>
      <c r="K4" s="19">
        <v>4.8</v>
      </c>
      <c r="L4" s="19">
        <v>4.9000000000000004</v>
      </c>
      <c r="M4" s="19">
        <v>2.2999999999999998</v>
      </c>
      <c r="N4" s="19">
        <v>-2</v>
      </c>
      <c r="O4" s="19">
        <v>-1.8</v>
      </c>
      <c r="P4" s="19">
        <v>3</v>
      </c>
      <c r="Q4" s="19">
        <v>2</v>
      </c>
      <c r="R4" s="19">
        <v>-2</v>
      </c>
      <c r="S4" s="19">
        <v>3</v>
      </c>
      <c r="T4" s="19">
        <v>2</v>
      </c>
      <c r="U4" s="19">
        <v>4</v>
      </c>
      <c r="V4" s="19">
        <v>3</v>
      </c>
      <c r="W4" s="20">
        <v>-1.2</v>
      </c>
      <c r="X4" s="19">
        <v>-2.8</v>
      </c>
      <c r="Y4" s="19">
        <v>-3</v>
      </c>
      <c r="Z4" s="19">
        <v>-0.5</v>
      </c>
      <c r="AA4" s="19">
        <v>-1</v>
      </c>
      <c r="AB4" s="19">
        <v>-6</v>
      </c>
      <c r="AC4" s="19">
        <v>-6</v>
      </c>
      <c r="AD4" s="19">
        <v>-8.4</v>
      </c>
      <c r="AE4" s="19">
        <v>-4</v>
      </c>
      <c r="AF4" s="19">
        <v>-1.7</v>
      </c>
    </row>
    <row r="5" spans="1:33" x14ac:dyDescent="0.25">
      <c r="A5" s="10">
        <v>6</v>
      </c>
      <c r="B5" s="19">
        <v>-1.3</v>
      </c>
      <c r="C5" s="19">
        <v>-4.5999999999999996</v>
      </c>
      <c r="D5" s="19">
        <v>-1.1000000000000001</v>
      </c>
      <c r="E5" s="19">
        <v>5</v>
      </c>
      <c r="F5" s="19">
        <v>0</v>
      </c>
      <c r="G5" s="19">
        <v>1.3</v>
      </c>
      <c r="H5" s="19">
        <v>3.1</v>
      </c>
      <c r="I5" s="19">
        <v>6.5</v>
      </c>
      <c r="J5" s="19">
        <v>4.8</v>
      </c>
      <c r="K5" s="19">
        <v>5</v>
      </c>
      <c r="L5" s="19">
        <v>4.0999999999999996</v>
      </c>
      <c r="M5" s="19">
        <v>2.7</v>
      </c>
      <c r="N5" s="19">
        <v>-2.1</v>
      </c>
      <c r="O5" s="19">
        <v>-1.8</v>
      </c>
      <c r="P5" s="19">
        <v>3.3</v>
      </c>
      <c r="Q5" s="19">
        <v>2.7</v>
      </c>
      <c r="R5" s="19">
        <v>-1.5</v>
      </c>
      <c r="S5" s="19">
        <v>4.0999999999999996</v>
      </c>
      <c r="T5" s="19">
        <v>3</v>
      </c>
      <c r="U5" s="19">
        <v>4.2</v>
      </c>
      <c r="V5" s="19">
        <v>3.4</v>
      </c>
      <c r="W5" s="20">
        <v>-1</v>
      </c>
      <c r="X5" s="19">
        <v>-2.1</v>
      </c>
      <c r="Y5" s="19">
        <v>-3</v>
      </c>
      <c r="Z5" s="19">
        <v>-0.5</v>
      </c>
      <c r="AA5" s="19">
        <v>-1</v>
      </c>
      <c r="AB5" s="19">
        <v>-6</v>
      </c>
      <c r="AC5" s="19">
        <v>-5.9</v>
      </c>
      <c r="AD5" s="19">
        <v>-8.4</v>
      </c>
      <c r="AE5" s="19">
        <v>-4.0999999999999996</v>
      </c>
      <c r="AF5" s="19">
        <v>-1.9</v>
      </c>
    </row>
    <row r="6" spans="1:33" x14ac:dyDescent="0.25">
      <c r="A6" s="10">
        <v>8</v>
      </c>
      <c r="B6" s="19">
        <v>-0.9</v>
      </c>
      <c r="C6" s="19">
        <v>-2.5</v>
      </c>
      <c r="D6" s="19">
        <v>-1</v>
      </c>
      <c r="E6" s="19">
        <v>3.7</v>
      </c>
      <c r="F6" s="19">
        <v>0.9</v>
      </c>
      <c r="G6" s="19">
        <v>1.5</v>
      </c>
      <c r="H6" s="19">
        <v>2.7</v>
      </c>
      <c r="I6" s="19">
        <v>5.8</v>
      </c>
      <c r="J6" s="19">
        <v>6.1</v>
      </c>
      <c r="K6" s="19">
        <v>4.4000000000000004</v>
      </c>
      <c r="L6" s="19">
        <v>4.5</v>
      </c>
      <c r="M6" s="19">
        <v>3.2</v>
      </c>
      <c r="N6" s="19">
        <v>1</v>
      </c>
      <c r="O6" s="19">
        <v>-1.2</v>
      </c>
      <c r="P6" s="19">
        <v>0.2</v>
      </c>
      <c r="Q6" s="19">
        <v>1.9</v>
      </c>
      <c r="R6" s="19">
        <v>-1.5</v>
      </c>
      <c r="S6" s="19">
        <v>4</v>
      </c>
      <c r="T6" s="19">
        <v>4.0999999999999996</v>
      </c>
      <c r="U6" s="19">
        <v>2.7</v>
      </c>
      <c r="V6" s="19">
        <v>3.6</v>
      </c>
      <c r="W6" s="20">
        <v>-3.4</v>
      </c>
      <c r="X6" s="19">
        <v>-1.2</v>
      </c>
      <c r="Y6" s="19">
        <v>-0.7</v>
      </c>
      <c r="Z6" s="19">
        <v>-1.5</v>
      </c>
      <c r="AA6" s="19">
        <v>-1.4</v>
      </c>
      <c r="AB6" s="19">
        <v>-6.4</v>
      </c>
      <c r="AC6" s="19">
        <v>-4.5</v>
      </c>
      <c r="AD6" s="19">
        <v>-5.7</v>
      </c>
      <c r="AE6" s="19">
        <v>-3.8</v>
      </c>
      <c r="AF6" s="19">
        <v>-2.6</v>
      </c>
    </row>
    <row r="7" spans="1:33" x14ac:dyDescent="0.25">
      <c r="A7" s="10">
        <v>10</v>
      </c>
      <c r="B7" s="19">
        <v>0.2</v>
      </c>
      <c r="C7" s="19">
        <v>0.9</v>
      </c>
      <c r="D7" s="19">
        <v>1</v>
      </c>
      <c r="E7" s="19">
        <v>4.4000000000000004</v>
      </c>
      <c r="F7" s="19">
        <v>3.3</v>
      </c>
      <c r="G7" s="19">
        <v>2.5</v>
      </c>
      <c r="H7" s="19">
        <v>3.9</v>
      </c>
      <c r="I7" s="19">
        <v>6</v>
      </c>
      <c r="J7" s="19">
        <v>7.2</v>
      </c>
      <c r="K7" s="19">
        <v>5.8</v>
      </c>
      <c r="L7" s="19">
        <v>4.5999999999999996</v>
      </c>
      <c r="M7" s="19">
        <v>3.6</v>
      </c>
      <c r="N7" s="19">
        <v>4</v>
      </c>
      <c r="O7" s="19">
        <v>4.3</v>
      </c>
      <c r="P7" s="19">
        <v>2.7</v>
      </c>
      <c r="Q7" s="19">
        <v>3.1</v>
      </c>
      <c r="R7" s="19">
        <v>0.6</v>
      </c>
      <c r="S7" s="19">
        <v>4</v>
      </c>
      <c r="T7" s="19">
        <v>4.3</v>
      </c>
      <c r="U7" s="19">
        <v>2.9</v>
      </c>
      <c r="V7" s="19">
        <v>3.9</v>
      </c>
      <c r="W7" s="20">
        <v>-2.2000000000000002</v>
      </c>
      <c r="X7" s="19">
        <v>-1</v>
      </c>
      <c r="Y7" s="19">
        <v>-1.3</v>
      </c>
      <c r="Z7" s="19">
        <v>-1</v>
      </c>
      <c r="AA7" s="19">
        <v>-1.6</v>
      </c>
      <c r="AB7" s="19">
        <v>-6.3</v>
      </c>
      <c r="AC7" s="19">
        <v>-4.4000000000000004</v>
      </c>
      <c r="AD7" s="19">
        <v>-4.3</v>
      </c>
      <c r="AE7" s="19">
        <v>-2.6</v>
      </c>
      <c r="AF7" s="19">
        <v>-2.4</v>
      </c>
    </row>
    <row r="8" spans="1:33" x14ac:dyDescent="0.25">
      <c r="A8" s="10">
        <v>12</v>
      </c>
      <c r="B8" s="19">
        <v>0.6</v>
      </c>
      <c r="C8" s="19">
        <v>4.5</v>
      </c>
      <c r="D8" s="19">
        <v>3</v>
      </c>
      <c r="E8" s="19">
        <v>5.5</v>
      </c>
      <c r="F8" s="19">
        <v>6.3</v>
      </c>
      <c r="G8" s="19">
        <v>3.2</v>
      </c>
      <c r="H8" s="19">
        <v>6.1</v>
      </c>
      <c r="I8" s="19">
        <v>6.6</v>
      </c>
      <c r="J8" s="19">
        <v>8</v>
      </c>
      <c r="K8" s="19">
        <v>5</v>
      </c>
      <c r="L8" s="19">
        <v>5.0999999999999996</v>
      </c>
      <c r="M8" s="19">
        <v>4.3</v>
      </c>
      <c r="N8" s="19">
        <v>4.5</v>
      </c>
      <c r="O8" s="19">
        <v>9</v>
      </c>
      <c r="P8" s="19">
        <v>5.3</v>
      </c>
      <c r="Q8" s="19">
        <v>7</v>
      </c>
      <c r="R8" s="19">
        <v>2.5</v>
      </c>
      <c r="S8" s="19">
        <v>4</v>
      </c>
      <c r="T8" s="19">
        <v>4.8</v>
      </c>
      <c r="U8" s="19">
        <v>3.4</v>
      </c>
      <c r="V8" s="19">
        <v>4.0999999999999996</v>
      </c>
      <c r="W8" s="20">
        <v>-2</v>
      </c>
      <c r="X8" s="19">
        <v>-0.5</v>
      </c>
      <c r="Y8" s="19">
        <v>-0.4</v>
      </c>
      <c r="Z8" s="19">
        <v>-0.5</v>
      </c>
      <c r="AA8" s="19">
        <v>-1.4</v>
      </c>
      <c r="AB8" s="19">
        <v>-6.2</v>
      </c>
      <c r="AC8" s="19">
        <v>-3.8</v>
      </c>
      <c r="AD8" s="19">
        <v>-2.9</v>
      </c>
      <c r="AE8" s="19">
        <v>-1.3</v>
      </c>
      <c r="AF8" s="19">
        <v>-2.4</v>
      </c>
    </row>
    <row r="9" spans="1:33" x14ac:dyDescent="0.25">
      <c r="A9" s="10">
        <v>14</v>
      </c>
      <c r="B9" s="19">
        <v>7.1</v>
      </c>
      <c r="C9" s="19">
        <v>6.1</v>
      </c>
      <c r="D9" s="19">
        <v>7.3</v>
      </c>
      <c r="E9" s="19">
        <v>5.7</v>
      </c>
      <c r="F9" s="19">
        <v>6.1</v>
      </c>
      <c r="G9" s="19">
        <v>5.0999999999999996</v>
      </c>
      <c r="H9" s="19">
        <v>6.8</v>
      </c>
      <c r="I9" s="19">
        <v>7.8</v>
      </c>
      <c r="J9" s="19">
        <v>7.2</v>
      </c>
      <c r="K9" s="19">
        <v>4.8</v>
      </c>
      <c r="L9" s="19">
        <v>5.6</v>
      </c>
      <c r="M9" s="19">
        <v>6.9</v>
      </c>
      <c r="N9" s="19">
        <v>5.2</v>
      </c>
      <c r="O9" s="19">
        <v>10.1</v>
      </c>
      <c r="P9" s="19">
        <v>8.3000000000000007</v>
      </c>
      <c r="Q9" s="19">
        <v>9.3000000000000007</v>
      </c>
      <c r="R9" s="19">
        <v>4</v>
      </c>
      <c r="S9" s="19">
        <v>4.2</v>
      </c>
      <c r="T9" s="19">
        <v>4.7</v>
      </c>
      <c r="U9" s="19">
        <v>3.5</v>
      </c>
      <c r="V9" s="19">
        <v>3.9</v>
      </c>
      <c r="W9" s="20">
        <v>-1.7</v>
      </c>
      <c r="X9" s="19">
        <v>-0.3</v>
      </c>
      <c r="Y9" s="19">
        <v>0.3</v>
      </c>
      <c r="Z9" s="19">
        <v>-0.3</v>
      </c>
      <c r="AA9" s="19">
        <v>-1.7</v>
      </c>
      <c r="AB9" s="19">
        <v>-5.2</v>
      </c>
      <c r="AC9" s="19">
        <v>-3.2</v>
      </c>
      <c r="AD9" s="19">
        <v>-1.8</v>
      </c>
      <c r="AE9" s="19">
        <v>-2.2999999999999998</v>
      </c>
      <c r="AF9" s="19">
        <v>-2.2999999999999998</v>
      </c>
    </row>
    <row r="10" spans="1:33" x14ac:dyDescent="0.25">
      <c r="A10" s="10">
        <v>16</v>
      </c>
      <c r="B10" s="19">
        <v>2.8</v>
      </c>
      <c r="C10" s="19">
        <v>3.1</v>
      </c>
      <c r="D10" s="19">
        <v>7.6</v>
      </c>
      <c r="E10" s="19">
        <v>5</v>
      </c>
      <c r="F10" s="19">
        <v>3.5</v>
      </c>
      <c r="G10" s="19">
        <v>3.6</v>
      </c>
      <c r="H10" s="19">
        <v>5.7</v>
      </c>
      <c r="I10" s="19">
        <v>8</v>
      </c>
      <c r="J10" s="19">
        <v>6.3</v>
      </c>
      <c r="K10" s="19">
        <v>5.2</v>
      </c>
      <c r="L10" s="19">
        <v>5.0999999999999996</v>
      </c>
      <c r="M10" s="19">
        <v>4.5999999999999996</v>
      </c>
      <c r="N10" s="19">
        <v>6.7</v>
      </c>
      <c r="O10" s="19">
        <v>7.5</v>
      </c>
      <c r="P10" s="19">
        <v>3.9</v>
      </c>
      <c r="Q10" s="19">
        <v>5.4</v>
      </c>
      <c r="R10" s="19">
        <v>3.3</v>
      </c>
      <c r="S10" s="19">
        <v>3.5</v>
      </c>
      <c r="T10" s="19">
        <v>5</v>
      </c>
      <c r="U10" s="19">
        <v>4.5</v>
      </c>
      <c r="V10" s="19">
        <v>2.5</v>
      </c>
      <c r="W10" s="20">
        <v>-1.9</v>
      </c>
      <c r="X10" s="19">
        <v>0</v>
      </c>
      <c r="Y10" s="19">
        <v>0.9</v>
      </c>
      <c r="Z10" s="19">
        <v>-0.6</v>
      </c>
      <c r="AA10" s="19">
        <v>-2</v>
      </c>
      <c r="AB10" s="19">
        <v>-6.2</v>
      </c>
      <c r="AC10" s="19">
        <v>-2.7</v>
      </c>
      <c r="AD10" s="19">
        <v>-3.6</v>
      </c>
      <c r="AE10" s="19">
        <v>-2.2000000000000002</v>
      </c>
      <c r="AF10" s="19">
        <v>-5.4</v>
      </c>
    </row>
    <row r="11" spans="1:33" x14ac:dyDescent="0.25">
      <c r="A11" s="10">
        <v>18</v>
      </c>
      <c r="B11" s="19">
        <v>-0.7</v>
      </c>
      <c r="C11" s="19">
        <v>0.2</v>
      </c>
      <c r="D11" s="19">
        <v>6.9</v>
      </c>
      <c r="E11" s="19">
        <v>4.0999999999999996</v>
      </c>
      <c r="F11" s="19">
        <v>1.6</v>
      </c>
      <c r="G11" s="19">
        <v>0.5</v>
      </c>
      <c r="H11" s="19">
        <v>6.9</v>
      </c>
      <c r="I11" s="19">
        <v>8</v>
      </c>
      <c r="J11" s="19">
        <v>5.5</v>
      </c>
      <c r="K11" s="19">
        <v>5.9</v>
      </c>
      <c r="L11" s="19">
        <v>4.2</v>
      </c>
      <c r="M11" s="19">
        <v>3</v>
      </c>
      <c r="N11" s="19">
        <v>4</v>
      </c>
      <c r="O11" s="19">
        <v>4.7</v>
      </c>
      <c r="P11" s="19">
        <v>4.3</v>
      </c>
      <c r="Q11" s="19">
        <v>3.5</v>
      </c>
      <c r="R11" s="19">
        <v>2.2999999999999998</v>
      </c>
      <c r="S11" s="19">
        <v>3.2</v>
      </c>
      <c r="T11" s="19">
        <v>5.0999999999999996</v>
      </c>
      <c r="U11" s="19">
        <v>4.4000000000000004</v>
      </c>
      <c r="V11" s="19">
        <v>0.9</v>
      </c>
      <c r="W11" s="20">
        <v>-0.8</v>
      </c>
      <c r="X11" s="19">
        <v>-1</v>
      </c>
      <c r="Y11" s="19">
        <v>1.4</v>
      </c>
      <c r="Z11" s="19">
        <v>-0.6</v>
      </c>
      <c r="AA11" s="19">
        <v>-3.9</v>
      </c>
      <c r="AB11" s="19">
        <v>-6.6</v>
      </c>
      <c r="AC11" s="19">
        <v>-2.4</v>
      </c>
      <c r="AD11" s="19">
        <v>-6.2</v>
      </c>
      <c r="AE11" s="19">
        <v>-1.3</v>
      </c>
      <c r="AF11" s="19">
        <v>-4.9000000000000004</v>
      </c>
    </row>
    <row r="12" spans="1:33" x14ac:dyDescent="0.25">
      <c r="A12" s="10">
        <v>20</v>
      </c>
      <c r="B12" s="19">
        <v>-2</v>
      </c>
      <c r="C12" s="19">
        <v>0.7</v>
      </c>
      <c r="D12" s="19">
        <v>6.7</v>
      </c>
      <c r="E12" s="19">
        <v>3.2</v>
      </c>
      <c r="F12" s="19">
        <v>2.4</v>
      </c>
      <c r="G12" s="19">
        <v>0.9</v>
      </c>
      <c r="H12" s="19">
        <v>6.2</v>
      </c>
      <c r="I12" s="19">
        <v>5.5</v>
      </c>
      <c r="J12" s="19">
        <v>4</v>
      </c>
      <c r="K12" s="19">
        <v>6.5</v>
      </c>
      <c r="L12" s="19">
        <v>2.8</v>
      </c>
      <c r="M12" s="19">
        <v>2.4</v>
      </c>
      <c r="N12" s="19">
        <v>1.3</v>
      </c>
      <c r="O12" s="19">
        <v>3.3</v>
      </c>
      <c r="P12" s="19">
        <v>4.4000000000000004</v>
      </c>
      <c r="Q12" s="19">
        <v>0</v>
      </c>
      <c r="R12" s="19">
        <v>2.4</v>
      </c>
      <c r="S12" s="19">
        <v>2.2999999999999998</v>
      </c>
      <c r="T12" s="19">
        <v>4.5999999999999996</v>
      </c>
      <c r="U12" s="19">
        <v>4.2</v>
      </c>
      <c r="V12" s="19">
        <v>-0.4</v>
      </c>
      <c r="W12" s="20">
        <v>-1.7</v>
      </c>
      <c r="X12" s="19">
        <v>-2.5</v>
      </c>
      <c r="Y12" s="19">
        <v>0</v>
      </c>
      <c r="Z12" s="19">
        <v>0.4</v>
      </c>
      <c r="AA12" s="19">
        <v>-3.7</v>
      </c>
      <c r="AB12" s="19">
        <v>-7</v>
      </c>
      <c r="AC12" s="19">
        <v>-2.4</v>
      </c>
      <c r="AD12" s="19">
        <v>-7.5</v>
      </c>
      <c r="AE12" s="19">
        <v>-2.1</v>
      </c>
      <c r="AF12" s="19">
        <v>-5.2</v>
      </c>
    </row>
    <row r="13" spans="1:33" x14ac:dyDescent="0.25">
      <c r="A13" s="10">
        <v>22</v>
      </c>
      <c r="B13" s="19">
        <v>-2.7</v>
      </c>
      <c r="C13" s="19">
        <v>-1</v>
      </c>
      <c r="D13" s="19">
        <v>4.5999999999999996</v>
      </c>
      <c r="E13" s="19">
        <v>3.3</v>
      </c>
      <c r="F13" s="19">
        <v>2</v>
      </c>
      <c r="G13" s="19">
        <v>1.1000000000000001</v>
      </c>
      <c r="H13" s="19">
        <v>5.9</v>
      </c>
      <c r="I13" s="19">
        <v>5.9</v>
      </c>
      <c r="J13" s="19">
        <v>3.3</v>
      </c>
      <c r="K13" s="19">
        <v>6</v>
      </c>
      <c r="L13" s="19">
        <v>2.7</v>
      </c>
      <c r="M13" s="19">
        <v>1</v>
      </c>
      <c r="N13" s="19">
        <v>0.6</v>
      </c>
      <c r="O13" s="19">
        <v>2.2999999999999998</v>
      </c>
      <c r="P13" s="19">
        <v>4</v>
      </c>
      <c r="Q13" s="19">
        <v>-1.9</v>
      </c>
      <c r="R13" s="19">
        <v>2.1</v>
      </c>
      <c r="S13" s="19">
        <v>1.3</v>
      </c>
      <c r="T13" s="19">
        <v>4</v>
      </c>
      <c r="U13" s="19">
        <v>3.4</v>
      </c>
      <c r="V13" s="19">
        <v>-0.6</v>
      </c>
      <c r="W13" s="20">
        <v>-2</v>
      </c>
      <c r="X13" s="19">
        <v>-2.2999999999999998</v>
      </c>
      <c r="Y13" s="19">
        <v>0</v>
      </c>
      <c r="Z13" s="19">
        <v>-0.2</v>
      </c>
      <c r="AA13" s="19">
        <v>-3.2</v>
      </c>
      <c r="AB13" s="19">
        <v>-7.5</v>
      </c>
      <c r="AC13" s="19">
        <v>-2.2000000000000002</v>
      </c>
      <c r="AD13" s="19">
        <v>-7.8</v>
      </c>
      <c r="AE13" s="19">
        <v>-2.1</v>
      </c>
      <c r="AF13" s="19">
        <v>-5.0999999999999996</v>
      </c>
    </row>
    <row r="14" spans="1:33" x14ac:dyDescent="0.25">
      <c r="A14" s="10">
        <v>24</v>
      </c>
      <c r="B14" s="19">
        <v>-4</v>
      </c>
      <c r="C14" s="19">
        <v>-1.2</v>
      </c>
      <c r="D14" s="19">
        <v>4.9000000000000004</v>
      </c>
      <c r="E14" s="19">
        <v>3.6</v>
      </c>
      <c r="F14" s="19">
        <v>1.2</v>
      </c>
      <c r="G14" s="19">
        <v>1</v>
      </c>
      <c r="H14" s="19">
        <v>5.9</v>
      </c>
      <c r="I14" s="19">
        <v>5.9</v>
      </c>
      <c r="J14" s="19">
        <v>3.4</v>
      </c>
      <c r="K14" s="19">
        <v>5.9</v>
      </c>
      <c r="L14" s="19">
        <v>2.9</v>
      </c>
      <c r="M14" s="19">
        <v>1</v>
      </c>
      <c r="N14" s="19">
        <v>0.4</v>
      </c>
      <c r="O14" s="19">
        <v>1.9</v>
      </c>
      <c r="P14" s="19">
        <v>3.6</v>
      </c>
      <c r="Q14" s="19">
        <v>-2</v>
      </c>
      <c r="R14" s="19">
        <v>2</v>
      </c>
      <c r="S14" s="19">
        <v>1.9</v>
      </c>
      <c r="T14" s="19">
        <v>3.9</v>
      </c>
      <c r="U14" s="19">
        <v>3.1</v>
      </c>
      <c r="V14" s="19">
        <v>-1</v>
      </c>
      <c r="W14" s="20">
        <v>-2.1</v>
      </c>
      <c r="X14" s="19">
        <v>-2.7</v>
      </c>
      <c r="Y14" s="19">
        <v>0</v>
      </c>
      <c r="Z14" s="19">
        <v>-1.1000000000000001</v>
      </c>
      <c r="AA14" s="19">
        <v>-7</v>
      </c>
      <c r="AB14" s="19">
        <v>-7.6</v>
      </c>
      <c r="AC14" s="19">
        <v>-3</v>
      </c>
      <c r="AD14" s="19">
        <v>-7.9</v>
      </c>
      <c r="AE14" s="19">
        <v>-2.1</v>
      </c>
      <c r="AF14" s="19">
        <v>-4.5999999999999996</v>
      </c>
    </row>
    <row r="15" spans="1:33" x14ac:dyDescent="0.25">
      <c r="A15" s="10">
        <v>2</v>
      </c>
      <c r="B15" s="19">
        <v>-4.7</v>
      </c>
      <c r="C15" s="19">
        <v>-1.1000000000000001</v>
      </c>
      <c r="D15" s="19">
        <v>4</v>
      </c>
      <c r="E15" s="19">
        <v>2.7</v>
      </c>
      <c r="F15" s="19">
        <v>-1.6</v>
      </c>
      <c r="G15" s="19">
        <v>1.5</v>
      </c>
      <c r="H15" s="19">
        <v>6</v>
      </c>
      <c r="I15" s="19">
        <v>6.3</v>
      </c>
      <c r="J15" s="19">
        <v>4</v>
      </c>
      <c r="K15" s="19">
        <v>4.0999999999999996</v>
      </c>
      <c r="L15" s="19">
        <v>3.4</v>
      </c>
      <c r="M15" s="19">
        <v>1.5</v>
      </c>
      <c r="N15" s="19">
        <v>0.4</v>
      </c>
      <c r="O15" s="19">
        <v>1.2</v>
      </c>
      <c r="P15" s="19">
        <v>2.2000000000000002</v>
      </c>
      <c r="Q15" s="19">
        <v>-0.2</v>
      </c>
      <c r="R15" s="19">
        <v>3.8</v>
      </c>
      <c r="S15" s="19">
        <v>3.3</v>
      </c>
      <c r="T15" s="19">
        <v>4.2</v>
      </c>
      <c r="U15" s="19">
        <v>2.5</v>
      </c>
      <c r="V15" s="19">
        <v>-1.1000000000000001</v>
      </c>
      <c r="W15" s="20">
        <v>-1.6</v>
      </c>
      <c r="X15" s="19">
        <v>-1.3</v>
      </c>
      <c r="Y15" s="19">
        <v>0.8</v>
      </c>
      <c r="Z15" s="19">
        <v>0</v>
      </c>
      <c r="AA15" s="19">
        <v>-4.4000000000000004</v>
      </c>
      <c r="AB15" s="19">
        <v>-6.5</v>
      </c>
      <c r="AC15" s="19">
        <v>-3.8</v>
      </c>
      <c r="AD15" s="19">
        <v>-7.4</v>
      </c>
      <c r="AE15" s="19">
        <v>-1.4</v>
      </c>
      <c r="AF15" s="19">
        <v>-3.4</v>
      </c>
    </row>
    <row r="16" spans="1:33" ht="30" x14ac:dyDescent="0.25">
      <c r="A16" s="11" t="s">
        <v>2</v>
      </c>
      <c r="B16" s="15">
        <f>(B4+B5+B6+B7+B8+B9+B10+B11+B12+B13+B14+B15)/12</f>
        <v>-0.57500000000000007</v>
      </c>
      <c r="C16" s="15">
        <f t="shared" ref="C16:O16" si="0">(C4+C5+C6+C7+C8+C9+C10+C11+C12+C13+C14+C15)/12</f>
        <v>8.3333333333333592E-3</v>
      </c>
      <c r="D16" s="15">
        <f t="shared" si="0"/>
        <v>3.5666666666666664</v>
      </c>
      <c r="E16" s="15">
        <f t="shared" si="0"/>
        <v>4.1000000000000005</v>
      </c>
      <c r="F16" s="15">
        <f t="shared" si="0"/>
        <v>2.1416666666666666</v>
      </c>
      <c r="G16" s="15">
        <f t="shared" si="0"/>
        <v>1.7666666666666666</v>
      </c>
      <c r="H16" s="15">
        <f t="shared" si="0"/>
        <v>5.0999999999999996</v>
      </c>
      <c r="I16" s="15">
        <f t="shared" si="0"/>
        <v>6.541666666666667</v>
      </c>
      <c r="J16" s="15">
        <f t="shared" si="0"/>
        <v>5.3833333333333329</v>
      </c>
      <c r="K16" s="15">
        <f t="shared" si="0"/>
        <v>5.2833333333333332</v>
      </c>
      <c r="L16" s="15">
        <f t="shared" si="0"/>
        <v>4.1583333333333341</v>
      </c>
      <c r="M16" s="15">
        <f t="shared" si="0"/>
        <v>3.0416666666666665</v>
      </c>
      <c r="N16" s="15">
        <f t="shared" si="0"/>
        <v>2</v>
      </c>
      <c r="O16" s="15">
        <f t="shared" si="0"/>
        <v>3.2916666666666665</v>
      </c>
      <c r="P16" s="15">
        <f>(P4+P5+P6+P7+P8+P9+P10+P11+P12+P13+P14+P15)/12</f>
        <v>3.7666666666666671</v>
      </c>
      <c r="Q16" s="15">
        <f>(Q4+Q5+Q6+Q7+Q8+Q9+Q10+Q11+Q12+Q13+Q14+Q15)/12</f>
        <v>2.5666666666666669</v>
      </c>
      <c r="R16" s="15">
        <f>(R4+R5+R6+R7+R8+R9+R10+R11+R12+R13+R14+R15)/12</f>
        <v>1.5</v>
      </c>
      <c r="S16" s="15">
        <f t="shared" ref="S16:AF16" si="1">(S4+S5+S6+S7+S8+S9+S10+S11+S12+S13+S14+S15)/12</f>
        <v>3.2333333333333325</v>
      </c>
      <c r="T16" s="15">
        <f t="shared" si="1"/>
        <v>4.1416666666666666</v>
      </c>
      <c r="U16" s="15">
        <f t="shared" si="1"/>
        <v>3.5666666666666669</v>
      </c>
      <c r="V16" s="15">
        <f t="shared" si="1"/>
        <v>1.8499999999999996</v>
      </c>
      <c r="W16" s="15">
        <f t="shared" si="1"/>
        <v>-1.8</v>
      </c>
      <c r="X16" s="15">
        <f t="shared" si="1"/>
        <v>-1.4749999999999999</v>
      </c>
      <c r="Y16" s="15">
        <f t="shared" si="1"/>
        <v>-0.41666666666666657</v>
      </c>
      <c r="Z16" s="15">
        <f t="shared" si="1"/>
        <v>-0.53333333333333321</v>
      </c>
      <c r="AA16" s="15">
        <f t="shared" si="1"/>
        <v>-2.6916666666666664</v>
      </c>
      <c r="AB16" s="15">
        <f t="shared" si="1"/>
        <v>-6.458333333333333</v>
      </c>
      <c r="AC16" s="15">
        <f t="shared" si="1"/>
        <v>-3.6916666666666664</v>
      </c>
      <c r="AD16" s="15">
        <f t="shared" si="1"/>
        <v>-5.9916666666666671</v>
      </c>
      <c r="AE16" s="15">
        <f t="shared" si="1"/>
        <v>-2.4416666666666669</v>
      </c>
      <c r="AF16" s="15">
        <f t="shared" si="1"/>
        <v>-3.4916666666666667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64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-0.2</v>
      </c>
      <c r="C24" s="19">
        <v>-3.9</v>
      </c>
      <c r="D24" s="19">
        <v>-0.2</v>
      </c>
      <c r="E24" s="19">
        <v>3.9</v>
      </c>
      <c r="F24" s="19">
        <v>1.5</v>
      </c>
      <c r="G24" s="19">
        <v>1</v>
      </c>
      <c r="H24" s="19">
        <v>2.2999999999999998</v>
      </c>
      <c r="I24" s="19">
        <v>5.9</v>
      </c>
      <c r="J24" s="19">
        <v>6.3</v>
      </c>
      <c r="K24" s="19">
        <v>4.3</v>
      </c>
      <c r="L24" s="19">
        <v>3.2</v>
      </c>
      <c r="M24" s="19">
        <v>4.0999999999999996</v>
      </c>
      <c r="N24" s="19">
        <v>2.1</v>
      </c>
      <c r="O24" s="19">
        <v>1.9</v>
      </c>
      <c r="P24" s="19">
        <v>1.4</v>
      </c>
      <c r="Q24" s="19">
        <v>1.8</v>
      </c>
      <c r="R24" s="19">
        <v>-1</v>
      </c>
      <c r="S24" s="19">
        <v>3.3</v>
      </c>
      <c r="T24" s="19">
        <v>2.5</v>
      </c>
      <c r="U24" s="19">
        <v>4.0999999999999996</v>
      </c>
      <c r="V24" s="19">
        <v>2.8</v>
      </c>
      <c r="W24" s="13">
        <v>-0.5</v>
      </c>
      <c r="X24" s="19">
        <v>-1.4</v>
      </c>
      <c r="Y24" s="19">
        <v>-1.4</v>
      </c>
      <c r="Z24" s="19">
        <v>0.2</v>
      </c>
      <c r="AA24" s="19">
        <v>0</v>
      </c>
      <c r="AB24" s="19">
        <v>-4.5999999999999996</v>
      </c>
      <c r="AC24" s="19">
        <v>-5.9</v>
      </c>
      <c r="AD24" s="19">
        <v>-6</v>
      </c>
      <c r="AE24" s="19">
        <v>-5.3</v>
      </c>
      <c r="AF24" s="19">
        <v>-2.1</v>
      </c>
    </row>
    <row r="25" spans="1:32" x14ac:dyDescent="0.25">
      <c r="A25" s="10">
        <v>6</v>
      </c>
      <c r="B25" s="19">
        <v>-0.3</v>
      </c>
      <c r="C25" s="19">
        <v>-4.2</v>
      </c>
      <c r="D25" s="19">
        <v>-0.2</v>
      </c>
      <c r="E25" s="19">
        <v>4.0999999999999996</v>
      </c>
      <c r="F25" s="19">
        <v>1.1000000000000001</v>
      </c>
      <c r="G25" s="19">
        <v>1</v>
      </c>
      <c r="H25" s="19">
        <v>2.7</v>
      </c>
      <c r="I25" s="19">
        <v>6.2</v>
      </c>
      <c r="J25" s="19">
        <v>6.1</v>
      </c>
      <c r="K25" s="19">
        <v>4.5999999999999996</v>
      </c>
      <c r="L25" s="19">
        <v>3.3</v>
      </c>
      <c r="M25" s="19">
        <v>3.9</v>
      </c>
      <c r="N25" s="19">
        <v>1.1000000000000001</v>
      </c>
      <c r="O25" s="19">
        <v>0.5</v>
      </c>
      <c r="P25" s="19">
        <v>1.1000000000000001</v>
      </c>
      <c r="Q25" s="19">
        <v>1.6</v>
      </c>
      <c r="R25" s="19">
        <v>-1.7</v>
      </c>
      <c r="S25" s="19">
        <v>3.6</v>
      </c>
      <c r="T25" s="19">
        <v>2.7</v>
      </c>
      <c r="U25" s="19">
        <v>4.3</v>
      </c>
      <c r="V25" s="19">
        <v>2.6</v>
      </c>
      <c r="W25" s="13">
        <v>-0.6</v>
      </c>
      <c r="X25" s="19">
        <v>-1</v>
      </c>
      <c r="Y25" s="19">
        <v>-2.2000000000000002</v>
      </c>
      <c r="Z25" s="19">
        <v>-0.4</v>
      </c>
      <c r="AA25" s="19">
        <v>-0.9</v>
      </c>
      <c r="AB25" s="19">
        <v>-5</v>
      </c>
      <c r="AC25" s="19">
        <v>-5.5</v>
      </c>
      <c r="AD25" s="19">
        <v>-7.4</v>
      </c>
      <c r="AE25" s="19">
        <v>-3.8</v>
      </c>
      <c r="AF25" s="19">
        <v>-2.1</v>
      </c>
    </row>
    <row r="26" spans="1:32" x14ac:dyDescent="0.25">
      <c r="A26" s="10">
        <v>8</v>
      </c>
      <c r="B26" s="19">
        <v>0</v>
      </c>
      <c r="C26" s="19">
        <v>-1.3</v>
      </c>
      <c r="D26" s="19">
        <v>0.5</v>
      </c>
      <c r="E26" s="19">
        <v>4.5</v>
      </c>
      <c r="F26" s="19">
        <v>2</v>
      </c>
      <c r="G26" s="19">
        <v>0.6</v>
      </c>
      <c r="H26" s="19">
        <v>3.1</v>
      </c>
      <c r="I26" s="19">
        <v>6.2</v>
      </c>
      <c r="J26" s="19">
        <v>6</v>
      </c>
      <c r="K26" s="19">
        <v>5.0999999999999996</v>
      </c>
      <c r="L26" s="19">
        <v>4.0999999999999996</v>
      </c>
      <c r="M26" s="19">
        <v>4.3</v>
      </c>
      <c r="N26" s="19">
        <v>1</v>
      </c>
      <c r="O26" s="19">
        <v>1</v>
      </c>
      <c r="P26" s="19">
        <v>1.4</v>
      </c>
      <c r="Q26" s="19">
        <v>1.5</v>
      </c>
      <c r="R26" s="19">
        <v>-0.4</v>
      </c>
      <c r="S26" s="19">
        <v>3.4</v>
      </c>
      <c r="T26" s="19">
        <v>3</v>
      </c>
      <c r="U26" s="19">
        <v>3.7</v>
      </c>
      <c r="V26" s="19">
        <v>3</v>
      </c>
      <c r="W26" s="13">
        <v>-1.9</v>
      </c>
      <c r="X26" s="19">
        <v>-0.8</v>
      </c>
      <c r="Y26" s="19">
        <v>-1.9</v>
      </c>
      <c r="Z26" s="19">
        <v>-0.5</v>
      </c>
      <c r="AA26" s="19">
        <v>-1.3</v>
      </c>
      <c r="AB26" s="19">
        <v>-5.4</v>
      </c>
      <c r="AC26" s="19">
        <v>-4.3</v>
      </c>
      <c r="AD26" s="19">
        <v>-8.1</v>
      </c>
      <c r="AE26" s="19">
        <v>-3.2</v>
      </c>
      <c r="AF26" s="19">
        <v>-1.9</v>
      </c>
    </row>
    <row r="27" spans="1:32" x14ac:dyDescent="0.25">
      <c r="A27" s="10">
        <v>10</v>
      </c>
      <c r="B27" s="19">
        <v>0</v>
      </c>
      <c r="C27" s="19">
        <v>2</v>
      </c>
      <c r="D27" s="19">
        <v>1.8</v>
      </c>
      <c r="E27" s="19">
        <v>5.5</v>
      </c>
      <c r="F27" s="19">
        <v>4.2</v>
      </c>
      <c r="G27" s="19">
        <v>2</v>
      </c>
      <c r="H27" s="19">
        <v>4.5</v>
      </c>
      <c r="I27" s="19">
        <v>6.4</v>
      </c>
      <c r="J27" s="19">
        <v>7.2</v>
      </c>
      <c r="K27" s="19">
        <v>6</v>
      </c>
      <c r="L27" s="19">
        <v>4.5</v>
      </c>
      <c r="M27" s="19">
        <v>5.3</v>
      </c>
      <c r="N27" s="19">
        <v>4.7</v>
      </c>
      <c r="O27" s="19">
        <v>3.8</v>
      </c>
      <c r="P27" s="19">
        <v>2.7</v>
      </c>
      <c r="Q27" s="19">
        <v>2.7</v>
      </c>
      <c r="R27" s="19">
        <v>2.2000000000000002</v>
      </c>
      <c r="S27" s="19">
        <v>3.7</v>
      </c>
      <c r="T27" s="19">
        <v>3.3</v>
      </c>
      <c r="U27" s="19">
        <v>4.3</v>
      </c>
      <c r="V27" s="19">
        <v>3.1</v>
      </c>
      <c r="W27" s="13">
        <v>-1.6</v>
      </c>
      <c r="X27" s="19">
        <v>-0.3</v>
      </c>
      <c r="Y27" s="19">
        <v>-1.4</v>
      </c>
      <c r="Z27" s="19">
        <v>-0.5</v>
      </c>
      <c r="AA27" s="19">
        <v>-1.4</v>
      </c>
      <c r="AB27" s="19">
        <v>-5.7</v>
      </c>
      <c r="AC27" s="19">
        <v>-4.0999999999999996</v>
      </c>
      <c r="AD27" s="19">
        <v>-4.5999999999999996</v>
      </c>
      <c r="AE27" s="19">
        <v>-2.2999999999999998</v>
      </c>
      <c r="AF27" s="19">
        <v>-1.6</v>
      </c>
    </row>
    <row r="28" spans="1:32" x14ac:dyDescent="0.25">
      <c r="A28" s="10">
        <v>12</v>
      </c>
      <c r="B28" s="19">
        <v>1.6</v>
      </c>
      <c r="C28" s="19">
        <v>3.8</v>
      </c>
      <c r="D28" s="19">
        <v>3.4</v>
      </c>
      <c r="E28" s="19">
        <v>6.5</v>
      </c>
      <c r="F28" s="19">
        <v>1.9</v>
      </c>
      <c r="G28" s="19">
        <v>3.1</v>
      </c>
      <c r="H28" s="19">
        <v>6.1</v>
      </c>
      <c r="I28" s="19">
        <v>7</v>
      </c>
      <c r="J28" s="19">
        <v>8</v>
      </c>
      <c r="K28" s="19">
        <v>6.6</v>
      </c>
      <c r="L28" s="19">
        <v>4.3</v>
      </c>
      <c r="M28" s="19">
        <v>5.7</v>
      </c>
      <c r="N28" s="19">
        <v>6.1</v>
      </c>
      <c r="O28" s="19">
        <v>5.9</v>
      </c>
      <c r="P28" s="19">
        <v>4.5</v>
      </c>
      <c r="Q28" s="19">
        <v>5.4</v>
      </c>
      <c r="R28" s="19">
        <v>3.8</v>
      </c>
      <c r="S28" s="19">
        <v>4.3</v>
      </c>
      <c r="T28" s="19">
        <v>3.6</v>
      </c>
      <c r="U28" s="19">
        <v>4.4000000000000004</v>
      </c>
      <c r="V28" s="19">
        <v>3.3</v>
      </c>
      <c r="W28" s="13">
        <v>-1.2</v>
      </c>
      <c r="X28" s="19">
        <v>-0.2</v>
      </c>
      <c r="Y28" s="19">
        <v>-0.4</v>
      </c>
      <c r="Z28" s="19">
        <v>0</v>
      </c>
      <c r="AA28" s="19">
        <v>-1.1000000000000001</v>
      </c>
      <c r="AB28" s="19">
        <v>-5.8</v>
      </c>
      <c r="AC28" s="19">
        <v>-4</v>
      </c>
      <c r="AD28" s="19">
        <v>-2.9</v>
      </c>
      <c r="AE28" s="19">
        <v>-1.1000000000000001</v>
      </c>
      <c r="AF28" s="19">
        <v>-1.9</v>
      </c>
    </row>
    <row r="29" spans="1:32" x14ac:dyDescent="0.25">
      <c r="A29" s="10">
        <v>14</v>
      </c>
      <c r="B29" s="19">
        <v>2</v>
      </c>
      <c r="C29" s="19">
        <v>4.4000000000000004</v>
      </c>
      <c r="D29" s="19">
        <v>6.8</v>
      </c>
      <c r="E29" s="19">
        <v>6.5</v>
      </c>
      <c r="F29" s="19">
        <v>2.4</v>
      </c>
      <c r="G29" s="19">
        <v>2.8</v>
      </c>
      <c r="H29" s="19">
        <v>6.7</v>
      </c>
      <c r="I29" s="19">
        <v>7.5</v>
      </c>
      <c r="J29" s="19">
        <v>9</v>
      </c>
      <c r="K29" s="19">
        <v>6.4</v>
      </c>
      <c r="L29" s="19">
        <v>4.4000000000000004</v>
      </c>
      <c r="M29" s="19">
        <v>6.9</v>
      </c>
      <c r="N29" s="19">
        <v>6.2</v>
      </c>
      <c r="O29" s="19">
        <v>7.5</v>
      </c>
      <c r="P29" s="19">
        <v>5.7</v>
      </c>
      <c r="Q29" s="19">
        <v>5.2</v>
      </c>
      <c r="R29" s="19">
        <v>5.4</v>
      </c>
      <c r="S29" s="19">
        <v>4.7</v>
      </c>
      <c r="T29" s="19">
        <v>3.5</v>
      </c>
      <c r="U29" s="19">
        <v>4.2</v>
      </c>
      <c r="V29" s="19">
        <v>3.4</v>
      </c>
      <c r="W29" s="13">
        <v>-1.3</v>
      </c>
      <c r="X29" s="19">
        <v>-0.1</v>
      </c>
      <c r="Y29" s="19">
        <v>-0.1</v>
      </c>
      <c r="Z29" s="19">
        <v>0.4</v>
      </c>
      <c r="AA29" s="19">
        <v>-1.4</v>
      </c>
      <c r="AB29" s="19">
        <v>-5.8</v>
      </c>
      <c r="AC29" s="19">
        <v>-3.5</v>
      </c>
      <c r="AD29" s="19">
        <v>-2.8</v>
      </c>
      <c r="AE29" s="19">
        <v>-1</v>
      </c>
      <c r="AF29" s="19">
        <v>-2.2999999999999998</v>
      </c>
    </row>
    <row r="30" spans="1:32" x14ac:dyDescent="0.25">
      <c r="A30" s="10">
        <v>16</v>
      </c>
      <c r="B30" s="19">
        <v>3.1</v>
      </c>
      <c r="C30" s="19">
        <v>4</v>
      </c>
      <c r="D30" s="19">
        <v>7.9</v>
      </c>
      <c r="E30" s="19">
        <v>5.8</v>
      </c>
      <c r="F30" s="19">
        <v>2.2000000000000002</v>
      </c>
      <c r="G30" s="19">
        <v>2.5</v>
      </c>
      <c r="H30" s="19">
        <v>6.5</v>
      </c>
      <c r="I30" s="19">
        <v>7.4</v>
      </c>
      <c r="J30" s="19">
        <v>7.9</v>
      </c>
      <c r="K30" s="19">
        <v>6.4</v>
      </c>
      <c r="L30" s="19">
        <v>4.4000000000000004</v>
      </c>
      <c r="M30" s="19">
        <v>5.8</v>
      </c>
      <c r="N30" s="19">
        <v>6.1</v>
      </c>
      <c r="O30" s="19">
        <v>7.1</v>
      </c>
      <c r="P30" s="19">
        <v>6.4</v>
      </c>
      <c r="Q30" s="19">
        <v>4.3</v>
      </c>
      <c r="R30" s="19">
        <v>4.4000000000000004</v>
      </c>
      <c r="S30" s="19">
        <v>4.3</v>
      </c>
      <c r="T30" s="19">
        <v>3.9</v>
      </c>
      <c r="U30" s="19">
        <v>4.3</v>
      </c>
      <c r="V30" s="19">
        <v>2.1</v>
      </c>
      <c r="W30" s="13">
        <v>-1</v>
      </c>
      <c r="X30" s="19">
        <v>0.1</v>
      </c>
      <c r="Y30" s="19">
        <v>0.8</v>
      </c>
      <c r="Z30" s="19">
        <v>0.2</v>
      </c>
      <c r="AA30" s="19">
        <v>-2.1</v>
      </c>
      <c r="AB30" s="19">
        <v>-6.1</v>
      </c>
      <c r="AC30" s="19">
        <v>-3.2</v>
      </c>
      <c r="AD30" s="19">
        <v>-3.8</v>
      </c>
      <c r="AE30" s="19">
        <v>-1.1000000000000001</v>
      </c>
      <c r="AF30" s="19">
        <v>-1.3</v>
      </c>
    </row>
    <row r="31" spans="1:32" x14ac:dyDescent="0.25">
      <c r="A31" s="10">
        <v>18</v>
      </c>
      <c r="B31" s="19">
        <v>0.4</v>
      </c>
      <c r="C31" s="19">
        <v>1.7</v>
      </c>
      <c r="D31" s="19">
        <v>6</v>
      </c>
      <c r="E31" s="19">
        <v>4.7</v>
      </c>
      <c r="F31" s="19">
        <v>2.1</v>
      </c>
      <c r="G31" s="19">
        <v>1.2</v>
      </c>
      <c r="H31" s="19">
        <v>6.7</v>
      </c>
      <c r="I31" s="19">
        <v>7.3</v>
      </c>
      <c r="J31" s="19">
        <v>5</v>
      </c>
      <c r="K31" s="19">
        <v>7.1</v>
      </c>
      <c r="L31" s="19">
        <v>4.2</v>
      </c>
      <c r="M31" s="19">
        <v>3.5</v>
      </c>
      <c r="N31" s="19">
        <v>3.2</v>
      </c>
      <c r="O31" s="19">
        <v>4.4000000000000004</v>
      </c>
      <c r="P31" s="19">
        <v>3.7</v>
      </c>
      <c r="Q31" s="19">
        <v>2.2999999999999998</v>
      </c>
      <c r="R31" s="19">
        <v>3</v>
      </c>
      <c r="S31" s="19">
        <v>3.7</v>
      </c>
      <c r="T31" s="19">
        <v>4</v>
      </c>
      <c r="U31" s="19">
        <v>3.3</v>
      </c>
      <c r="V31" s="19">
        <v>0.6</v>
      </c>
      <c r="W31" s="13">
        <v>-0.7</v>
      </c>
      <c r="X31" s="19">
        <v>-0.4</v>
      </c>
      <c r="Y31" s="19">
        <v>1.3</v>
      </c>
      <c r="Z31" s="19">
        <v>0.5</v>
      </c>
      <c r="AA31" s="19">
        <v>-3.6</v>
      </c>
      <c r="AB31" s="19">
        <v>-6.4</v>
      </c>
      <c r="AC31" s="19">
        <v>-2.7</v>
      </c>
      <c r="AD31" s="19">
        <v>-5.8</v>
      </c>
      <c r="AE31" s="19">
        <v>-1.4</v>
      </c>
      <c r="AF31" s="19">
        <v>-4.8</v>
      </c>
    </row>
    <row r="32" spans="1:32" x14ac:dyDescent="0.25">
      <c r="A32" s="10">
        <v>20</v>
      </c>
      <c r="B32" s="19">
        <v>-0.8</v>
      </c>
      <c r="C32" s="19">
        <v>0.5</v>
      </c>
      <c r="D32" s="19">
        <v>6.7</v>
      </c>
      <c r="E32" s="19">
        <v>4.5999999999999996</v>
      </c>
      <c r="F32" s="19">
        <v>1.5</v>
      </c>
      <c r="G32" s="19">
        <v>1.8</v>
      </c>
      <c r="H32" s="19">
        <v>6.5</v>
      </c>
      <c r="I32" s="19">
        <v>6.4</v>
      </c>
      <c r="J32" s="19">
        <v>4.2</v>
      </c>
      <c r="K32" s="19">
        <v>7.5</v>
      </c>
      <c r="L32" s="19">
        <v>4.2</v>
      </c>
      <c r="M32" s="19">
        <v>3.8</v>
      </c>
      <c r="N32" s="19">
        <v>2.8</v>
      </c>
      <c r="O32" s="19">
        <v>3.9</v>
      </c>
      <c r="P32" s="19">
        <v>3.6</v>
      </c>
      <c r="Q32" s="19">
        <v>0.6</v>
      </c>
      <c r="R32" s="19">
        <v>3.6</v>
      </c>
      <c r="S32" s="19">
        <v>3.7</v>
      </c>
      <c r="T32" s="19">
        <v>4.5</v>
      </c>
      <c r="U32" s="19">
        <v>3.4</v>
      </c>
      <c r="V32" s="19">
        <v>0.8</v>
      </c>
      <c r="W32" s="13">
        <v>-1</v>
      </c>
      <c r="X32" s="19">
        <v>-1.3</v>
      </c>
      <c r="Y32" s="19">
        <v>0.2</v>
      </c>
      <c r="Z32" s="19">
        <v>0.6</v>
      </c>
      <c r="AA32" s="19">
        <v>-4</v>
      </c>
      <c r="AB32" s="19">
        <v>-6.5</v>
      </c>
      <c r="AC32" s="19">
        <v>-2.2000000000000002</v>
      </c>
      <c r="AD32" s="19">
        <v>-7.1</v>
      </c>
      <c r="AE32" s="19">
        <v>-1.6</v>
      </c>
      <c r="AF32" s="19">
        <v>-4.5999999999999996</v>
      </c>
    </row>
    <row r="33" spans="1:32" x14ac:dyDescent="0.25">
      <c r="A33" s="10">
        <v>22</v>
      </c>
      <c r="B33" s="19">
        <v>-1.4</v>
      </c>
      <c r="C33" s="19">
        <v>0.1</v>
      </c>
      <c r="D33" s="19">
        <v>3.8</v>
      </c>
      <c r="E33" s="19">
        <v>3.7</v>
      </c>
      <c r="F33" s="19">
        <v>1.2</v>
      </c>
      <c r="G33" s="19">
        <v>1.4</v>
      </c>
      <c r="H33" s="19">
        <v>6.9</v>
      </c>
      <c r="I33" s="19">
        <v>5.5</v>
      </c>
      <c r="J33" s="19">
        <v>4.2</v>
      </c>
      <c r="K33" s="19">
        <v>6.9</v>
      </c>
      <c r="L33" s="19">
        <v>3.9</v>
      </c>
      <c r="M33" s="19">
        <v>2.9</v>
      </c>
      <c r="N33" s="19">
        <v>4</v>
      </c>
      <c r="O33" s="19">
        <v>2.6</v>
      </c>
      <c r="P33" s="19">
        <v>3</v>
      </c>
      <c r="Q33" s="19">
        <v>0</v>
      </c>
      <c r="R33" s="19">
        <v>3.3</v>
      </c>
      <c r="S33" s="19">
        <v>2.9</v>
      </c>
      <c r="T33" s="19">
        <v>4.4000000000000004</v>
      </c>
      <c r="U33" s="19">
        <v>3.5</v>
      </c>
      <c r="V33" s="19">
        <v>0.6</v>
      </c>
      <c r="W33" s="13">
        <v>-0.7</v>
      </c>
      <c r="X33" s="19">
        <v>-1.5</v>
      </c>
      <c r="Y33" s="19">
        <v>0.1</v>
      </c>
      <c r="Z33" s="19">
        <v>0.2</v>
      </c>
      <c r="AA33" s="19">
        <v>-5.6</v>
      </c>
      <c r="AB33" s="19">
        <v>-5.8</v>
      </c>
      <c r="AC33" s="19">
        <v>-1.6</v>
      </c>
      <c r="AD33" s="19">
        <v>-7.2</v>
      </c>
      <c r="AE33" s="19">
        <v>-1.6</v>
      </c>
      <c r="AF33" s="19">
        <v>-4.9000000000000004</v>
      </c>
    </row>
    <row r="34" spans="1:32" x14ac:dyDescent="0.25">
      <c r="A34" s="10">
        <v>24</v>
      </c>
      <c r="B34" s="19">
        <v>-2.5</v>
      </c>
      <c r="C34" s="19">
        <v>-0.5</v>
      </c>
      <c r="D34" s="19">
        <v>4.0999999999999996</v>
      </c>
      <c r="E34" s="19">
        <v>3.2</v>
      </c>
      <c r="F34" s="19">
        <v>1.3</v>
      </c>
      <c r="G34" s="19">
        <v>1.1000000000000001</v>
      </c>
      <c r="H34" s="19">
        <v>6.5</v>
      </c>
      <c r="I34" s="19">
        <v>6</v>
      </c>
      <c r="J34" s="19">
        <v>3.7</v>
      </c>
      <c r="K34" s="19">
        <v>6.3</v>
      </c>
      <c r="L34" s="19">
        <v>3.7</v>
      </c>
      <c r="M34" s="19">
        <v>2</v>
      </c>
      <c r="N34" s="19">
        <v>2.2000000000000002</v>
      </c>
      <c r="O34" s="19">
        <v>2.6</v>
      </c>
      <c r="P34" s="19">
        <v>2.1</v>
      </c>
      <c r="Q34" s="19">
        <v>-0.2</v>
      </c>
      <c r="R34" s="19">
        <v>3.2</v>
      </c>
      <c r="S34" s="19">
        <v>3.4</v>
      </c>
      <c r="T34" s="19">
        <v>3.8</v>
      </c>
      <c r="U34" s="19">
        <v>2.5</v>
      </c>
      <c r="V34" s="19">
        <v>0</v>
      </c>
      <c r="W34" s="13">
        <v>-0.5</v>
      </c>
      <c r="X34" s="19">
        <v>-1.5</v>
      </c>
      <c r="Y34" s="19">
        <v>0.2</v>
      </c>
      <c r="Z34" s="19">
        <v>-0.2</v>
      </c>
      <c r="AA34" s="19">
        <v>-6.2</v>
      </c>
      <c r="AB34" s="19">
        <v>-6.3</v>
      </c>
      <c r="AC34" s="19">
        <v>-2.2999999999999998</v>
      </c>
      <c r="AD34" s="19">
        <v>-7</v>
      </c>
      <c r="AE34" s="19">
        <v>-1.4</v>
      </c>
      <c r="AF34" s="19">
        <v>-4.5</v>
      </c>
    </row>
    <row r="35" spans="1:32" x14ac:dyDescent="0.25">
      <c r="A35" s="10">
        <v>2</v>
      </c>
      <c r="B35" s="19">
        <v>-3.2</v>
      </c>
      <c r="C35" s="19">
        <v>0</v>
      </c>
      <c r="D35" s="19">
        <v>3.7</v>
      </c>
      <c r="E35" s="19">
        <v>2.8</v>
      </c>
      <c r="F35" s="19">
        <v>1.1000000000000001</v>
      </c>
      <c r="G35" s="19">
        <v>2</v>
      </c>
      <c r="H35" s="19">
        <v>5.9</v>
      </c>
      <c r="I35" s="19">
        <v>6.3</v>
      </c>
      <c r="J35" s="19">
        <v>3.9</v>
      </c>
      <c r="K35" s="19">
        <v>4.2</v>
      </c>
      <c r="L35" s="19">
        <v>3.7</v>
      </c>
      <c r="M35" s="19">
        <v>1.4</v>
      </c>
      <c r="N35" s="19">
        <v>1.8</v>
      </c>
      <c r="O35" s="19">
        <v>1.3</v>
      </c>
      <c r="P35" s="19">
        <v>1.9</v>
      </c>
      <c r="Q35" s="19">
        <v>-0.3</v>
      </c>
      <c r="R35" s="19">
        <v>3.3</v>
      </c>
      <c r="S35" s="19">
        <v>3.2</v>
      </c>
      <c r="T35" s="19">
        <v>4.0999999999999996</v>
      </c>
      <c r="U35" s="19">
        <v>2.8</v>
      </c>
      <c r="V35" s="19">
        <v>-0.6</v>
      </c>
      <c r="W35" s="13">
        <v>-1.6</v>
      </c>
      <c r="X35" s="19">
        <v>-1.7</v>
      </c>
      <c r="Y35" s="19">
        <v>0.8</v>
      </c>
      <c r="Z35" s="19">
        <v>-0.4</v>
      </c>
      <c r="AA35" s="19">
        <v>-5.2</v>
      </c>
      <c r="AB35" s="19">
        <v>-6.4</v>
      </c>
      <c r="AC35" s="19">
        <v>-3.3</v>
      </c>
      <c r="AD35" s="19">
        <v>-5.2</v>
      </c>
      <c r="AE35" s="19">
        <v>-1.8</v>
      </c>
      <c r="AF35" s="19">
        <v>-4.0999999999999996</v>
      </c>
    </row>
    <row r="36" spans="1:32" ht="30" x14ac:dyDescent="0.25">
      <c r="A36" s="11" t="s">
        <v>2</v>
      </c>
      <c r="B36" s="15">
        <f>(B24+B25+B26+B27+B28+B29+B30+B31+B32+B33+B34+B35)/12</f>
        <v>-0.10833333333333332</v>
      </c>
      <c r="C36" s="15">
        <f t="shared" ref="C36:J36" si="2">(C24+C25+C26+C27+C28+C29+C30+C31+C32+C33+C34+C35)/12</f>
        <v>0.54999999999999993</v>
      </c>
      <c r="D36" s="15">
        <f t="shared" si="2"/>
        <v>3.6916666666666669</v>
      </c>
      <c r="E36" s="15">
        <f t="shared" si="2"/>
        <v>4.6500000000000004</v>
      </c>
      <c r="F36" s="15">
        <f t="shared" si="2"/>
        <v>1.8750000000000002</v>
      </c>
      <c r="G36" s="15">
        <f t="shared" si="2"/>
        <v>1.7083333333333333</v>
      </c>
      <c r="H36" s="15">
        <f t="shared" si="2"/>
        <v>5.3666666666666671</v>
      </c>
      <c r="I36" s="15">
        <f t="shared" si="2"/>
        <v>6.5083333333333329</v>
      </c>
      <c r="J36" s="15">
        <f t="shared" si="2"/>
        <v>5.958333333333333</v>
      </c>
      <c r="K36" s="15">
        <f>(K24+K25+K26+K27+K28+K29+K30+K31+K32+K33+K34+K35)/12</f>
        <v>5.95</v>
      </c>
      <c r="L36" s="15">
        <f t="shared" ref="L36:AF36" si="3">(L24+L25+L26+L27+L28+L29+L30+L31+L32+L33+L34+L35)/12</f>
        <v>3.9916666666666671</v>
      </c>
      <c r="M36" s="15">
        <f t="shared" si="3"/>
        <v>4.1333333333333329</v>
      </c>
      <c r="N36" s="15">
        <f t="shared" si="3"/>
        <v>3.4416666666666664</v>
      </c>
      <c r="O36" s="15">
        <f t="shared" si="3"/>
        <v>3.5416666666666665</v>
      </c>
      <c r="P36" s="15">
        <f t="shared" si="3"/>
        <v>3.125</v>
      </c>
      <c r="Q36" s="15">
        <f t="shared" si="3"/>
        <v>2.0750000000000002</v>
      </c>
      <c r="R36" s="15">
        <f t="shared" si="3"/>
        <v>2.4250000000000003</v>
      </c>
      <c r="S36" s="15">
        <f t="shared" si="3"/>
        <v>3.6833333333333336</v>
      </c>
      <c r="T36" s="15">
        <f t="shared" si="3"/>
        <v>3.6083333333333329</v>
      </c>
      <c r="U36" s="15">
        <f t="shared" si="3"/>
        <v>3.7333333333333325</v>
      </c>
      <c r="V36" s="15">
        <f t="shared" si="3"/>
        <v>1.8083333333333336</v>
      </c>
      <c r="W36" s="15">
        <f t="shared" si="3"/>
        <v>-1.0499999999999998</v>
      </c>
      <c r="X36" s="15">
        <f t="shared" si="3"/>
        <v>-0.84166666666666667</v>
      </c>
      <c r="Y36" s="15">
        <f t="shared" si="3"/>
        <v>-0.33333333333333343</v>
      </c>
      <c r="Z36" s="15">
        <f t="shared" si="3"/>
        <v>8.3333333333333506E-3</v>
      </c>
      <c r="AA36" s="15">
        <f t="shared" si="3"/>
        <v>-2.7333333333333329</v>
      </c>
      <c r="AB36" s="15">
        <f t="shared" si="3"/>
        <v>-5.8166666666666664</v>
      </c>
      <c r="AC36" s="15">
        <f t="shared" si="3"/>
        <v>-3.5499999999999994</v>
      </c>
      <c r="AD36" s="15">
        <f>(AD24+AD25+AD26+AD27+AD28+AD29+AD30+AD31+AD32+AD33+AD34+AD35)/12</f>
        <v>-5.6583333333333341</v>
      </c>
      <c r="AE36" s="15">
        <f>(AE24+AE25+AE26+AE27+AE28+AE29+AE30+AE31+AE32+AE33+AE34+AE35)/12</f>
        <v>-2.1333333333333337</v>
      </c>
      <c r="AF36" s="15">
        <f t="shared" si="3"/>
        <v>-3.0083333333333333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7"/>
  <sheetViews>
    <sheetView zoomScale="80" zoomScaleNormal="80" workbookViewId="0">
      <pane xSplit="1" topLeftCell="B1" activePane="topRight" state="frozen"/>
      <selection pane="topRight" activeCell="M45" sqref="M45"/>
    </sheetView>
  </sheetViews>
  <sheetFormatPr defaultRowHeight="15" x14ac:dyDescent="0.25"/>
  <cols>
    <col min="1" max="1" width="23.42578125" customWidth="1"/>
  </cols>
  <sheetData>
    <row r="1" spans="1:32" ht="15.75" x14ac:dyDescent="0.25">
      <c r="A1" s="4" t="s">
        <v>8</v>
      </c>
      <c r="B1" s="23" t="s">
        <v>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x14ac:dyDescent="0.25">
      <c r="A2" s="9"/>
      <c r="B2" s="131" t="s">
        <v>65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3"/>
      <c r="AF2" s="24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</row>
    <row r="4" spans="1:32" x14ac:dyDescent="0.25">
      <c r="A4" s="10">
        <v>4</v>
      </c>
      <c r="B4" s="19">
        <v>-3.9</v>
      </c>
      <c r="C4" s="19">
        <v>-0.7</v>
      </c>
      <c r="D4" s="19">
        <v>-3</v>
      </c>
      <c r="E4" s="19">
        <v>-1.3</v>
      </c>
      <c r="F4" s="19">
        <v>-3.6</v>
      </c>
      <c r="G4" s="19">
        <v>-2</v>
      </c>
      <c r="H4" s="19">
        <v>-5</v>
      </c>
      <c r="I4" s="19">
        <v>-3.8</v>
      </c>
      <c r="J4" s="19">
        <v>-3.6</v>
      </c>
      <c r="K4" s="19">
        <v>-4.5</v>
      </c>
      <c r="L4" s="19">
        <v>-6.6</v>
      </c>
      <c r="M4" s="19">
        <v>-6.6</v>
      </c>
      <c r="N4" s="19">
        <v>-10</v>
      </c>
      <c r="O4" s="19">
        <v>-13.2</v>
      </c>
      <c r="P4" s="19">
        <v>-20</v>
      </c>
      <c r="Q4" s="19">
        <v>-25.2</v>
      </c>
      <c r="R4" s="19">
        <v>-26.3</v>
      </c>
      <c r="S4" s="19">
        <v>-20</v>
      </c>
      <c r="T4" s="19">
        <v>-14.7</v>
      </c>
      <c r="U4" s="19">
        <v>-19</v>
      </c>
      <c r="V4" s="19">
        <v>-27</v>
      </c>
      <c r="W4" s="19">
        <v>-17.7</v>
      </c>
      <c r="X4" s="19">
        <v>-30.1</v>
      </c>
      <c r="Y4" s="19">
        <v>-16.8</v>
      </c>
      <c r="Z4" s="19">
        <v>-35.1</v>
      </c>
      <c r="AA4" s="19">
        <v>-33.1</v>
      </c>
      <c r="AB4" s="19">
        <v>-19.899999999999999</v>
      </c>
      <c r="AC4" s="19">
        <v>-26.5</v>
      </c>
      <c r="AD4" s="19">
        <v>-27.2</v>
      </c>
      <c r="AE4" s="19">
        <v>-21.8</v>
      </c>
    </row>
    <row r="5" spans="1:32" x14ac:dyDescent="0.25">
      <c r="A5" s="10">
        <v>6</v>
      </c>
      <c r="B5" s="19">
        <v>-3.7</v>
      </c>
      <c r="C5" s="19">
        <v>0.4</v>
      </c>
      <c r="D5" s="19">
        <v>-4</v>
      </c>
      <c r="E5" s="19">
        <v>-1.3</v>
      </c>
      <c r="F5" s="19">
        <v>-3</v>
      </c>
      <c r="G5" s="19">
        <v>-2</v>
      </c>
      <c r="H5" s="19">
        <v>-6</v>
      </c>
      <c r="I5" s="19">
        <v>-2.9</v>
      </c>
      <c r="J5" s="19">
        <v>-3.7</v>
      </c>
      <c r="K5" s="19">
        <v>-4.9000000000000004</v>
      </c>
      <c r="L5" s="19">
        <v>-6.5</v>
      </c>
      <c r="M5" s="19">
        <v>-6.5</v>
      </c>
      <c r="N5" s="19">
        <v>-10</v>
      </c>
      <c r="O5" s="19">
        <v>-13.2</v>
      </c>
      <c r="P5" s="19">
        <v>-20.8</v>
      </c>
      <c r="Q5" s="19">
        <v>-25.2</v>
      </c>
      <c r="R5" s="19">
        <v>-27.1</v>
      </c>
      <c r="S5" s="19">
        <v>-16</v>
      </c>
      <c r="T5" s="19">
        <v>-14.9</v>
      </c>
      <c r="U5" s="19">
        <v>-19</v>
      </c>
      <c r="V5" s="19">
        <v>-24.4</v>
      </c>
      <c r="W5" s="19">
        <v>-18.3</v>
      </c>
      <c r="X5" s="19">
        <v>-30.8</v>
      </c>
      <c r="Y5" s="19">
        <v>-17</v>
      </c>
      <c r="Z5" s="19">
        <v>-35.200000000000003</v>
      </c>
      <c r="AA5" s="19">
        <v>-32.6</v>
      </c>
      <c r="AB5" s="19">
        <v>-20.8</v>
      </c>
      <c r="AC5" s="19">
        <v>-26.5</v>
      </c>
      <c r="AD5" s="19">
        <v>-27.2</v>
      </c>
      <c r="AE5" s="19">
        <v>-21.1</v>
      </c>
    </row>
    <row r="6" spans="1:32" x14ac:dyDescent="0.25">
      <c r="A6" s="10">
        <v>8</v>
      </c>
      <c r="B6" s="19">
        <v>-3.7</v>
      </c>
      <c r="C6" s="19">
        <v>0.4</v>
      </c>
      <c r="D6" s="19">
        <v>-4.5</v>
      </c>
      <c r="E6" s="19">
        <v>0</v>
      </c>
      <c r="F6" s="19">
        <v>-2.1</v>
      </c>
      <c r="G6" s="19">
        <v>-4.0999999999999996</v>
      </c>
      <c r="H6" s="19">
        <v>-7.1</v>
      </c>
      <c r="I6" s="19">
        <v>-4.5999999999999996</v>
      </c>
      <c r="J6" s="19">
        <v>-3.3</v>
      </c>
      <c r="K6" s="19">
        <v>-3.7</v>
      </c>
      <c r="L6" s="19">
        <v>-5.7</v>
      </c>
      <c r="M6" s="19">
        <v>-5.7</v>
      </c>
      <c r="N6" s="19">
        <v>-11.6</v>
      </c>
      <c r="O6" s="19">
        <v>-12.7</v>
      </c>
      <c r="P6" s="19">
        <v>-19.8</v>
      </c>
      <c r="Q6" s="19">
        <v>-24.6</v>
      </c>
      <c r="R6" s="19">
        <v>-26.6</v>
      </c>
      <c r="S6" s="19">
        <v>-16</v>
      </c>
      <c r="T6" s="19">
        <v>-17.399999999999999</v>
      </c>
      <c r="U6" s="19">
        <v>-20.7</v>
      </c>
      <c r="V6" s="19">
        <v>-22</v>
      </c>
      <c r="W6" s="19">
        <v>-19.600000000000001</v>
      </c>
      <c r="X6" s="19">
        <v>-30.9</v>
      </c>
      <c r="Y6" s="19">
        <v>-18.8</v>
      </c>
      <c r="Z6" s="19">
        <v>-36.5</v>
      </c>
      <c r="AA6" s="19">
        <v>-31.5</v>
      </c>
      <c r="AB6" s="19">
        <v>-22.4</v>
      </c>
      <c r="AC6" s="19">
        <v>-27.6</v>
      </c>
      <c r="AD6" s="19">
        <v>-26.4</v>
      </c>
      <c r="AE6" s="19">
        <v>-20.7</v>
      </c>
    </row>
    <row r="7" spans="1:32" x14ac:dyDescent="0.25">
      <c r="A7" s="10">
        <v>10</v>
      </c>
      <c r="B7" s="19">
        <v>-3.1</v>
      </c>
      <c r="C7" s="19">
        <v>0.8</v>
      </c>
      <c r="D7" s="19">
        <v>-3.3</v>
      </c>
      <c r="E7" s="19">
        <v>0</v>
      </c>
      <c r="F7" s="19">
        <v>-1.2</v>
      </c>
      <c r="G7" s="19">
        <v>-4.9000000000000004</v>
      </c>
      <c r="H7" s="19">
        <v>-6.9</v>
      </c>
      <c r="I7" s="19">
        <v>-4</v>
      </c>
      <c r="J7" s="19">
        <v>-2.8</v>
      </c>
      <c r="K7" s="19">
        <v>-3.4</v>
      </c>
      <c r="L7" s="19">
        <v>-5.4</v>
      </c>
      <c r="M7" s="19">
        <v>-5.4</v>
      </c>
      <c r="N7" s="19">
        <v>-12.3</v>
      </c>
      <c r="O7" s="19">
        <v>-11.9</v>
      </c>
      <c r="P7" s="19">
        <v>-18.100000000000001</v>
      </c>
      <c r="Q7" s="19">
        <v>-24.5</v>
      </c>
      <c r="R7" s="19">
        <v>-23.3</v>
      </c>
      <c r="S7" s="19">
        <v>-15.1</v>
      </c>
      <c r="T7" s="19">
        <v>-18.5</v>
      </c>
      <c r="U7" s="19">
        <v>-21.9</v>
      </c>
      <c r="V7" s="19">
        <v>-20.3</v>
      </c>
      <c r="W7" s="19">
        <v>-22.6</v>
      </c>
      <c r="X7" s="19">
        <v>-30.3</v>
      </c>
      <c r="Y7" s="19">
        <v>-20.5</v>
      </c>
      <c r="Z7" s="19">
        <v>-34.799999999999997</v>
      </c>
      <c r="AA7" s="19">
        <v>-28.7</v>
      </c>
      <c r="AB7" s="19">
        <v>-18.5</v>
      </c>
      <c r="AC7" s="19">
        <v>-26.8</v>
      </c>
      <c r="AD7" s="19">
        <v>-25.3</v>
      </c>
      <c r="AE7" s="19">
        <v>-20.6</v>
      </c>
    </row>
    <row r="8" spans="1:32" x14ac:dyDescent="0.25">
      <c r="A8" s="10">
        <v>12</v>
      </c>
      <c r="B8" s="19">
        <v>-2.7</v>
      </c>
      <c r="C8" s="19">
        <v>0.7</v>
      </c>
      <c r="D8" s="19">
        <v>-3.1</v>
      </c>
      <c r="E8" s="19">
        <v>-1</v>
      </c>
      <c r="F8" s="19">
        <v>-0.2</v>
      </c>
      <c r="G8" s="19">
        <v>-4.3</v>
      </c>
      <c r="H8" s="19">
        <v>-6.1</v>
      </c>
      <c r="I8" s="19">
        <v>-3.6</v>
      </c>
      <c r="J8" s="19">
        <v>-2.2999999999999998</v>
      </c>
      <c r="K8" s="19">
        <v>-3.1</v>
      </c>
      <c r="L8" s="19">
        <v>-5.0999999999999996</v>
      </c>
      <c r="M8" s="19">
        <v>-5.0999999999999996</v>
      </c>
      <c r="N8" s="19">
        <v>-11.2</v>
      </c>
      <c r="O8" s="19">
        <v>-12.7</v>
      </c>
      <c r="P8" s="19">
        <v>-23</v>
      </c>
      <c r="Q8" s="19">
        <v>-19.8</v>
      </c>
      <c r="R8" s="19">
        <v>-19.3</v>
      </c>
      <c r="S8" s="19">
        <v>-14.1</v>
      </c>
      <c r="T8" s="19">
        <v>-18.100000000000001</v>
      </c>
      <c r="U8" s="19">
        <v>-22</v>
      </c>
      <c r="V8" s="19">
        <v>-18.399999999999999</v>
      </c>
      <c r="W8" s="19">
        <v>-22.7</v>
      </c>
      <c r="X8" s="19">
        <v>-27.8</v>
      </c>
      <c r="Y8" s="19">
        <v>-21.2</v>
      </c>
      <c r="Z8" s="19">
        <v>-31.9</v>
      </c>
      <c r="AA8" s="19">
        <v>-25.3</v>
      </c>
      <c r="AB8" s="19">
        <v>-16.7</v>
      </c>
      <c r="AC8" s="19">
        <v>-24.4</v>
      </c>
      <c r="AD8" s="19">
        <v>-22.8</v>
      </c>
      <c r="AE8" s="19">
        <v>-20</v>
      </c>
    </row>
    <row r="9" spans="1:32" x14ac:dyDescent="0.25">
      <c r="A9" s="10">
        <v>14</v>
      </c>
      <c r="B9" s="19">
        <v>-2.6</v>
      </c>
      <c r="C9" s="19">
        <v>0.5</v>
      </c>
      <c r="D9" s="19">
        <v>-2.6</v>
      </c>
      <c r="E9" s="19">
        <v>-1</v>
      </c>
      <c r="F9" s="19">
        <v>-0.8</v>
      </c>
      <c r="G9" s="19">
        <v>-4.0999999999999996</v>
      </c>
      <c r="H9" s="19">
        <v>-5.7</v>
      </c>
      <c r="I9" s="19">
        <v>-3.3</v>
      </c>
      <c r="J9" s="19">
        <v>-1.6</v>
      </c>
      <c r="K9" s="19">
        <v>-3.1</v>
      </c>
      <c r="L9" s="19">
        <v>-4.4000000000000004</v>
      </c>
      <c r="M9" s="19">
        <v>-4.4000000000000004</v>
      </c>
      <c r="N9" s="19">
        <v>-12</v>
      </c>
      <c r="O9" s="19">
        <v>-15.2</v>
      </c>
      <c r="P9" s="19">
        <v>-19.399999999999999</v>
      </c>
      <c r="Q9" s="19">
        <v>-21.6</v>
      </c>
      <c r="R9" s="19">
        <v>-17.100000000000001</v>
      </c>
      <c r="S9" s="19">
        <v>-13.1</v>
      </c>
      <c r="T9" s="19">
        <v>-18.899999999999999</v>
      </c>
      <c r="U9" s="19">
        <v>-23.1</v>
      </c>
      <c r="V9" s="19">
        <v>-16.2</v>
      </c>
      <c r="W9" s="19">
        <v>-25.2</v>
      </c>
      <c r="X9" s="19">
        <v>-27.7</v>
      </c>
      <c r="Y9" s="19">
        <v>-23.7</v>
      </c>
      <c r="Z9" s="19">
        <v>-31.5</v>
      </c>
      <c r="AA9" s="19">
        <v>-22.5</v>
      </c>
      <c r="AB9" s="19">
        <v>-16.3</v>
      </c>
      <c r="AC9" s="19">
        <v>-25.1</v>
      </c>
      <c r="AD9" s="19">
        <v>-22.7</v>
      </c>
      <c r="AE9" s="19">
        <v>-19.600000000000001</v>
      </c>
    </row>
    <row r="10" spans="1:32" x14ac:dyDescent="0.25">
      <c r="A10" s="10">
        <v>16</v>
      </c>
      <c r="B10" s="19">
        <v>-2.5</v>
      </c>
      <c r="C10" s="19">
        <v>0.1</v>
      </c>
      <c r="D10" s="19">
        <v>-3.2</v>
      </c>
      <c r="E10" s="19">
        <v>-1</v>
      </c>
      <c r="F10" s="19">
        <v>-1.2</v>
      </c>
      <c r="G10" s="19">
        <v>-4</v>
      </c>
      <c r="H10" s="19">
        <v>-6.4</v>
      </c>
      <c r="I10" s="19">
        <v>-3.2</v>
      </c>
      <c r="J10" s="19">
        <v>-2.1</v>
      </c>
      <c r="K10" s="19">
        <v>-6.1</v>
      </c>
      <c r="L10" s="19">
        <v>-4.4000000000000004</v>
      </c>
      <c r="M10" s="19">
        <v>-4.4000000000000004</v>
      </c>
      <c r="N10" s="19">
        <v>-12.8</v>
      </c>
      <c r="O10" s="19">
        <v>-17.399999999999999</v>
      </c>
      <c r="P10" s="19">
        <v>-20</v>
      </c>
      <c r="Q10" s="19">
        <v>-23.3</v>
      </c>
      <c r="R10" s="19">
        <v>-19.8</v>
      </c>
      <c r="S10" s="19">
        <v>-13.2</v>
      </c>
      <c r="T10" s="19">
        <v>-22</v>
      </c>
      <c r="U10" s="19">
        <v>-25.7</v>
      </c>
      <c r="V10" s="19">
        <v>-14.6</v>
      </c>
      <c r="W10" s="19">
        <v>-26.4</v>
      </c>
      <c r="X10" s="19">
        <v>-28.1</v>
      </c>
      <c r="Y10" s="19">
        <v>-28.7</v>
      </c>
      <c r="Z10" s="19">
        <v>-32.799999999999997</v>
      </c>
      <c r="AA10" s="19">
        <v>-21.2</v>
      </c>
      <c r="AB10" s="19">
        <v>-16.3</v>
      </c>
      <c r="AC10" s="19">
        <v>-25.9</v>
      </c>
      <c r="AD10" s="19">
        <v>-23.4</v>
      </c>
      <c r="AE10" s="19">
        <v>-19.600000000000001</v>
      </c>
    </row>
    <row r="11" spans="1:32" x14ac:dyDescent="0.25">
      <c r="A11" s="10">
        <v>18</v>
      </c>
      <c r="B11" s="19">
        <v>-2.5</v>
      </c>
      <c r="C11" s="19">
        <v>0.2</v>
      </c>
      <c r="D11" s="19">
        <v>-2.7</v>
      </c>
      <c r="E11" s="19">
        <v>-1.5</v>
      </c>
      <c r="F11" s="19">
        <v>-0.15</v>
      </c>
      <c r="G11" s="19">
        <v>-4</v>
      </c>
      <c r="H11" s="19">
        <v>-5.7</v>
      </c>
      <c r="I11" s="19">
        <v>-2.1800000000000002</v>
      </c>
      <c r="J11" s="19">
        <v>-2.54</v>
      </c>
      <c r="K11" s="19">
        <v>-7.3</v>
      </c>
      <c r="L11" s="19">
        <v>-3.15</v>
      </c>
      <c r="M11" s="19">
        <v>-3.15</v>
      </c>
      <c r="N11" s="19">
        <v>-13.5</v>
      </c>
      <c r="O11" s="19">
        <v>-19</v>
      </c>
      <c r="P11" s="19">
        <v>-22</v>
      </c>
      <c r="Q11" s="19">
        <v>-24.5</v>
      </c>
      <c r="R11" s="19">
        <v>-20.2</v>
      </c>
      <c r="S11" s="19">
        <v>-13.2</v>
      </c>
      <c r="T11" s="19">
        <v>-22.4</v>
      </c>
      <c r="U11" s="19">
        <v>-27.6</v>
      </c>
      <c r="V11" s="19">
        <v>-13</v>
      </c>
      <c r="W11" s="19">
        <v>-28.6</v>
      </c>
      <c r="X11" s="19">
        <v>-23.8</v>
      </c>
      <c r="Y11" s="19">
        <v>-30.5</v>
      </c>
      <c r="Z11" s="19">
        <v>-34.4</v>
      </c>
      <c r="AA11" s="19">
        <v>-20.9</v>
      </c>
      <c r="AB11" s="19">
        <v>-16.399999999999999</v>
      </c>
      <c r="AC11" s="19">
        <v>-26.7</v>
      </c>
      <c r="AD11" s="19">
        <v>-23.5</v>
      </c>
      <c r="AE11" s="19">
        <v>-19.3</v>
      </c>
    </row>
    <row r="12" spans="1:32" x14ac:dyDescent="0.25">
      <c r="A12" s="10">
        <v>20</v>
      </c>
      <c r="B12" s="19">
        <v>-2.5</v>
      </c>
      <c r="C12" s="19">
        <v>0</v>
      </c>
      <c r="D12" s="19">
        <v>-3.1</v>
      </c>
      <c r="E12" s="19">
        <v>-4.9000000000000004</v>
      </c>
      <c r="F12" s="19">
        <v>0</v>
      </c>
      <c r="G12" s="19">
        <v>-4</v>
      </c>
      <c r="H12" s="19">
        <v>-6.2</v>
      </c>
      <c r="I12" s="19">
        <v>-3.1</v>
      </c>
      <c r="J12" s="19">
        <v>-3.2</v>
      </c>
      <c r="K12" s="19">
        <v>-7.9</v>
      </c>
      <c r="L12" s="19">
        <v>-3</v>
      </c>
      <c r="M12" s="19">
        <v>-3</v>
      </c>
      <c r="N12" s="19">
        <v>-13.5</v>
      </c>
      <c r="O12" s="19">
        <v>-18.8</v>
      </c>
      <c r="P12" s="19">
        <v>-21.3</v>
      </c>
      <c r="Q12" s="19">
        <v>-25</v>
      </c>
      <c r="R12" s="19">
        <v>-21</v>
      </c>
      <c r="S12" s="19">
        <v>-14</v>
      </c>
      <c r="T12" s="19">
        <v>-21.9</v>
      </c>
      <c r="U12" s="19">
        <v>-28.2</v>
      </c>
      <c r="V12" s="19">
        <v>-11.9</v>
      </c>
      <c r="W12" s="19">
        <v>-28.6</v>
      </c>
      <c r="X12" s="19">
        <v>-21</v>
      </c>
      <c r="Y12" s="19">
        <v>-31.8</v>
      </c>
      <c r="Z12" s="19">
        <v>-32.5</v>
      </c>
      <c r="AA12" s="19">
        <v>-20.3</v>
      </c>
      <c r="AB12" s="19">
        <v>-20</v>
      </c>
      <c r="AC12" s="19">
        <v>-27.1</v>
      </c>
      <c r="AD12" s="19">
        <v>-23.3</v>
      </c>
      <c r="AE12" s="19">
        <v>-19.3</v>
      </c>
    </row>
    <row r="13" spans="1:32" x14ac:dyDescent="0.25">
      <c r="A13" s="10">
        <v>22</v>
      </c>
      <c r="B13" s="19">
        <v>-1</v>
      </c>
      <c r="C13" s="19">
        <v>-2.2999999999999998</v>
      </c>
      <c r="D13" s="19">
        <v>-2.7</v>
      </c>
      <c r="E13" s="19">
        <v>-6.8</v>
      </c>
      <c r="F13" s="19">
        <v>-1</v>
      </c>
      <c r="G13" s="19">
        <v>-5</v>
      </c>
      <c r="H13" s="19">
        <v>-5.5</v>
      </c>
      <c r="I13" s="19">
        <v>-3</v>
      </c>
      <c r="J13" s="19">
        <v>-3.4</v>
      </c>
      <c r="K13" s="19">
        <v>-7.8</v>
      </c>
      <c r="L13" s="19">
        <v>-3</v>
      </c>
      <c r="M13" s="19">
        <v>-3</v>
      </c>
      <c r="N13" s="19">
        <v>-13.7</v>
      </c>
      <c r="O13" s="19">
        <v>-18.7</v>
      </c>
      <c r="P13" s="19">
        <v>-22.4</v>
      </c>
      <c r="Q13" s="19">
        <v>-25.2</v>
      </c>
      <c r="R13" s="19">
        <v>-21</v>
      </c>
      <c r="S13" s="19">
        <v>-14.6</v>
      </c>
      <c r="T13" s="19">
        <v>-19.600000000000001</v>
      </c>
      <c r="U13" s="19">
        <v>-28.9</v>
      </c>
      <c r="V13" s="19">
        <v>-10.9</v>
      </c>
      <c r="W13" s="19">
        <v>-28.7</v>
      </c>
      <c r="X13" s="19">
        <v>-19.5</v>
      </c>
      <c r="Y13" s="19">
        <v>-33.9</v>
      </c>
      <c r="Z13" s="19">
        <v>-32.299999999999997</v>
      </c>
      <c r="AA13" s="19">
        <v>-19.899999999999999</v>
      </c>
      <c r="AB13" s="19">
        <v>-22.8</v>
      </c>
      <c r="AC13" s="19">
        <v>-27.1</v>
      </c>
      <c r="AD13" s="19">
        <v>-22.6</v>
      </c>
      <c r="AE13" s="19">
        <v>-19.100000000000001</v>
      </c>
    </row>
    <row r="14" spans="1:32" x14ac:dyDescent="0.25">
      <c r="A14" s="10">
        <v>24</v>
      </c>
      <c r="B14" s="19">
        <v>0</v>
      </c>
      <c r="C14" s="19">
        <v>-3</v>
      </c>
      <c r="D14" s="19">
        <v>-2.5</v>
      </c>
      <c r="E14" s="19">
        <v>-6.4</v>
      </c>
      <c r="F14" s="19">
        <v>-1</v>
      </c>
      <c r="G14" s="19">
        <v>-5</v>
      </c>
      <c r="H14" s="19">
        <v>-4.7</v>
      </c>
      <c r="I14" s="19">
        <v>-3</v>
      </c>
      <c r="J14" s="19">
        <v>-3.4</v>
      </c>
      <c r="K14" s="19">
        <v>-7.5</v>
      </c>
      <c r="L14" s="19">
        <v>-2</v>
      </c>
      <c r="M14" s="19">
        <v>-2</v>
      </c>
      <c r="N14" s="19">
        <v>-13.8</v>
      </c>
      <c r="O14" s="19">
        <v>-18.899999999999999</v>
      </c>
      <c r="P14" s="19">
        <v>-23.2</v>
      </c>
      <c r="Q14" s="19">
        <v>-25.4</v>
      </c>
      <c r="R14" s="19">
        <v>-21</v>
      </c>
      <c r="S14" s="19">
        <v>-14.4</v>
      </c>
      <c r="T14" s="19">
        <v>-18.8</v>
      </c>
      <c r="U14" s="19">
        <v>-28.6</v>
      </c>
      <c r="V14" s="19">
        <v>-11.3</v>
      </c>
      <c r="W14" s="19">
        <v>-28.8</v>
      </c>
      <c r="X14" s="19">
        <v>-18.600000000000001</v>
      </c>
      <c r="Y14" s="19">
        <v>-34</v>
      </c>
      <c r="Z14" s="19">
        <v>-32.799999999999997</v>
      </c>
      <c r="AA14" s="19">
        <v>-19.899999999999999</v>
      </c>
      <c r="AB14" s="19">
        <v>-24.1</v>
      </c>
      <c r="AC14" s="19">
        <v>-26.4</v>
      </c>
      <c r="AD14" s="19">
        <v>-22</v>
      </c>
      <c r="AE14" s="19" t="s">
        <v>66</v>
      </c>
    </row>
    <row r="15" spans="1:32" x14ac:dyDescent="0.25">
      <c r="A15" s="10">
        <v>2</v>
      </c>
      <c r="B15" s="19">
        <v>0.3</v>
      </c>
      <c r="C15" s="19">
        <v>-3.1</v>
      </c>
      <c r="D15" s="19">
        <v>-0.7</v>
      </c>
      <c r="E15" s="19">
        <v>-4.9000000000000004</v>
      </c>
      <c r="F15" s="19">
        <v>-1.3</v>
      </c>
      <c r="G15" s="19">
        <v>-5.4</v>
      </c>
      <c r="H15" s="19">
        <v>-3.5</v>
      </c>
      <c r="I15" s="19">
        <v>-2.2000000000000002</v>
      </c>
      <c r="J15" s="19">
        <v>-2.5</v>
      </c>
      <c r="K15" s="19">
        <v>-6.6</v>
      </c>
      <c r="L15" s="19">
        <v>-2.9</v>
      </c>
      <c r="M15" s="19">
        <v>-2.9</v>
      </c>
      <c r="N15" s="19">
        <v>-13.3</v>
      </c>
      <c r="O15" s="19">
        <v>-20.100000000000001</v>
      </c>
      <c r="P15" s="19">
        <v>-24.1</v>
      </c>
      <c r="Q15" s="19">
        <v>-26.1</v>
      </c>
      <c r="R15" s="19">
        <v>-20.2</v>
      </c>
      <c r="S15" s="19">
        <v>-14.2</v>
      </c>
      <c r="T15" s="19">
        <v>-18</v>
      </c>
      <c r="U15" s="19">
        <v>-27.8</v>
      </c>
      <c r="V15" s="19">
        <v>-12.8</v>
      </c>
      <c r="W15" s="19">
        <v>-29</v>
      </c>
      <c r="X15" s="19">
        <v>-18</v>
      </c>
      <c r="Y15" s="19">
        <v>-34.1</v>
      </c>
      <c r="Z15" s="19">
        <v>-32.5</v>
      </c>
      <c r="AA15" s="19">
        <v>-19.399999999999999</v>
      </c>
      <c r="AB15" s="19">
        <v>-24.9</v>
      </c>
      <c r="AC15" s="19">
        <v>-26.8</v>
      </c>
      <c r="AD15" s="19">
        <v>-21.9</v>
      </c>
      <c r="AE15" s="19">
        <v>-19.100000000000001</v>
      </c>
    </row>
    <row r="16" spans="1:32" ht="30" x14ac:dyDescent="0.25">
      <c r="A16" s="11" t="s">
        <v>2</v>
      </c>
      <c r="B16" s="15">
        <f>(B4+B5+B6+B7+B8+B9+B10+B11+B12+B13+B14+B15)/12</f>
        <v>-2.3250000000000002</v>
      </c>
      <c r="C16" s="15">
        <f t="shared" ref="C16:O16" si="0">(C4+C5+C6+C7+C8+C9+C10+C11+C12+C13+C14+C15)/12</f>
        <v>-0.5</v>
      </c>
      <c r="D16" s="15">
        <f t="shared" si="0"/>
        <v>-2.9500000000000006</v>
      </c>
      <c r="E16" s="15">
        <f t="shared" si="0"/>
        <v>-2.5083333333333333</v>
      </c>
      <c r="F16" s="15">
        <f t="shared" si="0"/>
        <v>-1.2958333333333332</v>
      </c>
      <c r="G16" s="15">
        <f t="shared" si="0"/>
        <v>-4.0666666666666664</v>
      </c>
      <c r="H16" s="15">
        <f t="shared" si="0"/>
        <v>-5.7333333333333343</v>
      </c>
      <c r="I16" s="15">
        <f t="shared" si="0"/>
        <v>-3.24</v>
      </c>
      <c r="J16" s="15">
        <f t="shared" si="0"/>
        <v>-2.8699999999999997</v>
      </c>
      <c r="K16" s="15">
        <f t="shared" si="0"/>
        <v>-5.4916666666666663</v>
      </c>
      <c r="L16" s="15">
        <f t="shared" si="0"/>
        <v>-4.3458333333333332</v>
      </c>
      <c r="M16" s="15">
        <f t="shared" si="0"/>
        <v>-4.3458333333333332</v>
      </c>
      <c r="N16" s="15">
        <f t="shared" si="0"/>
        <v>-12.308333333333335</v>
      </c>
      <c r="O16" s="15">
        <f t="shared" si="0"/>
        <v>-15.983333333333333</v>
      </c>
      <c r="P16" s="15">
        <f>(P4+P5+P6+P7+P8+P9+P10+P11+P12+P13+P14+P15)/12</f>
        <v>-21.175000000000001</v>
      </c>
      <c r="Q16" s="15">
        <f>(Q4+Q5+Q6+Q7+Q8+Q9+Q10+Q11+Q12+Q13+Q14+Q15)/12</f>
        <v>-24.200000000000003</v>
      </c>
      <c r="R16" s="15">
        <f>(R4+R5+R6+R7+R8+R9+R10+R11+R12+R13+R14+R15)/12</f>
        <v>-21.908333333333331</v>
      </c>
      <c r="S16" s="15">
        <f t="shared" ref="S16:AE16" si="1">(S4+S5+S6+S7+S8+S9+S10+S11+S12+S13+S14+S15)/12</f>
        <v>-14.824999999999998</v>
      </c>
      <c r="T16" s="15">
        <f t="shared" si="1"/>
        <v>-18.766666666666669</v>
      </c>
      <c r="U16" s="15">
        <f t="shared" si="1"/>
        <v>-24.375</v>
      </c>
      <c r="V16" s="15">
        <f t="shared" si="1"/>
        <v>-16.900000000000002</v>
      </c>
      <c r="W16" s="15">
        <f t="shared" si="1"/>
        <v>-24.683333333333334</v>
      </c>
      <c r="X16" s="15">
        <f t="shared" si="1"/>
        <v>-25.55</v>
      </c>
      <c r="Y16" s="15">
        <f t="shared" si="1"/>
        <v>-25.916666666666668</v>
      </c>
      <c r="Z16" s="15">
        <f t="shared" si="1"/>
        <v>-33.524999999999999</v>
      </c>
      <c r="AA16" s="15">
        <f t="shared" si="1"/>
        <v>-24.608333333333331</v>
      </c>
      <c r="AB16" s="15">
        <f t="shared" si="1"/>
        <v>-19.925000000000001</v>
      </c>
      <c r="AC16" s="15">
        <f t="shared" si="1"/>
        <v>-26.408333333333331</v>
      </c>
      <c r="AD16" s="15">
        <f t="shared" si="1"/>
        <v>-24.024999999999995</v>
      </c>
      <c r="AE16" s="15">
        <f t="shared" si="1"/>
        <v>-19.933333333333334</v>
      </c>
    </row>
    <row r="17" spans="1:3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ht="15.75" x14ac:dyDescent="0.25">
      <c r="A21" s="4" t="s">
        <v>7</v>
      </c>
      <c r="B21" s="23" t="s">
        <v>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x14ac:dyDescent="0.25">
      <c r="A22" s="9"/>
      <c r="B22" s="131" t="s">
        <v>65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3"/>
      <c r="AF22" s="24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2" x14ac:dyDescent="0.25">
      <c r="A24" s="10">
        <v>4</v>
      </c>
      <c r="B24" s="19">
        <v>-3.4</v>
      </c>
      <c r="C24" s="19">
        <v>0.3</v>
      </c>
      <c r="D24" s="19">
        <v>-3.9</v>
      </c>
      <c r="E24" s="19">
        <v>-0.5</v>
      </c>
      <c r="F24" s="19">
        <v>-1.9</v>
      </c>
      <c r="G24" s="19">
        <v>-1.2</v>
      </c>
      <c r="H24" s="19">
        <v>-5</v>
      </c>
      <c r="I24" s="19">
        <v>-3.5</v>
      </c>
      <c r="J24" s="13">
        <v>-2.6</v>
      </c>
      <c r="K24" s="19">
        <v>-3.7</v>
      </c>
      <c r="L24" s="19">
        <v>-6.3</v>
      </c>
      <c r="M24" s="19">
        <v>-2.1</v>
      </c>
      <c r="N24" s="19">
        <v>-7.2</v>
      </c>
      <c r="O24" s="19">
        <v>-13.5</v>
      </c>
      <c r="P24" s="19">
        <v>-20.399999999999999</v>
      </c>
      <c r="Q24" s="19">
        <v>-25.4</v>
      </c>
      <c r="R24" s="19">
        <v>-27.3</v>
      </c>
      <c r="S24" s="19">
        <v>-19</v>
      </c>
      <c r="T24" s="19">
        <v>-14.1</v>
      </c>
      <c r="U24" s="19">
        <v>-19.3</v>
      </c>
      <c r="V24" s="19">
        <v>-23.6</v>
      </c>
      <c r="W24" s="19">
        <v>-15.9</v>
      </c>
      <c r="X24" s="19">
        <v>-31.1</v>
      </c>
      <c r="Y24" s="19">
        <v>-18.100000000000001</v>
      </c>
      <c r="Z24" s="19">
        <v>-36.1</v>
      </c>
      <c r="AA24" s="19">
        <v>-33.1</v>
      </c>
      <c r="AB24" s="19">
        <v>-19.600000000000001</v>
      </c>
      <c r="AC24" s="19">
        <v>-23.5</v>
      </c>
      <c r="AD24" s="19">
        <v>-26.8</v>
      </c>
      <c r="AE24" s="19">
        <v>-20.5</v>
      </c>
    </row>
    <row r="25" spans="1:32" x14ac:dyDescent="0.25">
      <c r="A25" s="10">
        <v>6</v>
      </c>
      <c r="B25" s="19">
        <v>-3.4</v>
      </c>
      <c r="C25" s="19">
        <v>0.4</v>
      </c>
      <c r="D25" s="19">
        <v>-4.5999999999999996</v>
      </c>
      <c r="E25" s="19">
        <v>-0.3</v>
      </c>
      <c r="F25" s="19">
        <v>-1.2</v>
      </c>
      <c r="G25" s="19">
        <v>-4.2</v>
      </c>
      <c r="H25" s="19">
        <v>-5</v>
      </c>
      <c r="I25" s="19">
        <v>-3.2</v>
      </c>
      <c r="J25" s="13">
        <v>-2.7</v>
      </c>
      <c r="K25" s="19">
        <v>-4.2</v>
      </c>
      <c r="L25" s="19">
        <v>-5.9</v>
      </c>
      <c r="M25" s="19">
        <v>-2.2000000000000002</v>
      </c>
      <c r="N25" s="19">
        <v>-9.9</v>
      </c>
      <c r="O25" s="19">
        <v>-13.1</v>
      </c>
      <c r="P25" s="19">
        <v>-21.2</v>
      </c>
      <c r="Q25" s="19">
        <v>-26</v>
      </c>
      <c r="R25" s="19">
        <v>-27.8</v>
      </c>
      <c r="S25" s="19">
        <v>-17.100000000000001</v>
      </c>
      <c r="T25" s="19">
        <v>-13.8</v>
      </c>
      <c r="U25" s="19">
        <v>-20.6</v>
      </c>
      <c r="V25" s="19">
        <v>-23.6</v>
      </c>
      <c r="W25" s="19">
        <v>-17.5</v>
      </c>
      <c r="X25" s="19">
        <v>-31.9</v>
      </c>
      <c r="Y25" s="19">
        <v>-19.600000000000001</v>
      </c>
      <c r="Z25" s="19">
        <v>-36.6</v>
      </c>
      <c r="AA25" s="19">
        <v>-33.5</v>
      </c>
      <c r="AB25" s="19">
        <v>-19.899999999999999</v>
      </c>
      <c r="AC25" s="19">
        <v>-25.1</v>
      </c>
      <c r="AD25" s="19">
        <v>-27.1</v>
      </c>
      <c r="AE25" s="19">
        <v>-20.8</v>
      </c>
    </row>
    <row r="26" spans="1:32" x14ac:dyDescent="0.25">
      <c r="A26" s="10">
        <v>8</v>
      </c>
      <c r="B26" s="19">
        <v>-3.1</v>
      </c>
      <c r="C26" s="19">
        <v>0.4</v>
      </c>
      <c r="D26" s="19">
        <v>-4.2</v>
      </c>
      <c r="E26" s="19">
        <v>-0.6</v>
      </c>
      <c r="F26" s="19">
        <v>-1.1000000000000001</v>
      </c>
      <c r="G26" s="19">
        <v>-5</v>
      </c>
      <c r="H26" s="19">
        <v>-5.2</v>
      </c>
      <c r="I26" s="19">
        <v>-3.2</v>
      </c>
      <c r="J26" s="13">
        <v>-2.8</v>
      </c>
      <c r="K26" s="19">
        <v>-3.8</v>
      </c>
      <c r="L26" s="19">
        <v>-5.4</v>
      </c>
      <c r="M26" s="19">
        <v>-2.7</v>
      </c>
      <c r="N26" s="19">
        <v>-11.1</v>
      </c>
      <c r="O26" s="19">
        <v>-12.8</v>
      </c>
      <c r="P26" s="19">
        <v>-20.5</v>
      </c>
      <c r="Q26" s="19">
        <v>-26.6</v>
      </c>
      <c r="R26" s="19">
        <v>-26.9</v>
      </c>
      <c r="S26" s="19">
        <v>-16.5</v>
      </c>
      <c r="T26" s="19">
        <v>-17</v>
      </c>
      <c r="U26" s="19">
        <v>-22.4</v>
      </c>
      <c r="V26" s="19">
        <v>-21.1</v>
      </c>
      <c r="W26" s="19">
        <v>-19.600000000000001</v>
      </c>
      <c r="X26" s="19">
        <v>-32</v>
      </c>
      <c r="Y26" s="19">
        <v>-22.5</v>
      </c>
      <c r="Z26" s="19">
        <v>-36.9</v>
      </c>
      <c r="AA26" s="19">
        <v>-32.799999999999997</v>
      </c>
      <c r="AB26" s="19">
        <v>-20.9</v>
      </c>
      <c r="AC26" s="19">
        <v>-26.1</v>
      </c>
      <c r="AD26" s="19">
        <v>-27.7</v>
      </c>
      <c r="AE26" s="19">
        <v>-20.9</v>
      </c>
    </row>
    <row r="27" spans="1:32" x14ac:dyDescent="0.25">
      <c r="A27" s="10">
        <v>10</v>
      </c>
      <c r="B27" s="19">
        <v>-2.8</v>
      </c>
      <c r="C27" s="19">
        <v>0.7</v>
      </c>
      <c r="D27" s="19">
        <v>-3.5</v>
      </c>
      <c r="E27" s="19">
        <v>-0.5</v>
      </c>
      <c r="F27" s="19">
        <v>-0.5</v>
      </c>
      <c r="G27" s="19">
        <v>-3.7</v>
      </c>
      <c r="H27" s="19">
        <v>-5.6</v>
      </c>
      <c r="I27" s="19">
        <v>-3.2</v>
      </c>
      <c r="J27" s="13">
        <v>-3.3</v>
      </c>
      <c r="K27" s="19">
        <v>-4</v>
      </c>
      <c r="L27" s="19">
        <v>-4.5</v>
      </c>
      <c r="M27" s="19">
        <v>-2.6</v>
      </c>
      <c r="N27" s="19">
        <v>-12</v>
      </c>
      <c r="O27" s="19">
        <v>-13.8</v>
      </c>
      <c r="P27" s="19">
        <v>-19.3</v>
      </c>
      <c r="Q27" s="19">
        <v>-25.1</v>
      </c>
      <c r="R27" s="19">
        <v>-23.7</v>
      </c>
      <c r="S27" s="19">
        <v>-15</v>
      </c>
      <c r="T27" s="19">
        <v>-17.399999999999999</v>
      </c>
      <c r="U27" s="19">
        <v>-22.8</v>
      </c>
      <c r="V27" s="19">
        <v>-19.600000000000001</v>
      </c>
      <c r="W27" s="19">
        <v>-21</v>
      </c>
      <c r="X27" s="19">
        <v>-31.7</v>
      </c>
      <c r="Y27" s="19">
        <v>-23.5</v>
      </c>
      <c r="Z27" s="19">
        <v>-35</v>
      </c>
      <c r="AA27" s="19">
        <v>-29.8</v>
      </c>
      <c r="AB27" s="19">
        <v>-20.9</v>
      </c>
      <c r="AC27" s="19">
        <v>-26.3</v>
      </c>
      <c r="AD27" s="19">
        <v>-26.5</v>
      </c>
      <c r="AE27" s="19">
        <v>-20.5</v>
      </c>
    </row>
    <row r="28" spans="1:32" x14ac:dyDescent="0.25">
      <c r="A28" s="10">
        <v>12</v>
      </c>
      <c r="B28" s="19">
        <v>-2.4</v>
      </c>
      <c r="C28" s="19">
        <v>0.7</v>
      </c>
      <c r="D28" s="19">
        <v>-3</v>
      </c>
      <c r="E28" s="19">
        <v>-0.4</v>
      </c>
      <c r="F28" s="19">
        <v>0.2</v>
      </c>
      <c r="G28" s="19">
        <v>-1.8</v>
      </c>
      <c r="H28" s="19">
        <v>-5.7</v>
      </c>
      <c r="I28" s="19">
        <v>-3.1</v>
      </c>
      <c r="J28" s="13">
        <v>-2.7</v>
      </c>
      <c r="K28" s="19">
        <v>-5.2</v>
      </c>
      <c r="L28" s="19">
        <v>-4</v>
      </c>
      <c r="M28" s="19">
        <v>-2.2999999999999998</v>
      </c>
      <c r="N28" s="19">
        <v>-11.5</v>
      </c>
      <c r="O28" s="19">
        <v>-16.899999999999999</v>
      </c>
      <c r="P28" s="19">
        <v>-19.3</v>
      </c>
      <c r="Q28" s="19">
        <v>-21.8</v>
      </c>
      <c r="R28" s="19">
        <v>-19.100000000000001</v>
      </c>
      <c r="S28" s="19">
        <v>-13.8</v>
      </c>
      <c r="T28" s="19">
        <v>-18.7</v>
      </c>
      <c r="U28" s="19">
        <v>-23.2</v>
      </c>
      <c r="V28" s="19">
        <v>-16.899999999999999</v>
      </c>
      <c r="W28" s="19">
        <v>-23.2</v>
      </c>
      <c r="X28" s="19">
        <v>-30</v>
      </c>
      <c r="Y28" s="19">
        <v>-24.3</v>
      </c>
      <c r="Z28" s="19">
        <v>-32.799999999999997</v>
      </c>
      <c r="AA28" s="19">
        <v>-25.4</v>
      </c>
      <c r="AB28" s="19">
        <v>-18.899999999999999</v>
      </c>
      <c r="AC28" s="19">
        <v>-25.4</v>
      </c>
      <c r="AD28" s="19">
        <v>-22.7</v>
      </c>
      <c r="AE28" s="19">
        <v>-20.3</v>
      </c>
    </row>
    <row r="29" spans="1:32" x14ac:dyDescent="0.25">
      <c r="A29" s="10">
        <v>14</v>
      </c>
      <c r="B29" s="19">
        <v>-2.1</v>
      </c>
      <c r="C29" s="19">
        <v>0.5</v>
      </c>
      <c r="D29" s="19">
        <v>-2.7</v>
      </c>
      <c r="E29" s="19">
        <v>-3</v>
      </c>
      <c r="F29" s="19">
        <v>0.1</v>
      </c>
      <c r="G29" s="19">
        <v>-1.8</v>
      </c>
      <c r="H29" s="19">
        <v>-5.7</v>
      </c>
      <c r="I29" s="19">
        <v>-2.2999999999999998</v>
      </c>
      <c r="J29" s="13">
        <v>-2.5</v>
      </c>
      <c r="K29" s="19">
        <v>-5.3</v>
      </c>
      <c r="L29" s="19">
        <v>-3.9</v>
      </c>
      <c r="M29" s="19">
        <v>-1.9</v>
      </c>
      <c r="N29" s="19">
        <v>-11.9</v>
      </c>
      <c r="O29" s="19">
        <v>-18.399999999999999</v>
      </c>
      <c r="P29" s="19">
        <v>-19.3</v>
      </c>
      <c r="Q29" s="19">
        <v>-22.4</v>
      </c>
      <c r="R29" s="19">
        <v>-17.399999999999999</v>
      </c>
      <c r="S29" s="19">
        <v>-13.2</v>
      </c>
      <c r="T29" s="19">
        <v>-19.8</v>
      </c>
      <c r="U29" s="19">
        <v>-23.6</v>
      </c>
      <c r="V29" s="19">
        <v>-14.7</v>
      </c>
      <c r="W29" s="19">
        <v>-25.5</v>
      </c>
      <c r="X29" s="19">
        <v>-28.9</v>
      </c>
      <c r="Y29" s="19">
        <v>-24.3</v>
      </c>
      <c r="Z29" s="19">
        <v>-33.299999999999997</v>
      </c>
      <c r="AA29" s="19">
        <v>-23.4</v>
      </c>
      <c r="AB29" s="19">
        <v>-16.3</v>
      </c>
      <c r="AC29" s="19">
        <v>-25.3</v>
      </c>
      <c r="AD29" s="19">
        <v>-22.6</v>
      </c>
      <c r="AE29" s="19">
        <v>-20.100000000000001</v>
      </c>
    </row>
    <row r="30" spans="1:32" x14ac:dyDescent="0.25">
      <c r="A30" s="10">
        <v>16</v>
      </c>
      <c r="B30" s="19">
        <v>-2.1</v>
      </c>
      <c r="C30" s="19">
        <v>0.3</v>
      </c>
      <c r="D30" s="19">
        <v>-2.8</v>
      </c>
      <c r="E30" s="19">
        <v>-1</v>
      </c>
      <c r="F30" s="19">
        <v>0.1</v>
      </c>
      <c r="G30" s="19">
        <v>-2.2999999999999998</v>
      </c>
      <c r="H30" s="19">
        <v>-5.4</v>
      </c>
      <c r="I30" s="19">
        <v>-2.2000000000000002</v>
      </c>
      <c r="J30" s="13">
        <v>-2.9</v>
      </c>
      <c r="K30" s="19">
        <v>-6.7</v>
      </c>
      <c r="L30" s="19">
        <v>-3.7</v>
      </c>
      <c r="M30" s="19">
        <v>-2.1</v>
      </c>
      <c r="N30" s="19">
        <v>-13</v>
      </c>
      <c r="O30" s="19">
        <v>-19.899999999999999</v>
      </c>
      <c r="P30" s="19">
        <v>-21.5</v>
      </c>
      <c r="Q30" s="19">
        <v>-24.6</v>
      </c>
      <c r="R30" s="19">
        <v>-17.7</v>
      </c>
      <c r="S30" s="19">
        <v>-12.6</v>
      </c>
      <c r="T30" s="19">
        <v>-22.3</v>
      </c>
      <c r="U30" s="19">
        <v>-26.2</v>
      </c>
      <c r="V30" s="19">
        <v>-13.9</v>
      </c>
      <c r="W30" s="19">
        <v>-23.2</v>
      </c>
      <c r="X30" s="19">
        <v>-29.1</v>
      </c>
      <c r="Y30" s="19">
        <v>-29.2</v>
      </c>
      <c r="Z30" s="19">
        <v>-34.4</v>
      </c>
      <c r="AA30" s="19">
        <v>-21.6</v>
      </c>
      <c r="AB30" s="19">
        <v>-15.9</v>
      </c>
      <c r="AC30" s="19">
        <v>-25.5</v>
      </c>
      <c r="AD30" s="19">
        <v>-22.5</v>
      </c>
      <c r="AE30" s="19">
        <v>-20.2</v>
      </c>
    </row>
    <row r="31" spans="1:32" x14ac:dyDescent="0.25">
      <c r="A31" s="10">
        <v>18</v>
      </c>
      <c r="B31" s="19">
        <v>-1.7</v>
      </c>
      <c r="C31" s="19">
        <v>-0.2</v>
      </c>
      <c r="D31" s="19">
        <v>-3.1</v>
      </c>
      <c r="E31" s="19">
        <v>-2.1</v>
      </c>
      <c r="F31" s="19">
        <v>0</v>
      </c>
      <c r="G31" s="19">
        <v>-3.3</v>
      </c>
      <c r="H31" s="19">
        <v>-5.5</v>
      </c>
      <c r="I31" s="19">
        <v>-2.2000000000000002</v>
      </c>
      <c r="J31" s="13">
        <v>-3</v>
      </c>
      <c r="K31" s="19">
        <v>-6.9</v>
      </c>
      <c r="L31" s="19">
        <v>-3.4</v>
      </c>
      <c r="M31" s="19">
        <v>-2.4</v>
      </c>
      <c r="N31" s="19">
        <v>-13.4</v>
      </c>
      <c r="O31" s="19">
        <v>-20.100000000000001</v>
      </c>
      <c r="P31" s="19">
        <v>-22.4</v>
      </c>
      <c r="Q31" s="19">
        <v>-25</v>
      </c>
      <c r="R31" s="19">
        <v>-19.899999999999999</v>
      </c>
      <c r="S31" s="19">
        <v>-12.4</v>
      </c>
      <c r="T31" s="19">
        <v>-22.8</v>
      </c>
      <c r="U31" s="19">
        <v>-28.1</v>
      </c>
      <c r="V31" s="19">
        <v>-11.5</v>
      </c>
      <c r="W31" s="19">
        <v>-28.5</v>
      </c>
      <c r="X31" s="19">
        <v>-25.5</v>
      </c>
      <c r="Y31" s="19">
        <v>-31.1</v>
      </c>
      <c r="Z31" s="19">
        <v>-34.4</v>
      </c>
      <c r="AA31" s="19">
        <v>-21.4</v>
      </c>
      <c r="AB31" s="19">
        <v>-15.9</v>
      </c>
      <c r="AC31" s="19">
        <v>-25.5</v>
      </c>
      <c r="AD31" s="19">
        <v>-22.1</v>
      </c>
      <c r="AE31" s="19">
        <v>-20</v>
      </c>
    </row>
    <row r="32" spans="1:32" x14ac:dyDescent="0.25">
      <c r="A32" s="10">
        <v>20</v>
      </c>
      <c r="B32" s="19">
        <v>-1.2</v>
      </c>
      <c r="C32" s="19">
        <v>-0.8</v>
      </c>
      <c r="D32" s="19">
        <v>-3.1</v>
      </c>
      <c r="E32" s="19">
        <v>-3.8</v>
      </c>
      <c r="F32" s="19">
        <v>-0.3</v>
      </c>
      <c r="G32" s="19">
        <v>-4.0999999999999996</v>
      </c>
      <c r="H32" s="19">
        <v>-5.4</v>
      </c>
      <c r="I32" s="19">
        <v>-1.2</v>
      </c>
      <c r="J32" s="13">
        <v>-2.1</v>
      </c>
      <c r="K32" s="19">
        <v>-7.3</v>
      </c>
      <c r="L32" s="19">
        <v>-3.2</v>
      </c>
      <c r="M32" s="19">
        <v>-2.2999999999999998</v>
      </c>
      <c r="N32" s="19">
        <v>-13.5</v>
      </c>
      <c r="O32" s="19">
        <v>-20.2</v>
      </c>
      <c r="P32" s="19">
        <v>-22.6</v>
      </c>
      <c r="Q32" s="19">
        <v>-25.8</v>
      </c>
      <c r="R32" s="19">
        <v>-20.3</v>
      </c>
      <c r="S32" s="19">
        <v>-13.2</v>
      </c>
      <c r="T32" s="19">
        <v>-24.1</v>
      </c>
      <c r="U32" s="19">
        <v>-28.9</v>
      </c>
      <c r="V32" s="19">
        <v>-9.6999999999999993</v>
      </c>
      <c r="W32" s="19">
        <v>-29.5</v>
      </c>
      <c r="X32" s="19">
        <v>-21.6</v>
      </c>
      <c r="Y32" s="19">
        <v>-33.1</v>
      </c>
      <c r="Z32" s="19">
        <v>-34.4</v>
      </c>
      <c r="AA32" s="19">
        <v>-21.4</v>
      </c>
      <c r="AB32" s="19">
        <v>-17.399999999999999</v>
      </c>
      <c r="AC32" s="19">
        <v>-26</v>
      </c>
      <c r="AD32" s="19">
        <v>-21.4</v>
      </c>
      <c r="AE32" s="19">
        <v>-19.8</v>
      </c>
    </row>
    <row r="33" spans="1:31" x14ac:dyDescent="0.25">
      <c r="A33" s="10">
        <v>22</v>
      </c>
      <c r="B33" s="19">
        <v>-0.7</v>
      </c>
      <c r="C33" s="19">
        <v>-2.1</v>
      </c>
      <c r="D33" s="19">
        <v>-2.8</v>
      </c>
      <c r="E33" s="19">
        <v>-6.4</v>
      </c>
      <c r="F33" s="19">
        <v>-0.2</v>
      </c>
      <c r="G33" s="19">
        <v>-4.3</v>
      </c>
      <c r="H33" s="19">
        <v>-5.3</v>
      </c>
      <c r="I33" s="19">
        <v>-2.2999999999999998</v>
      </c>
      <c r="J33" s="13">
        <v>-2.2999999999999998</v>
      </c>
      <c r="K33" s="19">
        <v>-7.1</v>
      </c>
      <c r="L33" s="19">
        <v>-3.1</v>
      </c>
      <c r="M33" s="19">
        <v>-2.4</v>
      </c>
      <c r="N33" s="19">
        <v>-13.7</v>
      </c>
      <c r="O33" s="19">
        <v>-19.899999999999999</v>
      </c>
      <c r="P33" s="19">
        <v>-22.8</v>
      </c>
      <c r="Q33" s="19">
        <v>-26</v>
      </c>
      <c r="R33" s="19">
        <v>-20.100000000000001</v>
      </c>
      <c r="S33" s="19">
        <v>-13.9</v>
      </c>
      <c r="T33" s="19">
        <v>-22.4</v>
      </c>
      <c r="U33" s="19">
        <v>-29.4</v>
      </c>
      <c r="V33" s="19">
        <v>-8.4</v>
      </c>
      <c r="W33" s="19">
        <v>-29.5</v>
      </c>
      <c r="X33" s="19">
        <v>-20</v>
      </c>
      <c r="Y33" s="19">
        <v>-34.200000000000003</v>
      </c>
      <c r="Z33" s="19">
        <v>-34.1</v>
      </c>
      <c r="AA33" s="19">
        <v>-20.9</v>
      </c>
      <c r="AB33" s="19">
        <v>-20.3</v>
      </c>
      <c r="AC33" s="19">
        <v>-26</v>
      </c>
      <c r="AD33" s="19">
        <v>-21.3</v>
      </c>
      <c r="AE33" s="19">
        <v>-19.399999999999999</v>
      </c>
    </row>
    <row r="34" spans="1:31" x14ac:dyDescent="0.25">
      <c r="A34" s="10">
        <v>24</v>
      </c>
      <c r="B34" s="19">
        <v>-0.3</v>
      </c>
      <c r="C34" s="19">
        <v>-2.6</v>
      </c>
      <c r="D34" s="19">
        <v>-2.4</v>
      </c>
      <c r="E34" s="19">
        <v>-3.4</v>
      </c>
      <c r="F34" s="19">
        <v>-0.3</v>
      </c>
      <c r="G34" s="19">
        <v>-4.5999999999999996</v>
      </c>
      <c r="H34" s="19">
        <v>-4.3</v>
      </c>
      <c r="I34" s="19">
        <v>-2.1</v>
      </c>
      <c r="J34" s="13">
        <v>-2.5</v>
      </c>
      <c r="K34" s="19">
        <v>-7.3</v>
      </c>
      <c r="L34" s="19">
        <v>-2.2000000000000002</v>
      </c>
      <c r="M34" s="19">
        <v>-4.2</v>
      </c>
      <c r="N34" s="19">
        <v>-13.5</v>
      </c>
      <c r="O34" s="19">
        <v>-20.7</v>
      </c>
      <c r="P34" s="19">
        <v>-23.9</v>
      </c>
      <c r="Q34" s="19">
        <v>-26.5</v>
      </c>
      <c r="R34" s="19">
        <v>-20.2</v>
      </c>
      <c r="S34" s="19">
        <v>-14.2</v>
      </c>
      <c r="T34" s="19">
        <v>-19.7</v>
      </c>
      <c r="U34" s="19">
        <v>-29.3</v>
      </c>
      <c r="V34" s="19">
        <v>-9.4</v>
      </c>
      <c r="W34" s="19">
        <v>-29.9</v>
      </c>
      <c r="X34" s="19">
        <v>-19.100000000000001</v>
      </c>
      <c r="Y34" s="19">
        <v>-35.4</v>
      </c>
      <c r="Z34" s="19">
        <v>-32.9</v>
      </c>
      <c r="AA34" s="19">
        <v>-21.4</v>
      </c>
      <c r="AB34" s="19">
        <v>-22.4</v>
      </c>
      <c r="AC34" s="19">
        <v>-26.1</v>
      </c>
      <c r="AD34" s="19">
        <v>-20.9</v>
      </c>
      <c r="AE34" s="19">
        <v>-18.899999999999999</v>
      </c>
    </row>
    <row r="35" spans="1:31" x14ac:dyDescent="0.25">
      <c r="A35" s="10">
        <v>2</v>
      </c>
      <c r="B35" s="19">
        <v>0.1</v>
      </c>
      <c r="C35" s="19">
        <v>-3.5</v>
      </c>
      <c r="D35" s="19">
        <v>-1.7</v>
      </c>
      <c r="E35" s="19">
        <v>-3.3</v>
      </c>
      <c r="F35" s="19">
        <v>-0.6</v>
      </c>
      <c r="G35" s="19">
        <v>-5.0999999999999996</v>
      </c>
      <c r="H35" s="19">
        <v>-3.7</v>
      </c>
      <c r="I35" s="19">
        <v>-2.4</v>
      </c>
      <c r="J35" s="13">
        <v>-2.7</v>
      </c>
      <c r="K35" s="19">
        <v>-7</v>
      </c>
      <c r="L35" s="19">
        <v>-2.2000000000000002</v>
      </c>
      <c r="M35" s="19">
        <v>-4.9000000000000004</v>
      </c>
      <c r="N35" s="19">
        <v>-13.8</v>
      </c>
      <c r="O35" s="19">
        <v>-21</v>
      </c>
      <c r="P35" s="19">
        <v>-23.9</v>
      </c>
      <c r="Q35" s="19">
        <v>-27.1</v>
      </c>
      <c r="R35" s="19">
        <v>-19.100000000000001</v>
      </c>
      <c r="S35" s="19">
        <v>-14.1</v>
      </c>
      <c r="T35" s="19">
        <v>-19</v>
      </c>
      <c r="U35" s="19">
        <v>-28.8</v>
      </c>
      <c r="V35" s="19">
        <v>-14.4</v>
      </c>
      <c r="W35" s="19">
        <v>-30.1</v>
      </c>
      <c r="X35" s="19">
        <v>-18.399999999999999</v>
      </c>
      <c r="Y35" s="19">
        <v>-35.9</v>
      </c>
      <c r="Z35" s="19">
        <v>-32.5</v>
      </c>
      <c r="AA35" s="19">
        <v>-20.399999999999999</v>
      </c>
      <c r="AB35" s="19">
        <v>-23.1</v>
      </c>
      <c r="AC35" s="19">
        <v>-25.8</v>
      </c>
      <c r="AD35" s="19">
        <v>-21</v>
      </c>
      <c r="AE35" s="19">
        <v>-19.2</v>
      </c>
    </row>
    <row r="36" spans="1:31" ht="30" x14ac:dyDescent="0.25">
      <c r="A36" s="11" t="s">
        <v>2</v>
      </c>
      <c r="B36" s="15">
        <f>(B24+B25+B26+B27+B28+B29+B30+B31+B32+B33+B34+B35)/12</f>
        <v>-1.9249999999999998</v>
      </c>
      <c r="C36" s="15">
        <f t="shared" ref="C36:J36" si="2">(C24+C25+C26+C27+C28+C29+C30+C31+C32+C33+C34+C35)/12</f>
        <v>-0.4916666666666667</v>
      </c>
      <c r="D36" s="15">
        <f t="shared" si="2"/>
        <v>-3.1500000000000004</v>
      </c>
      <c r="E36" s="15">
        <f t="shared" si="2"/>
        <v>-2.1083333333333334</v>
      </c>
      <c r="F36" s="15">
        <f t="shared" si="2"/>
        <v>-0.47499999999999992</v>
      </c>
      <c r="G36" s="15">
        <f t="shared" si="2"/>
        <v>-3.4500000000000006</v>
      </c>
      <c r="H36" s="15">
        <f t="shared" si="2"/>
        <v>-5.1499999999999995</v>
      </c>
      <c r="I36" s="15">
        <f t="shared" si="2"/>
        <v>-2.5750000000000002</v>
      </c>
      <c r="J36" s="15">
        <f t="shared" si="2"/>
        <v>-2.6750000000000003</v>
      </c>
      <c r="K36" s="15">
        <f>(K24+K25+K26+K27+K28+K29+K30+K31+K32+K33+K34+K35)/12</f>
        <v>-5.708333333333333</v>
      </c>
      <c r="L36" s="15">
        <f t="shared" ref="L36:AC36" si="3">(L24+L25+L26+L27+L28+L29+L30+L31+L32+L33+L34+L35)/12</f>
        <v>-3.9833333333333343</v>
      </c>
      <c r="M36" s="15">
        <f t="shared" si="3"/>
        <v>-2.6750000000000003</v>
      </c>
      <c r="N36" s="15">
        <f t="shared" si="3"/>
        <v>-12.041666666666666</v>
      </c>
      <c r="O36" s="15">
        <f t="shared" si="3"/>
        <v>-17.524999999999999</v>
      </c>
      <c r="P36" s="15">
        <f t="shared" si="3"/>
        <v>-21.425000000000001</v>
      </c>
      <c r="Q36" s="15">
        <f t="shared" si="3"/>
        <v>-25.191666666666666</v>
      </c>
      <c r="R36" s="15">
        <f t="shared" si="3"/>
        <v>-21.625</v>
      </c>
      <c r="S36" s="15">
        <f t="shared" si="3"/>
        <v>-14.58333333333333</v>
      </c>
      <c r="T36" s="15">
        <f t="shared" si="3"/>
        <v>-19.258333333333333</v>
      </c>
      <c r="U36" s="15">
        <f t="shared" si="3"/>
        <v>-25.216666666666669</v>
      </c>
      <c r="V36" s="15">
        <f t="shared" si="3"/>
        <v>-15.566666666666668</v>
      </c>
      <c r="W36" s="15">
        <f t="shared" si="3"/>
        <v>-24.450000000000003</v>
      </c>
      <c r="X36" s="15">
        <f t="shared" si="3"/>
        <v>-26.608333333333334</v>
      </c>
      <c r="Y36" s="15">
        <f t="shared" si="3"/>
        <v>-27.599999999999994</v>
      </c>
      <c r="Z36" s="15">
        <f t="shared" si="3"/>
        <v>-34.449999999999996</v>
      </c>
      <c r="AA36" s="15">
        <f t="shared" si="3"/>
        <v>-25.424999999999997</v>
      </c>
      <c r="AB36" s="15">
        <f t="shared" si="3"/>
        <v>-19.291666666666668</v>
      </c>
      <c r="AC36" s="15">
        <f t="shared" si="3"/>
        <v>-25.55</v>
      </c>
      <c r="AD36" s="15">
        <f>(AD24+AD25+AD26+AD27+AD28+AD29+AD30+AD31+AD32+AD33+AD34+AD35)/12</f>
        <v>-23.55</v>
      </c>
      <c r="AE36" s="15">
        <f>(AE24+AE25+AE26+AE27+AE28+AE29+AE30+AE31+AE32+AE33+AE34+AE35)/12</f>
        <v>-20.05</v>
      </c>
    </row>
    <row r="157" spans="6:6" x14ac:dyDescent="0.25">
      <c r="F157">
        <v>811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E1" activePane="topRight" state="frozen"/>
      <selection pane="topRight" activeCell="AI6" sqref="AI6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67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-18.600000000000001</v>
      </c>
      <c r="C4" s="19">
        <v>-25</v>
      </c>
      <c r="D4" s="19">
        <v>-23.2</v>
      </c>
      <c r="E4" s="19">
        <v>-9</v>
      </c>
      <c r="F4" s="19">
        <v>-11.8</v>
      </c>
      <c r="G4" s="19">
        <v>-8</v>
      </c>
      <c r="H4" s="19">
        <v>-15.8</v>
      </c>
      <c r="I4" s="19">
        <v>-17.7</v>
      </c>
      <c r="J4" s="19">
        <v>-12</v>
      </c>
      <c r="K4" s="19">
        <v>-30</v>
      </c>
      <c r="L4" s="19">
        <v>-30</v>
      </c>
      <c r="M4" s="19">
        <v>-31.5</v>
      </c>
      <c r="N4" s="19">
        <v>-28.6</v>
      </c>
      <c r="O4" s="19">
        <v>-30.5</v>
      </c>
      <c r="P4" s="19">
        <v>-20.5</v>
      </c>
      <c r="Q4" s="19">
        <v>-20.2</v>
      </c>
      <c r="R4" s="19">
        <v>-22.3</v>
      </c>
      <c r="S4" s="19">
        <v>-14.2</v>
      </c>
      <c r="T4" s="19">
        <v>-21</v>
      </c>
      <c r="U4" s="19">
        <v>-15.7</v>
      </c>
      <c r="V4" s="19">
        <v>-22.5</v>
      </c>
      <c r="W4" s="19">
        <v>-32.799999999999997</v>
      </c>
      <c r="X4" s="19">
        <v>-21</v>
      </c>
      <c r="Y4" s="19">
        <v>-14.1</v>
      </c>
      <c r="Z4" s="19">
        <v>-4.8</v>
      </c>
      <c r="AA4" s="19">
        <v>-1.6</v>
      </c>
      <c r="AB4" s="19">
        <v>-10.4</v>
      </c>
      <c r="AC4" s="19">
        <v>-18.8</v>
      </c>
      <c r="AD4" s="19">
        <v>-20</v>
      </c>
      <c r="AE4" s="19">
        <v>-31</v>
      </c>
      <c r="AF4" s="19">
        <v>-34.5</v>
      </c>
    </row>
    <row r="5" spans="1:33" x14ac:dyDescent="0.25">
      <c r="A5" s="10">
        <v>6</v>
      </c>
      <c r="B5" s="19">
        <v>-18.399999999999999</v>
      </c>
      <c r="C5" s="19">
        <v>-25</v>
      </c>
      <c r="D5" s="19">
        <v>-23.1</v>
      </c>
      <c r="E5" s="19">
        <v>-7.8</v>
      </c>
      <c r="F5" s="19">
        <v>-11.8</v>
      </c>
      <c r="G5" s="19">
        <v>-6.9</v>
      </c>
      <c r="H5" s="19">
        <v>-14.9</v>
      </c>
      <c r="I5" s="19">
        <v>-17.7</v>
      </c>
      <c r="J5" s="19">
        <v>-11.4</v>
      </c>
      <c r="K5" s="19">
        <v>-29</v>
      </c>
      <c r="L5" s="19">
        <v>-30</v>
      </c>
      <c r="M5" s="19">
        <v>-31.5</v>
      </c>
      <c r="N5" s="19">
        <v>-29.1</v>
      </c>
      <c r="O5" s="19">
        <v>-29.4</v>
      </c>
      <c r="P5" s="19">
        <v>-20.3</v>
      </c>
      <c r="Q5" s="19">
        <v>-20.2</v>
      </c>
      <c r="R5" s="19">
        <v>-22.3</v>
      </c>
      <c r="S5" s="19">
        <v>-14.7</v>
      </c>
      <c r="T5" s="19">
        <v>-21.5</v>
      </c>
      <c r="U5" s="19">
        <v>-15.9</v>
      </c>
      <c r="V5" s="19">
        <v>-22.5</v>
      </c>
      <c r="W5" s="19">
        <v>-31.4</v>
      </c>
      <c r="X5" s="19">
        <v>-18</v>
      </c>
      <c r="Y5" s="19">
        <v>-14.6</v>
      </c>
      <c r="Z5" s="19">
        <v>-4.7</v>
      </c>
      <c r="AA5" s="19">
        <v>-1.8</v>
      </c>
      <c r="AB5" s="19">
        <v>-10.4</v>
      </c>
      <c r="AC5" s="19">
        <v>-19</v>
      </c>
      <c r="AD5" s="19">
        <v>-19.8</v>
      </c>
      <c r="AE5" s="19">
        <v>-32</v>
      </c>
      <c r="AF5" s="19">
        <v>-34.200000000000003</v>
      </c>
    </row>
    <row r="6" spans="1:33" x14ac:dyDescent="0.25">
      <c r="A6" s="10">
        <v>8</v>
      </c>
      <c r="B6" s="19">
        <v>-18.600000000000001</v>
      </c>
      <c r="C6" s="19">
        <v>-25.2</v>
      </c>
      <c r="D6" s="19">
        <v>-22.9</v>
      </c>
      <c r="E6" s="19">
        <v>-6.9</v>
      </c>
      <c r="F6" s="19">
        <v>-12</v>
      </c>
      <c r="G6" s="19">
        <v>-7.5</v>
      </c>
      <c r="H6" s="19">
        <v>-14.2</v>
      </c>
      <c r="I6" s="19">
        <v>-17.100000000000001</v>
      </c>
      <c r="J6" s="19">
        <v>-15</v>
      </c>
      <c r="K6" s="19">
        <v>-28.2</v>
      </c>
      <c r="L6" s="19">
        <v>-31.3</v>
      </c>
      <c r="M6" s="19">
        <v>-31</v>
      </c>
      <c r="N6" s="19">
        <v>-29.7</v>
      </c>
      <c r="O6" s="19">
        <v>-27.6</v>
      </c>
      <c r="P6" s="19">
        <v>-20.9</v>
      </c>
      <c r="Q6" s="19">
        <v>-19.600000000000001</v>
      </c>
      <c r="R6" s="19">
        <v>-20.7</v>
      </c>
      <c r="S6" s="19">
        <v>-14.9</v>
      </c>
      <c r="T6" s="19">
        <v>-21.4</v>
      </c>
      <c r="U6" s="19">
        <v>-15.5</v>
      </c>
      <c r="V6" s="19">
        <v>-22</v>
      </c>
      <c r="W6" s="19">
        <v>-30.4</v>
      </c>
      <c r="X6" s="19">
        <v>-17.2</v>
      </c>
      <c r="Y6" s="19">
        <v>-13.3</v>
      </c>
      <c r="Z6" s="19">
        <v>-4.2</v>
      </c>
      <c r="AA6" s="19">
        <v>-2</v>
      </c>
      <c r="AB6" s="19">
        <v>-9.1</v>
      </c>
      <c r="AC6" s="19">
        <v>-17.7</v>
      </c>
      <c r="AD6" s="19">
        <v>-20.100000000000001</v>
      </c>
      <c r="AE6" s="19">
        <v>-32</v>
      </c>
      <c r="AF6" s="19">
        <v>-33.299999999999997</v>
      </c>
    </row>
    <row r="7" spans="1:33" x14ac:dyDescent="0.25">
      <c r="A7" s="10">
        <v>10</v>
      </c>
      <c r="B7" s="19">
        <v>-19.600000000000001</v>
      </c>
      <c r="C7" s="19">
        <v>-25</v>
      </c>
      <c r="D7" s="19">
        <v>-21.6</v>
      </c>
      <c r="E7" s="19">
        <v>-8</v>
      </c>
      <c r="F7" s="19">
        <v>-12.3</v>
      </c>
      <c r="G7" s="19">
        <v>-6.7</v>
      </c>
      <c r="H7" s="19">
        <v>-14.3</v>
      </c>
      <c r="I7" s="19">
        <v>-15.6</v>
      </c>
      <c r="J7" s="19">
        <v>-20.399999999999999</v>
      </c>
      <c r="K7" s="19">
        <v>-29.6</v>
      </c>
      <c r="L7" s="19">
        <v>-30.7</v>
      </c>
      <c r="M7" s="19">
        <v>-28.2</v>
      </c>
      <c r="N7" s="19">
        <v>-29.7</v>
      </c>
      <c r="O7" s="19">
        <v>-26.2</v>
      </c>
      <c r="P7" s="19">
        <v>-22.3</v>
      </c>
      <c r="Q7" s="19">
        <v>-19.899999999999999</v>
      </c>
      <c r="R7" s="19">
        <v>-20.3</v>
      </c>
      <c r="S7" s="19">
        <v>-14</v>
      </c>
      <c r="T7" s="19">
        <v>-24</v>
      </c>
      <c r="U7" s="19">
        <v>-14.8</v>
      </c>
      <c r="V7" s="19">
        <v>-22.6</v>
      </c>
      <c r="W7" s="19">
        <v>-32.299999999999997</v>
      </c>
      <c r="X7" s="19">
        <v>-17.3</v>
      </c>
      <c r="Y7" s="19">
        <v>-12.3</v>
      </c>
      <c r="Z7" s="19">
        <v>-3.4</v>
      </c>
      <c r="AA7" s="19">
        <v>-2.2000000000000002</v>
      </c>
      <c r="AB7" s="19">
        <v>-10.3</v>
      </c>
      <c r="AC7" s="19">
        <v>-18.2</v>
      </c>
      <c r="AD7" s="19">
        <v>-20</v>
      </c>
      <c r="AE7" s="19">
        <v>-32.5</v>
      </c>
      <c r="AF7" s="19">
        <v>-32.6</v>
      </c>
    </row>
    <row r="8" spans="1:33" x14ac:dyDescent="0.25">
      <c r="A8" s="10">
        <v>12</v>
      </c>
      <c r="B8" s="19">
        <v>-17.5</v>
      </c>
      <c r="C8" s="19">
        <v>-24.5</v>
      </c>
      <c r="D8" s="19">
        <v>-19.100000000000001</v>
      </c>
      <c r="E8" s="19">
        <v>-8.5</v>
      </c>
      <c r="F8" s="19">
        <v>-11.6</v>
      </c>
      <c r="G8" s="19">
        <v>-6.3</v>
      </c>
      <c r="H8" s="19">
        <v>-15.2</v>
      </c>
      <c r="I8" s="19">
        <v>-15.1</v>
      </c>
      <c r="J8" s="19">
        <v>-23.2</v>
      </c>
      <c r="K8" s="19">
        <v>-27.5</v>
      </c>
      <c r="L8" s="19">
        <v>-29.3</v>
      </c>
      <c r="M8" s="19">
        <v>-27.2</v>
      </c>
      <c r="N8" s="19">
        <v>-30.6</v>
      </c>
      <c r="O8" s="19">
        <v>-24.4</v>
      </c>
      <c r="P8" s="19">
        <v>-21.8</v>
      </c>
      <c r="Q8" s="19">
        <v>-19.7</v>
      </c>
      <c r="R8" s="19">
        <v>-19.100000000000001</v>
      </c>
      <c r="S8" s="19">
        <v>-11.3</v>
      </c>
      <c r="T8" s="19">
        <v>-23.8</v>
      </c>
      <c r="U8" s="19">
        <v>-14.5</v>
      </c>
      <c r="V8" s="19">
        <v>-23</v>
      </c>
      <c r="W8" s="19">
        <v>-30.4</v>
      </c>
      <c r="X8" s="19">
        <v>-16.600000000000001</v>
      </c>
      <c r="Y8" s="19">
        <v>-9.6999999999999993</v>
      </c>
      <c r="Z8" s="19">
        <v>-2.1</v>
      </c>
      <c r="AA8" s="19">
        <v>-2.4</v>
      </c>
      <c r="AB8" s="19">
        <v>-11.1</v>
      </c>
      <c r="AC8" s="19">
        <v>-18.8</v>
      </c>
      <c r="AD8" s="19">
        <v>-19.600000000000001</v>
      </c>
      <c r="AE8" s="19">
        <v>-31.5</v>
      </c>
      <c r="AF8" s="19">
        <v>-29.5</v>
      </c>
    </row>
    <row r="9" spans="1:33" x14ac:dyDescent="0.25">
      <c r="A9" s="10">
        <v>14</v>
      </c>
      <c r="B9" s="19">
        <v>-19.399999999999999</v>
      </c>
      <c r="C9" s="19">
        <v>-24.9</v>
      </c>
      <c r="D9" s="19">
        <v>-17.3</v>
      </c>
      <c r="E9" s="19">
        <v>-10</v>
      </c>
      <c r="F9" s="19">
        <v>-11.3</v>
      </c>
      <c r="G9" s="19">
        <v>-9.3000000000000007</v>
      </c>
      <c r="H9" s="19">
        <v>-15.2</v>
      </c>
      <c r="I9" s="19">
        <v>-14.9</v>
      </c>
      <c r="J9" s="19">
        <v>-26.6</v>
      </c>
      <c r="K9" s="19">
        <v>-28.4</v>
      </c>
      <c r="L9" s="19">
        <v>-29.2</v>
      </c>
      <c r="M9" s="19">
        <v>-25</v>
      </c>
      <c r="N9" s="19">
        <v>-30.7</v>
      </c>
      <c r="O9" s="19">
        <v>-22.6</v>
      </c>
      <c r="P9" s="19">
        <v>-21.1</v>
      </c>
      <c r="Q9" s="19">
        <v>-21.4</v>
      </c>
      <c r="R9" s="19">
        <v>-18.7</v>
      </c>
      <c r="S9" s="19">
        <v>-8.8000000000000007</v>
      </c>
      <c r="T9" s="19">
        <v>-22</v>
      </c>
      <c r="U9" s="19">
        <v>-14.7</v>
      </c>
      <c r="V9" s="19">
        <v>-23.2</v>
      </c>
      <c r="W9" s="19">
        <v>-28.5</v>
      </c>
      <c r="X9" s="19">
        <v>-16.100000000000001</v>
      </c>
      <c r="Y9" s="19">
        <v>-8.8000000000000007</v>
      </c>
      <c r="Z9" s="19">
        <v>-1.3</v>
      </c>
      <c r="AA9" s="19">
        <v>-2.9</v>
      </c>
      <c r="AB9" s="19">
        <v>-11.7</v>
      </c>
      <c r="AC9" s="19">
        <v>-19.3</v>
      </c>
      <c r="AD9" s="19">
        <v>-20.100000000000001</v>
      </c>
      <c r="AE9" s="19">
        <v>-32.799999999999997</v>
      </c>
      <c r="AF9" s="19">
        <v>-29.9</v>
      </c>
    </row>
    <row r="10" spans="1:33" x14ac:dyDescent="0.25">
      <c r="A10" s="10">
        <v>16</v>
      </c>
      <c r="B10" s="19">
        <v>-21.8</v>
      </c>
      <c r="C10" s="19">
        <v>-25.7</v>
      </c>
      <c r="D10" s="19">
        <v>-16.399999999999999</v>
      </c>
      <c r="E10" s="19">
        <v>-12.1</v>
      </c>
      <c r="F10" s="19">
        <v>-10.6</v>
      </c>
      <c r="G10" s="19">
        <v>-10.199999999999999</v>
      </c>
      <c r="H10" s="19">
        <v>-15.6</v>
      </c>
      <c r="I10" s="19">
        <v>-14.6</v>
      </c>
      <c r="J10" s="19">
        <v>-28.6</v>
      </c>
      <c r="K10" s="19">
        <v>-29.4</v>
      </c>
      <c r="L10" s="19">
        <v>-30.9</v>
      </c>
      <c r="M10" s="19">
        <v>-24.7</v>
      </c>
      <c r="N10" s="19">
        <v>-32.1</v>
      </c>
      <c r="O10" s="19">
        <v>-20.6</v>
      </c>
      <c r="P10" s="19">
        <v>-20.9</v>
      </c>
      <c r="Q10" s="19">
        <v>-21.9</v>
      </c>
      <c r="R10" s="19">
        <v>-18.3</v>
      </c>
      <c r="S10" s="19">
        <v>-10.3</v>
      </c>
      <c r="T10" s="19">
        <v>-22.3</v>
      </c>
      <c r="U10" s="19">
        <v>-15</v>
      </c>
      <c r="V10" s="19">
        <v>-24.3</v>
      </c>
      <c r="W10" s="19">
        <v>-28.1</v>
      </c>
      <c r="X10" s="19">
        <v>-15.8</v>
      </c>
      <c r="Y10" s="19">
        <v>-7.2</v>
      </c>
      <c r="Z10" s="19">
        <v>-1</v>
      </c>
      <c r="AA10" s="19">
        <v>-4.4000000000000004</v>
      </c>
      <c r="AB10" s="19">
        <v>-11.2</v>
      </c>
      <c r="AC10" s="19">
        <v>-19</v>
      </c>
      <c r="AD10" s="19">
        <v>-21.2</v>
      </c>
      <c r="AE10" s="19">
        <v>-34</v>
      </c>
      <c r="AF10" s="19">
        <v>-31.7</v>
      </c>
    </row>
    <row r="11" spans="1:33" x14ac:dyDescent="0.25">
      <c r="A11" s="10">
        <v>18</v>
      </c>
      <c r="B11" s="19">
        <v>-21.9</v>
      </c>
      <c r="C11" s="19">
        <v>-25.3</v>
      </c>
      <c r="D11" s="19">
        <v>-14.9</v>
      </c>
      <c r="E11" s="19">
        <v>-12.9</v>
      </c>
      <c r="F11" s="19">
        <v>-9.8000000000000007</v>
      </c>
      <c r="G11" s="19">
        <v>-9.8000000000000007</v>
      </c>
      <c r="H11" s="19">
        <v>-15.7</v>
      </c>
      <c r="I11" s="19">
        <v>-12.8</v>
      </c>
      <c r="J11" s="19">
        <v>-29.8</v>
      </c>
      <c r="K11" s="19">
        <v>-29.6</v>
      </c>
      <c r="L11" s="19">
        <v>-31.7</v>
      </c>
      <c r="M11" s="19">
        <v>-25.2</v>
      </c>
      <c r="N11" s="19">
        <v>-31.6</v>
      </c>
      <c r="O11" s="19">
        <v>-18.7</v>
      </c>
      <c r="P11" s="19">
        <v>-19.100000000000001</v>
      </c>
      <c r="Q11" s="19">
        <v>-22.2</v>
      </c>
      <c r="R11" s="19">
        <v>-18.600000000000001</v>
      </c>
      <c r="S11" s="19">
        <v>-9.4</v>
      </c>
      <c r="T11" s="19">
        <v>-20.9</v>
      </c>
      <c r="U11" s="19">
        <v>-15.3</v>
      </c>
      <c r="V11" s="19">
        <v>-26.5</v>
      </c>
      <c r="W11" s="19">
        <v>-25.5</v>
      </c>
      <c r="X11" s="19">
        <v>-14.9</v>
      </c>
      <c r="Y11" s="19">
        <v>-6.3</v>
      </c>
      <c r="Z11" s="19">
        <v>0</v>
      </c>
      <c r="AA11" s="19">
        <v>-6.7</v>
      </c>
      <c r="AB11" s="19">
        <v>-10.8</v>
      </c>
      <c r="AC11" s="19">
        <v>-17.399999999999999</v>
      </c>
      <c r="AD11" s="19">
        <v>-21.1</v>
      </c>
      <c r="AE11" s="19">
        <v>-35</v>
      </c>
      <c r="AF11" s="19">
        <v>-32</v>
      </c>
    </row>
    <row r="12" spans="1:33" x14ac:dyDescent="0.25">
      <c r="A12" s="10">
        <v>20</v>
      </c>
      <c r="B12" s="19">
        <v>-22.8</v>
      </c>
      <c r="C12" s="19">
        <v>-24.4</v>
      </c>
      <c r="D12" s="19">
        <v>-14.8</v>
      </c>
      <c r="E12" s="19">
        <v>-13.4</v>
      </c>
      <c r="F12" s="19">
        <v>-8.9</v>
      </c>
      <c r="G12" s="19">
        <v>-12.4</v>
      </c>
      <c r="H12" s="19">
        <v>-16.399999999999999</v>
      </c>
      <c r="I12" s="19">
        <v>-13.6</v>
      </c>
      <c r="J12" s="19">
        <v>-32</v>
      </c>
      <c r="K12" s="19">
        <v>-29.9</v>
      </c>
      <c r="L12" s="19">
        <v>-30.5</v>
      </c>
      <c r="M12" s="19">
        <v>-25.4</v>
      </c>
      <c r="N12" s="19">
        <v>-31.7</v>
      </c>
      <c r="O12" s="19">
        <v>-17.399999999999999</v>
      </c>
      <c r="P12" s="19">
        <v>-19.3</v>
      </c>
      <c r="Q12" s="19">
        <v>-22.6</v>
      </c>
      <c r="R12" s="19">
        <v>-18.100000000000001</v>
      </c>
      <c r="S12" s="19">
        <v>-12</v>
      </c>
      <c r="T12" s="19">
        <v>-18.7</v>
      </c>
      <c r="U12" s="19">
        <v>-15.7</v>
      </c>
      <c r="V12" s="19">
        <v>-28.9</v>
      </c>
      <c r="W12" s="19">
        <v>-25.9</v>
      </c>
      <c r="X12" s="19">
        <v>-14.6</v>
      </c>
      <c r="Y12" s="19">
        <v>-6.8</v>
      </c>
      <c r="Z12" s="19">
        <v>-0.9</v>
      </c>
      <c r="AA12" s="19">
        <v>-11.3</v>
      </c>
      <c r="AB12" s="19">
        <v>-11.4</v>
      </c>
      <c r="AC12" s="19">
        <v>-16</v>
      </c>
      <c r="AD12" s="19">
        <v>-24.6</v>
      </c>
      <c r="AE12" s="19">
        <v>-34.5</v>
      </c>
      <c r="AF12" s="19">
        <v>-33.1</v>
      </c>
    </row>
    <row r="13" spans="1:33" x14ac:dyDescent="0.25">
      <c r="A13" s="10">
        <v>22</v>
      </c>
      <c r="B13" s="19">
        <v>-24.3</v>
      </c>
      <c r="C13" s="19">
        <v>-24.1</v>
      </c>
      <c r="D13" s="19">
        <v>-13.4</v>
      </c>
      <c r="E13" s="19">
        <v>-13.5</v>
      </c>
      <c r="F13" s="19">
        <v>-8</v>
      </c>
      <c r="G13" s="19">
        <v>-15.6</v>
      </c>
      <c r="H13" s="19">
        <v>-17</v>
      </c>
      <c r="I13" s="19">
        <v>-13.2</v>
      </c>
      <c r="J13" s="19">
        <v>-31.1</v>
      </c>
      <c r="K13" s="19">
        <v>-30.5</v>
      </c>
      <c r="L13" s="19">
        <v>-30.7</v>
      </c>
      <c r="M13" s="19">
        <v>-26.6</v>
      </c>
      <c r="N13" s="19">
        <v>-32.4</v>
      </c>
      <c r="O13" s="19">
        <v>-16.7</v>
      </c>
      <c r="P13" s="19">
        <v>-19</v>
      </c>
      <c r="Q13" s="19">
        <v>-22.3</v>
      </c>
      <c r="R13" s="19">
        <v>-16.8</v>
      </c>
      <c r="S13" s="19">
        <v>-15.7</v>
      </c>
      <c r="T13" s="19">
        <v>-18.3</v>
      </c>
      <c r="U13" s="19">
        <v>-16.399999999999999</v>
      </c>
      <c r="V13" s="19">
        <v>-30.1</v>
      </c>
      <c r="W13" s="19">
        <v>-26.5</v>
      </c>
      <c r="X13" s="19">
        <v>-14.1</v>
      </c>
      <c r="Y13" s="19">
        <v>-6.5</v>
      </c>
      <c r="Z13" s="19">
        <v>-1</v>
      </c>
      <c r="AA13" s="19">
        <v>-12.5</v>
      </c>
      <c r="AB13" s="19">
        <v>-12.4</v>
      </c>
      <c r="AC13" s="19">
        <v>-15.5</v>
      </c>
      <c r="AD13" s="19">
        <v>-27.5</v>
      </c>
      <c r="AE13" s="19">
        <v>-35</v>
      </c>
      <c r="AF13" s="19">
        <v>-34</v>
      </c>
    </row>
    <row r="14" spans="1:33" x14ac:dyDescent="0.25">
      <c r="A14" s="10">
        <v>24</v>
      </c>
      <c r="B14" s="19">
        <v>-26</v>
      </c>
      <c r="C14" s="19">
        <v>-23.8</v>
      </c>
      <c r="D14" s="19">
        <v>-12.1</v>
      </c>
      <c r="E14" s="19">
        <v>-13.2</v>
      </c>
      <c r="F14" s="19">
        <v>-7.7</v>
      </c>
      <c r="G14" s="19">
        <v>-16.3</v>
      </c>
      <c r="H14" s="19">
        <v>-17.899999999999999</v>
      </c>
      <c r="I14" s="19">
        <v>-12.9</v>
      </c>
      <c r="J14" s="19">
        <v>-30.4</v>
      </c>
      <c r="K14" s="19">
        <v>-31.4</v>
      </c>
      <c r="L14" s="19">
        <v>-30</v>
      </c>
      <c r="M14" s="19">
        <v>-27.6</v>
      </c>
      <c r="N14" s="19">
        <v>-32.200000000000003</v>
      </c>
      <c r="O14" s="19">
        <v>-16.100000000000001</v>
      </c>
      <c r="P14" s="19">
        <v>-18.3</v>
      </c>
      <c r="Q14" s="19">
        <v>-24.9</v>
      </c>
      <c r="R14" s="19">
        <v>-15.7</v>
      </c>
      <c r="S14" s="19">
        <v>-18.2</v>
      </c>
      <c r="T14" s="19">
        <v>-17.899999999999999</v>
      </c>
      <c r="U14" s="19">
        <v>-16.5</v>
      </c>
      <c r="V14" s="19">
        <v>-30.7</v>
      </c>
      <c r="W14" s="19">
        <v>-26.3</v>
      </c>
      <c r="X14" s="19">
        <v>-13.7</v>
      </c>
      <c r="Y14" s="19">
        <v>-5.7</v>
      </c>
      <c r="Z14" s="19">
        <v>-1</v>
      </c>
      <c r="AA14" s="19">
        <v>-13.6</v>
      </c>
      <c r="AB14" s="19">
        <v>-13.2</v>
      </c>
      <c r="AC14" s="19">
        <v>-15.6</v>
      </c>
      <c r="AD14" s="19">
        <v>-29.4</v>
      </c>
      <c r="AE14" s="19">
        <v>-34</v>
      </c>
      <c r="AF14" s="19">
        <v>-34.1</v>
      </c>
    </row>
    <row r="15" spans="1:33" x14ac:dyDescent="0.25">
      <c r="A15" s="10">
        <v>2</v>
      </c>
      <c r="B15" s="19">
        <v>-26.8</v>
      </c>
      <c r="C15" s="19">
        <v>-23.4</v>
      </c>
      <c r="D15" s="19">
        <v>-10.6</v>
      </c>
      <c r="E15" s="19">
        <v>-12.4</v>
      </c>
      <c r="F15" s="19">
        <v>-6.7</v>
      </c>
      <c r="G15" s="19">
        <v>-16.3</v>
      </c>
      <c r="H15" s="19">
        <v>-18.2</v>
      </c>
      <c r="I15" s="19">
        <v>-12.3</v>
      </c>
      <c r="J15" s="19">
        <v>-30.5</v>
      </c>
      <c r="K15" s="19">
        <v>-31.2</v>
      </c>
      <c r="L15" s="19">
        <v>-30.1</v>
      </c>
      <c r="M15" s="19">
        <v>-28.7</v>
      </c>
      <c r="N15" s="19">
        <v>-31.4</v>
      </c>
      <c r="O15" s="19">
        <v>-16.3</v>
      </c>
      <c r="P15" s="19">
        <v>-18.3</v>
      </c>
      <c r="Q15" s="19">
        <v>-23.9</v>
      </c>
      <c r="R15" s="19">
        <v>-14.8</v>
      </c>
      <c r="S15" s="19">
        <v>-19.2</v>
      </c>
      <c r="T15" s="19">
        <v>-17.5</v>
      </c>
      <c r="U15" s="19">
        <v>-16.399999999999999</v>
      </c>
      <c r="V15" s="19">
        <v>-32.799999999999997</v>
      </c>
      <c r="W15" s="19">
        <v>-23.3</v>
      </c>
      <c r="X15" s="19">
        <v>-13.4</v>
      </c>
      <c r="Y15" s="19">
        <v>-5.4</v>
      </c>
      <c r="Z15" s="19">
        <v>-1.6</v>
      </c>
      <c r="AA15" s="19">
        <v>-10.5</v>
      </c>
      <c r="AB15" s="19">
        <v>-15.2</v>
      </c>
      <c r="AC15" s="19">
        <v>-16.2</v>
      </c>
      <c r="AD15" s="19">
        <v>-31.15</v>
      </c>
      <c r="AE15" s="19">
        <v>-35.200000000000003</v>
      </c>
      <c r="AF15" s="19">
        <v>-34.700000000000003</v>
      </c>
    </row>
    <row r="16" spans="1:33" ht="30" x14ac:dyDescent="0.25">
      <c r="A16" s="11" t="s">
        <v>2</v>
      </c>
      <c r="B16" s="15">
        <f>(B4+B5+B6+B7+B8+B9+B10+B11+B12+B13+B14+B15)/12</f>
        <v>-21.308333333333337</v>
      </c>
      <c r="C16" s="15">
        <f t="shared" ref="C16:O16" si="0">(C4+C5+C6+C7+C8+C9+C10+C11+C12+C13+C14+C15)/12</f>
        <v>-24.691666666666663</v>
      </c>
      <c r="D16" s="15">
        <f t="shared" si="0"/>
        <v>-17.45</v>
      </c>
      <c r="E16" s="15">
        <f t="shared" si="0"/>
        <v>-10.641666666666667</v>
      </c>
      <c r="F16" s="15">
        <f t="shared" si="0"/>
        <v>-10.208333333333334</v>
      </c>
      <c r="G16" s="15">
        <f t="shared" si="0"/>
        <v>-10.441666666666666</v>
      </c>
      <c r="H16" s="15">
        <f t="shared" si="0"/>
        <v>-15.866666666666667</v>
      </c>
      <c r="I16" s="15">
        <f t="shared" si="0"/>
        <v>-14.791666666666666</v>
      </c>
      <c r="J16" s="15">
        <f t="shared" si="0"/>
        <v>-24.25</v>
      </c>
      <c r="K16" s="15">
        <f t="shared" si="0"/>
        <v>-29.558333333333334</v>
      </c>
      <c r="L16" s="15">
        <f t="shared" si="0"/>
        <v>-30.366666666666671</v>
      </c>
      <c r="M16" s="15">
        <f t="shared" si="0"/>
        <v>-27.716666666666669</v>
      </c>
      <c r="N16" s="15">
        <f t="shared" si="0"/>
        <v>-30.816666666666663</v>
      </c>
      <c r="O16" s="15">
        <f t="shared" si="0"/>
        <v>-22.208333333333329</v>
      </c>
      <c r="P16" s="15">
        <f>(P4+P5+P6+P7+P8+P9+P10+P11+P12+P13+P14+P15)/12</f>
        <v>-20.150000000000002</v>
      </c>
      <c r="Q16" s="15">
        <f>(Q4+Q5+Q6+Q7+Q8+Q9+Q10+Q11+Q12+Q13+Q14+Q15)/12</f>
        <v>-21.566666666666666</v>
      </c>
      <c r="R16" s="15">
        <f>(R4+R5+R6+R7+R8+R9+R10+R11+R12+R13+R14+R15)/12</f>
        <v>-18.808333333333334</v>
      </c>
      <c r="S16" s="15">
        <f t="shared" ref="S16:AF16" si="1">(S4+S5+S6+S7+S8+S9+S10+S11+S12+S13+S14+S15)/12</f>
        <v>-13.558333333333332</v>
      </c>
      <c r="T16" s="15">
        <f t="shared" si="1"/>
        <v>-20.775000000000002</v>
      </c>
      <c r="U16" s="15">
        <f t="shared" si="1"/>
        <v>-15.533333333333333</v>
      </c>
      <c r="V16" s="15">
        <f t="shared" si="1"/>
        <v>-25.758333333333336</v>
      </c>
      <c r="W16" s="15">
        <f t="shared" si="1"/>
        <v>-28.45</v>
      </c>
      <c r="X16" s="15">
        <f t="shared" si="1"/>
        <v>-16.05833333333333</v>
      </c>
      <c r="Y16" s="15">
        <f t="shared" si="1"/>
        <v>-9.2249999999999996</v>
      </c>
      <c r="Z16" s="15">
        <f t="shared" si="1"/>
        <v>-2.1666666666666665</v>
      </c>
      <c r="AA16" s="15">
        <f t="shared" si="1"/>
        <v>-5.9916666666666671</v>
      </c>
      <c r="AB16" s="15">
        <f t="shared" si="1"/>
        <v>-11.433333333333335</v>
      </c>
      <c r="AC16" s="15">
        <f t="shared" si="1"/>
        <v>-17.625</v>
      </c>
      <c r="AD16" s="15">
        <f t="shared" si="1"/>
        <v>-22.879166666666663</v>
      </c>
      <c r="AE16" s="15">
        <f t="shared" si="1"/>
        <v>-33.291666666666664</v>
      </c>
      <c r="AF16" s="15">
        <f t="shared" si="1"/>
        <v>-32.800000000000004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67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-21.8</v>
      </c>
      <c r="C24" s="19">
        <v>-27.7</v>
      </c>
      <c r="D24" s="19">
        <v>-23.9</v>
      </c>
      <c r="E24" s="19">
        <v>-9.6999999999999993</v>
      </c>
      <c r="F24" s="19">
        <v>-12.1</v>
      </c>
      <c r="G24" s="19">
        <v>-5.5</v>
      </c>
      <c r="H24" s="19">
        <v>-16.399999999999999</v>
      </c>
      <c r="I24" s="19">
        <v>-17.5</v>
      </c>
      <c r="J24" s="19">
        <v>-12.8</v>
      </c>
      <c r="K24" s="19">
        <v>-31.2</v>
      </c>
      <c r="L24" s="19">
        <v>-33.5</v>
      </c>
      <c r="M24" s="19">
        <v>-29.3</v>
      </c>
      <c r="N24" s="19">
        <v>-29.5</v>
      </c>
      <c r="O24" s="19">
        <v>-31.4</v>
      </c>
      <c r="P24" s="19">
        <v>-16.3</v>
      </c>
      <c r="Q24" s="19">
        <v>-19.8</v>
      </c>
      <c r="R24" s="19">
        <v>-23.2</v>
      </c>
      <c r="S24" s="19">
        <v>-14.4</v>
      </c>
      <c r="T24" s="19">
        <v>-19.5</v>
      </c>
      <c r="U24" s="19">
        <v>-16.8</v>
      </c>
      <c r="V24" s="19">
        <v>-16.7</v>
      </c>
      <c r="W24" s="19">
        <v>-33.299999999999997</v>
      </c>
      <c r="X24" s="19">
        <v>-20.9</v>
      </c>
      <c r="Y24" s="19">
        <v>-13.1</v>
      </c>
      <c r="Z24" s="19">
        <v>-4.8</v>
      </c>
      <c r="AA24" s="19">
        <v>-0.4</v>
      </c>
      <c r="AB24" s="19">
        <v>-11</v>
      </c>
      <c r="AC24" s="19">
        <v>-17.899999999999999</v>
      </c>
      <c r="AD24" s="19">
        <v>-22</v>
      </c>
      <c r="AE24" s="19">
        <v>-31.6</v>
      </c>
      <c r="AF24" s="19">
        <v>-34.1</v>
      </c>
    </row>
    <row r="25" spans="1:32" x14ac:dyDescent="0.25">
      <c r="A25" s="10">
        <v>6</v>
      </c>
      <c r="B25" s="19">
        <v>-22.5</v>
      </c>
      <c r="C25" s="19">
        <v>-26.2</v>
      </c>
      <c r="D25" s="19">
        <v>-23.3</v>
      </c>
      <c r="E25" s="19">
        <v>-8.6</v>
      </c>
      <c r="F25" s="19">
        <v>-11.6</v>
      </c>
      <c r="G25" s="19">
        <v>-5.6</v>
      </c>
      <c r="H25" s="19">
        <v>-15.2</v>
      </c>
      <c r="I25" s="19">
        <v>-17.100000000000001</v>
      </c>
      <c r="J25" s="19">
        <v>-11.4</v>
      </c>
      <c r="K25" s="19">
        <v>-29.9</v>
      </c>
      <c r="L25" s="19">
        <v>-33.4</v>
      </c>
      <c r="M25" s="19">
        <v>-30.9</v>
      </c>
      <c r="N25" s="19">
        <v>-30.3</v>
      </c>
      <c r="O25" s="19">
        <v>-30.7</v>
      </c>
      <c r="P25" s="19">
        <v>-18.600000000000001</v>
      </c>
      <c r="Q25" s="19">
        <v>-19.899999999999999</v>
      </c>
      <c r="R25" s="19">
        <v>-22.6</v>
      </c>
      <c r="S25" s="19">
        <v>-13.9</v>
      </c>
      <c r="T25" s="19">
        <v>-20.9</v>
      </c>
      <c r="U25" s="19">
        <v>-16.7</v>
      </c>
      <c r="V25" s="19">
        <v>-19.8</v>
      </c>
      <c r="W25" s="19">
        <v>-32.5</v>
      </c>
      <c r="X25" s="19">
        <v>-18.899999999999999</v>
      </c>
      <c r="Y25" s="19">
        <v>-12.9</v>
      </c>
      <c r="Z25" s="19">
        <v>-4.2</v>
      </c>
      <c r="AA25" s="19">
        <v>-0.7</v>
      </c>
      <c r="AB25" s="19">
        <v>-10.6</v>
      </c>
      <c r="AC25" s="19">
        <v>-18.399999999999999</v>
      </c>
      <c r="AD25" s="19">
        <v>-22.9</v>
      </c>
      <c r="AE25" s="19">
        <v>-33.200000000000003</v>
      </c>
      <c r="AF25" s="19">
        <v>-32.9</v>
      </c>
    </row>
    <row r="26" spans="1:32" x14ac:dyDescent="0.25">
      <c r="A26" s="10">
        <v>8</v>
      </c>
      <c r="B26" s="19">
        <v>-22.8</v>
      </c>
      <c r="C26" s="19">
        <v>-25.7</v>
      </c>
      <c r="D26" s="19">
        <v>-22.5</v>
      </c>
      <c r="E26" s="19">
        <v>-7.2</v>
      </c>
      <c r="F26" s="19">
        <v>-11.4</v>
      </c>
      <c r="G26" s="19">
        <v>-5.9</v>
      </c>
      <c r="H26" s="19">
        <v>-14</v>
      </c>
      <c r="I26" s="19">
        <v>-16.899999999999999</v>
      </c>
      <c r="J26" s="19">
        <v>-10.9</v>
      </c>
      <c r="K26" s="19">
        <v>-28.2</v>
      </c>
      <c r="L26" s="19">
        <v>-33.9</v>
      </c>
      <c r="M26" s="19">
        <v>-31.5</v>
      </c>
      <c r="N26" s="19">
        <v>-31.8</v>
      </c>
      <c r="O26" s="19">
        <v>-28.6</v>
      </c>
      <c r="P26" s="19">
        <v>-19.8</v>
      </c>
      <c r="Q26" s="19">
        <v>-20</v>
      </c>
      <c r="R26" s="19">
        <v>-21.2</v>
      </c>
      <c r="S26" s="19">
        <v>-14.5</v>
      </c>
      <c r="T26" s="19">
        <v>-21.4</v>
      </c>
      <c r="U26" s="19">
        <v>-15.9</v>
      </c>
      <c r="V26" s="19">
        <v>-19.7</v>
      </c>
      <c r="W26" s="19">
        <v>-31.2</v>
      </c>
      <c r="X26" s="19">
        <v>-17.600000000000001</v>
      </c>
      <c r="Y26" s="19">
        <v>-14.8</v>
      </c>
      <c r="Z26" s="19">
        <v>-3.9</v>
      </c>
      <c r="AA26" s="19">
        <v>-0.8</v>
      </c>
      <c r="AB26" s="19">
        <v>-9.4</v>
      </c>
      <c r="AC26" s="19">
        <v>-20.100000000000001</v>
      </c>
      <c r="AD26" s="19">
        <v>-23.8</v>
      </c>
      <c r="AE26" s="19">
        <v>-34.1</v>
      </c>
      <c r="AF26" s="19">
        <v>-32.4</v>
      </c>
    </row>
    <row r="27" spans="1:32" x14ac:dyDescent="0.25">
      <c r="A27" s="10">
        <v>10</v>
      </c>
      <c r="B27" s="19">
        <v>-23</v>
      </c>
      <c r="C27" s="19">
        <v>-25.9</v>
      </c>
      <c r="D27" s="19">
        <v>-20.3</v>
      </c>
      <c r="E27" s="19">
        <v>-8.6</v>
      </c>
      <c r="F27" s="19">
        <v>-11.6</v>
      </c>
      <c r="G27" s="19">
        <v>-6.4</v>
      </c>
      <c r="H27" s="19">
        <v>-13.4</v>
      </c>
      <c r="I27" s="19">
        <v>-16</v>
      </c>
      <c r="J27" s="19">
        <v>-20.100000000000001</v>
      </c>
      <c r="K27" s="19">
        <v>-28</v>
      </c>
      <c r="L27" s="19">
        <v>-33.700000000000003</v>
      </c>
      <c r="M27" s="19">
        <v>-29.6</v>
      </c>
      <c r="N27" s="19">
        <v>-31.9</v>
      </c>
      <c r="O27" s="19">
        <v>-27.5</v>
      </c>
      <c r="P27" s="19">
        <v>-20.3</v>
      </c>
      <c r="Q27" s="19">
        <v>-19.3</v>
      </c>
      <c r="R27" s="19">
        <v>-20.3</v>
      </c>
      <c r="S27" s="19">
        <v>-15.1</v>
      </c>
      <c r="T27" s="19">
        <v>-24.1</v>
      </c>
      <c r="U27" s="19">
        <v>-15.5</v>
      </c>
      <c r="V27" s="19">
        <v>-22.1</v>
      </c>
      <c r="W27" s="19">
        <v>-31.3</v>
      </c>
      <c r="X27" s="19">
        <v>-16.7</v>
      </c>
      <c r="Y27" s="19">
        <v>-13</v>
      </c>
      <c r="Z27" s="19">
        <v>-3.3</v>
      </c>
      <c r="AA27" s="19">
        <v>-1.1000000000000001</v>
      </c>
      <c r="AB27" s="19">
        <v>-10.4</v>
      </c>
      <c r="AC27" s="19">
        <v>-20.2</v>
      </c>
      <c r="AD27" s="19">
        <v>-24.4</v>
      </c>
      <c r="AE27" s="19">
        <v>-34.799999999999997</v>
      </c>
      <c r="AF27" s="19">
        <v>-32</v>
      </c>
    </row>
    <row r="28" spans="1:32" x14ac:dyDescent="0.25">
      <c r="A28" s="10">
        <v>12</v>
      </c>
      <c r="B28" s="19">
        <v>-20.8</v>
      </c>
      <c r="C28" s="19">
        <v>-24.7</v>
      </c>
      <c r="D28" s="19">
        <v>-18.5</v>
      </c>
      <c r="E28" s="19">
        <v>-9.4</v>
      </c>
      <c r="F28" s="19">
        <v>-11.5</v>
      </c>
      <c r="G28" s="19">
        <v>-6.3</v>
      </c>
      <c r="H28" s="19">
        <v>-14.1</v>
      </c>
      <c r="I28" s="19">
        <v>-14.9</v>
      </c>
      <c r="J28" s="19">
        <v>-23.1</v>
      </c>
      <c r="K28" s="19">
        <v>-28.3</v>
      </c>
      <c r="L28" s="19">
        <v>-31.5</v>
      </c>
      <c r="M28" s="19">
        <v>-27.3</v>
      </c>
      <c r="N28" s="19">
        <v>-31.2</v>
      </c>
      <c r="O28" s="19">
        <v>-25.8</v>
      </c>
      <c r="P28" s="19">
        <v>-20.399999999999999</v>
      </c>
      <c r="Q28" s="19">
        <v>-19</v>
      </c>
      <c r="R28" s="19">
        <v>-19.3</v>
      </c>
      <c r="S28" s="19">
        <v>-13.1</v>
      </c>
      <c r="T28" s="19">
        <v>-23.2</v>
      </c>
      <c r="U28" s="19">
        <v>-15.3</v>
      </c>
      <c r="V28" s="19">
        <v>-22.5</v>
      </c>
      <c r="W28" s="19">
        <v>-32.1</v>
      </c>
      <c r="X28" s="19">
        <v>-16.600000000000001</v>
      </c>
      <c r="Y28" s="19">
        <v>-12</v>
      </c>
      <c r="Z28" s="19">
        <v>-2.2000000000000002</v>
      </c>
      <c r="AA28" s="19">
        <v>-1.4</v>
      </c>
      <c r="AB28" s="19">
        <v>-11.3</v>
      </c>
      <c r="AC28" s="19">
        <v>-19.2</v>
      </c>
      <c r="AD28" s="19">
        <v>-23</v>
      </c>
      <c r="AE28" s="19">
        <v>-33.799999999999997</v>
      </c>
      <c r="AF28" s="19">
        <v>-29.6</v>
      </c>
    </row>
    <row r="29" spans="1:32" x14ac:dyDescent="0.25">
      <c r="A29" s="10">
        <v>14</v>
      </c>
      <c r="B29" s="19">
        <v>-20.399999999999999</v>
      </c>
      <c r="C29" s="19">
        <v>-24.8</v>
      </c>
      <c r="D29" s="19">
        <v>-16.7</v>
      </c>
      <c r="E29" s="19">
        <v>-11.2</v>
      </c>
      <c r="F29" s="19">
        <v>-11.2</v>
      </c>
      <c r="G29" s="19">
        <v>-6.2</v>
      </c>
      <c r="H29" s="19">
        <v>-14.8</v>
      </c>
      <c r="I29" s="19">
        <v>-15.3</v>
      </c>
      <c r="J29" s="19">
        <v>-27.3</v>
      </c>
      <c r="K29" s="19">
        <v>-29.2</v>
      </c>
      <c r="L29" s="19">
        <v>-31</v>
      </c>
      <c r="M29" s="19">
        <v>-26.2</v>
      </c>
      <c r="N29" s="19">
        <v>-31.1</v>
      </c>
      <c r="O29" s="19">
        <v>-23.4</v>
      </c>
      <c r="P29" s="19">
        <v>-20.3</v>
      </c>
      <c r="Q29" s="19">
        <v>-20.6</v>
      </c>
      <c r="R29" s="19">
        <v>-19.100000000000001</v>
      </c>
      <c r="S29" s="19">
        <v>-9.1</v>
      </c>
      <c r="T29" s="19">
        <v>-23</v>
      </c>
      <c r="U29" s="19">
        <v>-15.3</v>
      </c>
      <c r="V29" s="19">
        <v>-24.3</v>
      </c>
      <c r="W29" s="19">
        <v>-30.9</v>
      </c>
      <c r="X29" s="19">
        <v>-16</v>
      </c>
      <c r="Y29" s="19">
        <v>-10.3</v>
      </c>
      <c r="Z29" s="19">
        <v>-1</v>
      </c>
      <c r="AA29" s="19">
        <v>-1.9</v>
      </c>
      <c r="AB29" s="19">
        <v>-11.8</v>
      </c>
      <c r="AC29" s="19">
        <v>-17.3</v>
      </c>
      <c r="AD29" s="19">
        <v>-22.5</v>
      </c>
      <c r="AE29" s="19">
        <v>-34.200000000000003</v>
      </c>
      <c r="AF29" s="19">
        <v>-30</v>
      </c>
    </row>
    <row r="30" spans="1:32" x14ac:dyDescent="0.25">
      <c r="A30" s="10">
        <v>16</v>
      </c>
      <c r="B30" s="19">
        <v>-23.2</v>
      </c>
      <c r="C30" s="19">
        <v>-25.5</v>
      </c>
      <c r="D30" s="19">
        <v>-15.8</v>
      </c>
      <c r="E30" s="19">
        <v>-12.5</v>
      </c>
      <c r="F30" s="19">
        <v>-10.3</v>
      </c>
      <c r="G30" s="19">
        <v>-9.1999999999999993</v>
      </c>
      <c r="H30" s="19">
        <v>-15.1</v>
      </c>
      <c r="I30" s="19">
        <v>-15.2</v>
      </c>
      <c r="J30" s="19">
        <v>-29.1</v>
      </c>
      <c r="K30" s="19">
        <v>-29.9</v>
      </c>
      <c r="L30" s="19">
        <v>-30.3</v>
      </c>
      <c r="M30" s="19">
        <v>-25.6</v>
      </c>
      <c r="N30" s="19">
        <v>-32.299999999999997</v>
      </c>
      <c r="O30" s="19">
        <v>-20.9</v>
      </c>
      <c r="P30" s="19">
        <v>-21.2</v>
      </c>
      <c r="Q30" s="19">
        <v>-21.7</v>
      </c>
      <c r="R30" s="19">
        <v>-18.5</v>
      </c>
      <c r="S30" s="19">
        <v>-10</v>
      </c>
      <c r="T30" s="19">
        <v>-22.5</v>
      </c>
      <c r="U30" s="19">
        <v>-16.100000000000001</v>
      </c>
      <c r="V30" s="19">
        <v>-25.9</v>
      </c>
      <c r="W30" s="19">
        <v>-29.3</v>
      </c>
      <c r="X30" s="19">
        <v>-15.5</v>
      </c>
      <c r="Y30" s="19">
        <v>-9.5</v>
      </c>
      <c r="Z30" s="19">
        <v>0</v>
      </c>
      <c r="AA30" s="19">
        <v>-2.1</v>
      </c>
      <c r="AB30" s="19">
        <v>-11.5</v>
      </c>
      <c r="AC30" s="19">
        <v>-20.3</v>
      </c>
      <c r="AD30" s="19">
        <v>-22.4</v>
      </c>
      <c r="AE30" s="19">
        <v>-35.200000000000003</v>
      </c>
      <c r="AF30" s="19">
        <v>-31.1</v>
      </c>
    </row>
    <row r="31" spans="1:32" x14ac:dyDescent="0.25">
      <c r="A31" s="10">
        <v>18</v>
      </c>
      <c r="B31" s="19">
        <v>-24.5</v>
      </c>
      <c r="C31" s="19">
        <v>-26.4</v>
      </c>
      <c r="D31" s="19">
        <v>-14.8</v>
      </c>
      <c r="E31" s="19">
        <v>-13.3</v>
      </c>
      <c r="F31" s="19">
        <v>-9</v>
      </c>
      <c r="G31" s="19">
        <v>-10.4</v>
      </c>
      <c r="H31" s="19">
        <v>-15</v>
      </c>
      <c r="I31" s="19">
        <v>-14.2</v>
      </c>
      <c r="J31" s="19">
        <v>-30.4</v>
      </c>
      <c r="K31" s="19">
        <v>-30.6</v>
      </c>
      <c r="L31" s="19">
        <v>-29.5</v>
      </c>
      <c r="M31" s="19">
        <v>-25.8</v>
      </c>
      <c r="N31" s="19">
        <v>-32.9</v>
      </c>
      <c r="O31" s="19">
        <v>-19.5</v>
      </c>
      <c r="P31" s="19">
        <v>-20</v>
      </c>
      <c r="Q31" s="19">
        <v>-21.9</v>
      </c>
      <c r="R31" s="19">
        <v>-18.8</v>
      </c>
      <c r="S31" s="19">
        <v>-9.5</v>
      </c>
      <c r="T31" s="19">
        <v>-19.7</v>
      </c>
      <c r="U31" s="19">
        <v>-16.3</v>
      </c>
      <c r="V31" s="19">
        <v>-25.9</v>
      </c>
      <c r="W31" s="19">
        <v>-27.1</v>
      </c>
      <c r="X31" s="19">
        <v>-14.8</v>
      </c>
      <c r="Y31" s="19">
        <v>-7.7</v>
      </c>
      <c r="Z31" s="19">
        <v>0.1</v>
      </c>
      <c r="AA31" s="19">
        <v>-5.2</v>
      </c>
      <c r="AB31" s="19">
        <v>-10.7</v>
      </c>
      <c r="AC31" s="19">
        <v>-20.6</v>
      </c>
      <c r="AD31" s="19">
        <v>-22.3</v>
      </c>
      <c r="AE31" s="19">
        <v>-35.9</v>
      </c>
      <c r="AF31" s="19">
        <v>-30.4</v>
      </c>
    </row>
    <row r="32" spans="1:32" x14ac:dyDescent="0.25">
      <c r="A32" s="10">
        <v>20</v>
      </c>
      <c r="B32" s="19">
        <v>-25.7</v>
      </c>
      <c r="C32" s="19">
        <v>-24.7</v>
      </c>
      <c r="D32" s="19">
        <v>-14.3</v>
      </c>
      <c r="E32" s="19">
        <v>-13.4</v>
      </c>
      <c r="F32" s="19">
        <v>-8.1</v>
      </c>
      <c r="G32" s="19">
        <v>-10.199999999999999</v>
      </c>
      <c r="H32" s="19">
        <v>-15.4</v>
      </c>
      <c r="I32" s="19">
        <v>-13.7</v>
      </c>
      <c r="J32" s="19">
        <v>-31.3</v>
      </c>
      <c r="K32" s="19">
        <v>-31.4</v>
      </c>
      <c r="L32" s="19">
        <v>-29.2</v>
      </c>
      <c r="M32" s="19">
        <v>-26</v>
      </c>
      <c r="N32" s="19">
        <v>-33.5</v>
      </c>
      <c r="O32" s="19">
        <v>-18.2</v>
      </c>
      <c r="P32" s="19">
        <v>-19.8</v>
      </c>
      <c r="Q32" s="19">
        <v>-22.7</v>
      </c>
      <c r="R32" s="19">
        <v>-18.2</v>
      </c>
      <c r="S32" s="19">
        <v>-10.3</v>
      </c>
      <c r="T32" s="19">
        <v>-20</v>
      </c>
      <c r="U32" s="19">
        <v>-16.8</v>
      </c>
      <c r="V32" s="19">
        <v>-27.3</v>
      </c>
      <c r="W32" s="19">
        <v>-24.6</v>
      </c>
      <c r="X32" s="19">
        <v>-14.5</v>
      </c>
      <c r="Y32" s="19">
        <v>-6.4</v>
      </c>
      <c r="Z32" s="19">
        <v>0.1</v>
      </c>
      <c r="AA32" s="19">
        <v>-9.5</v>
      </c>
      <c r="AB32" s="19">
        <v>-10.199999999999999</v>
      </c>
      <c r="AC32" s="19">
        <v>-20.7</v>
      </c>
      <c r="AD32" s="19">
        <v>-24.2</v>
      </c>
      <c r="AE32" s="19">
        <v>-36.1</v>
      </c>
      <c r="AF32" s="19">
        <v>-31.8</v>
      </c>
    </row>
    <row r="33" spans="1:32" x14ac:dyDescent="0.25">
      <c r="A33" s="10">
        <v>22</v>
      </c>
      <c r="B33" s="19">
        <v>-26.6</v>
      </c>
      <c r="C33" s="19">
        <v>-23.7</v>
      </c>
      <c r="D33" s="19">
        <v>-13.1</v>
      </c>
      <c r="E33" s="19">
        <v>-13.4</v>
      </c>
      <c r="F33" s="19">
        <v>-7.3</v>
      </c>
      <c r="G33" s="19">
        <v>-12.2</v>
      </c>
      <c r="H33" s="19">
        <v>-16.5</v>
      </c>
      <c r="I33" s="19">
        <v>-13.4</v>
      </c>
      <c r="J33" s="19">
        <v>-32</v>
      </c>
      <c r="K33" s="19">
        <v>-31.7</v>
      </c>
      <c r="L33" s="19">
        <v>-29.9</v>
      </c>
      <c r="M33" s="19">
        <v>-26.8</v>
      </c>
      <c r="N33" s="19">
        <v>-33.6</v>
      </c>
      <c r="O33" s="19">
        <v>-17.2</v>
      </c>
      <c r="P33" s="19">
        <v>-19</v>
      </c>
      <c r="Q33" s="19">
        <v>-22.8</v>
      </c>
      <c r="R33" s="19">
        <v>-18.100000000000001</v>
      </c>
      <c r="S33" s="19">
        <v>-13.8</v>
      </c>
      <c r="T33" s="19">
        <v>-19.2</v>
      </c>
      <c r="U33" s="19">
        <v>-16.899999999999999</v>
      </c>
      <c r="V33" s="19">
        <v>-30.7</v>
      </c>
      <c r="W33" s="19">
        <v>-26.4</v>
      </c>
      <c r="X33" s="19">
        <v>-14.4</v>
      </c>
      <c r="Y33" s="19">
        <v>-5.8</v>
      </c>
      <c r="Z33" s="19">
        <v>0.1</v>
      </c>
      <c r="AA33" s="19">
        <v>-11.9</v>
      </c>
      <c r="AB33" s="19">
        <v>-11.4</v>
      </c>
      <c r="AC33" s="19">
        <v>-19.399999999999999</v>
      </c>
      <c r="AD33" s="19">
        <v>-27.7</v>
      </c>
      <c r="AE33" s="19">
        <v>-35.1</v>
      </c>
      <c r="AF33" s="19">
        <v>-33.299999999999997</v>
      </c>
    </row>
    <row r="34" spans="1:32" x14ac:dyDescent="0.25">
      <c r="A34" s="10">
        <v>24</v>
      </c>
      <c r="B34" s="19">
        <v>-27</v>
      </c>
      <c r="C34" s="19">
        <v>-24</v>
      </c>
      <c r="D34" s="19">
        <v>-12.1</v>
      </c>
      <c r="E34" s="19">
        <v>-13.1</v>
      </c>
      <c r="F34" s="19">
        <v>-6.5</v>
      </c>
      <c r="G34" s="19">
        <v>-15.7</v>
      </c>
      <c r="H34" s="19">
        <v>-17.3</v>
      </c>
      <c r="I34" s="19">
        <v>-12.9</v>
      </c>
      <c r="J34" s="19">
        <v>-31.1</v>
      </c>
      <c r="K34" s="19">
        <v>-32.4</v>
      </c>
      <c r="L34" s="19">
        <v>-30.1</v>
      </c>
      <c r="M34" s="19">
        <v>-27</v>
      </c>
      <c r="N34" s="19">
        <v>-33.6</v>
      </c>
      <c r="O34" s="19">
        <v>-16</v>
      </c>
      <c r="P34" s="19">
        <v>-19.5</v>
      </c>
      <c r="Q34" s="19">
        <v>-23.1</v>
      </c>
      <c r="R34" s="19">
        <v>-16.5</v>
      </c>
      <c r="S34" s="19">
        <v>-16.899999999999999</v>
      </c>
      <c r="T34" s="19">
        <v>-18.5</v>
      </c>
      <c r="U34" s="19">
        <v>-16.8</v>
      </c>
      <c r="V34" s="19">
        <v>-30.6</v>
      </c>
      <c r="W34" s="19">
        <v>-27.3</v>
      </c>
      <c r="X34" s="19">
        <v>-13.8</v>
      </c>
      <c r="Y34" s="19">
        <v>-5.7</v>
      </c>
      <c r="Z34" s="19">
        <v>0.1</v>
      </c>
      <c r="AA34" s="19">
        <v>-12</v>
      </c>
      <c r="AB34" s="19">
        <v>-13.4</v>
      </c>
      <c r="AC34" s="19">
        <v>-18.600000000000001</v>
      </c>
      <c r="AD34" s="19">
        <v>-29.6</v>
      </c>
      <c r="AE34" s="19">
        <v>-35.6</v>
      </c>
      <c r="AF34" s="19">
        <v>-34.200000000000003</v>
      </c>
    </row>
    <row r="35" spans="1:32" x14ac:dyDescent="0.25">
      <c r="A35" s="10">
        <v>2</v>
      </c>
      <c r="B35" s="19">
        <v>-27.4</v>
      </c>
      <c r="C35" s="19">
        <v>-23.9</v>
      </c>
      <c r="D35" s="19">
        <v>-10.8</v>
      </c>
      <c r="E35" s="19">
        <v>-12.6</v>
      </c>
      <c r="F35" s="19">
        <v>-6.3</v>
      </c>
      <c r="G35" s="19">
        <v>-15.9</v>
      </c>
      <c r="H35" s="19">
        <v>-17.399999999999999</v>
      </c>
      <c r="I35" s="19">
        <v>-12.6</v>
      </c>
      <c r="J35" s="19">
        <v>-30.5</v>
      </c>
      <c r="K35" s="19">
        <v>-33.5</v>
      </c>
      <c r="L35" s="19">
        <v>-29.7</v>
      </c>
      <c r="M35" s="19">
        <v>-27.1</v>
      </c>
      <c r="N35" s="19">
        <v>-33.1</v>
      </c>
      <c r="O35" s="19">
        <v>-15.6</v>
      </c>
      <c r="P35" s="19">
        <v>-19.7</v>
      </c>
      <c r="Q35" s="19">
        <v>-23.3</v>
      </c>
      <c r="R35" s="19">
        <v>-15.1</v>
      </c>
      <c r="S35" s="19">
        <v>-17.8</v>
      </c>
      <c r="T35" s="19">
        <v>-17.100000000000001</v>
      </c>
      <c r="U35" s="19">
        <v>-16.899999999999999</v>
      </c>
      <c r="V35" s="19">
        <v>-32.4</v>
      </c>
      <c r="W35" s="19">
        <v>-25.7</v>
      </c>
      <c r="X35" s="19">
        <v>-13.4</v>
      </c>
      <c r="Y35" s="19">
        <v>-5.3</v>
      </c>
      <c r="Z35" s="19">
        <v>-0.1</v>
      </c>
      <c r="AA35" s="19">
        <v>-11.4</v>
      </c>
      <c r="AB35" s="19">
        <v>-14.6</v>
      </c>
      <c r="AC35" s="19">
        <v>-20.399999999999999</v>
      </c>
      <c r="AD35" s="19">
        <v>-31</v>
      </c>
      <c r="AE35" s="19">
        <v>-34.5</v>
      </c>
      <c r="AF35" s="19">
        <v>-35</v>
      </c>
    </row>
    <row r="36" spans="1:32" ht="30" x14ac:dyDescent="0.25">
      <c r="A36" s="11" t="s">
        <v>2</v>
      </c>
      <c r="B36" s="15">
        <f>(B24+B25+B26+B27+B28+B29+B30+B31+B32+B33+B34+B35)/12</f>
        <v>-23.808333333333326</v>
      </c>
      <c r="C36" s="15">
        <f t="shared" ref="C36:J36" si="2">(C24+C25+C26+C27+C28+C29+C30+C31+C32+C33+C34+C35)/12</f>
        <v>-25.266666666666662</v>
      </c>
      <c r="D36" s="15">
        <f t="shared" si="2"/>
        <v>-17.175000000000001</v>
      </c>
      <c r="E36" s="15">
        <f t="shared" si="2"/>
        <v>-11.083333333333334</v>
      </c>
      <c r="F36" s="15">
        <f t="shared" si="2"/>
        <v>-9.7416666666666654</v>
      </c>
      <c r="G36" s="15">
        <f t="shared" si="2"/>
        <v>-9.125</v>
      </c>
      <c r="H36" s="15">
        <f t="shared" si="2"/>
        <v>-15.383333333333333</v>
      </c>
      <c r="I36" s="15">
        <f t="shared" si="2"/>
        <v>-14.975000000000001</v>
      </c>
      <c r="J36" s="15">
        <f t="shared" si="2"/>
        <v>-24.166666666666671</v>
      </c>
      <c r="K36" s="15">
        <f>(K24+K25+K26+K27+K28+K29+K30+K31+K32+K33+K34+K35)/12</f>
        <v>-30.358333333333331</v>
      </c>
      <c r="L36" s="15">
        <f t="shared" ref="L36:AF36" si="3">(L24+L25+L26+L27+L28+L29+L30+L31+L32+L33+L34+L35)/12</f>
        <v>-31.308333333333334</v>
      </c>
      <c r="M36" s="15">
        <f t="shared" si="3"/>
        <v>-27.758333333333336</v>
      </c>
      <c r="N36" s="15">
        <f t="shared" si="3"/>
        <v>-32.06666666666667</v>
      </c>
      <c r="O36" s="15">
        <f t="shared" si="3"/>
        <v>-22.900000000000002</v>
      </c>
      <c r="P36" s="15">
        <f t="shared" si="3"/>
        <v>-19.574999999999999</v>
      </c>
      <c r="Q36" s="15">
        <f t="shared" si="3"/>
        <v>-21.175000000000001</v>
      </c>
      <c r="R36" s="15">
        <f t="shared" si="3"/>
        <v>-19.241666666666664</v>
      </c>
      <c r="S36" s="15">
        <f t="shared" si="3"/>
        <v>-13.200000000000001</v>
      </c>
      <c r="T36" s="15">
        <f t="shared" si="3"/>
        <v>-20.758333333333333</v>
      </c>
      <c r="U36" s="15">
        <f t="shared" si="3"/>
        <v>-16.275000000000002</v>
      </c>
      <c r="V36" s="15">
        <f t="shared" si="3"/>
        <v>-24.824999999999999</v>
      </c>
      <c r="W36" s="15">
        <f t="shared" si="3"/>
        <v>-29.308333333333334</v>
      </c>
      <c r="X36" s="15">
        <f t="shared" si="3"/>
        <v>-16.091666666666669</v>
      </c>
      <c r="Y36" s="15">
        <f t="shared" si="3"/>
        <v>-9.7083333333333339</v>
      </c>
      <c r="Z36" s="15">
        <f t="shared" si="3"/>
        <v>-1.5916666666666661</v>
      </c>
      <c r="AA36" s="15">
        <f t="shared" si="3"/>
        <v>-4.8666666666666663</v>
      </c>
      <c r="AB36" s="15">
        <f t="shared" si="3"/>
        <v>-11.358333333333334</v>
      </c>
      <c r="AC36" s="15">
        <f t="shared" si="3"/>
        <v>-19.425000000000001</v>
      </c>
      <c r="AD36" s="15">
        <f>(AD24+AD25+AD26+AD27+AD28+AD29+AD30+AD31+AD32+AD33+AD34+AD35)/12</f>
        <v>-24.650000000000002</v>
      </c>
      <c r="AE36" s="15">
        <f>(AE24+AE25+AE26+AE27+AE28+AE29+AE30+AE31+AE32+AE33+AE34+AE35)/12</f>
        <v>-34.508333333333333</v>
      </c>
      <c r="AF36" s="15">
        <f t="shared" si="3"/>
        <v>-32.233333333333334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AE41" sqref="AE41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-36.5</v>
      </c>
      <c r="C4" s="19">
        <v>-34</v>
      </c>
      <c r="D4" s="19">
        <v>-19.7</v>
      </c>
      <c r="E4" s="19">
        <v>-14.3</v>
      </c>
      <c r="F4" s="19">
        <v>-13.6</v>
      </c>
      <c r="G4" s="19">
        <v>-17.399999999999999</v>
      </c>
      <c r="H4" s="19">
        <v>-30</v>
      </c>
      <c r="I4" s="19">
        <v>-32.200000000000003</v>
      </c>
      <c r="J4" s="19">
        <v>-29.3</v>
      </c>
      <c r="K4" s="19">
        <v>-35</v>
      </c>
      <c r="L4" s="19">
        <v>-42.5</v>
      </c>
      <c r="M4" s="19">
        <v>-33.1</v>
      </c>
      <c r="N4" s="19">
        <v>-23.2</v>
      </c>
      <c r="O4" s="19">
        <v>-12</v>
      </c>
      <c r="P4" s="19">
        <v>-15</v>
      </c>
      <c r="Q4" s="19">
        <v>-7.6</v>
      </c>
      <c r="R4" s="19">
        <v>-5.7</v>
      </c>
      <c r="S4" s="19">
        <v>-12</v>
      </c>
      <c r="T4" s="19">
        <v>-11.5</v>
      </c>
      <c r="U4" s="19">
        <v>-19.5</v>
      </c>
      <c r="V4" s="19">
        <v>-22.7</v>
      </c>
      <c r="W4" s="19">
        <v>-12</v>
      </c>
      <c r="X4" s="19">
        <v>-6.1</v>
      </c>
      <c r="Y4" s="19">
        <v>-18.5</v>
      </c>
      <c r="Z4" s="19">
        <v>-14.4</v>
      </c>
      <c r="AA4" s="19">
        <v>-15</v>
      </c>
      <c r="AB4" s="19">
        <v>-15</v>
      </c>
      <c r="AC4" s="19">
        <v>-9.8000000000000007</v>
      </c>
      <c r="AD4" s="19">
        <v>-15.6</v>
      </c>
      <c r="AE4" s="19" t="s">
        <v>68</v>
      </c>
      <c r="AF4" s="19" t="s">
        <v>79</v>
      </c>
    </row>
    <row r="5" spans="1:33" x14ac:dyDescent="0.25">
      <c r="A5" s="10">
        <v>6</v>
      </c>
      <c r="B5" s="19">
        <v>-36.6</v>
      </c>
      <c r="C5" s="19">
        <v>-33.200000000000003</v>
      </c>
      <c r="D5" s="19">
        <v>-19.3</v>
      </c>
      <c r="E5" s="19">
        <v>-14.3</v>
      </c>
      <c r="F5" s="19">
        <v>-13.5</v>
      </c>
      <c r="G5" s="19">
        <v>-18</v>
      </c>
      <c r="H5" s="19">
        <v>-31.1</v>
      </c>
      <c r="I5" s="19">
        <v>-31.2</v>
      </c>
      <c r="J5" s="19">
        <v>-29</v>
      </c>
      <c r="K5" s="19">
        <v>-36.200000000000003</v>
      </c>
      <c r="L5" s="19">
        <v>-42.5</v>
      </c>
      <c r="M5" s="19">
        <v>-31.2</v>
      </c>
      <c r="N5" s="19">
        <v>-23.1</v>
      </c>
      <c r="O5" s="19">
        <v>-12</v>
      </c>
      <c r="P5" s="19">
        <v>-14.5</v>
      </c>
      <c r="Q5" s="19">
        <v>-7.2</v>
      </c>
      <c r="R5" s="19">
        <v>-5.7</v>
      </c>
      <c r="S5" s="19">
        <v>-11.6</v>
      </c>
      <c r="T5" s="19">
        <v>-11.4</v>
      </c>
      <c r="U5" s="19">
        <v>-20.399999999999999</v>
      </c>
      <c r="V5" s="19">
        <v>-22.3</v>
      </c>
      <c r="W5" s="19">
        <v>-12</v>
      </c>
      <c r="X5" s="19">
        <v>-6.3</v>
      </c>
      <c r="Y5" s="19">
        <v>-19.5</v>
      </c>
      <c r="Z5" s="19">
        <v>-13.1</v>
      </c>
      <c r="AA5" s="19">
        <v>-15</v>
      </c>
      <c r="AB5" s="19">
        <v>-15</v>
      </c>
      <c r="AC5" s="19">
        <v>-10.7</v>
      </c>
      <c r="AD5" s="19">
        <v>-14.9</v>
      </c>
      <c r="AE5" s="19" t="s">
        <v>69</v>
      </c>
      <c r="AF5" s="19" t="s">
        <v>80</v>
      </c>
    </row>
    <row r="6" spans="1:33" x14ac:dyDescent="0.25">
      <c r="A6" s="10">
        <v>8</v>
      </c>
      <c r="B6" s="19">
        <v>-36</v>
      </c>
      <c r="C6" s="19">
        <v>-31.6</v>
      </c>
      <c r="D6" s="19">
        <v>-18.399999999999999</v>
      </c>
      <c r="E6" s="19">
        <v>-14.9</v>
      </c>
      <c r="F6" s="19">
        <v>-13.6</v>
      </c>
      <c r="G6" s="19">
        <v>-19.100000000000001</v>
      </c>
      <c r="H6" s="19">
        <v>-32.9</v>
      </c>
      <c r="I6" s="19">
        <v>-31.7</v>
      </c>
      <c r="J6" s="19">
        <v>-29.5</v>
      </c>
      <c r="K6" s="19">
        <v>-37.299999999999997</v>
      </c>
      <c r="L6" s="19">
        <v>-42.4</v>
      </c>
      <c r="M6" s="19">
        <v>-29.2</v>
      </c>
      <c r="N6" s="19">
        <v>-26.2</v>
      </c>
      <c r="O6" s="19">
        <v>-11.5</v>
      </c>
      <c r="P6" s="19">
        <v>-14.6</v>
      </c>
      <c r="Q6" s="19">
        <v>-6.9</v>
      </c>
      <c r="R6" s="19">
        <v>-6.4</v>
      </c>
      <c r="S6" s="19">
        <v>-11.1</v>
      </c>
      <c r="T6" s="19">
        <v>-10.9</v>
      </c>
      <c r="U6" s="19">
        <v>-20.9</v>
      </c>
      <c r="V6" s="19">
        <v>-21.7</v>
      </c>
      <c r="W6" s="19">
        <v>-10.8</v>
      </c>
      <c r="X6" s="19">
        <v>-7.1</v>
      </c>
      <c r="Y6" s="19">
        <v>-21.9</v>
      </c>
      <c r="Z6" s="19">
        <v>-12.7</v>
      </c>
      <c r="AA6" s="19">
        <v>-14.5</v>
      </c>
      <c r="AB6" s="19">
        <v>-14.5</v>
      </c>
      <c r="AC6" s="19">
        <v>-10.8</v>
      </c>
      <c r="AD6" s="19">
        <v>-14</v>
      </c>
      <c r="AE6" s="19" t="s">
        <v>70</v>
      </c>
      <c r="AF6" s="19" t="s">
        <v>81</v>
      </c>
    </row>
    <row r="7" spans="1:33" x14ac:dyDescent="0.25">
      <c r="A7" s="10">
        <v>10</v>
      </c>
      <c r="B7" s="19">
        <v>-36.5</v>
      </c>
      <c r="C7" s="19">
        <v>-30.8</v>
      </c>
      <c r="D7" s="19">
        <v>-17.3</v>
      </c>
      <c r="E7" s="19">
        <v>-13.7</v>
      </c>
      <c r="F7" s="19">
        <v>-13.7</v>
      </c>
      <c r="G7" s="19">
        <v>-19.8</v>
      </c>
      <c r="H7" s="19">
        <v>-33.9</v>
      </c>
      <c r="I7" s="19">
        <v>-30.5</v>
      </c>
      <c r="J7" s="19">
        <v>-31.9</v>
      </c>
      <c r="K7" s="19">
        <v>-37.9</v>
      </c>
      <c r="L7" s="19">
        <v>-39.799999999999997</v>
      </c>
      <c r="M7" s="19">
        <v>-29.2</v>
      </c>
      <c r="N7" s="19">
        <v>-26.5</v>
      </c>
      <c r="O7" s="19">
        <v>-11.1</v>
      </c>
      <c r="P7" s="19">
        <v>-14.9</v>
      </c>
      <c r="Q7" s="19">
        <v>-6.7</v>
      </c>
      <c r="R7" s="19">
        <v>-7.3</v>
      </c>
      <c r="S7" s="19">
        <v>-13.3</v>
      </c>
      <c r="T7" s="19">
        <v>-10.199999999999999</v>
      </c>
      <c r="U7" s="19">
        <v>-21.5</v>
      </c>
      <c r="V7" s="19">
        <v>-21.4</v>
      </c>
      <c r="W7" s="19">
        <v>-8.8000000000000007</v>
      </c>
      <c r="X7" s="19">
        <v>-6.8</v>
      </c>
      <c r="Y7" s="19">
        <v>-22.7</v>
      </c>
      <c r="Z7" s="19">
        <v>-12.7</v>
      </c>
      <c r="AA7" s="19">
        <v>-12.6</v>
      </c>
      <c r="AB7" s="19">
        <v>-12.6</v>
      </c>
      <c r="AC7" s="19">
        <v>-10.8</v>
      </c>
      <c r="AD7" s="19">
        <v>-13.7</v>
      </c>
      <c r="AE7" s="19" t="s">
        <v>71</v>
      </c>
      <c r="AF7" s="19" t="s">
        <v>82</v>
      </c>
    </row>
    <row r="8" spans="1:33" x14ac:dyDescent="0.25">
      <c r="A8" s="10">
        <v>12</v>
      </c>
      <c r="B8" s="19">
        <v>-35.5</v>
      </c>
      <c r="C8" s="19">
        <v>-29.1</v>
      </c>
      <c r="D8" s="19">
        <v>-16.899999999999999</v>
      </c>
      <c r="E8" s="19">
        <v>-13.3</v>
      </c>
      <c r="F8" s="19">
        <v>-14</v>
      </c>
      <c r="G8" s="19">
        <v>-21</v>
      </c>
      <c r="H8" s="19">
        <v>-32.9</v>
      </c>
      <c r="I8" s="19">
        <v>-29.9</v>
      </c>
      <c r="J8" s="19">
        <v>-33.1</v>
      </c>
      <c r="K8" s="19">
        <v>-36.299999999999997</v>
      </c>
      <c r="L8" s="19">
        <v>-39.200000000000003</v>
      </c>
      <c r="M8" s="19">
        <v>-29.3</v>
      </c>
      <c r="N8" s="19">
        <v>-25.8</v>
      </c>
      <c r="O8" s="19">
        <v>-10.3</v>
      </c>
      <c r="P8" s="19">
        <v>-13.5</v>
      </c>
      <c r="Q8" s="19">
        <v>-6.1</v>
      </c>
      <c r="R8" s="19">
        <v>-7.7</v>
      </c>
      <c r="S8" s="19">
        <v>-14.4</v>
      </c>
      <c r="T8" s="19">
        <v>-9.9</v>
      </c>
      <c r="U8" s="19">
        <v>-20.9</v>
      </c>
      <c r="V8" s="19">
        <v>-20.3</v>
      </c>
      <c r="W8" s="19">
        <v>-6.5</v>
      </c>
      <c r="X8" s="19">
        <v>-4.0999999999999996</v>
      </c>
      <c r="Y8" s="19">
        <v>-22.8</v>
      </c>
      <c r="Z8" s="19">
        <v>-10.9</v>
      </c>
      <c r="AA8" s="19">
        <v>-10.8</v>
      </c>
      <c r="AB8" s="19">
        <v>-10.8</v>
      </c>
      <c r="AC8" s="19">
        <v>-10</v>
      </c>
      <c r="AD8" s="19">
        <v>-13.5</v>
      </c>
      <c r="AE8" s="19" t="s">
        <v>72</v>
      </c>
      <c r="AF8" s="19" t="s">
        <v>83</v>
      </c>
    </row>
    <row r="9" spans="1:33" x14ac:dyDescent="0.25">
      <c r="A9" s="10">
        <v>14</v>
      </c>
      <c r="B9" s="19">
        <v>-35.700000000000003</v>
      </c>
      <c r="C9" s="19">
        <v>-27.3</v>
      </c>
      <c r="D9" s="19">
        <v>-16.3</v>
      </c>
      <c r="E9" s="19">
        <v>-13.6</v>
      </c>
      <c r="F9" s="19">
        <v>-14.4</v>
      </c>
      <c r="G9" s="19">
        <v>-22.7</v>
      </c>
      <c r="H9" s="19">
        <v>-33.799999999999997</v>
      </c>
      <c r="I9" s="19">
        <v>-30</v>
      </c>
      <c r="J9" s="19">
        <v>-31</v>
      </c>
      <c r="K9" s="19">
        <v>-36.200000000000003</v>
      </c>
      <c r="L9" s="19">
        <v>-40.700000000000003</v>
      </c>
      <c r="M9" s="19">
        <v>-28.3</v>
      </c>
      <c r="N9" s="19">
        <v>-25.2</v>
      </c>
      <c r="O9" s="19">
        <v>-10.1</v>
      </c>
      <c r="P9" s="19">
        <v>-10</v>
      </c>
      <c r="Q9" s="19">
        <v>-6</v>
      </c>
      <c r="R9" s="19">
        <v>-8.8000000000000007</v>
      </c>
      <c r="S9" s="19">
        <v>-15.6</v>
      </c>
      <c r="T9" s="19">
        <v>-10</v>
      </c>
      <c r="U9" s="19">
        <v>-20.8</v>
      </c>
      <c r="V9" s="19">
        <v>-19.5</v>
      </c>
      <c r="W9" s="19">
        <v>-6.2</v>
      </c>
      <c r="X9" s="19">
        <v>-3.9</v>
      </c>
      <c r="Y9" s="19">
        <v>-22.9</v>
      </c>
      <c r="Z9" s="19">
        <v>-11.1</v>
      </c>
      <c r="AA9" s="19">
        <v>-10.8</v>
      </c>
      <c r="AB9" s="19">
        <v>-10.8</v>
      </c>
      <c r="AC9" s="19">
        <v>-9.1</v>
      </c>
      <c r="AD9" s="19">
        <v>-14.1</v>
      </c>
      <c r="AE9" s="19" t="s">
        <v>73</v>
      </c>
      <c r="AF9" s="19" t="s">
        <v>80</v>
      </c>
    </row>
    <row r="10" spans="1:33" x14ac:dyDescent="0.25">
      <c r="A10" s="10">
        <v>16</v>
      </c>
      <c r="B10" s="19">
        <v>-38.299999999999997</v>
      </c>
      <c r="C10" s="19">
        <v>-26</v>
      </c>
      <c r="D10" s="19">
        <v>-15.1</v>
      </c>
      <c r="E10" s="19">
        <v>-13.3</v>
      </c>
      <c r="F10" s="19">
        <v>-15.1</v>
      </c>
      <c r="G10" s="19">
        <v>-24.4</v>
      </c>
      <c r="H10" s="19">
        <v>-33.6</v>
      </c>
      <c r="I10" s="19">
        <v>-30.5</v>
      </c>
      <c r="J10" s="19">
        <v>-28</v>
      </c>
      <c r="K10" s="19">
        <v>-38.1</v>
      </c>
      <c r="L10" s="19">
        <v>-41.4</v>
      </c>
      <c r="M10" s="19">
        <v>-25.8</v>
      </c>
      <c r="N10" s="19">
        <v>-26.1</v>
      </c>
      <c r="O10" s="19">
        <v>-10.9</v>
      </c>
      <c r="P10" s="19">
        <v>-9.5</v>
      </c>
      <c r="Q10" s="19">
        <v>-5.6</v>
      </c>
      <c r="R10" s="19">
        <v>-9.5</v>
      </c>
      <c r="S10" s="19">
        <v>-17.8</v>
      </c>
      <c r="T10" s="19">
        <v>-11.3</v>
      </c>
      <c r="U10" s="19">
        <v>-21.6</v>
      </c>
      <c r="V10" s="19">
        <v>-19.3</v>
      </c>
      <c r="W10" s="19">
        <v>-5.9</v>
      </c>
      <c r="X10" s="19">
        <v>-4.9000000000000004</v>
      </c>
      <c r="Y10" s="19">
        <v>-22.9</v>
      </c>
      <c r="Z10" s="19">
        <v>-12</v>
      </c>
      <c r="AA10" s="19">
        <v>-11.1</v>
      </c>
      <c r="AB10" s="19">
        <v>-11.1</v>
      </c>
      <c r="AC10" s="19">
        <v>-9.3000000000000007</v>
      </c>
      <c r="AD10" s="19">
        <v>-14.5</v>
      </c>
      <c r="AE10" s="19" t="s">
        <v>74</v>
      </c>
      <c r="AF10" s="19" t="s">
        <v>77</v>
      </c>
    </row>
    <row r="11" spans="1:33" x14ac:dyDescent="0.25">
      <c r="A11" s="10">
        <v>18</v>
      </c>
      <c r="B11" s="19">
        <v>-39.1</v>
      </c>
      <c r="C11" s="19">
        <v>-23.6</v>
      </c>
      <c r="D11" s="19">
        <v>-13.7</v>
      </c>
      <c r="E11" s="19">
        <v>-13.5</v>
      </c>
      <c r="F11" s="19">
        <v>-15.2</v>
      </c>
      <c r="G11" s="19">
        <v>-25.8</v>
      </c>
      <c r="H11" s="19">
        <v>-33.6</v>
      </c>
      <c r="I11" s="19">
        <v>-30.6</v>
      </c>
      <c r="J11" s="19">
        <v>-25.6</v>
      </c>
      <c r="K11" s="19">
        <v>-38.799999999999997</v>
      </c>
      <c r="L11" s="19">
        <v>-41.4</v>
      </c>
      <c r="M11" s="19">
        <v>-24.2</v>
      </c>
      <c r="N11" s="19">
        <v>-22.4</v>
      </c>
      <c r="O11" s="19">
        <v>-10.9</v>
      </c>
      <c r="P11" s="19">
        <v>-8.8000000000000007</v>
      </c>
      <c r="Q11" s="19">
        <v>-5.0999999999999996</v>
      </c>
      <c r="R11" s="19">
        <v>-10.7</v>
      </c>
      <c r="S11" s="19">
        <v>-16.3</v>
      </c>
      <c r="T11" s="19">
        <v>-12.7</v>
      </c>
      <c r="U11" s="19">
        <v>-21.5</v>
      </c>
      <c r="V11" s="19">
        <v>-18.8</v>
      </c>
      <c r="W11" s="19">
        <v>-6.1</v>
      </c>
      <c r="X11" s="19">
        <v>-5</v>
      </c>
      <c r="Y11" s="19">
        <v>-22.3</v>
      </c>
      <c r="Z11" s="19">
        <v>-11.7</v>
      </c>
      <c r="AA11" s="19">
        <v>-10.7</v>
      </c>
      <c r="AB11" s="19">
        <v>-10.7</v>
      </c>
      <c r="AC11" s="19">
        <v>-9.1</v>
      </c>
      <c r="AD11" s="19">
        <v>-14.7</v>
      </c>
      <c r="AE11" s="19" t="s">
        <v>75</v>
      </c>
      <c r="AF11" s="19" t="s">
        <v>75</v>
      </c>
    </row>
    <row r="12" spans="1:33" x14ac:dyDescent="0.25">
      <c r="A12" s="10">
        <v>20</v>
      </c>
      <c r="B12" s="19">
        <v>-38.299999999999997</v>
      </c>
      <c r="C12" s="19">
        <v>-22.2</v>
      </c>
      <c r="D12" s="19">
        <v>-16.100000000000001</v>
      </c>
      <c r="E12" s="19">
        <v>-14.5</v>
      </c>
      <c r="F12" s="19">
        <v>-15.9</v>
      </c>
      <c r="G12" s="19">
        <v>-26.4</v>
      </c>
      <c r="H12" s="19">
        <v>-32.700000000000003</v>
      </c>
      <c r="I12" s="19">
        <v>-29.8</v>
      </c>
      <c r="J12" s="19">
        <v>-28.4</v>
      </c>
      <c r="K12" s="19">
        <v>-39.1</v>
      </c>
      <c r="L12" s="19">
        <v>-41.3</v>
      </c>
      <c r="M12" s="19">
        <v>-23.2</v>
      </c>
      <c r="N12" s="19">
        <v>-20</v>
      </c>
      <c r="O12" s="19">
        <v>-14.1</v>
      </c>
      <c r="P12" s="19">
        <v>-8</v>
      </c>
      <c r="Q12" s="19">
        <v>-5</v>
      </c>
      <c r="R12" s="19">
        <v>-11</v>
      </c>
      <c r="S12" s="19">
        <v>-15.2</v>
      </c>
      <c r="T12" s="19">
        <v>-12.7</v>
      </c>
      <c r="U12" s="19">
        <v>-21.5</v>
      </c>
      <c r="V12" s="19">
        <v>-18.2</v>
      </c>
      <c r="W12" s="19">
        <v>-5.7</v>
      </c>
      <c r="X12" s="19">
        <v>-9.8000000000000007</v>
      </c>
      <c r="Y12" s="19">
        <v>-20.100000000000001</v>
      </c>
      <c r="Z12" s="19">
        <v>-12.5</v>
      </c>
      <c r="AA12" s="19">
        <v>-10</v>
      </c>
      <c r="AB12" s="19">
        <v>-10</v>
      </c>
      <c r="AC12" s="19">
        <v>-11.3</v>
      </c>
      <c r="AD12" s="19">
        <v>-16.399999999999999</v>
      </c>
      <c r="AE12" s="19" t="s">
        <v>76</v>
      </c>
      <c r="AF12" s="19" t="s">
        <v>84</v>
      </c>
    </row>
    <row r="13" spans="1:33" x14ac:dyDescent="0.25">
      <c r="A13" s="10">
        <v>22</v>
      </c>
      <c r="B13" s="19">
        <v>-38.1</v>
      </c>
      <c r="C13" s="19">
        <v>-21.5</v>
      </c>
      <c r="D13" s="19">
        <v>-17.3</v>
      </c>
      <c r="E13" s="19">
        <v>-13.3</v>
      </c>
      <c r="F13" s="19">
        <v>-15.4</v>
      </c>
      <c r="G13" s="19">
        <v>-29.7</v>
      </c>
      <c r="H13" s="19">
        <v>-32.200000000000003</v>
      </c>
      <c r="I13" s="19">
        <v>-29.7</v>
      </c>
      <c r="J13" s="19">
        <v>-30</v>
      </c>
      <c r="K13" s="19">
        <v>-39.9</v>
      </c>
      <c r="L13" s="19">
        <v>-38.9</v>
      </c>
      <c r="M13" s="19">
        <v>-24.3</v>
      </c>
      <c r="N13" s="19">
        <v>-16.8</v>
      </c>
      <c r="O13" s="19">
        <v>-15.1</v>
      </c>
      <c r="P13" s="19">
        <v>-7.6</v>
      </c>
      <c r="Q13" s="19">
        <v>-5.3</v>
      </c>
      <c r="R13" s="19">
        <v>-12.8</v>
      </c>
      <c r="S13" s="19">
        <v>-14.4</v>
      </c>
      <c r="T13" s="19">
        <v>-12.8</v>
      </c>
      <c r="U13" s="19">
        <v>-21.6</v>
      </c>
      <c r="V13" s="19">
        <v>-17.399999999999999</v>
      </c>
      <c r="W13" s="19">
        <v>-6.1</v>
      </c>
      <c r="X13" s="19">
        <v>-13.1</v>
      </c>
      <c r="Y13" s="19">
        <v>-18.100000000000001</v>
      </c>
      <c r="Z13" s="19">
        <v>-11</v>
      </c>
      <c r="AA13" s="19">
        <v>-9</v>
      </c>
      <c r="AB13" s="19">
        <v>-9</v>
      </c>
      <c r="AC13" s="19">
        <v>-13.3</v>
      </c>
      <c r="AD13" s="19">
        <v>-20.6</v>
      </c>
      <c r="AE13" s="19" t="s">
        <v>77</v>
      </c>
      <c r="AF13" s="19" t="s">
        <v>85</v>
      </c>
    </row>
    <row r="14" spans="1:33" x14ac:dyDescent="0.25">
      <c r="A14" s="10">
        <v>24</v>
      </c>
      <c r="B14" s="19">
        <v>-36.5</v>
      </c>
      <c r="C14" s="19">
        <v>-21.2</v>
      </c>
      <c r="D14" s="19">
        <v>-15.2</v>
      </c>
      <c r="E14" s="19">
        <v>-14.4</v>
      </c>
      <c r="F14" s="19">
        <v>-15.2</v>
      </c>
      <c r="G14" s="19">
        <v>-30</v>
      </c>
      <c r="H14" s="19">
        <v>-31.7</v>
      </c>
      <c r="I14" s="19">
        <v>-30.4</v>
      </c>
      <c r="J14" s="19">
        <v>-31.8</v>
      </c>
      <c r="K14" s="19">
        <v>-40.6</v>
      </c>
      <c r="L14" s="19">
        <v>-36</v>
      </c>
      <c r="M14" s="19">
        <v>-23.9</v>
      </c>
      <c r="N14" s="19">
        <v>-14.2</v>
      </c>
      <c r="O14" s="19">
        <v>-15.5</v>
      </c>
      <c r="P14" s="19">
        <v>-8.4</v>
      </c>
      <c r="Q14" s="19">
        <v>-5.4</v>
      </c>
      <c r="R14" s="19">
        <v>-13.5</v>
      </c>
      <c r="S14" s="19">
        <v>-13.7</v>
      </c>
      <c r="T14" s="19">
        <v>-15.5</v>
      </c>
      <c r="U14" s="19">
        <v>-23.5</v>
      </c>
      <c r="V14" s="19">
        <v>-16</v>
      </c>
      <c r="W14" s="19">
        <v>-6.2</v>
      </c>
      <c r="X14" s="19">
        <v>-15.1</v>
      </c>
      <c r="Y14" s="19">
        <v>-17.2</v>
      </c>
      <c r="Z14" s="19">
        <v>-11</v>
      </c>
      <c r="AA14" s="19">
        <v>-7.6</v>
      </c>
      <c r="AB14" s="19">
        <v>-7.6</v>
      </c>
      <c r="AC14" s="19">
        <v>-15.7</v>
      </c>
      <c r="AD14" s="19">
        <v>-22.4</v>
      </c>
      <c r="AE14" s="19" t="s">
        <v>77</v>
      </c>
      <c r="AF14" s="19" t="s">
        <v>86</v>
      </c>
    </row>
    <row r="15" spans="1:33" x14ac:dyDescent="0.25">
      <c r="A15" s="10">
        <v>2</v>
      </c>
      <c r="B15" s="19">
        <v>-36</v>
      </c>
      <c r="C15" s="19">
        <v>-20.399999999999999</v>
      </c>
      <c r="D15" s="19">
        <v>-12.3</v>
      </c>
      <c r="E15" s="19">
        <v>-14.4</v>
      </c>
      <c r="F15" s="19">
        <v>-15.8</v>
      </c>
      <c r="G15" s="19">
        <v>-30.5</v>
      </c>
      <c r="H15" s="19">
        <v>-32</v>
      </c>
      <c r="I15" s="19">
        <v>-30.4</v>
      </c>
      <c r="J15" s="19">
        <v>-33.799999999999997</v>
      </c>
      <c r="K15" s="19">
        <v>-41</v>
      </c>
      <c r="L15" s="19">
        <v>-35.799999999999997</v>
      </c>
      <c r="M15" s="19">
        <v>-23.6</v>
      </c>
      <c r="N15" s="19">
        <v>-13.3</v>
      </c>
      <c r="O15" s="19">
        <v>-15.1</v>
      </c>
      <c r="P15" s="19">
        <v>-8.6999999999999993</v>
      </c>
      <c r="Q15" s="19">
        <v>-5.0999999999999996</v>
      </c>
      <c r="R15" s="19">
        <v>-13.3</v>
      </c>
      <c r="S15" s="19">
        <v>-12.7</v>
      </c>
      <c r="T15" s="19">
        <v>-19.2</v>
      </c>
      <c r="U15" s="19">
        <v>-24.6</v>
      </c>
      <c r="V15" s="19">
        <v>-15.4</v>
      </c>
      <c r="W15" s="19">
        <v>-6.4</v>
      </c>
      <c r="X15" s="19">
        <v>-16.3</v>
      </c>
      <c r="Y15" s="19">
        <v>-16.399999999999999</v>
      </c>
      <c r="Z15" s="19">
        <v>-10.8</v>
      </c>
      <c r="AA15" s="19">
        <v>-5.6</v>
      </c>
      <c r="AB15" s="19">
        <v>-5.6</v>
      </c>
      <c r="AC15" s="19">
        <v>-15.7</v>
      </c>
      <c r="AD15" s="19">
        <v>-24.6</v>
      </c>
      <c r="AE15" s="19" t="s">
        <v>78</v>
      </c>
      <c r="AF15" s="19" t="s">
        <v>87</v>
      </c>
    </row>
    <row r="16" spans="1:33" ht="30" x14ac:dyDescent="0.25">
      <c r="A16" s="11" t="s">
        <v>2</v>
      </c>
      <c r="B16" s="15">
        <f>(B4+B5+B6+B7+B8+B9+B10+B11+B12+B13+B14+B15)/12</f>
        <v>-36.925000000000004</v>
      </c>
      <c r="C16" s="15">
        <f t="shared" ref="C16:O16" si="0">(C4+C5+C6+C7+C8+C9+C10+C11+C12+C13+C14+C15)/12</f>
        <v>-26.741666666666664</v>
      </c>
      <c r="D16" s="15">
        <f t="shared" si="0"/>
        <v>-16.466666666666665</v>
      </c>
      <c r="E16" s="15">
        <f t="shared" si="0"/>
        <v>-13.958333333333334</v>
      </c>
      <c r="F16" s="15">
        <f t="shared" si="0"/>
        <v>-14.616666666666667</v>
      </c>
      <c r="G16" s="15">
        <f t="shared" si="0"/>
        <v>-23.733333333333334</v>
      </c>
      <c r="H16" s="15">
        <f t="shared" si="0"/>
        <v>-32.533333333333331</v>
      </c>
      <c r="I16" s="15">
        <f t="shared" si="0"/>
        <v>-30.574999999999992</v>
      </c>
      <c r="J16" s="15">
        <f t="shared" si="0"/>
        <v>-30.116666666666664</v>
      </c>
      <c r="K16" s="15">
        <f t="shared" si="0"/>
        <v>-38.033333333333339</v>
      </c>
      <c r="L16" s="15">
        <f t="shared" si="0"/>
        <v>-40.158333333333324</v>
      </c>
      <c r="M16" s="15">
        <f t="shared" si="0"/>
        <v>-27.108333333333334</v>
      </c>
      <c r="N16" s="15">
        <f t="shared" si="0"/>
        <v>-21.900000000000002</v>
      </c>
      <c r="O16" s="15">
        <f t="shared" si="0"/>
        <v>-12.383333333333333</v>
      </c>
      <c r="P16" s="15">
        <f>(P4+P5+P6+P7+P8+P9+P10+P11+P12+P13+P14+P15)/12</f>
        <v>-11.125</v>
      </c>
      <c r="Q16" s="15">
        <f>(Q4+Q5+Q6+Q7+Q8+Q9+Q10+Q11+Q12+Q13+Q14+Q15)/12</f>
        <v>-6</v>
      </c>
      <c r="R16" s="15">
        <f>(R4+R5+R6+R7+R8+R9+R10+R11+R12+R13+R14+R15)/12</f>
        <v>-9.3666666666666671</v>
      </c>
      <c r="S16" s="15">
        <f t="shared" ref="S16:AF16" si="1">(S4+S5+S6+S7+S8+S9+S10+S11+S12+S13+S14+S15)/12</f>
        <v>-14.008333333333331</v>
      </c>
      <c r="T16" s="15">
        <f t="shared" si="1"/>
        <v>-12.341666666666667</v>
      </c>
      <c r="U16" s="15">
        <f t="shared" si="1"/>
        <v>-21.525000000000002</v>
      </c>
      <c r="V16" s="15">
        <f t="shared" si="1"/>
        <v>-19.416666666666668</v>
      </c>
      <c r="W16" s="15">
        <f t="shared" si="1"/>
        <v>-7.7250000000000005</v>
      </c>
      <c r="X16" s="15">
        <f t="shared" si="1"/>
        <v>-8.2083333333333321</v>
      </c>
      <c r="Y16" s="15">
        <f t="shared" si="1"/>
        <v>-20.441666666666666</v>
      </c>
      <c r="Z16" s="15">
        <f t="shared" si="1"/>
        <v>-11.991666666666669</v>
      </c>
      <c r="AA16" s="15">
        <f t="shared" si="1"/>
        <v>-11.058333333333332</v>
      </c>
      <c r="AB16" s="15">
        <f t="shared" si="1"/>
        <v>-11.058333333333332</v>
      </c>
      <c r="AC16" s="15">
        <f t="shared" si="1"/>
        <v>-11.299999999999999</v>
      </c>
      <c r="AD16" s="15">
        <f t="shared" si="1"/>
        <v>-16.583333333333332</v>
      </c>
      <c r="AE16" s="15">
        <f t="shared" si="1"/>
        <v>-16.516666666666669</v>
      </c>
      <c r="AF16" s="15">
        <f t="shared" si="1"/>
        <v>-12.458333333333334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4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-36.6</v>
      </c>
      <c r="C24" s="19">
        <v>-35.6</v>
      </c>
      <c r="D24" s="19">
        <v>-20.2</v>
      </c>
      <c r="E24" s="19">
        <v>-14.3</v>
      </c>
      <c r="F24" s="19">
        <v>-13.9</v>
      </c>
      <c r="G24" s="19">
        <v>-18.2</v>
      </c>
      <c r="H24" s="19">
        <v>-31.8</v>
      </c>
      <c r="I24" s="19">
        <v>-34.299999999999997</v>
      </c>
      <c r="J24" s="19">
        <v>-30.4</v>
      </c>
      <c r="K24" s="19">
        <v>-36</v>
      </c>
      <c r="L24" s="19">
        <v>-43.5</v>
      </c>
      <c r="M24" s="19">
        <v>-34.6</v>
      </c>
      <c r="N24" s="19">
        <v>-23</v>
      </c>
      <c r="O24" s="19">
        <v>-12.9</v>
      </c>
      <c r="P24" s="19">
        <v>-16.7</v>
      </c>
      <c r="Q24" s="19">
        <v>-8</v>
      </c>
      <c r="R24" s="19">
        <v>-7.2</v>
      </c>
      <c r="S24" s="13">
        <v>-12.9</v>
      </c>
      <c r="T24" s="19">
        <v>-11.7</v>
      </c>
      <c r="U24" s="19">
        <v>-21.7</v>
      </c>
      <c r="V24" s="19">
        <v>-27.5</v>
      </c>
      <c r="W24" s="19">
        <v>-15.3</v>
      </c>
      <c r="X24" s="19">
        <v>-5.9</v>
      </c>
      <c r="Y24" s="19">
        <v>-22.5</v>
      </c>
      <c r="Z24" s="19">
        <v>-17.100000000000001</v>
      </c>
      <c r="AA24" s="19">
        <v>-11.4</v>
      </c>
      <c r="AB24" s="19">
        <v>-5.4</v>
      </c>
      <c r="AC24" s="19">
        <v>-7.8</v>
      </c>
      <c r="AD24" s="19">
        <v>-14.2</v>
      </c>
      <c r="AE24" s="19">
        <v>-22.3</v>
      </c>
      <c r="AF24" s="19">
        <v>-10.5</v>
      </c>
    </row>
    <row r="25" spans="1:32" x14ac:dyDescent="0.25">
      <c r="A25" s="10">
        <v>6</v>
      </c>
      <c r="B25" s="19">
        <v>-37.4</v>
      </c>
      <c r="C25" s="19">
        <v>-34.799999999999997</v>
      </c>
      <c r="D25" s="19">
        <v>-19.7</v>
      </c>
      <c r="E25" s="19">
        <v>-15.8</v>
      </c>
      <c r="F25" s="19">
        <v>-13.8</v>
      </c>
      <c r="G25" s="19">
        <v>-19.3</v>
      </c>
      <c r="H25" s="19">
        <v>-32.9</v>
      </c>
      <c r="I25" s="19">
        <v>-32.700000000000003</v>
      </c>
      <c r="J25" s="19">
        <v>-30</v>
      </c>
      <c r="K25" s="19">
        <v>-37.299999999999997</v>
      </c>
      <c r="L25" s="19">
        <v>-43.9</v>
      </c>
      <c r="M25" s="19">
        <v>-33</v>
      </c>
      <c r="N25" s="19">
        <v>-22.8</v>
      </c>
      <c r="O25" s="19">
        <v>-12.1</v>
      </c>
      <c r="P25" s="19">
        <v>-15.7</v>
      </c>
      <c r="Q25" s="19">
        <v>-7</v>
      </c>
      <c r="R25" s="19">
        <v>-7.6</v>
      </c>
      <c r="S25" s="13">
        <v>-12.5</v>
      </c>
      <c r="T25" s="19">
        <v>-11.1</v>
      </c>
      <c r="U25" s="19">
        <v>-23.3</v>
      </c>
      <c r="V25" s="19">
        <v>-26.6</v>
      </c>
      <c r="W25" s="19">
        <v>-14.1</v>
      </c>
      <c r="X25" s="19">
        <v>-6.8</v>
      </c>
      <c r="Y25" s="19">
        <v>-23.9</v>
      </c>
      <c r="Z25" s="19">
        <v>-15.8</v>
      </c>
      <c r="AA25" s="19">
        <v>-14.3</v>
      </c>
      <c r="AB25" s="19">
        <v>-4.5999999999999996</v>
      </c>
      <c r="AC25" s="19">
        <v>-9.6</v>
      </c>
      <c r="AD25" s="19">
        <v>-14.8</v>
      </c>
      <c r="AE25" s="19">
        <v>-20.8</v>
      </c>
      <c r="AF25" s="19">
        <v>-10.1</v>
      </c>
    </row>
    <row r="26" spans="1:32" x14ac:dyDescent="0.25">
      <c r="A26" s="10">
        <v>8</v>
      </c>
      <c r="B26" s="19">
        <v>-37.700000000000003</v>
      </c>
      <c r="C26" s="19">
        <v>-33</v>
      </c>
      <c r="D26" s="19">
        <v>-18.7</v>
      </c>
      <c r="E26" s="19">
        <v>-14.5</v>
      </c>
      <c r="F26" s="19">
        <v>-13.9</v>
      </c>
      <c r="G26" s="19">
        <v>-20.3</v>
      </c>
      <c r="H26" s="19">
        <v>-34.299999999999997</v>
      </c>
      <c r="I26" s="19">
        <v>-31.6</v>
      </c>
      <c r="J26" s="19">
        <v>-30.3</v>
      </c>
      <c r="K26" s="19">
        <v>-37</v>
      </c>
      <c r="L26" s="19">
        <v>-44</v>
      </c>
      <c r="M26" s="19">
        <v>-31.2</v>
      </c>
      <c r="N26" s="19">
        <v>-25.1</v>
      </c>
      <c r="O26" s="19">
        <v>-11.5</v>
      </c>
      <c r="P26" s="19">
        <v>-15.6</v>
      </c>
      <c r="Q26" s="19">
        <v>-6.3</v>
      </c>
      <c r="R26" s="19">
        <v>-9.5</v>
      </c>
      <c r="S26" s="13">
        <v>-11.5</v>
      </c>
      <c r="T26" s="19">
        <v>-10.3</v>
      </c>
      <c r="U26" s="19">
        <v>-23.6</v>
      </c>
      <c r="V26" s="19">
        <v>-25.7</v>
      </c>
      <c r="W26" s="19">
        <v>-13.3</v>
      </c>
      <c r="X26" s="19">
        <v>-6.7</v>
      </c>
      <c r="Y26" s="19">
        <v>-25.1</v>
      </c>
      <c r="Z26" s="19">
        <v>-15.3</v>
      </c>
      <c r="AA26" s="19">
        <v>-14.2</v>
      </c>
      <c r="AB26" s="19">
        <v>-4.5999999999999996</v>
      </c>
      <c r="AC26" s="19">
        <v>-9.9</v>
      </c>
      <c r="AD26" s="19">
        <v>-13.5</v>
      </c>
      <c r="AE26" s="19">
        <v>-21.6</v>
      </c>
      <c r="AF26" s="19">
        <v>-9.6</v>
      </c>
    </row>
    <row r="27" spans="1:32" x14ac:dyDescent="0.25">
      <c r="A27" s="10">
        <v>10</v>
      </c>
      <c r="B27" s="19">
        <v>-37.6</v>
      </c>
      <c r="C27" s="19">
        <v>-31.8</v>
      </c>
      <c r="D27" s="19">
        <v>-18.100000000000001</v>
      </c>
      <c r="E27" s="19">
        <v>-14.3</v>
      </c>
      <c r="F27" s="19">
        <v>-13.5</v>
      </c>
      <c r="G27" s="19">
        <v>-21.6</v>
      </c>
      <c r="H27" s="19">
        <v>-34.799999999999997</v>
      </c>
      <c r="I27" s="19">
        <v>-30.4</v>
      </c>
      <c r="J27" s="19">
        <v>-31.6</v>
      </c>
      <c r="K27" s="19">
        <v>-37.799999999999997</v>
      </c>
      <c r="L27" s="19">
        <v>-44.4</v>
      </c>
      <c r="M27" s="19">
        <v>-29.7</v>
      </c>
      <c r="N27" s="19">
        <v>-26.8</v>
      </c>
      <c r="O27" s="19">
        <v>-11.5</v>
      </c>
      <c r="P27" s="19">
        <v>-16.8</v>
      </c>
      <c r="Q27" s="19">
        <v>-6</v>
      </c>
      <c r="R27" s="19">
        <v>-10.3</v>
      </c>
      <c r="S27" s="13">
        <v>-10.7</v>
      </c>
      <c r="T27" s="19">
        <v>-9.6</v>
      </c>
      <c r="U27" s="19">
        <v>-23.4</v>
      </c>
      <c r="V27" s="19">
        <v>-23.8</v>
      </c>
      <c r="W27" s="19">
        <v>-11.4</v>
      </c>
      <c r="X27" s="19">
        <v>-6.7</v>
      </c>
      <c r="Y27" s="19">
        <v>-25</v>
      </c>
      <c r="Z27" s="19">
        <v>-13.8</v>
      </c>
      <c r="AA27" s="19">
        <v>-12.5</v>
      </c>
      <c r="AB27" s="19">
        <v>-4.7</v>
      </c>
      <c r="AC27" s="19">
        <v>-8.9</v>
      </c>
      <c r="AD27" s="19">
        <v>-13.3</v>
      </c>
      <c r="AE27" s="19">
        <v>-23.3</v>
      </c>
      <c r="AF27" s="19">
        <v>-9.1</v>
      </c>
    </row>
    <row r="28" spans="1:32" x14ac:dyDescent="0.25">
      <c r="A28" s="10">
        <v>12</v>
      </c>
      <c r="B28" s="19">
        <v>-36.700000000000003</v>
      </c>
      <c r="C28" s="19">
        <v>-30.3</v>
      </c>
      <c r="D28" s="19">
        <v>-17.399999999999999</v>
      </c>
      <c r="E28" s="19">
        <v>-13.9</v>
      </c>
      <c r="F28" s="19">
        <v>-13.8</v>
      </c>
      <c r="G28" s="19">
        <v>-22.9</v>
      </c>
      <c r="H28" s="19">
        <v>-34.4</v>
      </c>
      <c r="I28" s="19">
        <v>-29.3</v>
      </c>
      <c r="J28" s="19">
        <v>-32.1</v>
      </c>
      <c r="K28" s="19">
        <v>-37.4</v>
      </c>
      <c r="L28" s="19">
        <v>-41.9</v>
      </c>
      <c r="M28" s="19">
        <v>-29.6</v>
      </c>
      <c r="N28" s="19">
        <v>-24.8</v>
      </c>
      <c r="O28" s="19">
        <v>-10.3</v>
      </c>
      <c r="P28" s="19">
        <v>-14.9</v>
      </c>
      <c r="Q28" s="19">
        <v>-5.3</v>
      </c>
      <c r="R28" s="19">
        <v>-12.1</v>
      </c>
      <c r="S28" s="13">
        <v>-12.2</v>
      </c>
      <c r="T28" s="19">
        <v>-9.1999999999999993</v>
      </c>
      <c r="U28" s="19">
        <v>-23.2</v>
      </c>
      <c r="V28" s="19">
        <v>-22.9</v>
      </c>
      <c r="W28" s="19">
        <v>-8.6999999999999993</v>
      </c>
      <c r="X28" s="19">
        <v>-4</v>
      </c>
      <c r="Y28" s="19">
        <v>-25.4</v>
      </c>
      <c r="Z28" s="19">
        <v>-13.3</v>
      </c>
      <c r="AA28" s="19">
        <v>-10.8</v>
      </c>
      <c r="AB28" s="19">
        <v>-3.5</v>
      </c>
      <c r="AC28" s="19">
        <v>-9.3000000000000007</v>
      </c>
      <c r="AD28" s="19">
        <v>-13.2</v>
      </c>
      <c r="AE28" s="19">
        <v>-19.600000000000001</v>
      </c>
      <c r="AF28" s="19">
        <v>-8.6</v>
      </c>
    </row>
    <row r="29" spans="1:32" x14ac:dyDescent="0.25">
      <c r="A29" s="10">
        <v>14</v>
      </c>
      <c r="B29" s="19">
        <v>-36.5</v>
      </c>
      <c r="C29" s="19">
        <v>-27.6</v>
      </c>
      <c r="D29" s="19">
        <v>-17</v>
      </c>
      <c r="E29" s="19">
        <v>-13.5</v>
      </c>
      <c r="F29" s="19">
        <v>-15.2</v>
      </c>
      <c r="G29" s="19">
        <v>-24.1</v>
      </c>
      <c r="H29" s="19">
        <v>-35.4</v>
      </c>
      <c r="I29" s="19">
        <v>-29.6</v>
      </c>
      <c r="J29" s="19">
        <v>-32.1</v>
      </c>
      <c r="K29" s="19">
        <v>-37.299999999999997</v>
      </c>
      <c r="L29" s="19">
        <v>-41.2</v>
      </c>
      <c r="M29" s="19">
        <v>-29.8</v>
      </c>
      <c r="N29" s="19">
        <v>-25.6</v>
      </c>
      <c r="O29" s="19">
        <v>-10</v>
      </c>
      <c r="P29" s="19">
        <v>-16.899999999999999</v>
      </c>
      <c r="Q29" s="19">
        <v>-5.2</v>
      </c>
      <c r="R29" s="19">
        <v>-13.6</v>
      </c>
      <c r="S29" s="13">
        <v>-14.4</v>
      </c>
      <c r="T29" s="19">
        <v>-9.9</v>
      </c>
      <c r="U29" s="19">
        <v>-22.8</v>
      </c>
      <c r="V29" s="19">
        <v>-20.9</v>
      </c>
      <c r="W29" s="19">
        <v>-6.4</v>
      </c>
      <c r="X29" s="19">
        <v>-3.7</v>
      </c>
      <c r="Y29" s="19">
        <v>-26.3</v>
      </c>
      <c r="Z29" s="19">
        <v>-12.1</v>
      </c>
      <c r="AA29" s="19">
        <v>-10.199999999999999</v>
      </c>
      <c r="AB29" s="19">
        <v>-4.3</v>
      </c>
      <c r="AC29" s="19">
        <v>-8.4</v>
      </c>
      <c r="AD29" s="19">
        <v>-13.1</v>
      </c>
      <c r="AE29" s="19">
        <v>-15.9</v>
      </c>
      <c r="AF29" s="19">
        <v>-9.1999999999999993</v>
      </c>
    </row>
    <row r="30" spans="1:32" x14ac:dyDescent="0.25">
      <c r="A30" s="10">
        <v>16</v>
      </c>
      <c r="B30" s="19">
        <v>-38.6</v>
      </c>
      <c r="C30" s="19">
        <v>-26.9</v>
      </c>
      <c r="D30" s="19">
        <v>-15.7</v>
      </c>
      <c r="E30" s="19">
        <v>-13.3</v>
      </c>
      <c r="F30" s="19">
        <v>-15</v>
      </c>
      <c r="G30" s="19">
        <v>-24.9</v>
      </c>
      <c r="H30" s="19">
        <v>-34.700000000000003</v>
      </c>
      <c r="I30" s="19">
        <v>-30.1</v>
      </c>
      <c r="J30" s="19">
        <v>-29.7</v>
      </c>
      <c r="K30" s="19">
        <v>-38.799999999999997</v>
      </c>
      <c r="L30" s="19">
        <v>-41.7</v>
      </c>
      <c r="M30" s="19">
        <v>-28.1</v>
      </c>
      <c r="N30" s="19">
        <v>-27.8</v>
      </c>
      <c r="O30" s="19">
        <v>-10.5</v>
      </c>
      <c r="P30" s="19">
        <v>-13.4</v>
      </c>
      <c r="Q30" s="19">
        <v>-4.7</v>
      </c>
      <c r="R30" s="19">
        <v>-15.2</v>
      </c>
      <c r="S30" s="13">
        <v>-17.2</v>
      </c>
      <c r="T30" s="19">
        <v>-9.4</v>
      </c>
      <c r="U30" s="19">
        <v>-22.5</v>
      </c>
      <c r="V30" s="19">
        <v>-20</v>
      </c>
      <c r="W30" s="19">
        <v>-6.6</v>
      </c>
      <c r="X30" s="19">
        <v>-4</v>
      </c>
      <c r="Y30" s="19">
        <v>-26.5</v>
      </c>
      <c r="Z30" s="19">
        <v>-11.3</v>
      </c>
      <c r="AA30" s="19">
        <v>-10.3</v>
      </c>
      <c r="AB30" s="19">
        <v>-5.4</v>
      </c>
      <c r="AC30" s="19">
        <v>-8.6999999999999993</v>
      </c>
      <c r="AD30" s="19">
        <v>-14.3</v>
      </c>
      <c r="AE30" s="19">
        <v>-15</v>
      </c>
      <c r="AF30" s="19">
        <v>-12.5</v>
      </c>
    </row>
    <row r="31" spans="1:32" x14ac:dyDescent="0.25">
      <c r="A31" s="10">
        <v>18</v>
      </c>
      <c r="B31" s="19">
        <v>-39</v>
      </c>
      <c r="C31" s="19">
        <v>-24.6</v>
      </c>
      <c r="D31" s="19">
        <v>-14.6</v>
      </c>
      <c r="E31" s="19">
        <v>-14.1</v>
      </c>
      <c r="F31" s="19">
        <v>-15.1</v>
      </c>
      <c r="G31" s="19">
        <v>-25.9</v>
      </c>
      <c r="H31" s="19">
        <v>-35</v>
      </c>
      <c r="I31" s="19">
        <v>-30.8</v>
      </c>
      <c r="J31" s="19">
        <v>-26.8</v>
      </c>
      <c r="K31" s="19">
        <v>-40</v>
      </c>
      <c r="L31" s="19">
        <v>-41.5</v>
      </c>
      <c r="M31" s="19">
        <v>-26.1</v>
      </c>
      <c r="N31" s="19">
        <v>-25.4</v>
      </c>
      <c r="O31" s="19">
        <v>-11.9</v>
      </c>
      <c r="P31" s="19">
        <v>-9.5</v>
      </c>
      <c r="Q31" s="19">
        <v>-4.3</v>
      </c>
      <c r="R31" s="19">
        <v>-15.9</v>
      </c>
      <c r="S31" s="13">
        <v>-16.8</v>
      </c>
      <c r="T31" s="19">
        <v>-11.4</v>
      </c>
      <c r="U31" s="19">
        <v>-22.6</v>
      </c>
      <c r="V31" s="19">
        <v>-19.5</v>
      </c>
      <c r="W31" s="19">
        <v>-6.4</v>
      </c>
      <c r="X31" s="19">
        <v>-8.9</v>
      </c>
      <c r="Y31" s="19">
        <v>-25.3</v>
      </c>
      <c r="Z31" s="19">
        <v>-10.7</v>
      </c>
      <c r="AA31" s="19">
        <v>-10.5</v>
      </c>
      <c r="AB31" s="19">
        <v>-5.8</v>
      </c>
      <c r="AC31" s="19">
        <v>-8.3000000000000007</v>
      </c>
      <c r="AD31" s="19">
        <v>-14.8</v>
      </c>
      <c r="AE31" s="19">
        <v>-13.3</v>
      </c>
      <c r="AF31" s="19">
        <v>-11</v>
      </c>
    </row>
    <row r="32" spans="1:32" x14ac:dyDescent="0.25">
      <c r="A32" s="10">
        <v>20</v>
      </c>
      <c r="B32" s="19">
        <v>-39.200000000000003</v>
      </c>
      <c r="C32" s="19">
        <v>-23.4</v>
      </c>
      <c r="D32" s="19">
        <v>-15.9</v>
      </c>
      <c r="E32" s="19">
        <v>-14.5</v>
      </c>
      <c r="F32" s="19">
        <v>-15.4</v>
      </c>
      <c r="G32" s="19">
        <v>-27.1</v>
      </c>
      <c r="H32" s="19">
        <v>-34.700000000000003</v>
      </c>
      <c r="I32" s="19">
        <v>-31.1</v>
      </c>
      <c r="J32" s="19">
        <v>-28.8</v>
      </c>
      <c r="K32" s="19">
        <v>-40.799999999999997</v>
      </c>
      <c r="L32" s="19">
        <v>-42.2</v>
      </c>
      <c r="M32" s="19">
        <v>-24.6</v>
      </c>
      <c r="N32" s="19">
        <v>-22.4</v>
      </c>
      <c r="O32" s="19">
        <v>-12.9</v>
      </c>
      <c r="P32" s="19">
        <v>-8</v>
      </c>
      <c r="Q32" s="19">
        <v>-5.7</v>
      </c>
      <c r="R32" s="19">
        <v>-15.4</v>
      </c>
      <c r="S32" s="13">
        <v>-15.6</v>
      </c>
      <c r="T32" s="19">
        <v>-15.4</v>
      </c>
      <c r="U32" s="19">
        <v>-23</v>
      </c>
      <c r="V32" s="19">
        <v>-18.5</v>
      </c>
      <c r="W32" s="19">
        <v>-5.6</v>
      </c>
      <c r="X32" s="19">
        <v>-15.2</v>
      </c>
      <c r="Y32" s="19">
        <v>-23.7</v>
      </c>
      <c r="Z32" s="19">
        <v>-11.7</v>
      </c>
      <c r="AA32" s="19">
        <v>-9.9</v>
      </c>
      <c r="AB32" s="19">
        <v>-5.7</v>
      </c>
      <c r="AC32" s="19">
        <v>-10</v>
      </c>
      <c r="AD32" s="19">
        <v>-16.399999999999999</v>
      </c>
      <c r="AE32" s="19">
        <v>-12.7</v>
      </c>
      <c r="AF32" s="19">
        <v>-12.4</v>
      </c>
    </row>
    <row r="33" spans="1:32" x14ac:dyDescent="0.25">
      <c r="A33" s="10">
        <v>22</v>
      </c>
      <c r="B33" s="19">
        <v>-38.5</v>
      </c>
      <c r="C33" s="19">
        <v>-22.7</v>
      </c>
      <c r="D33" s="19">
        <v>-16.2</v>
      </c>
      <c r="E33" s="19">
        <v>-14.3</v>
      </c>
      <c r="F33" s="19">
        <v>-15</v>
      </c>
      <c r="G33" s="19">
        <v>-28.7</v>
      </c>
      <c r="H33" s="19">
        <v>-33.9</v>
      </c>
      <c r="I33" s="19">
        <v>-31.2</v>
      </c>
      <c r="J33" s="19">
        <v>-29</v>
      </c>
      <c r="K33" s="19">
        <v>-41.7</v>
      </c>
      <c r="L33" s="19">
        <v>-41.1</v>
      </c>
      <c r="M33" s="19">
        <v>-24.3</v>
      </c>
      <c r="N33" s="19">
        <v>-19.600000000000001</v>
      </c>
      <c r="O33" s="19">
        <v>-13.4</v>
      </c>
      <c r="P33" s="19">
        <v>-7.2</v>
      </c>
      <c r="Q33" s="19">
        <v>-6.3</v>
      </c>
      <c r="R33" s="19">
        <v>-13.9</v>
      </c>
      <c r="S33" s="13">
        <v>-14.9</v>
      </c>
      <c r="T33" s="19">
        <v>-16.899999999999999</v>
      </c>
      <c r="U33" s="19">
        <v>-25.3</v>
      </c>
      <c r="V33" s="19">
        <v>-18.600000000000001</v>
      </c>
      <c r="W33" s="19">
        <v>-5.5</v>
      </c>
      <c r="X33" s="19">
        <v>-16.100000000000001</v>
      </c>
      <c r="Y33" s="19">
        <v>-21.6</v>
      </c>
      <c r="Z33" s="19">
        <v>-11.8</v>
      </c>
      <c r="AA33" s="19">
        <v>-9.1999999999999993</v>
      </c>
      <c r="AB33" s="19">
        <v>-6.1</v>
      </c>
      <c r="AC33" s="19">
        <v>-11.9</v>
      </c>
      <c r="AD33" s="19">
        <v>-20.100000000000001</v>
      </c>
      <c r="AE33" s="19">
        <v>-12.2</v>
      </c>
      <c r="AF33" s="19">
        <v>-16.100000000000001</v>
      </c>
    </row>
    <row r="34" spans="1:32" x14ac:dyDescent="0.25">
      <c r="A34" s="10">
        <v>24</v>
      </c>
      <c r="B34" s="19">
        <v>-38.799999999999997</v>
      </c>
      <c r="C34" s="19">
        <v>-21.9</v>
      </c>
      <c r="D34" s="19">
        <v>-14.1</v>
      </c>
      <c r="E34" s="19">
        <v>-14.6</v>
      </c>
      <c r="F34" s="19">
        <v>-15.9</v>
      </c>
      <c r="G34" s="19">
        <v>-29.9</v>
      </c>
      <c r="H34" s="19">
        <v>-34.200000000000003</v>
      </c>
      <c r="I34" s="19">
        <v>-30.9</v>
      </c>
      <c r="J34" s="19">
        <v>-31</v>
      </c>
      <c r="K34" s="19">
        <v>-42.7</v>
      </c>
      <c r="L34" s="19">
        <v>-39.200000000000003</v>
      </c>
      <c r="M34" s="19">
        <v>-24.9</v>
      </c>
      <c r="N34" s="19">
        <v>-17.399999999999999</v>
      </c>
      <c r="O34" s="19">
        <v>-14.6</v>
      </c>
      <c r="P34" s="19">
        <v>-7.5</v>
      </c>
      <c r="Q34" s="19">
        <v>-7.4</v>
      </c>
      <c r="R34" s="19">
        <v>-11.9</v>
      </c>
      <c r="S34" s="13">
        <v>-14.8</v>
      </c>
      <c r="T34" s="19">
        <v>-19.8</v>
      </c>
      <c r="U34" s="19">
        <v>-27.3</v>
      </c>
      <c r="V34" s="19">
        <v>-17.600000000000001</v>
      </c>
      <c r="W34" s="19">
        <v>-5.7</v>
      </c>
      <c r="X34" s="19">
        <v>-18.2</v>
      </c>
      <c r="Y34" s="19">
        <v>-19.899999999999999</v>
      </c>
      <c r="Z34" s="19">
        <v>-10.9</v>
      </c>
      <c r="AA34" s="19">
        <v>-7.7</v>
      </c>
      <c r="AB34" s="19">
        <v>-6.6</v>
      </c>
      <c r="AC34" s="19">
        <v>-13</v>
      </c>
      <c r="AD34" s="19">
        <v>-21.9</v>
      </c>
      <c r="AE34" s="19">
        <v>-11.6</v>
      </c>
      <c r="AF34" s="19">
        <v>-16.600000000000001</v>
      </c>
    </row>
    <row r="35" spans="1:32" x14ac:dyDescent="0.25">
      <c r="A35" s="10">
        <v>2</v>
      </c>
      <c r="B35" s="19">
        <v>-39.6</v>
      </c>
      <c r="C35" s="19">
        <v>-20.7</v>
      </c>
      <c r="D35" s="19">
        <v>-13.2</v>
      </c>
      <c r="E35" s="19">
        <v>-14.3</v>
      </c>
      <c r="F35" s="19">
        <v>-17.2</v>
      </c>
      <c r="G35" s="19">
        <v>-29.7</v>
      </c>
      <c r="H35" s="19">
        <v>-34.1</v>
      </c>
      <c r="I35" s="19">
        <v>-30.5</v>
      </c>
      <c r="J35" s="19">
        <v>-33.5</v>
      </c>
      <c r="K35" s="19">
        <v>-43.1</v>
      </c>
      <c r="L35" s="19">
        <v>-36.9</v>
      </c>
      <c r="M35" s="19">
        <v>-23.3</v>
      </c>
      <c r="N35" s="19">
        <v>-15.3</v>
      </c>
      <c r="O35" s="19">
        <v>-16.2</v>
      </c>
      <c r="P35" s="19">
        <v>-8.1</v>
      </c>
      <c r="Q35" s="19">
        <v>-7.7</v>
      </c>
      <c r="R35" s="19">
        <v>-12.5</v>
      </c>
      <c r="S35" s="13">
        <v>-12.3</v>
      </c>
      <c r="T35" s="19">
        <v>-20.8</v>
      </c>
      <c r="U35" s="19">
        <v>-28.5</v>
      </c>
      <c r="V35" s="19">
        <v>-16.5</v>
      </c>
      <c r="W35" s="19">
        <v>-6.3</v>
      </c>
      <c r="X35" s="19">
        <v>-19.2</v>
      </c>
      <c r="Y35" s="19">
        <v>-18.600000000000001</v>
      </c>
      <c r="Z35" s="19">
        <v>-10.6</v>
      </c>
      <c r="AA35" s="19">
        <v>-5.9</v>
      </c>
      <c r="AB35" s="19">
        <v>-7.4</v>
      </c>
      <c r="AC35" s="19">
        <v>-14.1</v>
      </c>
      <c r="AD35" s="19">
        <v>-23.8</v>
      </c>
      <c r="AE35" s="19">
        <v>-11.4</v>
      </c>
      <c r="AF35" s="19">
        <v>-14.6</v>
      </c>
    </row>
    <row r="36" spans="1:32" ht="30" x14ac:dyDescent="0.25">
      <c r="A36" s="11" t="s">
        <v>2</v>
      </c>
      <c r="B36" s="15">
        <f>(B24+B25+B26+B27+B28+B29+B30+B31+B32+B33+B34+B35)/12</f>
        <v>-38.016666666666673</v>
      </c>
      <c r="C36" s="15">
        <f t="shared" ref="C36:J36" si="2">(C24+C25+C26+C27+C28+C29+C30+C31+C32+C33+C34+C35)/12</f>
        <v>-27.774999999999995</v>
      </c>
      <c r="D36" s="15">
        <f t="shared" si="2"/>
        <v>-16.733333333333331</v>
      </c>
      <c r="E36" s="15">
        <f t="shared" si="2"/>
        <v>-14.283333333333333</v>
      </c>
      <c r="F36" s="15">
        <f t="shared" si="2"/>
        <v>-14.808333333333332</v>
      </c>
      <c r="G36" s="15">
        <f t="shared" si="2"/>
        <v>-24.383333333333329</v>
      </c>
      <c r="H36" s="15">
        <f t="shared" si="2"/>
        <v>-34.18333333333333</v>
      </c>
      <c r="I36" s="15">
        <f t="shared" si="2"/>
        <v>-31.041666666666668</v>
      </c>
      <c r="J36" s="15">
        <f t="shared" si="2"/>
        <v>-30.441666666666666</v>
      </c>
      <c r="K36" s="15">
        <f>(K24+K25+K26+K27+K28+K29+K30+K31+K32+K33+K34+K35)/12</f>
        <v>-39.158333333333339</v>
      </c>
      <c r="L36" s="15">
        <f t="shared" ref="L36:AF36" si="3">(L24+L25+L26+L27+L28+L29+L30+L31+L32+L33+L34+L35)/12</f>
        <v>-41.791666666666664</v>
      </c>
      <c r="M36" s="15">
        <f t="shared" si="3"/>
        <v>-28.266666666666666</v>
      </c>
      <c r="N36" s="15">
        <f t="shared" si="3"/>
        <v>-23</v>
      </c>
      <c r="O36" s="15">
        <f t="shared" si="3"/>
        <v>-12.316666666666668</v>
      </c>
      <c r="P36" s="15">
        <f t="shared" si="3"/>
        <v>-12.524999999999999</v>
      </c>
      <c r="Q36" s="15">
        <f t="shared" si="3"/>
        <v>-6.1583333333333341</v>
      </c>
      <c r="R36" s="15">
        <f t="shared" si="3"/>
        <v>-12.091666666666669</v>
      </c>
      <c r="S36" s="15">
        <f t="shared" si="3"/>
        <v>-13.816666666666668</v>
      </c>
      <c r="T36" s="15">
        <f t="shared" si="3"/>
        <v>-12.958333333333336</v>
      </c>
      <c r="U36" s="15">
        <f t="shared" si="3"/>
        <v>-23.933333333333334</v>
      </c>
      <c r="V36" s="15">
        <f t="shared" si="3"/>
        <v>-21.508333333333336</v>
      </c>
      <c r="W36" s="15">
        <f t="shared" si="3"/>
        <v>-8.7750000000000004</v>
      </c>
      <c r="X36" s="15">
        <f t="shared" si="3"/>
        <v>-9.6166666666666671</v>
      </c>
      <c r="Y36" s="15">
        <f t="shared" si="3"/>
        <v>-23.650000000000002</v>
      </c>
      <c r="Z36" s="15">
        <f t="shared" si="3"/>
        <v>-12.866666666666667</v>
      </c>
      <c r="AA36" s="15">
        <f t="shared" si="3"/>
        <v>-10.575000000000001</v>
      </c>
      <c r="AB36" s="15">
        <f t="shared" si="3"/>
        <v>-5.3416666666666677</v>
      </c>
      <c r="AC36" s="15">
        <f t="shared" si="3"/>
        <v>-9.9916666666666654</v>
      </c>
      <c r="AD36" s="15">
        <f>(AD24+AD25+AD26+AD27+AD28+AD29+AD30+AD31+AD32+AD33+AD34+AD35)/12</f>
        <v>-16.116666666666667</v>
      </c>
      <c r="AE36" s="15">
        <f>(AE24+AE25+AE26+AE27+AE28+AE29+AE30+AE31+AE32+AE33+AE34+AE35)/12</f>
        <v>-16.641666666666666</v>
      </c>
      <c r="AF36" s="15">
        <f t="shared" si="3"/>
        <v>-11.691666666666668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G1" activePane="topRight" state="frozen"/>
      <selection pane="topRight" activeCell="AI25" sqref="AI2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-13.5</v>
      </c>
      <c r="C4" s="19">
        <v>-8.1</v>
      </c>
      <c r="D4" s="19">
        <v>-13.5</v>
      </c>
      <c r="E4" s="19">
        <v>-16.3</v>
      </c>
      <c r="F4" s="19">
        <v>-18.8</v>
      </c>
      <c r="G4" s="19">
        <v>-19</v>
      </c>
      <c r="H4" s="19">
        <v>-19</v>
      </c>
      <c r="I4" s="19">
        <v>-27.8</v>
      </c>
      <c r="J4" s="19">
        <v>-17</v>
      </c>
      <c r="K4" s="19">
        <v>-23</v>
      </c>
      <c r="L4" s="19">
        <v>-13.6</v>
      </c>
      <c r="M4" s="19">
        <v>-13.2</v>
      </c>
      <c r="N4" s="19">
        <v>-16.7</v>
      </c>
      <c r="O4" s="19">
        <v>-15.3</v>
      </c>
      <c r="P4" s="19">
        <v>-18.3</v>
      </c>
      <c r="Q4" s="19">
        <v>-14.3</v>
      </c>
      <c r="R4" s="19">
        <v>-13.3</v>
      </c>
      <c r="S4" s="19">
        <v>-18.2</v>
      </c>
      <c r="T4" s="19">
        <v>-20.100000000000001</v>
      </c>
      <c r="U4" s="19">
        <v>-19.100000000000001</v>
      </c>
      <c r="V4" s="19">
        <v>-23.5</v>
      </c>
      <c r="W4" s="19">
        <v>-8.8000000000000007</v>
      </c>
      <c r="X4" s="19">
        <v>-2.9</v>
      </c>
      <c r="Y4" s="19">
        <v>-1.5</v>
      </c>
      <c r="Z4" s="19">
        <v>-5.3</v>
      </c>
      <c r="AA4" s="19">
        <v>-15.5</v>
      </c>
      <c r="AB4" s="19" t="s">
        <v>88</v>
      </c>
      <c r="AC4" s="19" t="s">
        <v>99</v>
      </c>
      <c r="AD4" s="19"/>
      <c r="AE4" s="19"/>
      <c r="AF4" s="19"/>
    </row>
    <row r="5" spans="1:33" x14ac:dyDescent="0.25">
      <c r="A5" s="10">
        <v>6</v>
      </c>
      <c r="B5" s="19">
        <v>-13.2</v>
      </c>
      <c r="C5" s="19">
        <v>-7.7</v>
      </c>
      <c r="D5" s="19">
        <v>-13.7</v>
      </c>
      <c r="E5" s="19">
        <v>-16.3</v>
      </c>
      <c r="F5" s="19">
        <v>-19</v>
      </c>
      <c r="G5" s="19">
        <v>-18.7</v>
      </c>
      <c r="H5" s="19">
        <v>-17.899999999999999</v>
      </c>
      <c r="I5" s="19">
        <v>-27.8</v>
      </c>
      <c r="J5" s="19">
        <v>-16.899999999999999</v>
      </c>
      <c r="K5" s="19">
        <v>-23.2</v>
      </c>
      <c r="L5" s="19">
        <v>-12.5</v>
      </c>
      <c r="M5" s="19">
        <v>-13.2</v>
      </c>
      <c r="N5" s="19">
        <v>-17</v>
      </c>
      <c r="O5" s="19">
        <v>-15.5</v>
      </c>
      <c r="P5" s="19">
        <v>-18.5</v>
      </c>
      <c r="Q5" s="19">
        <v>-14.3</v>
      </c>
      <c r="R5" s="19">
        <v>-14.1</v>
      </c>
      <c r="S5" s="19">
        <v>-17.399999999999999</v>
      </c>
      <c r="T5" s="19">
        <v>-20.100000000000001</v>
      </c>
      <c r="U5" s="19">
        <v>-19.399999999999999</v>
      </c>
      <c r="V5" s="19">
        <v>-25.2</v>
      </c>
      <c r="W5" s="19">
        <v>-8.6999999999999993</v>
      </c>
      <c r="X5" s="19">
        <v>-3</v>
      </c>
      <c r="Y5" s="19">
        <v>-1.9</v>
      </c>
      <c r="Z5" s="19">
        <v>-7.4</v>
      </c>
      <c r="AA5" s="19">
        <v>-15.8</v>
      </c>
      <c r="AB5" s="19" t="s">
        <v>88</v>
      </c>
      <c r="AC5" s="19" t="s">
        <v>100</v>
      </c>
      <c r="AD5" s="19"/>
      <c r="AE5" s="19"/>
      <c r="AF5" s="19"/>
    </row>
    <row r="6" spans="1:33" x14ac:dyDescent="0.25">
      <c r="A6" s="10">
        <v>8</v>
      </c>
      <c r="B6" s="19">
        <v>-12.2</v>
      </c>
      <c r="C6" s="19">
        <v>-7.7</v>
      </c>
      <c r="D6" s="19">
        <v>-13</v>
      </c>
      <c r="E6" s="19">
        <v>-18.899999999999999</v>
      </c>
      <c r="F6" s="19">
        <v>-20.2</v>
      </c>
      <c r="G6" s="19">
        <v>-18</v>
      </c>
      <c r="H6" s="19">
        <v>-19</v>
      </c>
      <c r="I6" s="19">
        <v>-28</v>
      </c>
      <c r="J6" s="19">
        <v>-16.7</v>
      </c>
      <c r="K6" s="19">
        <v>-23.2</v>
      </c>
      <c r="L6" s="19">
        <v>-13</v>
      </c>
      <c r="M6" s="19">
        <v>-13.8</v>
      </c>
      <c r="N6" s="19">
        <v>-18.2</v>
      </c>
      <c r="O6" s="19">
        <v>-15.4</v>
      </c>
      <c r="P6" s="19">
        <v>-18</v>
      </c>
      <c r="Q6" s="19">
        <v>-12.5</v>
      </c>
      <c r="R6" s="19">
        <v>-14.5</v>
      </c>
      <c r="S6" s="19">
        <v>-18.399999999999999</v>
      </c>
      <c r="T6" s="19">
        <v>-17.7</v>
      </c>
      <c r="U6" s="19">
        <v>-20.100000000000001</v>
      </c>
      <c r="V6" s="19">
        <v>-22.7</v>
      </c>
      <c r="W6" s="19">
        <v>-8.1</v>
      </c>
      <c r="X6" s="19">
        <v>-3.1</v>
      </c>
      <c r="Y6" s="19">
        <v>-2.5</v>
      </c>
      <c r="Z6" s="19">
        <v>-9.6</v>
      </c>
      <c r="AA6" s="19">
        <v>-18</v>
      </c>
      <c r="AB6" s="19" t="s">
        <v>89</v>
      </c>
      <c r="AC6" s="19" t="s">
        <v>100</v>
      </c>
      <c r="AD6" s="19"/>
      <c r="AE6" s="19"/>
      <c r="AF6" s="19"/>
    </row>
    <row r="7" spans="1:33" x14ac:dyDescent="0.25">
      <c r="A7" s="10">
        <v>10</v>
      </c>
      <c r="B7" s="19">
        <v>-11.1</v>
      </c>
      <c r="C7" s="19">
        <v>-7.2</v>
      </c>
      <c r="D7" s="19">
        <v>-11</v>
      </c>
      <c r="E7" s="19">
        <v>-16.899999999999999</v>
      </c>
      <c r="F7" s="19">
        <v>-20</v>
      </c>
      <c r="G7" s="19">
        <v>-16</v>
      </c>
      <c r="H7" s="19">
        <v>-20</v>
      </c>
      <c r="I7" s="19">
        <v>-26</v>
      </c>
      <c r="J7" s="19">
        <v>-15.4</v>
      </c>
      <c r="K7" s="19">
        <v>-21</v>
      </c>
      <c r="L7" s="19">
        <v>-12</v>
      </c>
      <c r="M7" s="19">
        <v>-13.8</v>
      </c>
      <c r="N7" s="19">
        <v>-16.8</v>
      </c>
      <c r="O7" s="19">
        <v>-14.9</v>
      </c>
      <c r="P7" s="19">
        <v>-16.100000000000001</v>
      </c>
      <c r="Q7" s="19">
        <v>-13.3</v>
      </c>
      <c r="R7" s="19">
        <v>-13.4</v>
      </c>
      <c r="S7" s="19">
        <v>-16.5</v>
      </c>
      <c r="T7" s="19">
        <v>-16.399999999999999</v>
      </c>
      <c r="U7" s="19">
        <v>-19.2</v>
      </c>
      <c r="V7" s="19">
        <v>-18</v>
      </c>
      <c r="W7" s="19">
        <v>-6.2</v>
      </c>
      <c r="X7" s="19">
        <v>-2.2999999999999998</v>
      </c>
      <c r="Y7" s="19">
        <v>-2.5</v>
      </c>
      <c r="Z7" s="19">
        <v>-12.4</v>
      </c>
      <c r="AA7" s="19">
        <v>-15.5</v>
      </c>
      <c r="AB7" s="19" t="s">
        <v>90</v>
      </c>
      <c r="AC7" s="19" t="s">
        <v>101</v>
      </c>
      <c r="AD7" s="19"/>
      <c r="AE7" s="19"/>
      <c r="AF7" s="19"/>
    </row>
    <row r="8" spans="1:33" x14ac:dyDescent="0.25">
      <c r="A8" s="10">
        <v>12</v>
      </c>
      <c r="B8" s="19">
        <v>-9.6999999999999993</v>
      </c>
      <c r="C8" s="19">
        <v>-6.5</v>
      </c>
      <c r="D8" s="19">
        <v>-9.4</v>
      </c>
      <c r="E8" s="19">
        <v>-14.9</v>
      </c>
      <c r="F8" s="19">
        <v>-17.3</v>
      </c>
      <c r="G8" s="19">
        <v>-14.5</v>
      </c>
      <c r="H8" s="19">
        <v>-19</v>
      </c>
      <c r="I8" s="19">
        <v>-23.2</v>
      </c>
      <c r="J8" s="19">
        <v>-14.3</v>
      </c>
      <c r="K8" s="19">
        <v>-16.3</v>
      </c>
      <c r="L8" s="19">
        <v>-12</v>
      </c>
      <c r="M8" s="19">
        <v>-12.9</v>
      </c>
      <c r="N8" s="19">
        <v>-15</v>
      </c>
      <c r="O8" s="19">
        <v>-13.2</v>
      </c>
      <c r="P8" s="19">
        <v>-13</v>
      </c>
      <c r="Q8" s="19">
        <v>-11.2</v>
      </c>
      <c r="R8" s="19">
        <v>-12.4</v>
      </c>
      <c r="S8" s="19">
        <v>-12.2</v>
      </c>
      <c r="T8" s="19">
        <v>-13.6</v>
      </c>
      <c r="U8" s="19">
        <v>-14.2</v>
      </c>
      <c r="V8" s="19">
        <v>-15.6</v>
      </c>
      <c r="W8" s="19">
        <v>-4.3</v>
      </c>
      <c r="X8" s="19">
        <v>-2.1</v>
      </c>
      <c r="Y8" s="19">
        <v>-1.8</v>
      </c>
      <c r="Z8" s="19">
        <v>-12</v>
      </c>
      <c r="AA8" s="19">
        <v>-13.6</v>
      </c>
      <c r="AB8" s="19" t="s">
        <v>91</v>
      </c>
      <c r="AC8" s="19" t="s">
        <v>102</v>
      </c>
      <c r="AD8" s="19"/>
      <c r="AE8" s="19"/>
      <c r="AF8" s="19"/>
    </row>
    <row r="9" spans="1:33" x14ac:dyDescent="0.25">
      <c r="A9" s="10">
        <v>14</v>
      </c>
      <c r="B9" s="19">
        <v>-8.6999999999999993</v>
      </c>
      <c r="C9" s="19">
        <v>-6.2</v>
      </c>
      <c r="D9" s="19">
        <v>-8</v>
      </c>
      <c r="E9" s="19">
        <v>-14.3</v>
      </c>
      <c r="F9" s="19">
        <v>-16.399999999999999</v>
      </c>
      <c r="G9" s="19">
        <v>-15</v>
      </c>
      <c r="H9" s="19">
        <v>-19</v>
      </c>
      <c r="I9" s="19">
        <v>-20.100000000000001</v>
      </c>
      <c r="J9" s="19">
        <v>-13.9</v>
      </c>
      <c r="K9" s="19">
        <v>-15.2</v>
      </c>
      <c r="L9" s="19">
        <v>-12</v>
      </c>
      <c r="M9" s="19">
        <v>-12.7</v>
      </c>
      <c r="N9" s="19">
        <v>-12.9</v>
      </c>
      <c r="O9" s="19">
        <v>-13.8</v>
      </c>
      <c r="P9" s="19">
        <v>-14.1</v>
      </c>
      <c r="Q9" s="19">
        <v>-8.3000000000000007</v>
      </c>
      <c r="R9" s="19">
        <v>-11.5</v>
      </c>
      <c r="S9" s="19">
        <v>-7.8</v>
      </c>
      <c r="T9" s="19">
        <v>-13.3</v>
      </c>
      <c r="U9" s="19">
        <v>-15.7</v>
      </c>
      <c r="V9" s="19">
        <v>-14</v>
      </c>
      <c r="W9" s="19">
        <v>-2.7</v>
      </c>
      <c r="X9" s="19">
        <v>-1.3</v>
      </c>
      <c r="Y9" s="19">
        <v>-1.5</v>
      </c>
      <c r="Z9" s="19">
        <v>-9.6</v>
      </c>
      <c r="AA9" s="19">
        <v>-12.5</v>
      </c>
      <c r="AB9" s="19" t="s">
        <v>92</v>
      </c>
      <c r="AC9" s="19" t="s">
        <v>103</v>
      </c>
      <c r="AD9" s="19"/>
      <c r="AE9" s="19"/>
      <c r="AF9" s="19"/>
    </row>
    <row r="10" spans="1:33" x14ac:dyDescent="0.25">
      <c r="A10" s="10">
        <v>16</v>
      </c>
      <c r="B10" s="19">
        <v>-9.6999999999999993</v>
      </c>
      <c r="C10" s="19">
        <v>-6.9</v>
      </c>
      <c r="D10" s="19">
        <v>-9</v>
      </c>
      <c r="E10" s="19">
        <v>-17</v>
      </c>
      <c r="F10" s="19">
        <v>-16.600000000000001</v>
      </c>
      <c r="G10" s="19">
        <v>-17.5</v>
      </c>
      <c r="H10" s="19">
        <v>-24</v>
      </c>
      <c r="I10" s="19">
        <v>-22.3</v>
      </c>
      <c r="J10" s="19">
        <v>-14.7</v>
      </c>
      <c r="K10" s="19">
        <v>-15.3</v>
      </c>
      <c r="L10" s="19">
        <v>-12</v>
      </c>
      <c r="M10" s="19">
        <v>-13.8</v>
      </c>
      <c r="N10" s="19">
        <v>-13.9</v>
      </c>
      <c r="O10" s="19">
        <v>-15</v>
      </c>
      <c r="P10" s="19">
        <v>-15.1</v>
      </c>
      <c r="Q10" s="19">
        <v>-10.9</v>
      </c>
      <c r="R10" s="19">
        <v>-11.3</v>
      </c>
      <c r="S10" s="19">
        <v>-14.3</v>
      </c>
      <c r="T10" s="19">
        <v>-14.2</v>
      </c>
      <c r="U10" s="19">
        <v>-16.100000000000001</v>
      </c>
      <c r="V10" s="19">
        <v>-13.2</v>
      </c>
      <c r="W10" s="19">
        <v>-2.7</v>
      </c>
      <c r="X10" s="19">
        <v>-1.4</v>
      </c>
      <c r="Y10" s="19">
        <v>-2.1</v>
      </c>
      <c r="Z10" s="19">
        <v>-12.5</v>
      </c>
      <c r="AA10" s="19">
        <v>-12.6</v>
      </c>
      <c r="AB10" s="19" t="s">
        <v>93</v>
      </c>
      <c r="AC10" s="19" t="s">
        <v>104</v>
      </c>
      <c r="AD10" s="19"/>
      <c r="AE10" s="19"/>
      <c r="AF10" s="19"/>
    </row>
    <row r="11" spans="1:33" x14ac:dyDescent="0.25">
      <c r="A11" s="10">
        <v>18</v>
      </c>
      <c r="B11" s="19">
        <v>-9.1</v>
      </c>
      <c r="C11" s="19">
        <v>-7.4</v>
      </c>
      <c r="D11" s="19">
        <v>-12</v>
      </c>
      <c r="E11" s="19">
        <v>-17</v>
      </c>
      <c r="F11" s="19">
        <v>-16.2</v>
      </c>
      <c r="G11" s="19">
        <v>-18.3</v>
      </c>
      <c r="H11" s="19">
        <v>-25.3</v>
      </c>
      <c r="I11" s="19">
        <v>-23</v>
      </c>
      <c r="J11" s="19">
        <v>-15.9</v>
      </c>
      <c r="K11" s="19">
        <v>-15.8</v>
      </c>
      <c r="L11" s="19">
        <v>-11.9</v>
      </c>
      <c r="M11" s="19">
        <v>-12.9</v>
      </c>
      <c r="N11" s="19">
        <v>-15.1</v>
      </c>
      <c r="O11" s="19">
        <v>-17.100000000000001</v>
      </c>
      <c r="P11" s="19">
        <v>-14.9</v>
      </c>
      <c r="Q11" s="19">
        <v>-12.1</v>
      </c>
      <c r="R11" s="19">
        <v>-12.6</v>
      </c>
      <c r="S11" s="19">
        <v>-15</v>
      </c>
      <c r="T11" s="19">
        <v>-14.8</v>
      </c>
      <c r="U11" s="19">
        <v>-17.2</v>
      </c>
      <c r="V11" s="19">
        <v>-13</v>
      </c>
      <c r="W11" s="19">
        <v>-2.6</v>
      </c>
      <c r="X11" s="19">
        <v>-1</v>
      </c>
      <c r="Y11" s="19">
        <v>-3.1</v>
      </c>
      <c r="Z11" s="19">
        <v>-14.1</v>
      </c>
      <c r="AA11" s="19">
        <v>-15.6</v>
      </c>
      <c r="AB11" s="19" t="s">
        <v>94</v>
      </c>
      <c r="AC11" s="19" t="s">
        <v>105</v>
      </c>
      <c r="AD11" s="19"/>
      <c r="AE11" s="19"/>
      <c r="AF11" s="19"/>
    </row>
    <row r="12" spans="1:33" x14ac:dyDescent="0.25">
      <c r="A12" s="10">
        <v>20</v>
      </c>
      <c r="B12" s="19">
        <v>-9</v>
      </c>
      <c r="C12" s="19">
        <v>-8.1999999999999993</v>
      </c>
      <c r="D12" s="19">
        <v>-13.4</v>
      </c>
      <c r="E12" s="19">
        <v>-18</v>
      </c>
      <c r="F12" s="19">
        <v>-15.6</v>
      </c>
      <c r="G12" s="19">
        <v>-18.5</v>
      </c>
      <c r="H12" s="19">
        <v>-26</v>
      </c>
      <c r="I12" s="19">
        <v>-21</v>
      </c>
      <c r="J12" s="19">
        <v>-18.3</v>
      </c>
      <c r="K12" s="19">
        <v>-14.4</v>
      </c>
      <c r="L12" s="19">
        <v>-12.3</v>
      </c>
      <c r="M12" s="19">
        <v>-12.7</v>
      </c>
      <c r="N12" s="19">
        <v>-15.3</v>
      </c>
      <c r="O12" s="19">
        <v>-17.3</v>
      </c>
      <c r="P12" s="19">
        <v>-15.6</v>
      </c>
      <c r="Q12" s="19">
        <v>-12.7</v>
      </c>
      <c r="R12" s="19">
        <v>-13.8</v>
      </c>
      <c r="S12" s="19">
        <v>-16.3</v>
      </c>
      <c r="T12" s="19">
        <v>-15.7</v>
      </c>
      <c r="U12" s="19">
        <v>-19.399999999999999</v>
      </c>
      <c r="V12" s="19">
        <v>-12.6</v>
      </c>
      <c r="W12" s="19">
        <v>0</v>
      </c>
      <c r="X12" s="19">
        <v>-1</v>
      </c>
      <c r="Y12" s="19">
        <v>-4.5999999999999996</v>
      </c>
      <c r="Z12" s="19">
        <v>-14.4</v>
      </c>
      <c r="AA12" s="19">
        <v>-16.7</v>
      </c>
      <c r="AB12" s="19" t="s">
        <v>95</v>
      </c>
      <c r="AC12" s="19" t="s">
        <v>106</v>
      </c>
      <c r="AD12" s="19"/>
      <c r="AE12" s="19"/>
      <c r="AF12" s="19"/>
    </row>
    <row r="13" spans="1:33" x14ac:dyDescent="0.25">
      <c r="A13" s="10">
        <v>22</v>
      </c>
      <c r="B13" s="19">
        <v>-8.4</v>
      </c>
      <c r="C13" s="19">
        <v>-9.1</v>
      </c>
      <c r="D13" s="19">
        <v>-14.9</v>
      </c>
      <c r="E13" s="19">
        <v>-18</v>
      </c>
      <c r="F13" s="19">
        <v>-15.1</v>
      </c>
      <c r="G13" s="19">
        <v>-18.3</v>
      </c>
      <c r="H13" s="19">
        <v>-26.8</v>
      </c>
      <c r="I13" s="19">
        <v>-19</v>
      </c>
      <c r="J13" s="19">
        <v>-20.6</v>
      </c>
      <c r="K13" s="19">
        <v>-15.1</v>
      </c>
      <c r="L13" s="19">
        <v>-13.1</v>
      </c>
      <c r="M13" s="19">
        <v>-13.2</v>
      </c>
      <c r="N13" s="19">
        <v>-14.7</v>
      </c>
      <c r="O13" s="19">
        <v>-18.399999999999999</v>
      </c>
      <c r="P13" s="19">
        <v>-15.8</v>
      </c>
      <c r="Q13" s="19">
        <v>-12.1</v>
      </c>
      <c r="R13" s="19">
        <v>-14.1</v>
      </c>
      <c r="S13" s="19">
        <v>-16.5</v>
      </c>
      <c r="T13" s="19">
        <v>-15.9</v>
      </c>
      <c r="U13" s="19">
        <v>-19.5</v>
      </c>
      <c r="V13" s="19">
        <v>-13</v>
      </c>
      <c r="W13" s="19">
        <v>-2</v>
      </c>
      <c r="X13" s="19">
        <v>-1</v>
      </c>
      <c r="Y13" s="19">
        <v>-4.7</v>
      </c>
      <c r="Z13" s="19">
        <v>-14.5</v>
      </c>
      <c r="AA13" s="19">
        <v>-16.2</v>
      </c>
      <c r="AB13" s="19" t="s">
        <v>96</v>
      </c>
      <c r="AC13" s="19" t="s">
        <v>107</v>
      </c>
      <c r="AD13" s="19"/>
      <c r="AE13" s="19"/>
      <c r="AF13" s="19"/>
    </row>
    <row r="14" spans="1:33" x14ac:dyDescent="0.25">
      <c r="A14" s="10">
        <v>24</v>
      </c>
      <c r="B14" s="19">
        <v>-8.1</v>
      </c>
      <c r="C14" s="19">
        <v>-11</v>
      </c>
      <c r="D14" s="19">
        <v>-15.9</v>
      </c>
      <c r="E14" s="19">
        <v>-16.600000000000001</v>
      </c>
      <c r="F14" s="19">
        <v>-14.9</v>
      </c>
      <c r="G14" s="19">
        <v>-18.3</v>
      </c>
      <c r="H14" s="19">
        <v>-27.2</v>
      </c>
      <c r="I14" s="19">
        <v>-18</v>
      </c>
      <c r="J14" s="19">
        <v>-21.3</v>
      </c>
      <c r="K14" s="19">
        <v>-13.8</v>
      </c>
      <c r="L14" s="19">
        <v>-13.3</v>
      </c>
      <c r="M14" s="19">
        <v>-14.3</v>
      </c>
      <c r="N14" s="19">
        <v>-14.5</v>
      </c>
      <c r="O14" s="19">
        <v>-17</v>
      </c>
      <c r="P14" s="19">
        <v>-17.2</v>
      </c>
      <c r="Q14" s="19">
        <v>-12.4</v>
      </c>
      <c r="R14" s="19">
        <v>-14.7</v>
      </c>
      <c r="S14" s="19">
        <v>-16.2</v>
      </c>
      <c r="T14" s="19">
        <v>-17.100000000000001</v>
      </c>
      <c r="U14" s="19">
        <v>-23.6</v>
      </c>
      <c r="V14" s="19">
        <v>-13.5</v>
      </c>
      <c r="W14" s="19">
        <v>-2</v>
      </c>
      <c r="X14" s="19">
        <v>-1.1000000000000001</v>
      </c>
      <c r="Y14" s="19">
        <v>-5.3</v>
      </c>
      <c r="Z14" s="19">
        <v>-14.5</v>
      </c>
      <c r="AA14" s="19">
        <v>-17.600000000000001</v>
      </c>
      <c r="AB14" s="19" t="s">
        <v>97</v>
      </c>
      <c r="AC14" s="19" t="s">
        <v>108</v>
      </c>
      <c r="AD14" s="19"/>
      <c r="AE14" s="19"/>
      <c r="AF14" s="19"/>
    </row>
    <row r="15" spans="1:33" x14ac:dyDescent="0.25">
      <c r="A15" s="10">
        <v>2</v>
      </c>
      <c r="B15" s="19">
        <v>-8.1</v>
      </c>
      <c r="C15" s="19">
        <v>-11.4</v>
      </c>
      <c r="D15" s="19">
        <v>-15.5</v>
      </c>
      <c r="E15" s="19">
        <v>-16.7</v>
      </c>
      <c r="F15" s="19">
        <v>-18.5</v>
      </c>
      <c r="G15" s="19">
        <v>-18.600000000000001</v>
      </c>
      <c r="H15" s="19">
        <v>-26.9</v>
      </c>
      <c r="I15" s="19">
        <v>-17.899999999999999</v>
      </c>
      <c r="J15" s="19">
        <v>-23.3</v>
      </c>
      <c r="K15" s="19">
        <v>-12.8</v>
      </c>
      <c r="L15" s="19">
        <v>-13.6</v>
      </c>
      <c r="M15" s="19">
        <v>-15.1</v>
      </c>
      <c r="N15" s="19">
        <v>-13.9</v>
      </c>
      <c r="O15" s="19">
        <v>-16.5</v>
      </c>
      <c r="P15" s="19">
        <v>-16.600000000000001</v>
      </c>
      <c r="Q15" s="19">
        <v>-12.6</v>
      </c>
      <c r="R15" s="19">
        <v>-16.100000000000001</v>
      </c>
      <c r="S15" s="19">
        <v>-15.9</v>
      </c>
      <c r="T15" s="19">
        <v>-15.5</v>
      </c>
      <c r="U15" s="19">
        <v>-24.5</v>
      </c>
      <c r="V15" s="19">
        <v>-10.3</v>
      </c>
      <c r="W15" s="19">
        <v>-2.9</v>
      </c>
      <c r="X15" s="19">
        <v>-2.5</v>
      </c>
      <c r="Y15" s="19">
        <v>-6.4</v>
      </c>
      <c r="Z15" s="19">
        <v>-15.1</v>
      </c>
      <c r="AA15" s="19">
        <v>-20.399999999999999</v>
      </c>
      <c r="AB15" s="19" t="s">
        <v>98</v>
      </c>
      <c r="AC15" s="19" t="s">
        <v>109</v>
      </c>
      <c r="AD15" s="19"/>
      <c r="AE15" s="19"/>
      <c r="AF15" s="19"/>
    </row>
    <row r="16" spans="1:33" ht="30" x14ac:dyDescent="0.25">
      <c r="A16" s="11" t="s">
        <v>2</v>
      </c>
      <c r="B16" s="15">
        <f>(B4+B5+B6+B7+B8+B9+B10+B11+B12+B13+B14+B15)/12</f>
        <v>-10.066666666666666</v>
      </c>
      <c r="C16" s="15">
        <f t="shared" ref="C16:O16" si="0">(C4+C5+C6+C7+C8+C9+C10+C11+C12+C13+C14+C15)/12</f>
        <v>-8.1166666666666671</v>
      </c>
      <c r="D16" s="15">
        <f t="shared" si="0"/>
        <v>-12.441666666666668</v>
      </c>
      <c r="E16" s="15">
        <f t="shared" si="0"/>
        <v>-16.741666666666667</v>
      </c>
      <c r="F16" s="15">
        <f t="shared" si="0"/>
        <v>-17.383333333333329</v>
      </c>
      <c r="G16" s="15">
        <f t="shared" si="0"/>
        <v>-17.558333333333334</v>
      </c>
      <c r="H16" s="15">
        <f t="shared" si="0"/>
        <v>-22.508333333333336</v>
      </c>
      <c r="I16" s="15">
        <f t="shared" si="0"/>
        <v>-22.841666666666665</v>
      </c>
      <c r="J16" s="15">
        <f t="shared" si="0"/>
        <v>-17.358333333333338</v>
      </c>
      <c r="K16" s="15">
        <f t="shared" si="0"/>
        <v>-17.425000000000004</v>
      </c>
      <c r="L16" s="15">
        <f t="shared" si="0"/>
        <v>-12.608333333333333</v>
      </c>
      <c r="M16" s="15">
        <f t="shared" si="0"/>
        <v>-13.466666666666669</v>
      </c>
      <c r="N16" s="15">
        <f t="shared" si="0"/>
        <v>-15.333333333333334</v>
      </c>
      <c r="O16" s="15">
        <f t="shared" si="0"/>
        <v>-15.783333333333333</v>
      </c>
      <c r="P16" s="15">
        <f>(P4+P5+P6+P7+P8+P9+P10+P11+P12+P13+P14+P15)/12</f>
        <v>-16.099999999999998</v>
      </c>
      <c r="Q16" s="15">
        <f>(Q4+Q5+Q6+Q7+Q8+Q9+Q10+Q11+Q12+Q13+Q14+Q15)/12</f>
        <v>-12.225</v>
      </c>
      <c r="R16" s="15">
        <f>(R4+R5+R6+R7+R8+R9+R10+R11+R12+R13+R14+R15)/12</f>
        <v>-13.483333333333333</v>
      </c>
      <c r="S16" s="15">
        <f t="shared" ref="S16:AF16" si="1">(S4+S5+S6+S7+S8+S9+S10+S11+S12+S13+S14+S15)/12</f>
        <v>-15.391666666666666</v>
      </c>
      <c r="T16" s="15">
        <f t="shared" si="1"/>
        <v>-16.2</v>
      </c>
      <c r="U16" s="15">
        <f t="shared" si="1"/>
        <v>-19</v>
      </c>
      <c r="V16" s="15">
        <f t="shared" si="1"/>
        <v>-16.216666666666665</v>
      </c>
      <c r="W16" s="15">
        <f t="shared" si="1"/>
        <v>-4.2500000000000009</v>
      </c>
      <c r="X16" s="15">
        <f t="shared" si="1"/>
        <v>-1.8916666666666668</v>
      </c>
      <c r="Y16" s="15">
        <f t="shared" si="1"/>
        <v>-3.1583333333333332</v>
      </c>
      <c r="Z16" s="15">
        <f t="shared" si="1"/>
        <v>-11.783333333333333</v>
      </c>
      <c r="AA16" s="15">
        <f t="shared" si="1"/>
        <v>-15.83333333333333</v>
      </c>
      <c r="AB16" s="15">
        <f t="shared" si="1"/>
        <v>-13.791666666666666</v>
      </c>
      <c r="AC16" s="15">
        <f t="shared" si="1"/>
        <v>-4.1750000000000007</v>
      </c>
      <c r="AD16" s="15">
        <f t="shared" si="1"/>
        <v>0</v>
      </c>
      <c r="AE16" s="15">
        <f t="shared" si="1"/>
        <v>0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5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-13.4</v>
      </c>
      <c r="C24" s="19">
        <v>-7.4</v>
      </c>
      <c r="D24" s="19">
        <v>-11.1</v>
      </c>
      <c r="E24" s="19">
        <v>-14.3</v>
      </c>
      <c r="F24" s="19">
        <v>-15.5</v>
      </c>
      <c r="G24" s="19">
        <v>-16.399999999999999</v>
      </c>
      <c r="H24" s="19">
        <v>-17.5</v>
      </c>
      <c r="I24" s="19">
        <v>-28.7</v>
      </c>
      <c r="J24" s="19">
        <v>-18.399999999999999</v>
      </c>
      <c r="K24" s="19">
        <v>-23.2</v>
      </c>
      <c r="L24" s="19">
        <v>-12</v>
      </c>
      <c r="M24" s="19">
        <v>-13.1</v>
      </c>
      <c r="N24" s="19">
        <v>-15.9</v>
      </c>
      <c r="O24" s="19">
        <v>-15.2</v>
      </c>
      <c r="P24" s="19">
        <v>-16.600000000000001</v>
      </c>
      <c r="Q24" s="19">
        <v>-16.7</v>
      </c>
      <c r="R24" s="19">
        <v>-11.9</v>
      </c>
      <c r="S24" s="19">
        <v>-15.5</v>
      </c>
      <c r="T24" s="19">
        <v>-19.8</v>
      </c>
      <c r="U24" s="19">
        <v>-17.600000000000001</v>
      </c>
      <c r="V24" s="19">
        <v>-24.8</v>
      </c>
      <c r="W24" s="19">
        <v>-8.6999999999999993</v>
      </c>
      <c r="X24" s="19">
        <v>-2.5</v>
      </c>
      <c r="Y24" s="19">
        <v>-1.5</v>
      </c>
      <c r="Z24" s="19">
        <v>-5.7</v>
      </c>
      <c r="AA24" s="19">
        <v>-14.9</v>
      </c>
      <c r="AB24" s="19">
        <v>-20</v>
      </c>
      <c r="AC24" s="19">
        <v>-6.7</v>
      </c>
      <c r="AD24" s="19"/>
      <c r="AE24" s="19"/>
      <c r="AF24" s="19"/>
    </row>
    <row r="25" spans="1:32" x14ac:dyDescent="0.25">
      <c r="A25" s="10">
        <v>6</v>
      </c>
      <c r="B25" s="19">
        <v>-12.8</v>
      </c>
      <c r="C25" s="19">
        <v>-7.1</v>
      </c>
      <c r="D25" s="19">
        <v>-11.6</v>
      </c>
      <c r="E25" s="19">
        <v>-13.4</v>
      </c>
      <c r="F25" s="19">
        <v>-16.3</v>
      </c>
      <c r="G25" s="19">
        <v>-17.100000000000001</v>
      </c>
      <c r="H25" s="19">
        <v>-18.7</v>
      </c>
      <c r="I25" s="19">
        <v>-27.9</v>
      </c>
      <c r="J25" s="19">
        <v>-17.600000000000001</v>
      </c>
      <c r="K25" s="19">
        <v>-23.5</v>
      </c>
      <c r="L25" s="19">
        <v>-11.6</v>
      </c>
      <c r="M25" s="19">
        <v>-13.1</v>
      </c>
      <c r="N25" s="19">
        <v>-17.100000000000001</v>
      </c>
      <c r="O25" s="19">
        <v>-15.3</v>
      </c>
      <c r="P25" s="19">
        <v>-16.899999999999999</v>
      </c>
      <c r="Q25" s="19">
        <v>-14</v>
      </c>
      <c r="R25" s="19">
        <v>-12.1</v>
      </c>
      <c r="S25" s="19">
        <v>-16.5</v>
      </c>
      <c r="T25" s="19">
        <v>-19.5</v>
      </c>
      <c r="U25" s="19">
        <v>-17.8</v>
      </c>
      <c r="V25" s="19">
        <v>-25.4</v>
      </c>
      <c r="W25" s="19">
        <v>-8.3000000000000007</v>
      </c>
      <c r="X25" s="19">
        <v>-3</v>
      </c>
      <c r="Y25" s="19">
        <v>-2</v>
      </c>
      <c r="Z25" s="19">
        <v>-6.4</v>
      </c>
      <c r="AA25" s="19">
        <v>-15.7</v>
      </c>
      <c r="AB25" s="19">
        <v>-21.4</v>
      </c>
      <c r="AC25" s="19">
        <v>-6.5</v>
      </c>
      <c r="AD25" s="19"/>
      <c r="AE25" s="19"/>
      <c r="AF25" s="19"/>
    </row>
    <row r="26" spans="1:32" x14ac:dyDescent="0.25">
      <c r="A26" s="10">
        <v>8</v>
      </c>
      <c r="B26" s="19">
        <v>-11.9</v>
      </c>
      <c r="C26" s="19">
        <v>-6.9</v>
      </c>
      <c r="D26" s="19">
        <v>-12.2</v>
      </c>
      <c r="E26" s="19">
        <v>-15.3</v>
      </c>
      <c r="F26" s="19">
        <v>-17.899999999999999</v>
      </c>
      <c r="G26" s="19">
        <v>-17.899999999999999</v>
      </c>
      <c r="H26" s="19">
        <v>-19.2</v>
      </c>
      <c r="I26" s="19">
        <v>-27.6</v>
      </c>
      <c r="J26" s="19">
        <v>-17</v>
      </c>
      <c r="K26" s="19">
        <v>-23.8</v>
      </c>
      <c r="L26" s="19">
        <v>-11.9</v>
      </c>
      <c r="M26" s="19">
        <v>-13.7</v>
      </c>
      <c r="N26" s="19">
        <v>-19.5</v>
      </c>
      <c r="O26" s="19">
        <v>-15</v>
      </c>
      <c r="P26" s="19">
        <v>-16.2</v>
      </c>
      <c r="Q26" s="19">
        <v>-11.5</v>
      </c>
      <c r="R26" s="19">
        <v>-13.3</v>
      </c>
      <c r="S26" s="19">
        <v>-17.2</v>
      </c>
      <c r="T26" s="19">
        <v>-19</v>
      </c>
      <c r="U26" s="19">
        <v>-16.600000000000001</v>
      </c>
      <c r="V26" s="19">
        <v>-24.8</v>
      </c>
      <c r="W26" s="19">
        <v>-8.1</v>
      </c>
      <c r="X26" s="19">
        <v>-2.9</v>
      </c>
      <c r="Y26" s="19">
        <v>-2.4</v>
      </c>
      <c r="Z26" s="19">
        <v>-6.9</v>
      </c>
      <c r="AA26" s="19">
        <v>-16.3</v>
      </c>
      <c r="AB26" s="19">
        <v>-20.6</v>
      </c>
      <c r="AC26" s="19">
        <v>-5.9</v>
      </c>
      <c r="AD26" s="19"/>
      <c r="AE26" s="19"/>
      <c r="AF26" s="19"/>
    </row>
    <row r="27" spans="1:32" x14ac:dyDescent="0.25">
      <c r="A27" s="10">
        <v>10</v>
      </c>
      <c r="B27" s="19">
        <v>-11.5</v>
      </c>
      <c r="C27" s="19">
        <v>-6.8</v>
      </c>
      <c r="D27" s="19">
        <v>-11</v>
      </c>
      <c r="E27" s="19">
        <v>-14.6</v>
      </c>
      <c r="F27" s="19">
        <v>-17.3</v>
      </c>
      <c r="G27" s="19">
        <v>-15.4</v>
      </c>
      <c r="H27" s="19">
        <v>-19.8</v>
      </c>
      <c r="I27" s="19">
        <v>-25.9</v>
      </c>
      <c r="J27" s="19">
        <v>-16.399999999999999</v>
      </c>
      <c r="K27" s="19">
        <v>-21.9</v>
      </c>
      <c r="L27" s="19">
        <v>-11.5</v>
      </c>
      <c r="M27" s="19">
        <v>-14.7</v>
      </c>
      <c r="N27" s="19">
        <v>-18.3</v>
      </c>
      <c r="O27" s="19">
        <v>-15</v>
      </c>
      <c r="P27" s="19">
        <v>-16.3</v>
      </c>
      <c r="Q27" s="19">
        <v>-12</v>
      </c>
      <c r="R27" s="19">
        <v>-12.6</v>
      </c>
      <c r="S27" s="19">
        <v>-16.8</v>
      </c>
      <c r="T27" s="19">
        <v>-16.2</v>
      </c>
      <c r="U27" s="19">
        <v>-16.100000000000001</v>
      </c>
      <c r="V27" s="19">
        <v>-19.600000000000001</v>
      </c>
      <c r="W27" s="19">
        <v>-6.7</v>
      </c>
      <c r="X27" s="19">
        <v>-2.6</v>
      </c>
      <c r="Y27" s="19">
        <v>-2.1</v>
      </c>
      <c r="Z27" s="19">
        <v>-11.3</v>
      </c>
      <c r="AA27" s="19">
        <v>-15.7</v>
      </c>
      <c r="AB27" s="19">
        <v>-19.8</v>
      </c>
      <c r="AC27" s="19">
        <v>-5.0999999999999996</v>
      </c>
      <c r="AD27" s="19"/>
      <c r="AE27" s="19"/>
      <c r="AF27" s="19"/>
    </row>
    <row r="28" spans="1:32" x14ac:dyDescent="0.25">
      <c r="A28" s="10">
        <v>12</v>
      </c>
      <c r="B28" s="19">
        <v>-10.4</v>
      </c>
      <c r="C28" s="19">
        <v>-6.3</v>
      </c>
      <c r="D28" s="19">
        <v>-9.5</v>
      </c>
      <c r="E28" s="19">
        <v>-15.1</v>
      </c>
      <c r="F28" s="19">
        <v>-17.100000000000001</v>
      </c>
      <c r="G28" s="19">
        <v>-14.8</v>
      </c>
      <c r="H28" s="19">
        <v>-18.5</v>
      </c>
      <c r="I28" s="19">
        <v>-22.6</v>
      </c>
      <c r="J28" s="19">
        <v>-15.6</v>
      </c>
      <c r="K28" s="19">
        <v>-18.36</v>
      </c>
      <c r="L28" s="19">
        <v>-12.5</v>
      </c>
      <c r="M28" s="19">
        <v>-13.5</v>
      </c>
      <c r="N28" s="19">
        <v>-15.8</v>
      </c>
      <c r="O28" s="19">
        <v>-14.6</v>
      </c>
      <c r="P28" s="19">
        <v>-14.1</v>
      </c>
      <c r="Q28" s="19">
        <v>-11.4</v>
      </c>
      <c r="R28" s="19">
        <v>-11.4</v>
      </c>
      <c r="S28" s="19">
        <v>-13.8</v>
      </c>
      <c r="T28" s="19">
        <v>-13.6</v>
      </c>
      <c r="U28" s="19">
        <v>-15.5</v>
      </c>
      <c r="V28" s="19">
        <v>-15.3</v>
      </c>
      <c r="W28" s="19">
        <v>-4.9000000000000004</v>
      </c>
      <c r="X28" s="19">
        <v>-1.8</v>
      </c>
      <c r="Y28" s="19">
        <v>-1.7</v>
      </c>
      <c r="Z28" s="19">
        <v>-11.5</v>
      </c>
      <c r="AA28" s="19">
        <v>-15.3</v>
      </c>
      <c r="AB28" s="19">
        <v>-17.399999999999999</v>
      </c>
      <c r="AC28" s="19">
        <v>-2.8</v>
      </c>
      <c r="AD28" s="19"/>
      <c r="AE28" s="19"/>
      <c r="AF28" s="19"/>
    </row>
    <row r="29" spans="1:32" x14ac:dyDescent="0.25">
      <c r="A29" s="10">
        <v>14</v>
      </c>
      <c r="B29" s="19">
        <v>-9</v>
      </c>
      <c r="C29" s="19">
        <v>-6.3</v>
      </c>
      <c r="D29" s="19">
        <v>-8.1999999999999993</v>
      </c>
      <c r="E29" s="19">
        <v>-13.9</v>
      </c>
      <c r="F29" s="19">
        <v>-16.2</v>
      </c>
      <c r="G29" s="19">
        <v>-15</v>
      </c>
      <c r="H29" s="19">
        <v>-18</v>
      </c>
      <c r="I29" s="19">
        <v>-21.3</v>
      </c>
      <c r="J29" s="19">
        <v>-15.1</v>
      </c>
      <c r="K29" s="19">
        <v>-17.100000000000001</v>
      </c>
      <c r="L29" s="19">
        <v>-11.9</v>
      </c>
      <c r="M29" s="19">
        <v>-12.5</v>
      </c>
      <c r="N29" s="19">
        <v>-14.2</v>
      </c>
      <c r="O29" s="19">
        <v>-14.7</v>
      </c>
      <c r="P29" s="19">
        <v>-13.5</v>
      </c>
      <c r="Q29" s="19">
        <v>-9.8000000000000007</v>
      </c>
      <c r="R29" s="19">
        <v>-10.8</v>
      </c>
      <c r="S29" s="19">
        <v>-12.2</v>
      </c>
      <c r="T29" s="19">
        <v>-12.4</v>
      </c>
      <c r="U29" s="19">
        <v>-15</v>
      </c>
      <c r="V29" s="19">
        <v>-13.2</v>
      </c>
      <c r="W29" s="19">
        <v>-2.8</v>
      </c>
      <c r="X29" s="19">
        <v>-1.2</v>
      </c>
      <c r="Y29" s="19">
        <v>-1.4</v>
      </c>
      <c r="Z29" s="19">
        <v>-11.3</v>
      </c>
      <c r="AA29" s="19">
        <v>-12.8</v>
      </c>
      <c r="AB29" s="19">
        <v>-16.100000000000001</v>
      </c>
      <c r="AC29" s="19">
        <v>-0.8</v>
      </c>
      <c r="AD29" s="19"/>
      <c r="AE29" s="19"/>
      <c r="AF29" s="19"/>
    </row>
    <row r="30" spans="1:32" x14ac:dyDescent="0.25">
      <c r="A30" s="10">
        <v>16</v>
      </c>
      <c r="B30" s="19">
        <v>-8.9</v>
      </c>
      <c r="C30" s="19">
        <v>-6.9</v>
      </c>
      <c r="D30" s="19">
        <v>-7.8</v>
      </c>
      <c r="E30" s="19">
        <v>-16.3</v>
      </c>
      <c r="F30" s="19">
        <v>-17</v>
      </c>
      <c r="G30" s="19">
        <v>-17.8</v>
      </c>
      <c r="H30" s="19">
        <v>-21.1</v>
      </c>
      <c r="I30" s="19">
        <v>-21.8</v>
      </c>
      <c r="J30" s="19">
        <v>-15</v>
      </c>
      <c r="K30" s="19">
        <v>-15.4</v>
      </c>
      <c r="L30" s="19">
        <v>-11.5</v>
      </c>
      <c r="M30" s="19">
        <v>-12.6</v>
      </c>
      <c r="N30" s="19">
        <v>-14.3</v>
      </c>
      <c r="O30" s="19">
        <v>-14.8</v>
      </c>
      <c r="P30" s="19">
        <v>-14</v>
      </c>
      <c r="Q30" s="19">
        <v>-10.199999999999999</v>
      </c>
      <c r="R30" s="19">
        <v>-10.8</v>
      </c>
      <c r="S30" s="19">
        <v>-12.1</v>
      </c>
      <c r="T30" s="19">
        <v>-12.3</v>
      </c>
      <c r="U30" s="19">
        <v>-15.6</v>
      </c>
      <c r="V30" s="19">
        <v>-12.9</v>
      </c>
      <c r="W30" s="19">
        <v>-2.1</v>
      </c>
      <c r="X30" s="19">
        <v>-1.1000000000000001</v>
      </c>
      <c r="Y30" s="19">
        <v>-2.1</v>
      </c>
      <c r="Z30" s="19">
        <v>-12.8</v>
      </c>
      <c r="AA30" s="19">
        <v>-13.4</v>
      </c>
      <c r="AB30" s="19">
        <v>-13.5</v>
      </c>
      <c r="AC30" s="19">
        <v>-1.1000000000000001</v>
      </c>
      <c r="AD30" s="19"/>
      <c r="AE30" s="19"/>
      <c r="AF30" s="19"/>
    </row>
    <row r="31" spans="1:32" x14ac:dyDescent="0.25">
      <c r="A31" s="10">
        <v>18</v>
      </c>
      <c r="B31" s="19">
        <v>-8.6999999999999993</v>
      </c>
      <c r="C31" s="19">
        <v>-6.7</v>
      </c>
      <c r="D31" s="19">
        <v>-9.6</v>
      </c>
      <c r="E31" s="19">
        <v>-17.100000000000001</v>
      </c>
      <c r="F31" s="19">
        <v>-16.100000000000001</v>
      </c>
      <c r="G31" s="19">
        <v>-18.7</v>
      </c>
      <c r="H31" s="19">
        <v>-24.9</v>
      </c>
      <c r="I31" s="19">
        <v>-23.5</v>
      </c>
      <c r="J31" s="19">
        <v>-16.2</v>
      </c>
      <c r="K31" s="19">
        <v>-15.3</v>
      </c>
      <c r="L31" s="19">
        <v>-11.2</v>
      </c>
      <c r="M31" s="19">
        <v>-12.9</v>
      </c>
      <c r="N31" s="19">
        <v>-15.1</v>
      </c>
      <c r="O31" s="19">
        <v>-15.1</v>
      </c>
      <c r="P31" s="19">
        <v>-14.8</v>
      </c>
      <c r="Q31" s="19">
        <v>-10.6</v>
      </c>
      <c r="R31" s="19">
        <v>-10.8</v>
      </c>
      <c r="S31" s="19">
        <v>-14.9</v>
      </c>
      <c r="T31" s="19">
        <v>-14.3</v>
      </c>
      <c r="U31" s="19">
        <v>-17.600000000000001</v>
      </c>
      <c r="V31" s="19">
        <v>-12.8</v>
      </c>
      <c r="W31" s="19">
        <v>-1.6</v>
      </c>
      <c r="X31" s="19">
        <v>-1.2</v>
      </c>
      <c r="Y31" s="19">
        <v>-3</v>
      </c>
      <c r="Z31" s="19">
        <v>-13.6</v>
      </c>
      <c r="AA31" s="19">
        <v>-14.5</v>
      </c>
      <c r="AB31" s="19">
        <v>-10.3</v>
      </c>
      <c r="AC31" s="19">
        <v>-1.2</v>
      </c>
      <c r="AD31" s="19"/>
      <c r="AE31" s="19"/>
      <c r="AF31" s="19"/>
    </row>
    <row r="32" spans="1:32" x14ac:dyDescent="0.25">
      <c r="A32" s="10">
        <v>20</v>
      </c>
      <c r="B32" s="19">
        <v>-8.5</v>
      </c>
      <c r="C32" s="19">
        <v>-8.1</v>
      </c>
      <c r="D32" s="19">
        <v>-10.199999999999999</v>
      </c>
      <c r="E32" s="19">
        <v>-17</v>
      </c>
      <c r="F32" s="19">
        <v>-15.4</v>
      </c>
      <c r="G32" s="19">
        <v>-17.600000000000001</v>
      </c>
      <c r="H32" s="19">
        <v>-26.1</v>
      </c>
      <c r="I32" s="19">
        <v>-21.4</v>
      </c>
      <c r="J32" s="19">
        <v>-17.899999999999999</v>
      </c>
      <c r="K32" s="19">
        <v>-14.5</v>
      </c>
      <c r="L32" s="19">
        <v>-12</v>
      </c>
      <c r="M32" s="19">
        <v>-12.3</v>
      </c>
      <c r="N32" s="19">
        <v>-14.8</v>
      </c>
      <c r="O32" s="19">
        <v>-16.600000000000001</v>
      </c>
      <c r="P32" s="19">
        <v>-15.9</v>
      </c>
      <c r="Q32" s="19">
        <v>-11.1</v>
      </c>
      <c r="R32" s="19">
        <v>-11.6</v>
      </c>
      <c r="S32" s="19">
        <v>-16.100000000000001</v>
      </c>
      <c r="T32" s="19">
        <v>-14.3</v>
      </c>
      <c r="U32" s="19">
        <v>-17.899999999999999</v>
      </c>
      <c r="V32" s="19">
        <v>-12.4</v>
      </c>
      <c r="W32" s="19">
        <v>-0.9</v>
      </c>
      <c r="X32" s="19">
        <v>-1.2</v>
      </c>
      <c r="Y32" s="19">
        <v>-3.8</v>
      </c>
      <c r="Z32" s="19">
        <v>-14.3</v>
      </c>
      <c r="AA32" s="19">
        <v>-16.5</v>
      </c>
      <c r="AB32" s="19">
        <v>-10.4</v>
      </c>
      <c r="AC32" s="19">
        <v>-1.8</v>
      </c>
      <c r="AD32" s="19"/>
      <c r="AE32" s="19"/>
      <c r="AF32" s="19"/>
    </row>
    <row r="33" spans="1:32" x14ac:dyDescent="0.25">
      <c r="A33" s="10">
        <v>22</v>
      </c>
      <c r="B33" s="19">
        <v>-8.4</v>
      </c>
      <c r="C33" s="19">
        <v>-8.3000000000000007</v>
      </c>
      <c r="D33" s="19">
        <v>-12.4</v>
      </c>
      <c r="E33" s="19">
        <v>-17.3</v>
      </c>
      <c r="F33" s="19">
        <v>-14.7</v>
      </c>
      <c r="G33" s="19">
        <v>-17.3</v>
      </c>
      <c r="H33" s="19">
        <v>-27</v>
      </c>
      <c r="I33" s="19">
        <v>-19.7</v>
      </c>
      <c r="J33" s="19">
        <v>-19.5</v>
      </c>
      <c r="K33" s="19">
        <v>-14.4</v>
      </c>
      <c r="L33" s="19">
        <v>-12.7</v>
      </c>
      <c r="M33" s="19">
        <v>-13.1</v>
      </c>
      <c r="N33" s="19">
        <v>-14.9</v>
      </c>
      <c r="O33" s="19">
        <v>-16.899999999999999</v>
      </c>
      <c r="P33" s="19">
        <v>-16.2</v>
      </c>
      <c r="Q33" s="19">
        <v>-11.3</v>
      </c>
      <c r="R33" s="19">
        <v>-12.6</v>
      </c>
      <c r="S33" s="19">
        <v>-17.399999999999999</v>
      </c>
      <c r="T33" s="19">
        <v>-15</v>
      </c>
      <c r="U33" s="19">
        <v>-18.8</v>
      </c>
      <c r="V33" s="19">
        <v>-11.6</v>
      </c>
      <c r="W33" s="19">
        <v>-1.9</v>
      </c>
      <c r="X33" s="19">
        <v>-1.2</v>
      </c>
      <c r="Y33" s="19">
        <v>-5.0999999999999996</v>
      </c>
      <c r="Z33" s="19">
        <v>-14.4</v>
      </c>
      <c r="AA33" s="19">
        <v>-17.8</v>
      </c>
      <c r="AB33" s="19">
        <v>-9.9</v>
      </c>
      <c r="AC33" s="19">
        <v>-3</v>
      </c>
      <c r="AD33" s="19"/>
      <c r="AE33" s="19"/>
      <c r="AF33" s="19"/>
    </row>
    <row r="34" spans="1:32" x14ac:dyDescent="0.25">
      <c r="A34" s="10">
        <v>24</v>
      </c>
      <c r="B34" s="19">
        <v>-7.9</v>
      </c>
      <c r="C34" s="19">
        <v>-9.5</v>
      </c>
      <c r="D34" s="19">
        <v>-13.7</v>
      </c>
      <c r="E34" s="19">
        <v>-17.399999999999999</v>
      </c>
      <c r="F34" s="19">
        <v>-14.3</v>
      </c>
      <c r="G34" s="19">
        <v>-17.399999999999999</v>
      </c>
      <c r="H34" s="19">
        <v>-27.6</v>
      </c>
      <c r="I34" s="19">
        <v>-18.7</v>
      </c>
      <c r="J34" s="19">
        <v>-21</v>
      </c>
      <c r="K34" s="19">
        <v>-13.4</v>
      </c>
      <c r="L34" s="19">
        <v>-12.7</v>
      </c>
      <c r="M34" s="19">
        <v>-13.6</v>
      </c>
      <c r="N34" s="19">
        <v>-14.9</v>
      </c>
      <c r="O34" s="19">
        <v>-16.899999999999999</v>
      </c>
      <c r="P34" s="19">
        <v>-15</v>
      </c>
      <c r="Q34" s="19">
        <v>-11</v>
      </c>
      <c r="R34" s="19">
        <v>-13</v>
      </c>
      <c r="S34" s="19">
        <v>-18.100000000000001</v>
      </c>
      <c r="T34" s="19">
        <v>-16.5</v>
      </c>
      <c r="U34" s="19">
        <v>-22</v>
      </c>
      <c r="V34" s="19">
        <v>-10.5</v>
      </c>
      <c r="W34" s="19">
        <v>-2.6</v>
      </c>
      <c r="X34" s="19">
        <v>-1.4</v>
      </c>
      <c r="Y34" s="19">
        <v>-6.2</v>
      </c>
      <c r="Z34" s="19">
        <v>-13.9</v>
      </c>
      <c r="AA34" s="19">
        <v>-17.8</v>
      </c>
      <c r="AB34" s="19">
        <v>-8.8000000000000007</v>
      </c>
      <c r="AC34" s="19">
        <v>-3.4</v>
      </c>
      <c r="AD34" s="19"/>
      <c r="AE34" s="19"/>
      <c r="AF34" s="19"/>
    </row>
    <row r="35" spans="1:32" x14ac:dyDescent="0.25">
      <c r="A35" s="10">
        <v>2</v>
      </c>
      <c r="B35" s="19">
        <v>-7.8</v>
      </c>
      <c r="C35" s="19">
        <v>-10.4</v>
      </c>
      <c r="D35" s="19">
        <v>-14</v>
      </c>
      <c r="E35" s="19">
        <v>-17.399999999999999</v>
      </c>
      <c r="F35" s="19">
        <v>-15.3</v>
      </c>
      <c r="G35" s="19">
        <v>-17.3</v>
      </c>
      <c r="H35" s="19">
        <v>-28.9</v>
      </c>
      <c r="I35" s="19">
        <v>-18.100000000000001</v>
      </c>
      <c r="J35" s="19">
        <v>-22</v>
      </c>
      <c r="K35" s="19">
        <v>-13</v>
      </c>
      <c r="L35" s="19">
        <v>-12.8</v>
      </c>
      <c r="M35" s="19">
        <v>-13.9</v>
      </c>
      <c r="N35" s="19">
        <v>-14.2</v>
      </c>
      <c r="O35" s="19">
        <v>-16.5</v>
      </c>
      <c r="P35" s="19">
        <v>-16.399999999999999</v>
      </c>
      <c r="Q35" s="19">
        <v>-11.3</v>
      </c>
      <c r="R35" s="19">
        <v>-14.1</v>
      </c>
      <c r="S35" s="19">
        <v>-19.5</v>
      </c>
      <c r="T35" s="19">
        <v>-17.5</v>
      </c>
      <c r="U35" s="19">
        <v>-23</v>
      </c>
      <c r="V35" s="19">
        <v>-9.6</v>
      </c>
      <c r="W35" s="19">
        <v>-2.6</v>
      </c>
      <c r="X35" s="19">
        <v>-1.5</v>
      </c>
      <c r="Y35" s="19">
        <v>-6.1</v>
      </c>
      <c r="Z35" s="19">
        <v>-14.6</v>
      </c>
      <c r="AA35" s="19">
        <v>-19</v>
      </c>
      <c r="AB35" s="19">
        <v>-7.9</v>
      </c>
      <c r="AC35" s="19">
        <v>-5.8</v>
      </c>
      <c r="AD35" s="19"/>
      <c r="AE35" s="19"/>
      <c r="AF35" s="19"/>
    </row>
    <row r="36" spans="1:32" ht="30" x14ac:dyDescent="0.25">
      <c r="A36" s="11" t="s">
        <v>2</v>
      </c>
      <c r="B36" s="15">
        <f>(B24+B25+B26+B27+B28+B29+B30+B31+B32+B33+B34+B35)/12</f>
        <v>-9.9333333333333353</v>
      </c>
      <c r="C36" s="15">
        <f t="shared" ref="C36:J36" si="2">(C24+C25+C26+C27+C28+C29+C30+C31+C32+C33+C34+C35)/12</f>
        <v>-7.5583333333333336</v>
      </c>
      <c r="D36" s="15">
        <f t="shared" si="2"/>
        <v>-10.941666666666668</v>
      </c>
      <c r="E36" s="15">
        <f t="shared" si="2"/>
        <v>-15.758333333333335</v>
      </c>
      <c r="F36" s="15">
        <f t="shared" si="2"/>
        <v>-16.091666666666669</v>
      </c>
      <c r="G36" s="15">
        <f t="shared" si="2"/>
        <v>-16.891666666666669</v>
      </c>
      <c r="H36" s="15">
        <f t="shared" si="2"/>
        <v>-22.275000000000002</v>
      </c>
      <c r="I36" s="15">
        <f t="shared" si="2"/>
        <v>-23.100000000000005</v>
      </c>
      <c r="J36" s="15">
        <f t="shared" si="2"/>
        <v>-17.641666666666666</v>
      </c>
      <c r="K36" s="15">
        <f>(K24+K25+K26+K27+K28+K29+K30+K31+K32+K33+K34+K35)/12</f>
        <v>-17.821666666666669</v>
      </c>
      <c r="L36" s="15">
        <f t="shared" ref="L36:AF36" si="3">(L24+L25+L26+L27+L28+L29+L30+L31+L32+L33+L34+L35)/12</f>
        <v>-12.025</v>
      </c>
      <c r="M36" s="15">
        <f t="shared" si="3"/>
        <v>-13.25</v>
      </c>
      <c r="N36" s="15">
        <f t="shared" si="3"/>
        <v>-15.75</v>
      </c>
      <c r="O36" s="15">
        <f t="shared" si="3"/>
        <v>-15.549999999999999</v>
      </c>
      <c r="P36" s="15">
        <f t="shared" si="3"/>
        <v>-15.491666666666665</v>
      </c>
      <c r="Q36" s="15">
        <f t="shared" si="3"/>
        <v>-11.741666666666667</v>
      </c>
      <c r="R36" s="15">
        <f t="shared" si="3"/>
        <v>-12.08333333333333</v>
      </c>
      <c r="S36" s="15">
        <f t="shared" si="3"/>
        <v>-15.841666666666667</v>
      </c>
      <c r="T36" s="15">
        <f t="shared" si="3"/>
        <v>-15.866666666666667</v>
      </c>
      <c r="U36" s="15">
        <f t="shared" si="3"/>
        <v>-17.791666666666668</v>
      </c>
      <c r="V36" s="15">
        <f t="shared" si="3"/>
        <v>-16.074999999999999</v>
      </c>
      <c r="W36" s="15">
        <f t="shared" si="3"/>
        <v>-4.2666666666666666</v>
      </c>
      <c r="X36" s="15">
        <f t="shared" si="3"/>
        <v>-1.7999999999999998</v>
      </c>
      <c r="Y36" s="15">
        <f t="shared" si="3"/>
        <v>-3.1166666666666667</v>
      </c>
      <c r="Z36" s="15">
        <f t="shared" si="3"/>
        <v>-11.391666666666666</v>
      </c>
      <c r="AA36" s="15">
        <f t="shared" si="3"/>
        <v>-15.808333333333337</v>
      </c>
      <c r="AB36" s="15">
        <f t="shared" si="3"/>
        <v>-14.675000000000002</v>
      </c>
      <c r="AC36" s="15">
        <f t="shared" si="3"/>
        <v>-3.6750000000000003</v>
      </c>
      <c r="AD36" s="15">
        <f>(AD24+AD25+AD26+AD27+AD28+AD29+AD30+AD31+AD32+AD33+AD34+AD35)/12</f>
        <v>0</v>
      </c>
      <c r="AE36" s="15">
        <f>(AE24+AE25+AE26+AE27+AE28+AE29+AE30+AE31+AE32+AE33+AE34+AE35)/12</f>
        <v>0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21" sqref="AF21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9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-3.8</v>
      </c>
      <c r="C4" s="19">
        <v>-8.6</v>
      </c>
      <c r="D4" s="19">
        <v>-15.9</v>
      </c>
      <c r="E4" s="19">
        <v>-22.3</v>
      </c>
      <c r="F4" s="19">
        <v>-23.6</v>
      </c>
      <c r="G4" s="19">
        <v>-13.5</v>
      </c>
      <c r="H4" s="19">
        <v>-9.8000000000000007</v>
      </c>
      <c r="I4" s="19">
        <v>-28.8</v>
      </c>
      <c r="J4" s="19">
        <v>-30.5</v>
      </c>
      <c r="K4" s="19">
        <v>-13.6</v>
      </c>
      <c r="L4" s="19">
        <v>0.3</v>
      </c>
      <c r="M4" s="19">
        <v>-9.3000000000000007</v>
      </c>
      <c r="N4" s="19">
        <v>-7.4</v>
      </c>
      <c r="O4" s="19">
        <v>-2</v>
      </c>
      <c r="P4" s="19">
        <v>-6.16</v>
      </c>
      <c r="Q4" s="19">
        <v>-8.4</v>
      </c>
      <c r="R4" s="19">
        <v>0.5</v>
      </c>
      <c r="S4" s="19">
        <v>-0.3</v>
      </c>
      <c r="T4" s="19">
        <v>-22.9</v>
      </c>
      <c r="U4" s="19">
        <v>-14.3</v>
      </c>
      <c r="V4" s="19">
        <v>-6.1</v>
      </c>
      <c r="W4" s="19" t="s">
        <v>110</v>
      </c>
      <c r="X4" s="19" t="s">
        <v>119</v>
      </c>
      <c r="Y4" s="19" t="s">
        <v>127</v>
      </c>
      <c r="Z4" s="19">
        <v>0.2</v>
      </c>
      <c r="AA4" s="19">
        <v>0.8</v>
      </c>
      <c r="AB4" s="19" t="s">
        <v>138</v>
      </c>
      <c r="AC4" s="19" t="s">
        <v>146</v>
      </c>
      <c r="AD4" s="19" t="s">
        <v>154</v>
      </c>
      <c r="AE4" s="19" t="s">
        <v>81</v>
      </c>
      <c r="AF4" s="19">
        <v>-15.3</v>
      </c>
    </row>
    <row r="5" spans="1:33" x14ac:dyDescent="0.25">
      <c r="A5" s="10">
        <v>6</v>
      </c>
      <c r="B5" s="19">
        <v>-3.8</v>
      </c>
      <c r="C5" s="19">
        <v>-6.7</v>
      </c>
      <c r="D5" s="19">
        <v>-15.9</v>
      </c>
      <c r="E5" s="19">
        <v>-23.2</v>
      </c>
      <c r="F5" s="19">
        <v>-22.8</v>
      </c>
      <c r="G5" s="19">
        <v>-11.2</v>
      </c>
      <c r="H5" s="19">
        <v>-10.6</v>
      </c>
      <c r="I5" s="19">
        <v>-29.4</v>
      </c>
      <c r="J5" s="19">
        <v>-30.8</v>
      </c>
      <c r="K5" s="19">
        <v>-13.5</v>
      </c>
      <c r="L5" s="19">
        <v>0.3</v>
      </c>
      <c r="M5" s="19">
        <v>-11.1</v>
      </c>
      <c r="N5" s="19">
        <v>-7.3</v>
      </c>
      <c r="O5" s="19">
        <v>-2.2000000000000002</v>
      </c>
      <c r="P5" s="19">
        <v>-6.4</v>
      </c>
      <c r="Q5" s="19">
        <v>-8.6999999999999993</v>
      </c>
      <c r="R5" s="19">
        <v>-1.1000000000000001</v>
      </c>
      <c r="S5" s="19">
        <v>-0.3</v>
      </c>
      <c r="T5" s="19">
        <v>-23</v>
      </c>
      <c r="U5" s="19">
        <v>-14.3</v>
      </c>
      <c r="V5" s="19">
        <v>-8.4</v>
      </c>
      <c r="W5" s="19" t="s">
        <v>110</v>
      </c>
      <c r="X5" s="19" t="s">
        <v>119</v>
      </c>
      <c r="Y5" s="19" t="s">
        <v>101</v>
      </c>
      <c r="Z5" s="19">
        <v>0.2</v>
      </c>
      <c r="AA5" s="19">
        <v>0.2</v>
      </c>
      <c r="AB5" s="19" t="s">
        <v>139</v>
      </c>
      <c r="AC5" s="19" t="s">
        <v>147</v>
      </c>
      <c r="AD5" s="19" t="s">
        <v>155</v>
      </c>
      <c r="AE5" s="19" t="s">
        <v>159</v>
      </c>
      <c r="AF5" s="19">
        <v>-18.600000000000001</v>
      </c>
    </row>
    <row r="6" spans="1:33" x14ac:dyDescent="0.25">
      <c r="A6" s="10">
        <v>8</v>
      </c>
      <c r="B6" s="19">
        <v>-3.7</v>
      </c>
      <c r="C6" s="19">
        <v>-4.5999999999999996</v>
      </c>
      <c r="D6" s="19">
        <v>-17.600000000000001</v>
      </c>
      <c r="E6" s="19">
        <v>-22.9</v>
      </c>
      <c r="F6" s="19">
        <v>-20.3</v>
      </c>
      <c r="G6" s="19">
        <v>-10.6</v>
      </c>
      <c r="H6" s="19">
        <v>-13.4</v>
      </c>
      <c r="I6" s="19">
        <v>-28.4</v>
      </c>
      <c r="J6" s="19">
        <v>-28.7</v>
      </c>
      <c r="K6" s="19">
        <v>-11.4</v>
      </c>
      <c r="L6" s="19">
        <v>-1.5</v>
      </c>
      <c r="M6" s="19">
        <v>-11.3</v>
      </c>
      <c r="N6" s="19">
        <v>-6.6</v>
      </c>
      <c r="O6" s="19">
        <v>-2.4</v>
      </c>
      <c r="P6" s="19">
        <v>-6.8</v>
      </c>
      <c r="Q6" s="19">
        <v>-7.3</v>
      </c>
      <c r="R6" s="19">
        <v>-1.6</v>
      </c>
      <c r="S6" s="19">
        <v>-0.3</v>
      </c>
      <c r="T6" s="19">
        <v>-17.600000000000001</v>
      </c>
      <c r="U6" s="19">
        <v>-12.4</v>
      </c>
      <c r="V6" s="19">
        <v>-9.9</v>
      </c>
      <c r="W6" s="19" t="s">
        <v>111</v>
      </c>
      <c r="X6" s="19" t="s">
        <v>119</v>
      </c>
      <c r="Y6" s="19" t="s">
        <v>128</v>
      </c>
      <c r="Z6" s="19">
        <v>1.4</v>
      </c>
      <c r="AA6" s="19">
        <v>0.2</v>
      </c>
      <c r="AB6" s="19" t="s">
        <v>140</v>
      </c>
      <c r="AC6" s="19" t="s">
        <v>148</v>
      </c>
      <c r="AD6" s="19" t="s">
        <v>156</v>
      </c>
      <c r="AE6" s="19" t="s">
        <v>75</v>
      </c>
      <c r="AF6" s="19">
        <v>-17.2</v>
      </c>
    </row>
    <row r="7" spans="1:33" x14ac:dyDescent="0.25">
      <c r="A7" s="10">
        <v>10</v>
      </c>
      <c r="B7" s="19">
        <v>-3.1</v>
      </c>
      <c r="C7" s="19">
        <v>-4.5999999999999996</v>
      </c>
      <c r="D7" s="19">
        <v>-16</v>
      </c>
      <c r="E7" s="19">
        <v>-20.3</v>
      </c>
      <c r="F7" s="19">
        <v>-16.399999999999999</v>
      </c>
      <c r="G7" s="19">
        <v>-8.9</v>
      </c>
      <c r="H7" s="19">
        <v>-11.9</v>
      </c>
      <c r="I7" s="19">
        <v>-25.3</v>
      </c>
      <c r="J7" s="19">
        <v>-23</v>
      </c>
      <c r="K7" s="19">
        <v>-9.1999999999999993</v>
      </c>
      <c r="L7" s="19">
        <v>-2</v>
      </c>
      <c r="M7" s="19">
        <v>-9.5</v>
      </c>
      <c r="N7" s="19">
        <v>-5.2</v>
      </c>
      <c r="O7" s="19">
        <v>-1.2</v>
      </c>
      <c r="P7" s="19">
        <v>-2.4</v>
      </c>
      <c r="Q7" s="19">
        <v>-3.9</v>
      </c>
      <c r="R7" s="19">
        <v>0.3</v>
      </c>
      <c r="S7" s="19">
        <v>-0.7</v>
      </c>
      <c r="T7" s="19">
        <v>-15.7</v>
      </c>
      <c r="U7" s="19">
        <v>-7.2</v>
      </c>
      <c r="V7" s="19">
        <v>-5.3</v>
      </c>
      <c r="W7" s="19" t="s">
        <v>112</v>
      </c>
      <c r="X7" s="19" t="s">
        <v>120</v>
      </c>
      <c r="Y7" s="19" t="s">
        <v>129</v>
      </c>
      <c r="Z7" s="19">
        <v>2</v>
      </c>
      <c r="AA7" s="19">
        <v>1</v>
      </c>
      <c r="AB7" s="19" t="s">
        <v>140</v>
      </c>
      <c r="AC7" s="19" t="s">
        <v>149</v>
      </c>
      <c r="AD7" s="19" t="s">
        <v>125</v>
      </c>
      <c r="AE7" s="19" t="s">
        <v>160</v>
      </c>
      <c r="AF7" s="19">
        <v>-14.5</v>
      </c>
    </row>
    <row r="8" spans="1:33" x14ac:dyDescent="0.25">
      <c r="A8" s="10">
        <v>12</v>
      </c>
      <c r="B8" s="19">
        <v>-2.6</v>
      </c>
      <c r="C8" s="19">
        <v>-4.5999999999999996</v>
      </c>
      <c r="D8" s="19">
        <v>-12.7</v>
      </c>
      <c r="E8" s="19">
        <v>-18.3</v>
      </c>
      <c r="F8" s="19">
        <v>-14.9</v>
      </c>
      <c r="G8" s="19">
        <v>-6.3</v>
      </c>
      <c r="H8" s="19">
        <v>-12.9</v>
      </c>
      <c r="I8" s="19">
        <v>-23.5</v>
      </c>
      <c r="J8" s="19">
        <v>-18.2</v>
      </c>
      <c r="K8" s="19">
        <v>-7.6</v>
      </c>
      <c r="L8" s="19">
        <v>-1</v>
      </c>
      <c r="M8" s="19">
        <v>-7.5</v>
      </c>
      <c r="N8" s="19">
        <v>-4.4000000000000004</v>
      </c>
      <c r="O8" s="19">
        <v>0.3</v>
      </c>
      <c r="P8" s="19">
        <v>-0.4</v>
      </c>
      <c r="Q8" s="19">
        <v>-3.3</v>
      </c>
      <c r="R8" s="19">
        <v>1.1000000000000001</v>
      </c>
      <c r="S8" s="19">
        <v>-4.0999999999999996</v>
      </c>
      <c r="T8" s="19">
        <v>-12.9</v>
      </c>
      <c r="U8" s="19">
        <v>-6.9</v>
      </c>
      <c r="V8" s="19">
        <v>-1</v>
      </c>
      <c r="W8" s="19" t="s">
        <v>102</v>
      </c>
      <c r="X8" s="19" t="s">
        <v>121</v>
      </c>
      <c r="Y8" s="19" t="s">
        <v>130</v>
      </c>
      <c r="Z8" s="19">
        <v>2.5</v>
      </c>
      <c r="AA8" s="19">
        <v>2.63</v>
      </c>
      <c r="AB8" s="19" t="s">
        <v>141</v>
      </c>
      <c r="AC8" s="19" t="s">
        <v>150</v>
      </c>
      <c r="AD8" s="19" t="s">
        <v>157</v>
      </c>
      <c r="AE8" s="19" t="s">
        <v>161</v>
      </c>
      <c r="AF8" s="19">
        <v>-12.2</v>
      </c>
    </row>
    <row r="9" spans="1:33" x14ac:dyDescent="0.25">
      <c r="A9" s="10">
        <v>14</v>
      </c>
      <c r="B9" s="19">
        <v>-3</v>
      </c>
      <c r="C9" s="19">
        <v>-4.7</v>
      </c>
      <c r="D9" s="19">
        <v>-11.2</v>
      </c>
      <c r="E9" s="19">
        <v>-17.2</v>
      </c>
      <c r="F9" s="19">
        <v>-14.9</v>
      </c>
      <c r="G9" s="19">
        <v>-5.0999999999999996</v>
      </c>
      <c r="H9" s="19">
        <v>-12.8</v>
      </c>
      <c r="I9" s="19">
        <v>-22</v>
      </c>
      <c r="J9" s="19">
        <v>-17.3</v>
      </c>
      <c r="K9" s="19">
        <v>-6.3</v>
      </c>
      <c r="L9" s="19">
        <v>-0.1</v>
      </c>
      <c r="M9" s="19">
        <v>-6.2</v>
      </c>
      <c r="N9" s="19">
        <v>-1.8</v>
      </c>
      <c r="O9" s="19">
        <v>0.1</v>
      </c>
      <c r="P9" s="19">
        <v>0</v>
      </c>
      <c r="Q9" s="19">
        <v>-1.7</v>
      </c>
      <c r="R9" s="19">
        <v>2.7</v>
      </c>
      <c r="S9" s="19">
        <v>-7.6</v>
      </c>
      <c r="T9" s="19">
        <v>-9.8000000000000007</v>
      </c>
      <c r="U9" s="19">
        <v>-6.4</v>
      </c>
      <c r="V9" s="19">
        <v>-1.5</v>
      </c>
      <c r="W9" s="19" t="s">
        <v>113</v>
      </c>
      <c r="X9" s="19" t="s">
        <v>121</v>
      </c>
      <c r="Y9" s="19" t="s">
        <v>131</v>
      </c>
      <c r="Z9" s="19">
        <v>2.7</v>
      </c>
      <c r="AA9" s="19">
        <v>2.5</v>
      </c>
      <c r="AB9" s="19">
        <v>-1.6</v>
      </c>
      <c r="AC9" s="19" t="s">
        <v>151</v>
      </c>
      <c r="AD9" s="19" t="s">
        <v>98</v>
      </c>
      <c r="AE9" s="19" t="s">
        <v>162</v>
      </c>
      <c r="AF9" s="19">
        <v>-10</v>
      </c>
    </row>
    <row r="10" spans="1:33" x14ac:dyDescent="0.25">
      <c r="A10" s="10">
        <v>16</v>
      </c>
      <c r="B10" s="19">
        <v>-6</v>
      </c>
      <c r="C10" s="19">
        <v>-5.2</v>
      </c>
      <c r="D10" s="19">
        <v>-11.3</v>
      </c>
      <c r="E10" s="19">
        <v>-16.2</v>
      </c>
      <c r="F10" s="19">
        <v>-15.9</v>
      </c>
      <c r="G10" s="19">
        <v>-4.9000000000000004</v>
      </c>
      <c r="H10" s="19">
        <v>-13.5</v>
      </c>
      <c r="I10" s="19">
        <v>-21.3</v>
      </c>
      <c r="J10" s="19">
        <v>-16.600000000000001</v>
      </c>
      <c r="K10" s="19">
        <v>-5.2</v>
      </c>
      <c r="L10" s="19">
        <v>-1.5</v>
      </c>
      <c r="M10" s="19">
        <v>-5.7</v>
      </c>
      <c r="N10" s="19">
        <v>0.4</v>
      </c>
      <c r="O10" s="19">
        <v>0.5</v>
      </c>
      <c r="P10" s="19">
        <v>-0.7</v>
      </c>
      <c r="Q10" s="19">
        <v>-1</v>
      </c>
      <c r="R10" s="19">
        <v>3.4</v>
      </c>
      <c r="S10" s="19">
        <v>-12.1</v>
      </c>
      <c r="T10" s="19">
        <v>-10.5</v>
      </c>
      <c r="U10" s="19">
        <v>-6.1</v>
      </c>
      <c r="V10" s="19">
        <v>-0.8</v>
      </c>
      <c r="W10" s="19" t="s">
        <v>114</v>
      </c>
      <c r="X10" s="19" t="s">
        <v>122</v>
      </c>
      <c r="Y10" s="19" t="s">
        <v>132</v>
      </c>
      <c r="Z10" s="19">
        <v>2.2999999999999998</v>
      </c>
      <c r="AA10" s="19">
        <v>1.2</v>
      </c>
      <c r="AB10" s="19" t="s">
        <v>142</v>
      </c>
      <c r="AC10" s="19" t="s">
        <v>152</v>
      </c>
      <c r="AD10" s="19" t="s">
        <v>144</v>
      </c>
      <c r="AE10" s="19" t="s">
        <v>125</v>
      </c>
      <c r="AF10" s="19">
        <v>-9.4</v>
      </c>
    </row>
    <row r="11" spans="1:33" x14ac:dyDescent="0.25">
      <c r="A11" s="10">
        <v>18</v>
      </c>
      <c r="B11" s="19">
        <v>-6.4</v>
      </c>
      <c r="C11" s="19">
        <v>-6.7</v>
      </c>
      <c r="D11" s="19">
        <v>-11.5</v>
      </c>
      <c r="E11" s="19">
        <v>-19</v>
      </c>
      <c r="F11" s="19">
        <v>-16.8</v>
      </c>
      <c r="G11" s="19">
        <v>-5.7</v>
      </c>
      <c r="H11" s="19">
        <v>-18.2</v>
      </c>
      <c r="I11" s="19">
        <v>-23.8</v>
      </c>
      <c r="J11" s="19">
        <v>-16.7</v>
      </c>
      <c r="K11" s="19">
        <v>-3.7</v>
      </c>
      <c r="L11" s="19">
        <v>-0.3</v>
      </c>
      <c r="M11" s="19">
        <v>-7.4</v>
      </c>
      <c r="N11" s="19">
        <v>1.18</v>
      </c>
      <c r="O11" s="19">
        <v>0.7</v>
      </c>
      <c r="P11" s="19">
        <v>-2.2999999999999998</v>
      </c>
      <c r="Q11" s="19">
        <v>0.79</v>
      </c>
      <c r="R11" s="19">
        <v>2.1</v>
      </c>
      <c r="S11" s="19">
        <v>-14.8</v>
      </c>
      <c r="T11" s="19">
        <v>-13.6</v>
      </c>
      <c r="U11" s="19">
        <v>-6.7</v>
      </c>
      <c r="V11" s="19">
        <v>-1.6</v>
      </c>
      <c r="W11" s="19" t="s">
        <v>115</v>
      </c>
      <c r="X11" s="19" t="s">
        <v>101</v>
      </c>
      <c r="Y11" s="19" t="s">
        <v>133</v>
      </c>
      <c r="Z11" s="19">
        <v>0.5</v>
      </c>
      <c r="AA11" s="19">
        <v>-0.3</v>
      </c>
      <c r="AB11" s="19" t="s">
        <v>143</v>
      </c>
      <c r="AC11" s="19" t="s">
        <v>151</v>
      </c>
      <c r="AD11" s="19" t="s">
        <v>109</v>
      </c>
      <c r="AE11" s="19" t="s">
        <v>163</v>
      </c>
      <c r="AF11" s="19">
        <v>-10.5</v>
      </c>
    </row>
    <row r="12" spans="1:33" x14ac:dyDescent="0.25">
      <c r="A12" s="10">
        <v>20</v>
      </c>
      <c r="B12" s="19">
        <v>-9</v>
      </c>
      <c r="C12" s="19">
        <v>-8.1</v>
      </c>
      <c r="D12" s="19">
        <v>-12.6</v>
      </c>
      <c r="E12" s="19">
        <v>-19</v>
      </c>
      <c r="F12" s="19">
        <v>-15.8</v>
      </c>
      <c r="G12" s="19">
        <v>-6.4</v>
      </c>
      <c r="H12" s="19">
        <v>-19.899999999999999</v>
      </c>
      <c r="I12" s="19">
        <v>-26</v>
      </c>
      <c r="J12" s="19">
        <v>-19.399999999999999</v>
      </c>
      <c r="K12" s="19">
        <v>-1.3</v>
      </c>
      <c r="L12" s="19">
        <v>-0.3</v>
      </c>
      <c r="M12" s="19">
        <v>-10</v>
      </c>
      <c r="N12" s="19">
        <v>-1.3</v>
      </c>
      <c r="O12" s="19">
        <v>-1.2</v>
      </c>
      <c r="P12" s="19">
        <v>-4.2</v>
      </c>
      <c r="Q12" s="19">
        <v>0.27</v>
      </c>
      <c r="R12" s="19">
        <v>3.6</v>
      </c>
      <c r="S12" s="19">
        <v>-17.100000000000001</v>
      </c>
      <c r="T12" s="19">
        <v>-15.8</v>
      </c>
      <c r="U12" s="19">
        <v>-5.4</v>
      </c>
      <c r="V12" s="19">
        <v>-2.6</v>
      </c>
      <c r="W12" s="19" t="s">
        <v>113</v>
      </c>
      <c r="X12" s="19" t="s">
        <v>123</v>
      </c>
      <c r="Y12" s="19" t="s">
        <v>134</v>
      </c>
      <c r="Z12" s="19">
        <v>1.5</v>
      </c>
      <c r="AA12" s="19">
        <v>0.9</v>
      </c>
      <c r="AB12" s="19" t="s">
        <v>99</v>
      </c>
      <c r="AC12" s="19" t="s">
        <v>153</v>
      </c>
      <c r="AD12" s="19" t="s">
        <v>95</v>
      </c>
      <c r="AE12" s="19" t="s">
        <v>145</v>
      </c>
      <c r="AF12" s="19">
        <v>-12.1</v>
      </c>
    </row>
    <row r="13" spans="1:33" x14ac:dyDescent="0.25">
      <c r="A13" s="10">
        <v>22</v>
      </c>
      <c r="B13" s="19">
        <v>-9.9</v>
      </c>
      <c r="C13" s="19">
        <v>-9.8000000000000007</v>
      </c>
      <c r="D13" s="19">
        <v>-14.1</v>
      </c>
      <c r="E13" s="19">
        <v>-19</v>
      </c>
      <c r="F13" s="19">
        <v>-15.6</v>
      </c>
      <c r="G13" s="19">
        <v>-8.3000000000000007</v>
      </c>
      <c r="H13" s="19">
        <v>-22.8</v>
      </c>
      <c r="I13" s="19">
        <v>-27.2</v>
      </c>
      <c r="J13" s="19">
        <v>-17.3</v>
      </c>
      <c r="K13" s="19">
        <v>1.1000000000000001</v>
      </c>
      <c r="L13" s="19">
        <v>-2.4</v>
      </c>
      <c r="M13" s="19">
        <v>-10.8</v>
      </c>
      <c r="N13" s="19">
        <v>-1</v>
      </c>
      <c r="O13" s="19">
        <v>-2.4</v>
      </c>
      <c r="P13" s="19">
        <v>-6.5</v>
      </c>
      <c r="Q13" s="19">
        <v>0.23</v>
      </c>
      <c r="R13" s="19">
        <v>0.6</v>
      </c>
      <c r="S13" s="19">
        <v>-18.899999999999999</v>
      </c>
      <c r="T13" s="19">
        <v>-17.600000000000001</v>
      </c>
      <c r="U13" s="19">
        <v>-4.8</v>
      </c>
      <c r="V13" s="19">
        <v>-1.1000000000000001</v>
      </c>
      <c r="W13" s="19" t="s">
        <v>116</v>
      </c>
      <c r="X13" s="19" t="s">
        <v>124</v>
      </c>
      <c r="Y13" s="19" t="s">
        <v>135</v>
      </c>
      <c r="Z13" s="19">
        <v>1.3</v>
      </c>
      <c r="AA13" s="19">
        <v>1.7</v>
      </c>
      <c r="AB13" s="19" t="s">
        <v>144</v>
      </c>
      <c r="AC13" s="13" t="s">
        <v>153</v>
      </c>
      <c r="AD13" s="19" t="s">
        <v>82</v>
      </c>
      <c r="AE13" s="19" t="s">
        <v>164</v>
      </c>
      <c r="AF13" s="19">
        <v>-8.9</v>
      </c>
    </row>
    <row r="14" spans="1:33" x14ac:dyDescent="0.25">
      <c r="A14" s="10">
        <v>24</v>
      </c>
      <c r="B14" s="19">
        <v>-8.6999999999999993</v>
      </c>
      <c r="C14" s="19">
        <v>-10.5</v>
      </c>
      <c r="D14" s="19">
        <v>-16.399999999999999</v>
      </c>
      <c r="E14" s="19">
        <v>-19.7</v>
      </c>
      <c r="F14" s="19">
        <v>-13.5</v>
      </c>
      <c r="G14" s="19">
        <v>-8.9</v>
      </c>
      <c r="H14" s="19">
        <v>-24.6</v>
      </c>
      <c r="I14" s="19">
        <v>-27.3</v>
      </c>
      <c r="J14" s="19">
        <v>-16.5</v>
      </c>
      <c r="K14" s="19">
        <v>1</v>
      </c>
      <c r="L14" s="19">
        <v>-5.8</v>
      </c>
      <c r="M14" s="19">
        <v>-10.8</v>
      </c>
      <c r="N14" s="19">
        <v>-0.9</v>
      </c>
      <c r="O14" s="19">
        <v>-2.7</v>
      </c>
      <c r="P14" s="19">
        <v>-6.2</v>
      </c>
      <c r="Q14" s="19">
        <v>0.17</v>
      </c>
      <c r="R14" s="19">
        <v>0.6</v>
      </c>
      <c r="S14" s="19">
        <v>-20.5</v>
      </c>
      <c r="T14" s="19">
        <v>-19</v>
      </c>
      <c r="U14" s="19">
        <v>-5.2</v>
      </c>
      <c r="V14" s="19">
        <v>-2.8</v>
      </c>
      <c r="W14" s="19" t="s">
        <v>117</v>
      </c>
      <c r="X14" s="19" t="s">
        <v>125</v>
      </c>
      <c r="Y14" s="19" t="s">
        <v>136</v>
      </c>
      <c r="Z14" s="19">
        <v>1.1000000000000001</v>
      </c>
      <c r="AA14" s="19">
        <v>1.7</v>
      </c>
      <c r="AB14" s="19" t="s">
        <v>145</v>
      </c>
      <c r="AC14" s="13" t="s">
        <v>144</v>
      </c>
      <c r="AD14" s="19" t="s">
        <v>158</v>
      </c>
      <c r="AE14" s="19" t="s">
        <v>165</v>
      </c>
      <c r="AF14" s="19">
        <v>-8.5</v>
      </c>
    </row>
    <row r="15" spans="1:33" x14ac:dyDescent="0.25">
      <c r="A15" s="10">
        <v>2</v>
      </c>
      <c r="B15" s="19">
        <v>-7.9</v>
      </c>
      <c r="C15" s="19">
        <v>-14.6</v>
      </c>
      <c r="D15" s="19">
        <v>-19.2</v>
      </c>
      <c r="E15" s="19">
        <v>-20</v>
      </c>
      <c r="F15" s="19">
        <v>-12.5</v>
      </c>
      <c r="G15" s="19">
        <v>-11</v>
      </c>
      <c r="H15" s="19">
        <v>-25.6</v>
      </c>
      <c r="I15" s="19">
        <v>-30.7</v>
      </c>
      <c r="J15" s="19">
        <v>-15.5</v>
      </c>
      <c r="K15" s="19">
        <v>0.7</v>
      </c>
      <c r="L15" s="19">
        <v>-8.1999999999999993</v>
      </c>
      <c r="M15" s="19">
        <v>-8.5</v>
      </c>
      <c r="N15" s="19">
        <v>-2.5</v>
      </c>
      <c r="O15" s="19">
        <v>-3</v>
      </c>
      <c r="P15" s="19">
        <v>-9.1</v>
      </c>
      <c r="Q15" s="19">
        <v>-0.5</v>
      </c>
      <c r="R15" s="19">
        <v>0.3</v>
      </c>
      <c r="S15" s="19">
        <v>-21.7</v>
      </c>
      <c r="T15" s="19">
        <v>-16.399999999999999</v>
      </c>
      <c r="U15" s="19">
        <v>-5</v>
      </c>
      <c r="V15" s="19">
        <v>-5.4</v>
      </c>
      <c r="W15" s="19" t="s">
        <v>118</v>
      </c>
      <c r="X15" s="19" t="s">
        <v>126</v>
      </c>
      <c r="Y15" s="19" t="s">
        <v>137</v>
      </c>
      <c r="Z15" s="19">
        <v>0.8</v>
      </c>
      <c r="AA15" s="19">
        <v>2</v>
      </c>
      <c r="AB15" s="19" t="s">
        <v>126</v>
      </c>
      <c r="AC15" s="13" t="s">
        <v>97</v>
      </c>
      <c r="AD15" s="19" t="s">
        <v>79</v>
      </c>
      <c r="AE15" s="19" t="s">
        <v>166</v>
      </c>
      <c r="AF15" s="19">
        <v>-8.6999999999999993</v>
      </c>
    </row>
    <row r="16" spans="1:33" ht="30" x14ac:dyDescent="0.25">
      <c r="A16" s="11" t="s">
        <v>2</v>
      </c>
      <c r="B16" s="15">
        <f>(B4+B5+B6+B7+B8+B9+B10+B11+B12+B13+B14+B15)/12</f>
        <v>-5.6583333333333341</v>
      </c>
      <c r="C16" s="15">
        <f t="shared" ref="C16:O16" si="0">(C4+C5+C6+C7+C8+C9+C10+C11+C12+C13+C14+C15)/12</f>
        <v>-7.3916666666666666</v>
      </c>
      <c r="D16" s="15">
        <f t="shared" si="0"/>
        <v>-14.533333333333333</v>
      </c>
      <c r="E16" s="15">
        <f t="shared" si="0"/>
        <v>-19.758333333333333</v>
      </c>
      <c r="F16" s="15">
        <f t="shared" si="0"/>
        <v>-16.916666666666668</v>
      </c>
      <c r="G16" s="15">
        <f t="shared" si="0"/>
        <v>-8.4</v>
      </c>
      <c r="H16" s="15">
        <f t="shared" si="0"/>
        <v>-16.333333333333332</v>
      </c>
      <c r="I16" s="15">
        <f t="shared" si="0"/>
        <v>-26.141666666666666</v>
      </c>
      <c r="J16" s="15">
        <f t="shared" si="0"/>
        <v>-20.875</v>
      </c>
      <c r="K16" s="15">
        <f t="shared" si="0"/>
        <v>-5.75</v>
      </c>
      <c r="L16" s="15">
        <f t="shared" si="0"/>
        <v>-1.875</v>
      </c>
      <c r="M16" s="15">
        <f t="shared" si="0"/>
        <v>-9.0083333333333346</v>
      </c>
      <c r="N16" s="15">
        <f t="shared" si="0"/>
        <v>-3.0683333333333329</v>
      </c>
      <c r="O16" s="15">
        <f t="shared" si="0"/>
        <v>-1.2916666666666667</v>
      </c>
      <c r="P16" s="15">
        <f>(P4+P5+P6+P7+P8+P9+P10+P11+P12+P13+P14+P15)/12</f>
        <v>-4.2633333333333336</v>
      </c>
      <c r="Q16" s="15">
        <f>(Q4+Q5+Q6+Q7+Q8+Q9+Q10+Q11+Q12+Q13+Q14+Q15)/12</f>
        <v>-2.7783333333333338</v>
      </c>
      <c r="R16" s="15">
        <f>(R4+R5+R6+R7+R8+R9+R10+R11+R12+R13+R14+R15)/12</f>
        <v>1.0416666666666667</v>
      </c>
      <c r="S16" s="15">
        <f t="shared" ref="S16:AF16" si="1">(S4+S5+S6+S7+S8+S9+S10+S11+S12+S13+S14+S15)/12</f>
        <v>-9.8666666666666671</v>
      </c>
      <c r="T16" s="15">
        <f t="shared" si="1"/>
        <v>-16.233333333333334</v>
      </c>
      <c r="U16" s="15">
        <f t="shared" si="1"/>
        <v>-7.8916666666666666</v>
      </c>
      <c r="V16" s="15">
        <f t="shared" si="1"/>
        <v>-3.875</v>
      </c>
      <c r="W16" s="15">
        <f t="shared" si="1"/>
        <v>-2.6750000000000003</v>
      </c>
      <c r="X16" s="15">
        <f t="shared" si="1"/>
        <v>-3.8249999999999997</v>
      </c>
      <c r="Y16" s="15">
        <f t="shared" si="1"/>
        <v>-0.88666666666666638</v>
      </c>
      <c r="Z16" s="15">
        <f t="shared" si="1"/>
        <v>1.375</v>
      </c>
      <c r="AA16" s="15">
        <f t="shared" si="1"/>
        <v>1.2108333333333332</v>
      </c>
      <c r="AB16" s="15">
        <f t="shared" si="1"/>
        <v>-3.1666666666666665</v>
      </c>
      <c r="AC16" s="15">
        <f t="shared" si="1"/>
        <v>-7.3</v>
      </c>
      <c r="AD16" s="15">
        <f t="shared" si="1"/>
        <v>-9.2083333333333339</v>
      </c>
      <c r="AE16" s="15">
        <f t="shared" si="1"/>
        <v>-11.350000000000001</v>
      </c>
      <c r="AF16" s="15">
        <f t="shared" si="1"/>
        <v>-12.158333333333333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9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-6.3</v>
      </c>
      <c r="C24" s="19">
        <v>-6.7</v>
      </c>
      <c r="D24" s="19">
        <v>-14.9</v>
      </c>
      <c r="E24" s="19">
        <v>-20.6</v>
      </c>
      <c r="F24" s="19">
        <v>-22.7</v>
      </c>
      <c r="G24" s="19">
        <v>-12.2</v>
      </c>
      <c r="H24" s="19">
        <v>-11.9</v>
      </c>
      <c r="I24" s="19">
        <v>-29.9</v>
      </c>
      <c r="J24" s="19">
        <v>-30.6</v>
      </c>
      <c r="K24" s="19">
        <v>-14.4</v>
      </c>
      <c r="L24" s="19">
        <v>0.4</v>
      </c>
      <c r="M24" s="19">
        <v>-9.6</v>
      </c>
      <c r="N24" s="19">
        <v>-8.6999999999999993</v>
      </c>
      <c r="O24" s="19">
        <v>-0.9</v>
      </c>
      <c r="P24" s="19">
        <v>-3.3</v>
      </c>
      <c r="Q24" s="19">
        <v>-11.6</v>
      </c>
      <c r="R24" s="19">
        <v>0.5</v>
      </c>
      <c r="S24" s="19">
        <v>0.4</v>
      </c>
      <c r="T24" s="19">
        <v>-23.5</v>
      </c>
      <c r="U24" s="19">
        <v>-16.100000000000001</v>
      </c>
      <c r="V24" s="19">
        <v>-4.7</v>
      </c>
      <c r="W24" s="19">
        <v>-4.4000000000000004</v>
      </c>
      <c r="X24" s="19">
        <v>-1.4</v>
      </c>
      <c r="Y24" s="19">
        <v>-7.1</v>
      </c>
      <c r="Z24" s="19">
        <v>1</v>
      </c>
      <c r="AA24" s="13">
        <v>0.7</v>
      </c>
      <c r="AB24" s="19">
        <v>2.1</v>
      </c>
      <c r="AC24" s="13">
        <v>-9.1</v>
      </c>
      <c r="AD24" s="19">
        <v>-9.5</v>
      </c>
      <c r="AE24" s="19">
        <v>-13.4</v>
      </c>
      <c r="AF24" s="19">
        <v>-18.8</v>
      </c>
    </row>
    <row r="25" spans="1:32" x14ac:dyDescent="0.25">
      <c r="A25" s="10">
        <v>6</v>
      </c>
      <c r="B25" s="19">
        <v>-4</v>
      </c>
      <c r="C25" s="19">
        <v>-5.3</v>
      </c>
      <c r="D25" s="19">
        <v>-15.8</v>
      </c>
      <c r="E25" s="19">
        <v>-22.1</v>
      </c>
      <c r="F25" s="19">
        <v>-23.6</v>
      </c>
      <c r="G25" s="19">
        <v>-12.1</v>
      </c>
      <c r="H25" s="19">
        <v>-10</v>
      </c>
      <c r="I25" s="19">
        <v>-31</v>
      </c>
      <c r="J25" s="19">
        <v>-30.9</v>
      </c>
      <c r="K25" s="19">
        <v>-13</v>
      </c>
      <c r="L25" s="19">
        <v>0.3</v>
      </c>
      <c r="M25" s="19">
        <v>-9.6</v>
      </c>
      <c r="N25" s="19">
        <v>-7.4</v>
      </c>
      <c r="O25" s="19">
        <v>-2.2000000000000002</v>
      </c>
      <c r="P25" s="19">
        <v>-5.2</v>
      </c>
      <c r="Q25" s="19">
        <v>-11.7</v>
      </c>
      <c r="R25" s="19">
        <v>-0.6</v>
      </c>
      <c r="S25" s="19">
        <v>0.3</v>
      </c>
      <c r="T25" s="19">
        <v>-22.7</v>
      </c>
      <c r="U25" s="19">
        <v>15.3</v>
      </c>
      <c r="V25" s="19">
        <v>-7.1</v>
      </c>
      <c r="W25" s="19">
        <v>-7.6</v>
      </c>
      <c r="X25" s="19">
        <v>-1.1000000000000001</v>
      </c>
      <c r="Y25" s="19">
        <v>-4.5999999999999996</v>
      </c>
      <c r="Z25" s="19">
        <v>-0.6</v>
      </c>
      <c r="AA25" s="13">
        <v>0.4</v>
      </c>
      <c r="AB25" s="19">
        <v>2.1</v>
      </c>
      <c r="AC25" s="13">
        <v>-9.5</v>
      </c>
      <c r="AD25" s="19">
        <v>-10.6</v>
      </c>
      <c r="AE25" s="19">
        <v>-15.2</v>
      </c>
      <c r="AF25" s="19">
        <v>-20.5</v>
      </c>
    </row>
    <row r="26" spans="1:32" x14ac:dyDescent="0.25">
      <c r="A26" s="10">
        <v>8</v>
      </c>
      <c r="B26" s="19">
        <v>-3.5</v>
      </c>
      <c r="C26" s="19">
        <v>-4.0999999999999996</v>
      </c>
      <c r="D26" s="19">
        <v>-16.8</v>
      </c>
      <c r="E26" s="19">
        <v>-23.4</v>
      </c>
      <c r="F26" s="19">
        <v>-22</v>
      </c>
      <c r="G26" s="19">
        <v>-10.8</v>
      </c>
      <c r="H26" s="19">
        <v>-11.9</v>
      </c>
      <c r="I26" s="19">
        <v>-29.8</v>
      </c>
      <c r="J26" s="19">
        <v>-29</v>
      </c>
      <c r="K26" s="19">
        <v>-12.4</v>
      </c>
      <c r="L26" s="19">
        <v>-1.1000000000000001</v>
      </c>
      <c r="M26" s="19">
        <v>-11.1</v>
      </c>
      <c r="N26" s="19">
        <v>-7.1</v>
      </c>
      <c r="O26" s="19">
        <v>-1.1000000000000001</v>
      </c>
      <c r="P26" s="19">
        <v>-6.4</v>
      </c>
      <c r="Q26" s="19">
        <v>-9.3000000000000007</v>
      </c>
      <c r="R26" s="19">
        <v>-0.6</v>
      </c>
      <c r="S26" s="19">
        <v>0.5</v>
      </c>
      <c r="T26" s="19">
        <v>-19.100000000000001</v>
      </c>
      <c r="U26" s="19">
        <v>-13</v>
      </c>
      <c r="V26" s="19">
        <v>-7</v>
      </c>
      <c r="W26" s="19">
        <v>-5.2</v>
      </c>
      <c r="X26" s="19">
        <v>-0.3</v>
      </c>
      <c r="Y26" s="19">
        <v>-3.8</v>
      </c>
      <c r="Z26" s="19">
        <v>1.7</v>
      </c>
      <c r="AA26" s="13">
        <v>0.3</v>
      </c>
      <c r="AB26" s="19">
        <v>0.5</v>
      </c>
      <c r="AC26" s="13">
        <v>-9.3000000000000007</v>
      </c>
      <c r="AD26" s="19">
        <v>-10.9</v>
      </c>
      <c r="AE26" s="19">
        <v>-13.6</v>
      </c>
      <c r="AF26" s="19">
        <v>-17.399999999999999</v>
      </c>
    </row>
    <row r="27" spans="1:32" x14ac:dyDescent="0.25">
      <c r="A27" s="10">
        <v>10</v>
      </c>
      <c r="B27" s="19">
        <v>-2.8</v>
      </c>
      <c r="C27" s="19">
        <v>-3.5</v>
      </c>
      <c r="D27" s="19">
        <v>-15.8</v>
      </c>
      <c r="E27" s="19">
        <v>-21.8</v>
      </c>
      <c r="F27" s="19">
        <v>-16.899999999999999</v>
      </c>
      <c r="G27" s="19">
        <v>-8.6</v>
      </c>
      <c r="H27" s="19">
        <v>-12.6</v>
      </c>
      <c r="I27" s="19">
        <v>-26.4</v>
      </c>
      <c r="J27" s="19">
        <v>-22.6</v>
      </c>
      <c r="K27" s="19">
        <v>-10.6</v>
      </c>
      <c r="L27" s="19">
        <v>-2.5</v>
      </c>
      <c r="M27" s="19">
        <v>-9.5</v>
      </c>
      <c r="N27" s="19">
        <v>-5.5</v>
      </c>
      <c r="O27" s="19">
        <v>-0.5</v>
      </c>
      <c r="P27" s="19">
        <v>-3.3</v>
      </c>
      <c r="Q27" s="19">
        <v>-3.2</v>
      </c>
      <c r="R27" s="19">
        <v>0.4</v>
      </c>
      <c r="S27" s="19">
        <v>-1.6</v>
      </c>
      <c r="T27" s="19">
        <v>-16.2</v>
      </c>
      <c r="U27" s="19">
        <v>-11.1</v>
      </c>
      <c r="V27" s="19">
        <v>-2.8</v>
      </c>
      <c r="W27" s="19">
        <v>-2.9</v>
      </c>
      <c r="X27" s="19">
        <v>-1</v>
      </c>
      <c r="Y27" s="19">
        <v>-3.4</v>
      </c>
      <c r="Z27" s="19">
        <v>2</v>
      </c>
      <c r="AA27" s="13">
        <v>1</v>
      </c>
      <c r="AB27" s="19">
        <v>0.1</v>
      </c>
      <c r="AC27" s="13">
        <v>-8</v>
      </c>
      <c r="AD27" s="19">
        <v>-9.4</v>
      </c>
      <c r="AE27" s="19">
        <v>-11.2</v>
      </c>
      <c r="AF27" s="19">
        <v>-15.7</v>
      </c>
    </row>
    <row r="28" spans="1:32" x14ac:dyDescent="0.25">
      <c r="A28" s="10">
        <v>12</v>
      </c>
      <c r="B28" s="19">
        <v>-2.2000000000000002</v>
      </c>
      <c r="C28" s="19">
        <v>-4.2</v>
      </c>
      <c r="D28" s="19">
        <v>-12.9</v>
      </c>
      <c r="E28" s="19">
        <v>-18.8</v>
      </c>
      <c r="F28" s="19">
        <v>-14.3</v>
      </c>
      <c r="G28" s="19">
        <v>-6.2</v>
      </c>
      <c r="H28" s="19">
        <v>-12.1</v>
      </c>
      <c r="I28" s="19">
        <v>-23.5</v>
      </c>
      <c r="J28" s="19">
        <v>-20.100000000000001</v>
      </c>
      <c r="K28" s="19">
        <v>-8.5</v>
      </c>
      <c r="L28" s="19">
        <v>-1.7</v>
      </c>
      <c r="M28" s="19">
        <v>-8.1999999999999993</v>
      </c>
      <c r="N28" s="19">
        <v>-4.5</v>
      </c>
      <c r="O28" s="19">
        <v>1</v>
      </c>
      <c r="P28" s="19">
        <v>0</v>
      </c>
      <c r="Q28" s="19">
        <v>-1.4</v>
      </c>
      <c r="R28" s="19">
        <v>0.5</v>
      </c>
      <c r="S28" s="19">
        <v>-5.3</v>
      </c>
      <c r="T28" s="19">
        <v>-13.1</v>
      </c>
      <c r="U28" s="19">
        <v>-7.5</v>
      </c>
      <c r="V28" s="19">
        <v>-1.8</v>
      </c>
      <c r="W28" s="19">
        <v>-2.2000000000000002</v>
      </c>
      <c r="X28" s="19">
        <v>-0.9</v>
      </c>
      <c r="Y28" s="19">
        <v>-2</v>
      </c>
      <c r="Z28" s="19">
        <v>2.4</v>
      </c>
      <c r="AA28" s="13">
        <v>1.6</v>
      </c>
      <c r="AB28" s="19">
        <v>-2.7</v>
      </c>
      <c r="AC28" s="13">
        <v>-7.4</v>
      </c>
      <c r="AD28" s="19">
        <v>-7.2</v>
      </c>
      <c r="AE28" s="19">
        <v>-9.4</v>
      </c>
      <c r="AF28" s="19">
        <v>-12</v>
      </c>
    </row>
    <row r="29" spans="1:32" x14ac:dyDescent="0.25">
      <c r="A29" s="10">
        <v>14</v>
      </c>
      <c r="B29" s="19">
        <v>-2.8</v>
      </c>
      <c r="C29" s="19">
        <v>-3.9</v>
      </c>
      <c r="D29" s="19">
        <v>-9.3000000000000007</v>
      </c>
      <c r="E29" s="19">
        <v>-16.600000000000001</v>
      </c>
      <c r="F29" s="19">
        <v>-14</v>
      </c>
      <c r="G29" s="19">
        <v>-5.2</v>
      </c>
      <c r="H29" s="19">
        <v>-12</v>
      </c>
      <c r="I29" s="19">
        <v>-21.4</v>
      </c>
      <c r="J29" s="19">
        <v>-18.7</v>
      </c>
      <c r="K29" s="19">
        <v>-7</v>
      </c>
      <c r="L29" s="19">
        <v>-0.2</v>
      </c>
      <c r="M29" s="19">
        <v>-6.5</v>
      </c>
      <c r="N29" s="19">
        <v>-2.7</v>
      </c>
      <c r="O29" s="19">
        <v>2.2999999999999998</v>
      </c>
      <c r="P29" s="19">
        <v>0.3</v>
      </c>
      <c r="Q29" s="19">
        <v>-0.3</v>
      </c>
      <c r="R29" s="19">
        <v>3.2</v>
      </c>
      <c r="S29" s="19">
        <v>-8.8000000000000007</v>
      </c>
      <c r="T29" s="19">
        <v>-9.8000000000000007</v>
      </c>
      <c r="U29" s="19">
        <v>-6.5</v>
      </c>
      <c r="V29" s="19">
        <v>-0.4</v>
      </c>
      <c r="W29" s="19">
        <v>-2.8</v>
      </c>
      <c r="X29" s="19">
        <v>-2.2999999999999998</v>
      </c>
      <c r="Y29" s="19">
        <v>-0.7</v>
      </c>
      <c r="Z29" s="19">
        <v>2.9</v>
      </c>
      <c r="AA29" s="13">
        <v>2.6</v>
      </c>
      <c r="AB29" s="19">
        <v>-3.1</v>
      </c>
      <c r="AC29" s="13">
        <v>-6.8</v>
      </c>
      <c r="AD29" s="19">
        <v>-5</v>
      </c>
      <c r="AE29" s="19">
        <v>-7.8</v>
      </c>
      <c r="AF29" s="19">
        <v>-11.6</v>
      </c>
    </row>
    <row r="30" spans="1:32" x14ac:dyDescent="0.25">
      <c r="A30" s="10">
        <v>16</v>
      </c>
      <c r="B30" s="19">
        <v>-3.2</v>
      </c>
      <c r="C30" s="19">
        <v>-4.7</v>
      </c>
      <c r="D30" s="19">
        <v>-10.7</v>
      </c>
      <c r="E30" s="19">
        <v>-15.5</v>
      </c>
      <c r="F30" s="19">
        <v>-15.4</v>
      </c>
      <c r="G30" s="19">
        <v>-4.9000000000000004</v>
      </c>
      <c r="H30" s="19">
        <v>-12.2</v>
      </c>
      <c r="I30" s="19">
        <v>-20.5</v>
      </c>
      <c r="J30" s="19">
        <v>-17.399999999999999</v>
      </c>
      <c r="K30" s="19">
        <v>-5.7</v>
      </c>
      <c r="L30" s="19">
        <v>1.4</v>
      </c>
      <c r="M30" s="19">
        <v>-6</v>
      </c>
      <c r="N30" s="19">
        <v>-0.7</v>
      </c>
      <c r="O30" s="19">
        <v>1.2</v>
      </c>
      <c r="P30" s="19">
        <v>0.2</v>
      </c>
      <c r="Q30" s="19">
        <v>-0.4</v>
      </c>
      <c r="R30" s="19">
        <v>3.8</v>
      </c>
      <c r="S30" s="19">
        <v>-12.2</v>
      </c>
      <c r="T30" s="19">
        <v>-10.1</v>
      </c>
      <c r="U30" s="19">
        <v>-5.6</v>
      </c>
      <c r="V30" s="19">
        <v>-0.7</v>
      </c>
      <c r="W30" s="19">
        <v>-2.4</v>
      </c>
      <c r="X30" s="19">
        <v>-2.8</v>
      </c>
      <c r="Y30" s="19">
        <v>1.6</v>
      </c>
      <c r="Z30" s="19">
        <v>2.2999999999999998</v>
      </c>
      <c r="AA30" s="13">
        <v>1.9</v>
      </c>
      <c r="AB30" s="19">
        <v>-3.1</v>
      </c>
      <c r="AC30" s="13">
        <v>-6.8</v>
      </c>
      <c r="AD30" s="19">
        <v>-6.4</v>
      </c>
      <c r="AE30" s="19">
        <v>-8</v>
      </c>
      <c r="AF30" s="19">
        <v>-10.6</v>
      </c>
    </row>
    <row r="31" spans="1:32" x14ac:dyDescent="0.25">
      <c r="A31" s="10">
        <v>18</v>
      </c>
      <c r="B31" s="19">
        <v>-5.7</v>
      </c>
      <c r="C31" s="19">
        <v>-6.4</v>
      </c>
      <c r="D31" s="19">
        <v>-12</v>
      </c>
      <c r="E31" s="19">
        <v>-18.8</v>
      </c>
      <c r="F31" s="19">
        <v>-17.399999999999999</v>
      </c>
      <c r="G31" s="19">
        <v>-5.8</v>
      </c>
      <c r="H31" s="19">
        <v>-17.8</v>
      </c>
      <c r="I31" s="19">
        <v>-23.6</v>
      </c>
      <c r="J31" s="19">
        <v>-19</v>
      </c>
      <c r="K31" s="19">
        <v>-4.9000000000000004</v>
      </c>
      <c r="L31" s="19">
        <v>0.6</v>
      </c>
      <c r="M31" s="19">
        <v>-7.5</v>
      </c>
      <c r="N31" s="19">
        <v>0.6</v>
      </c>
      <c r="O31" s="19">
        <v>-0.6</v>
      </c>
      <c r="P31" s="19">
        <v>-2.2000000000000002</v>
      </c>
      <c r="Q31" s="19">
        <v>-0.4</v>
      </c>
      <c r="R31" s="19">
        <v>3.9</v>
      </c>
      <c r="S31" s="19">
        <v>-14.8</v>
      </c>
      <c r="T31" s="19">
        <v>-12.6</v>
      </c>
      <c r="U31" s="19">
        <v>-6.2</v>
      </c>
      <c r="V31" s="19">
        <v>-2.7</v>
      </c>
      <c r="W31" s="19">
        <v>-3.3</v>
      </c>
      <c r="X31" s="19">
        <v>-3.6</v>
      </c>
      <c r="Y31" s="19">
        <v>2</v>
      </c>
      <c r="Z31" s="19">
        <v>1.6</v>
      </c>
      <c r="AA31" s="13">
        <v>0.7</v>
      </c>
      <c r="AB31" s="19">
        <v>-4.7</v>
      </c>
      <c r="AC31" s="13">
        <v>-6.6</v>
      </c>
      <c r="AD31" s="19">
        <v>-8.8000000000000007</v>
      </c>
      <c r="AE31" s="19">
        <v>-8.3000000000000007</v>
      </c>
      <c r="AF31" s="19">
        <v>-12.3</v>
      </c>
    </row>
    <row r="32" spans="1:32" x14ac:dyDescent="0.25">
      <c r="A32" s="10">
        <v>20</v>
      </c>
      <c r="B32" s="19">
        <v>-7.4</v>
      </c>
      <c r="C32" s="19">
        <v>-7.3</v>
      </c>
      <c r="D32" s="19">
        <v>-12.4</v>
      </c>
      <c r="E32" s="19">
        <v>-19.7</v>
      </c>
      <c r="F32" s="19">
        <v>-17.399999999999999</v>
      </c>
      <c r="G32" s="19">
        <v>-6.5</v>
      </c>
      <c r="H32" s="19">
        <v>-20.9</v>
      </c>
      <c r="I32" s="19">
        <v>-26.1</v>
      </c>
      <c r="J32" s="19">
        <v>-20.399999999999999</v>
      </c>
      <c r="K32" s="19">
        <v>-2.8</v>
      </c>
      <c r="L32" s="19">
        <v>0.8</v>
      </c>
      <c r="M32" s="19">
        <v>-9.3000000000000007</v>
      </c>
      <c r="N32" s="19">
        <v>0.7</v>
      </c>
      <c r="O32" s="19">
        <v>-0.7</v>
      </c>
      <c r="P32" s="19">
        <v>-7.8</v>
      </c>
      <c r="Q32" s="19">
        <v>-0.1</v>
      </c>
      <c r="R32" s="19">
        <v>3.5</v>
      </c>
      <c r="S32" s="19">
        <v>-17.2</v>
      </c>
      <c r="T32" s="19">
        <v>-16.7</v>
      </c>
      <c r="U32" s="19">
        <v>-6.1</v>
      </c>
      <c r="V32" s="19">
        <v>-3.5</v>
      </c>
      <c r="W32" s="19">
        <v>-2.8</v>
      </c>
      <c r="X32" s="19">
        <v>-4.4000000000000004</v>
      </c>
      <c r="Y32" s="19">
        <v>0.6</v>
      </c>
      <c r="Z32" s="19">
        <v>1.5</v>
      </c>
      <c r="AA32" s="13">
        <v>0.6</v>
      </c>
      <c r="AB32" s="19">
        <v>-8</v>
      </c>
      <c r="AC32" s="13">
        <v>-6.2</v>
      </c>
      <c r="AD32" s="19">
        <v>-10.3</v>
      </c>
      <c r="AE32" s="19">
        <v>-8.4</v>
      </c>
      <c r="AF32" s="19">
        <v>-13.8</v>
      </c>
    </row>
    <row r="33" spans="1:32" x14ac:dyDescent="0.25">
      <c r="A33" s="10">
        <v>22</v>
      </c>
      <c r="B33" s="19">
        <v>-7</v>
      </c>
      <c r="C33" s="19">
        <v>-9.1999999999999993</v>
      </c>
      <c r="D33" s="19">
        <v>-12.9</v>
      </c>
      <c r="E33" s="19">
        <v>-19.2</v>
      </c>
      <c r="F33" s="19">
        <v>-15.8</v>
      </c>
      <c r="G33" s="19">
        <v>-7.2</v>
      </c>
      <c r="H33" s="19">
        <v>-24.2</v>
      </c>
      <c r="I33" s="19">
        <v>-27.6</v>
      </c>
      <c r="J33" s="19">
        <v>-17.8</v>
      </c>
      <c r="K33" s="19">
        <v>0.7</v>
      </c>
      <c r="L33" s="19">
        <v>-1.9</v>
      </c>
      <c r="M33" s="19">
        <v>-9.1999999999999993</v>
      </c>
      <c r="N33" s="19">
        <v>0</v>
      </c>
      <c r="O33" s="19">
        <v>-1.7</v>
      </c>
      <c r="P33" s="19">
        <v>-10</v>
      </c>
      <c r="Q33" s="19">
        <v>0.2</v>
      </c>
      <c r="R33" s="19">
        <v>0.5</v>
      </c>
      <c r="S33" s="19">
        <v>-18.600000000000001</v>
      </c>
      <c r="T33" s="19">
        <v>-18.399999999999999</v>
      </c>
      <c r="U33" s="19">
        <v>-5.7</v>
      </c>
      <c r="V33" s="19">
        <v>-2.6</v>
      </c>
      <c r="W33" s="19">
        <v>-1.5</v>
      </c>
      <c r="X33" s="19">
        <v>-7.1</v>
      </c>
      <c r="Y33" s="19">
        <v>0.7</v>
      </c>
      <c r="Z33" s="19">
        <v>1.4</v>
      </c>
      <c r="AA33" s="13">
        <v>1.4</v>
      </c>
      <c r="AB33" s="19">
        <v>-9.4</v>
      </c>
      <c r="AC33" s="13">
        <v>-6.1</v>
      </c>
      <c r="AD33" s="19">
        <v>-10.4</v>
      </c>
      <c r="AE33" s="19">
        <v>-8.4</v>
      </c>
      <c r="AF33" s="19">
        <v>-11.4</v>
      </c>
    </row>
    <row r="34" spans="1:32" x14ac:dyDescent="0.25">
      <c r="A34" s="10">
        <v>24</v>
      </c>
      <c r="B34" s="19">
        <v>-8.3000000000000007</v>
      </c>
      <c r="C34" s="19">
        <v>-10.5</v>
      </c>
      <c r="D34" s="19">
        <v>-14.2</v>
      </c>
      <c r="E34" s="19">
        <v>-21</v>
      </c>
      <c r="F34" s="19">
        <v>-13.6</v>
      </c>
      <c r="G34" s="19">
        <v>-9.9</v>
      </c>
      <c r="H34" s="19">
        <v>-26.4</v>
      </c>
      <c r="I34" s="19">
        <v>-28.5</v>
      </c>
      <c r="J34" s="19">
        <v>-17.7</v>
      </c>
      <c r="K34" s="19">
        <v>0.8</v>
      </c>
      <c r="L34" s="19">
        <v>-4.8</v>
      </c>
      <c r="M34" s="19">
        <v>-11.2</v>
      </c>
      <c r="N34" s="19">
        <v>-0.1</v>
      </c>
      <c r="O34" s="19">
        <v>-2.6</v>
      </c>
      <c r="P34" s="19">
        <v>-11.8</v>
      </c>
      <c r="Q34" s="19">
        <v>0.2</v>
      </c>
      <c r="R34" s="19">
        <v>0.4</v>
      </c>
      <c r="S34" s="19">
        <v>-20.100000000000001</v>
      </c>
      <c r="T34" s="19">
        <v>-18.899999999999999</v>
      </c>
      <c r="U34" s="19">
        <v>-5.0999999999999996</v>
      </c>
      <c r="V34" s="19">
        <v>-2.6</v>
      </c>
      <c r="W34" s="19">
        <v>-1.3</v>
      </c>
      <c r="X34" s="19">
        <v>-6.7</v>
      </c>
      <c r="Y34" s="19">
        <v>1</v>
      </c>
      <c r="Z34" s="19">
        <v>1</v>
      </c>
      <c r="AA34" s="13">
        <v>1.7</v>
      </c>
      <c r="AB34" s="19">
        <v>-9.4</v>
      </c>
      <c r="AC34" s="13">
        <v>-6.8</v>
      </c>
      <c r="AD34" s="19">
        <v>-11.2</v>
      </c>
      <c r="AE34" s="19">
        <v>-11.8</v>
      </c>
      <c r="AF34" s="19">
        <v>-10.1</v>
      </c>
    </row>
    <row r="35" spans="1:32" x14ac:dyDescent="0.25">
      <c r="A35" s="10">
        <v>2</v>
      </c>
      <c r="B35" s="19">
        <v>-7.8</v>
      </c>
      <c r="C35" s="19">
        <v>-12.3</v>
      </c>
      <c r="D35" s="19">
        <v>-17.7</v>
      </c>
      <c r="E35" s="19">
        <v>-22.6</v>
      </c>
      <c r="F35" s="19">
        <v>-12.3</v>
      </c>
      <c r="G35" s="19">
        <v>-12.2</v>
      </c>
      <c r="H35" s="19">
        <v>-27.7</v>
      </c>
      <c r="I35" s="19">
        <v>-30</v>
      </c>
      <c r="J35" s="19">
        <v>-16.3</v>
      </c>
      <c r="K35" s="19">
        <v>0.7</v>
      </c>
      <c r="L35" s="19">
        <v>-7.2</v>
      </c>
      <c r="M35" s="19">
        <v>-10.6</v>
      </c>
      <c r="N35" s="19">
        <v>-0.5</v>
      </c>
      <c r="O35" s="19">
        <v>-2.8</v>
      </c>
      <c r="P35" s="19">
        <v>-13.2</v>
      </c>
      <c r="Q35" s="19">
        <v>0.3</v>
      </c>
      <c r="R35" s="19">
        <v>0.4</v>
      </c>
      <c r="S35" s="19">
        <v>-22.8</v>
      </c>
      <c r="T35" s="19">
        <v>-17.2</v>
      </c>
      <c r="U35" s="19">
        <v>-7</v>
      </c>
      <c r="V35" s="19">
        <v>-4.5999999999999996</v>
      </c>
      <c r="W35" s="19">
        <v>-1.2</v>
      </c>
      <c r="X35" s="19">
        <v>-6.3</v>
      </c>
      <c r="Y35" s="19">
        <v>1.1000000000000001</v>
      </c>
      <c r="Z35" s="19">
        <v>0.8</v>
      </c>
      <c r="AA35" s="13">
        <v>1.8</v>
      </c>
      <c r="AB35" s="19">
        <v>-8.9</v>
      </c>
      <c r="AC35" s="13">
        <v>-8.3000000000000007</v>
      </c>
      <c r="AD35" s="19">
        <v>-11.4</v>
      </c>
      <c r="AE35" s="19">
        <v>-15.6</v>
      </c>
      <c r="AF35" s="19">
        <v>-10.199999999999999</v>
      </c>
    </row>
    <row r="36" spans="1:32" ht="30" x14ac:dyDescent="0.25">
      <c r="A36" s="11" t="s">
        <v>2</v>
      </c>
      <c r="B36" s="15">
        <f>(B24+B25+B26+B27+B28+B29+B30+B31+B32+B33+B34+B35)/12</f>
        <v>-5.083333333333333</v>
      </c>
      <c r="C36" s="15">
        <f t="shared" ref="C36:J36" si="2">(C24+C25+C26+C27+C28+C29+C30+C31+C32+C33+C34+C35)/12</f>
        <v>-6.5083333333333329</v>
      </c>
      <c r="D36" s="15">
        <f t="shared" si="2"/>
        <v>-13.783333333333331</v>
      </c>
      <c r="E36" s="15">
        <f t="shared" si="2"/>
        <v>-20.008333333333329</v>
      </c>
      <c r="F36" s="15">
        <f t="shared" si="2"/>
        <v>-17.116666666666667</v>
      </c>
      <c r="G36" s="15">
        <f t="shared" si="2"/>
        <v>-8.4666666666666668</v>
      </c>
      <c r="H36" s="15">
        <f t="shared" si="2"/>
        <v>-16.641666666666666</v>
      </c>
      <c r="I36" s="15">
        <f t="shared" si="2"/>
        <v>-26.525000000000002</v>
      </c>
      <c r="J36" s="15">
        <f t="shared" si="2"/>
        <v>-21.708333333333332</v>
      </c>
      <c r="K36" s="15">
        <f>(K24+K25+K26+K27+K28+K29+K30+K31+K32+K33+K34+K35)/12</f>
        <v>-6.4250000000000007</v>
      </c>
      <c r="L36" s="15">
        <f t="shared" ref="L36:AF36" si="3">(L24+L25+L26+L27+L28+L29+L30+L31+L32+L33+L34+L35)/12</f>
        <v>-1.3250000000000002</v>
      </c>
      <c r="M36" s="15">
        <f t="shared" si="3"/>
        <v>-9.0250000000000004</v>
      </c>
      <c r="N36" s="15">
        <f t="shared" si="3"/>
        <v>-2.9916666666666671</v>
      </c>
      <c r="O36" s="15">
        <f t="shared" si="3"/>
        <v>-0.71666666666666679</v>
      </c>
      <c r="P36" s="15">
        <f t="shared" si="3"/>
        <v>-5.2250000000000005</v>
      </c>
      <c r="Q36" s="15">
        <f t="shared" si="3"/>
        <v>-3.1416666666666657</v>
      </c>
      <c r="R36" s="15">
        <f t="shared" si="3"/>
        <v>1.325</v>
      </c>
      <c r="S36" s="15">
        <f t="shared" si="3"/>
        <v>-10.016666666666667</v>
      </c>
      <c r="T36" s="15">
        <f t="shared" si="3"/>
        <v>-16.524999999999999</v>
      </c>
      <c r="U36" s="15">
        <f t="shared" si="3"/>
        <v>-6.2166666666666677</v>
      </c>
      <c r="V36" s="15">
        <f t="shared" si="3"/>
        <v>-3.375</v>
      </c>
      <c r="W36" s="15">
        <f t="shared" si="3"/>
        <v>-3.1333333333333329</v>
      </c>
      <c r="X36" s="15">
        <f t="shared" si="3"/>
        <v>-3.1583333333333332</v>
      </c>
      <c r="Y36" s="15">
        <f t="shared" si="3"/>
        <v>-1.2166666666666663</v>
      </c>
      <c r="Z36" s="15">
        <f t="shared" si="3"/>
        <v>1.5</v>
      </c>
      <c r="AA36" s="15">
        <f t="shared" si="3"/>
        <v>1.2249999999999999</v>
      </c>
      <c r="AB36" s="15">
        <f t="shared" si="3"/>
        <v>-3.7083333333333335</v>
      </c>
      <c r="AC36" s="15">
        <f t="shared" si="3"/>
        <v>-7.5749999999999993</v>
      </c>
      <c r="AD36" s="15">
        <f>(AD24+AD25+AD26+AD27+AD28+AD29+AD30+AD31+AD32+AD33+AD34+AD35)/12</f>
        <v>-9.2583333333333346</v>
      </c>
      <c r="AE36" s="15">
        <f>(AE24+AE25+AE26+AE27+AE28+AE29+AE30+AE31+AE32+AE33+AE34+AE35)/12</f>
        <v>-10.925000000000002</v>
      </c>
      <c r="AF36" s="15">
        <f t="shared" si="3"/>
        <v>-13.699999999999998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E24" sqref="AE24:AE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10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-7.8</v>
      </c>
      <c r="C4" s="19">
        <v>0.5</v>
      </c>
      <c r="D4" s="19">
        <v>1.5</v>
      </c>
      <c r="E4" s="19">
        <v>-14.3</v>
      </c>
      <c r="F4" s="19">
        <v>-12</v>
      </c>
      <c r="G4" s="19">
        <v>-2.9</v>
      </c>
      <c r="H4" s="19">
        <v>-23.1</v>
      </c>
      <c r="I4" s="19">
        <v>-11.1</v>
      </c>
      <c r="J4" s="19">
        <v>-23.2</v>
      </c>
      <c r="K4" s="19">
        <v>-7.2</v>
      </c>
      <c r="L4" s="19">
        <v>-18.3</v>
      </c>
      <c r="M4" s="19">
        <v>-17.100000000000001</v>
      </c>
      <c r="N4" s="19">
        <v>-23.3</v>
      </c>
      <c r="O4" s="19">
        <v>-20.2</v>
      </c>
      <c r="P4" s="19">
        <v>-10</v>
      </c>
      <c r="Q4" s="19">
        <v>-15.1</v>
      </c>
      <c r="R4" s="19">
        <v>-20.2</v>
      </c>
      <c r="S4" s="19">
        <v>-23.2</v>
      </c>
      <c r="T4" s="19">
        <v>-10</v>
      </c>
      <c r="U4" s="19">
        <v>-7.6</v>
      </c>
      <c r="V4" s="19">
        <v>-3.5</v>
      </c>
      <c r="W4" s="19">
        <v>-1.3</v>
      </c>
      <c r="X4" s="19">
        <v>0</v>
      </c>
      <c r="Y4" s="19">
        <v>1.5</v>
      </c>
      <c r="Z4" s="19" t="s">
        <v>168</v>
      </c>
      <c r="AA4" s="19" t="s">
        <v>141</v>
      </c>
      <c r="AB4" s="19" t="s">
        <v>119</v>
      </c>
      <c r="AC4" s="19">
        <v>0</v>
      </c>
      <c r="AD4" s="19" t="s">
        <v>188</v>
      </c>
      <c r="AE4" s="19" t="s">
        <v>108</v>
      </c>
      <c r="AF4" s="19"/>
    </row>
    <row r="5" spans="1:33" x14ac:dyDescent="0.25">
      <c r="A5" s="10">
        <v>6</v>
      </c>
      <c r="B5" s="19">
        <v>-7.5</v>
      </c>
      <c r="C5" s="19">
        <v>-0.5</v>
      </c>
      <c r="D5" s="19">
        <v>0.7</v>
      </c>
      <c r="E5" s="19">
        <v>-15.5</v>
      </c>
      <c r="F5" s="19">
        <v>-10.199999999999999</v>
      </c>
      <c r="G5" s="19">
        <v>-2.8</v>
      </c>
      <c r="H5" s="19">
        <v>-23.7</v>
      </c>
      <c r="I5" s="19">
        <v>-9.9</v>
      </c>
      <c r="J5" s="19">
        <v>-22</v>
      </c>
      <c r="K5" s="19">
        <v>-6.6</v>
      </c>
      <c r="L5" s="19">
        <v>-18.100000000000001</v>
      </c>
      <c r="M5" s="19">
        <v>-15</v>
      </c>
      <c r="N5" s="19">
        <v>-22.8</v>
      </c>
      <c r="O5" s="19">
        <v>-19.899999999999999</v>
      </c>
      <c r="P5" s="19">
        <v>-10</v>
      </c>
      <c r="Q5" s="19">
        <v>-15.5</v>
      </c>
      <c r="R5" s="19">
        <v>-21.1</v>
      </c>
      <c r="S5" s="19">
        <v>-21.6</v>
      </c>
      <c r="T5" s="19">
        <v>-9.4</v>
      </c>
      <c r="U5" s="19">
        <v>-6.2</v>
      </c>
      <c r="V5" s="19">
        <v>-2.8</v>
      </c>
      <c r="W5" s="19">
        <v>-0.4</v>
      </c>
      <c r="X5" s="19">
        <v>0</v>
      </c>
      <c r="Y5" s="19">
        <v>1.3</v>
      </c>
      <c r="Z5" s="19" t="s">
        <v>169</v>
      </c>
      <c r="AA5" s="19" t="s">
        <v>176</v>
      </c>
      <c r="AB5" s="19" t="s">
        <v>119</v>
      </c>
      <c r="AC5" s="19">
        <v>0</v>
      </c>
      <c r="AD5" s="19" t="s">
        <v>189</v>
      </c>
      <c r="AE5" s="19" t="s">
        <v>193</v>
      </c>
      <c r="AF5" s="19"/>
    </row>
    <row r="6" spans="1:33" x14ac:dyDescent="0.25">
      <c r="A6" s="10">
        <v>8</v>
      </c>
      <c r="B6" s="19">
        <v>-5.7</v>
      </c>
      <c r="C6" s="19">
        <v>0.5</v>
      </c>
      <c r="D6" s="19">
        <v>1.3</v>
      </c>
      <c r="E6" s="19">
        <v>-13.5</v>
      </c>
      <c r="F6" s="19">
        <v>-8.1</v>
      </c>
      <c r="G6" s="19">
        <v>-2.4</v>
      </c>
      <c r="H6" s="19">
        <v>-20.8</v>
      </c>
      <c r="I6" s="19">
        <v>-7.7</v>
      </c>
      <c r="J6" s="19">
        <v>-19</v>
      </c>
      <c r="K6" s="19">
        <v>-5</v>
      </c>
      <c r="L6" s="19">
        <v>-17</v>
      </c>
      <c r="M6" s="19">
        <v>-11.4</v>
      </c>
      <c r="N6" s="19">
        <v>-18.3</v>
      </c>
      <c r="O6" s="19">
        <v>-18</v>
      </c>
      <c r="P6" s="19">
        <v>-7.6</v>
      </c>
      <c r="Q6" s="19">
        <v>-12.6</v>
      </c>
      <c r="R6" s="19">
        <v>-19.3</v>
      </c>
      <c r="S6" s="19">
        <v>-18.399999999999999</v>
      </c>
      <c r="T6" s="19">
        <v>-6.6</v>
      </c>
      <c r="U6" s="19">
        <v>-2.2000000000000002</v>
      </c>
      <c r="V6" s="19">
        <v>0</v>
      </c>
      <c r="W6" s="19">
        <v>2.9</v>
      </c>
      <c r="X6" s="19">
        <v>0.5</v>
      </c>
      <c r="Y6" s="19">
        <v>-0.1</v>
      </c>
      <c r="Z6" s="19" t="s">
        <v>170</v>
      </c>
      <c r="AA6" s="19" t="s">
        <v>141</v>
      </c>
      <c r="AB6" s="19" t="s">
        <v>183</v>
      </c>
      <c r="AC6" s="19">
        <v>0.1</v>
      </c>
      <c r="AD6" s="19" t="s">
        <v>152</v>
      </c>
      <c r="AE6" s="19" t="s">
        <v>168</v>
      </c>
      <c r="AF6" s="19"/>
    </row>
    <row r="7" spans="1:33" x14ac:dyDescent="0.25">
      <c r="A7" s="10">
        <v>10</v>
      </c>
      <c r="B7" s="19">
        <v>-2.9</v>
      </c>
      <c r="C7" s="19">
        <v>2.6</v>
      </c>
      <c r="D7" s="19">
        <v>2.2999999999999998</v>
      </c>
      <c r="E7" s="19">
        <v>-11.1</v>
      </c>
      <c r="F7" s="19">
        <v>-4.9000000000000004</v>
      </c>
      <c r="G7" s="19">
        <v>-1.9</v>
      </c>
      <c r="H7" s="19">
        <v>-13.8</v>
      </c>
      <c r="I7" s="19">
        <v>-4.8</v>
      </c>
      <c r="J7" s="19">
        <v>-15</v>
      </c>
      <c r="K7" s="19">
        <v>-2.8</v>
      </c>
      <c r="L7" s="19">
        <v>-13.2</v>
      </c>
      <c r="M7" s="19">
        <v>-7.8</v>
      </c>
      <c r="N7" s="19">
        <v>-16.3</v>
      </c>
      <c r="O7" s="19">
        <v>-12.8</v>
      </c>
      <c r="P7" s="19">
        <v>-3.8</v>
      </c>
      <c r="Q7" s="19">
        <v>-10.6</v>
      </c>
      <c r="R7" s="19">
        <v>-14.4</v>
      </c>
      <c r="S7" s="19">
        <v>-12</v>
      </c>
      <c r="T7" s="19">
        <v>-1.4</v>
      </c>
      <c r="U7" s="19">
        <v>1.5</v>
      </c>
      <c r="V7" s="19">
        <v>6</v>
      </c>
      <c r="W7" s="19">
        <v>6.6</v>
      </c>
      <c r="X7" s="19">
        <v>2.8</v>
      </c>
      <c r="Y7" s="19">
        <v>-1.6</v>
      </c>
      <c r="Z7" s="19" t="s">
        <v>171</v>
      </c>
      <c r="AA7" s="19" t="s">
        <v>177</v>
      </c>
      <c r="AB7" s="19" t="s">
        <v>184</v>
      </c>
      <c r="AC7" s="19">
        <v>0.1</v>
      </c>
      <c r="AD7" s="19" t="s">
        <v>143</v>
      </c>
      <c r="AE7" s="19" t="s">
        <v>106</v>
      </c>
      <c r="AF7" s="19"/>
    </row>
    <row r="8" spans="1:33" x14ac:dyDescent="0.25">
      <c r="A8" s="10">
        <v>12</v>
      </c>
      <c r="B8" s="19">
        <v>-0.6</v>
      </c>
      <c r="C8" s="19">
        <v>6.3</v>
      </c>
      <c r="D8" s="19">
        <v>4.7</v>
      </c>
      <c r="E8" s="19">
        <v>-8.1999999999999993</v>
      </c>
      <c r="F8" s="19">
        <v>-2.1</v>
      </c>
      <c r="G8" s="19">
        <v>-5.7</v>
      </c>
      <c r="H8" s="19">
        <v>-11.9</v>
      </c>
      <c r="I8" s="19">
        <v>-1.9</v>
      </c>
      <c r="J8" s="19">
        <v>-12.7</v>
      </c>
      <c r="K8" s="19">
        <v>-1.8</v>
      </c>
      <c r="L8" s="19">
        <v>-10.3</v>
      </c>
      <c r="M8" s="19">
        <v>-6.4</v>
      </c>
      <c r="N8" s="19">
        <v>-13.1</v>
      </c>
      <c r="O8" s="19">
        <v>-10.5</v>
      </c>
      <c r="P8" s="19">
        <v>-2.5</v>
      </c>
      <c r="Q8" s="19">
        <v>-10.199999999999999</v>
      </c>
      <c r="R8" s="19">
        <v>-12.6</v>
      </c>
      <c r="S8" s="19">
        <v>-6.6</v>
      </c>
      <c r="T8" s="19">
        <v>-0.7</v>
      </c>
      <c r="U8" s="19">
        <v>5.9</v>
      </c>
      <c r="V8" s="19">
        <v>10</v>
      </c>
      <c r="W8" s="19">
        <v>11.8</v>
      </c>
      <c r="X8" s="19">
        <v>5.9</v>
      </c>
      <c r="Y8" s="19">
        <v>-0.5</v>
      </c>
      <c r="Z8" s="19" t="s">
        <v>172</v>
      </c>
      <c r="AA8" s="19" t="s">
        <v>178</v>
      </c>
      <c r="AB8" s="19" t="s">
        <v>185</v>
      </c>
      <c r="AC8" s="19">
        <v>-0.4</v>
      </c>
      <c r="AD8" s="19" t="s">
        <v>170</v>
      </c>
      <c r="AE8" s="19" t="s">
        <v>194</v>
      </c>
      <c r="AF8" s="19"/>
    </row>
    <row r="9" spans="1:33" x14ac:dyDescent="0.25">
      <c r="A9" s="10">
        <v>14</v>
      </c>
      <c r="B9" s="19">
        <v>-3.1</v>
      </c>
      <c r="C9" s="19">
        <v>9</v>
      </c>
      <c r="D9" s="19">
        <v>8.4</v>
      </c>
      <c r="E9" s="19">
        <v>-6.3</v>
      </c>
      <c r="F9" s="19">
        <v>-0.5</v>
      </c>
      <c r="G9" s="19">
        <v>-8.6</v>
      </c>
      <c r="H9" s="19">
        <v>-9.5</v>
      </c>
      <c r="I9" s="19">
        <v>0</v>
      </c>
      <c r="J9" s="19">
        <v>-12.4</v>
      </c>
      <c r="K9" s="19">
        <v>0.1</v>
      </c>
      <c r="L9" s="19">
        <v>-6.2</v>
      </c>
      <c r="M9" s="19">
        <v>-6.1</v>
      </c>
      <c r="N9" s="19">
        <v>-8.4</v>
      </c>
      <c r="O9" s="19">
        <v>-4.5999999999999996</v>
      </c>
      <c r="P9" s="19">
        <v>-3</v>
      </c>
      <c r="Q9" s="19">
        <v>-12</v>
      </c>
      <c r="R9" s="19">
        <v>-7.7</v>
      </c>
      <c r="S9" s="19">
        <v>-4.5999999999999996</v>
      </c>
      <c r="T9" s="19">
        <v>1.3</v>
      </c>
      <c r="U9" s="19">
        <v>5.7</v>
      </c>
      <c r="V9" s="19">
        <v>10.9</v>
      </c>
      <c r="W9" s="19">
        <v>12.7</v>
      </c>
      <c r="X9" s="19">
        <v>10.8</v>
      </c>
      <c r="Y9" s="19">
        <v>0.8</v>
      </c>
      <c r="Z9" s="19" t="s">
        <v>173</v>
      </c>
      <c r="AA9" s="19" t="s">
        <v>179</v>
      </c>
      <c r="AB9" s="19" t="s">
        <v>132</v>
      </c>
      <c r="AC9" s="19">
        <v>-1.1000000000000001</v>
      </c>
      <c r="AD9" s="19" t="s">
        <v>170</v>
      </c>
      <c r="AE9" s="19" t="s">
        <v>195</v>
      </c>
      <c r="AF9" s="19"/>
    </row>
    <row r="10" spans="1:33" x14ac:dyDescent="0.25">
      <c r="A10" s="10">
        <v>16</v>
      </c>
      <c r="B10" s="19">
        <v>-3.6</v>
      </c>
      <c r="C10" s="19">
        <v>5.8</v>
      </c>
      <c r="D10" s="19">
        <v>3.3</v>
      </c>
      <c r="E10" s="19">
        <v>-5.6</v>
      </c>
      <c r="F10" s="19">
        <v>1.1000000000000001</v>
      </c>
      <c r="G10" s="19">
        <v>-8.3000000000000007</v>
      </c>
      <c r="H10" s="19">
        <v>-10.3</v>
      </c>
      <c r="I10" s="19">
        <v>-1.6</v>
      </c>
      <c r="J10" s="19">
        <v>-9.4</v>
      </c>
      <c r="K10" s="19">
        <v>-2.2000000000000002</v>
      </c>
      <c r="L10" s="19">
        <v>-8.8000000000000007</v>
      </c>
      <c r="M10" s="19">
        <v>-7.9</v>
      </c>
      <c r="N10" s="19">
        <v>-11.5</v>
      </c>
      <c r="O10" s="19">
        <v>-6.1</v>
      </c>
      <c r="P10" s="19">
        <v>-3.3</v>
      </c>
      <c r="Q10" s="19">
        <v>-9</v>
      </c>
      <c r="R10" s="19">
        <v>-10.3</v>
      </c>
      <c r="S10" s="19">
        <v>-8</v>
      </c>
      <c r="T10" s="19">
        <v>3.3</v>
      </c>
      <c r="U10" s="19">
        <v>5.0999999999999996</v>
      </c>
      <c r="V10" s="19">
        <v>9.8000000000000007</v>
      </c>
      <c r="W10" s="19">
        <v>9.5</v>
      </c>
      <c r="X10" s="19">
        <v>10.1</v>
      </c>
      <c r="Y10" s="19">
        <v>0.6</v>
      </c>
      <c r="Z10" s="19" t="s">
        <v>138</v>
      </c>
      <c r="AA10" s="19" t="s">
        <v>47</v>
      </c>
      <c r="AB10" s="19" t="s">
        <v>186</v>
      </c>
      <c r="AC10" s="19">
        <v>-2.8</v>
      </c>
      <c r="AD10" s="19" t="s">
        <v>120</v>
      </c>
      <c r="AE10" s="19" t="s">
        <v>196</v>
      </c>
      <c r="AF10" s="19"/>
    </row>
    <row r="11" spans="1:33" x14ac:dyDescent="0.25">
      <c r="A11" s="10">
        <v>18</v>
      </c>
      <c r="B11" s="19">
        <v>2.5</v>
      </c>
      <c r="C11" s="19">
        <v>2.4</v>
      </c>
      <c r="D11" s="19">
        <v>-1.3</v>
      </c>
      <c r="E11" s="19">
        <v>-5.7</v>
      </c>
      <c r="F11" s="19">
        <v>1.4</v>
      </c>
      <c r="G11" s="19">
        <v>-13.3</v>
      </c>
      <c r="H11" s="19">
        <v>-12.2</v>
      </c>
      <c r="I11" s="19">
        <v>-10.4</v>
      </c>
      <c r="J11" s="19">
        <v>-8.6999999999999993</v>
      </c>
      <c r="K11" s="19">
        <v>-9.3000000000000007</v>
      </c>
      <c r="L11" s="19">
        <v>-12.3</v>
      </c>
      <c r="M11" s="19">
        <v>-11.1</v>
      </c>
      <c r="N11" s="19">
        <v>-12.2</v>
      </c>
      <c r="O11" s="19">
        <v>-10.199999999999999</v>
      </c>
      <c r="P11" s="19">
        <v>-4.2</v>
      </c>
      <c r="Q11" s="19">
        <v>-14</v>
      </c>
      <c r="R11" s="19">
        <v>-13.5</v>
      </c>
      <c r="S11" s="19">
        <v>-8.6999999999999993</v>
      </c>
      <c r="T11" s="19">
        <v>2.1</v>
      </c>
      <c r="U11" s="19">
        <v>3.1</v>
      </c>
      <c r="V11" s="19">
        <v>8.5</v>
      </c>
      <c r="W11" s="19">
        <v>7.8</v>
      </c>
      <c r="X11" s="19">
        <v>6.4</v>
      </c>
      <c r="Y11" s="15">
        <v>-1</v>
      </c>
      <c r="Z11" s="19" t="s">
        <v>141</v>
      </c>
      <c r="AA11" s="19" t="s">
        <v>180</v>
      </c>
      <c r="AB11" s="19" t="s">
        <v>186</v>
      </c>
      <c r="AC11" s="19">
        <v>-4.2</v>
      </c>
      <c r="AD11" s="19" t="s">
        <v>190</v>
      </c>
      <c r="AE11" s="19" t="s">
        <v>197</v>
      </c>
      <c r="AF11" s="19"/>
    </row>
    <row r="12" spans="1:33" x14ac:dyDescent="0.25">
      <c r="A12" s="10">
        <v>20</v>
      </c>
      <c r="B12" s="19">
        <v>3.2</v>
      </c>
      <c r="C12" s="19">
        <v>2.7</v>
      </c>
      <c r="D12" s="19">
        <v>-1.6</v>
      </c>
      <c r="E12" s="19">
        <v>-10.3</v>
      </c>
      <c r="F12" s="19">
        <v>-0.8</v>
      </c>
      <c r="G12" s="19">
        <v>-19.100000000000001</v>
      </c>
      <c r="H12" s="19">
        <v>-12.4</v>
      </c>
      <c r="I12" s="19">
        <v>-14.1</v>
      </c>
      <c r="J12" s="19">
        <v>-8.3000000000000007</v>
      </c>
      <c r="K12" s="19">
        <v>-13</v>
      </c>
      <c r="L12" s="19">
        <v>-14.4</v>
      </c>
      <c r="M12" s="19">
        <v>-12.9</v>
      </c>
      <c r="N12" s="19">
        <v>-15.5</v>
      </c>
      <c r="O12" s="19">
        <v>-14.5</v>
      </c>
      <c r="P12" s="19">
        <v>-7.1</v>
      </c>
      <c r="Q12" s="19">
        <v>-16</v>
      </c>
      <c r="R12" s="19">
        <v>-16.399999999999999</v>
      </c>
      <c r="S12" s="19">
        <v>-12.6</v>
      </c>
      <c r="T12" s="19">
        <v>-4</v>
      </c>
      <c r="U12" s="19">
        <v>-0.7</v>
      </c>
      <c r="V12" s="19">
        <v>3.3</v>
      </c>
      <c r="W12" s="19">
        <v>3.4</v>
      </c>
      <c r="X12" s="19">
        <v>3.5</v>
      </c>
      <c r="Y12" s="15">
        <v>-3</v>
      </c>
      <c r="Z12" s="19" t="s">
        <v>174</v>
      </c>
      <c r="AA12" s="19" t="s">
        <v>181</v>
      </c>
      <c r="AB12" s="19" t="s">
        <v>187</v>
      </c>
      <c r="AC12" s="19">
        <v>-5.5</v>
      </c>
      <c r="AD12" s="19" t="s">
        <v>169</v>
      </c>
      <c r="AE12" s="19" t="s">
        <v>198</v>
      </c>
      <c r="AF12" s="19"/>
    </row>
    <row r="13" spans="1:33" x14ac:dyDescent="0.25">
      <c r="A13" s="10">
        <v>22</v>
      </c>
      <c r="B13" s="19">
        <v>2.9</v>
      </c>
      <c r="C13" s="19">
        <v>3</v>
      </c>
      <c r="D13" s="19">
        <v>-3.6</v>
      </c>
      <c r="E13" s="19">
        <v>-11.1</v>
      </c>
      <c r="F13" s="19">
        <v>-1.8</v>
      </c>
      <c r="G13" s="19">
        <v>-20.7</v>
      </c>
      <c r="H13" s="19">
        <v>-12.9</v>
      </c>
      <c r="I13" s="19">
        <v>-16.8</v>
      </c>
      <c r="J13" s="19">
        <v>-7.4</v>
      </c>
      <c r="K13" s="19">
        <v>-13.7</v>
      </c>
      <c r="L13" s="19">
        <v>-16.100000000000001</v>
      </c>
      <c r="M13" s="19">
        <v>-15.8</v>
      </c>
      <c r="N13" s="19">
        <v>-14.6</v>
      </c>
      <c r="O13" s="19">
        <v>-17</v>
      </c>
      <c r="P13" s="19">
        <v>-10.9</v>
      </c>
      <c r="Q13" s="19">
        <v>-17.8</v>
      </c>
      <c r="R13" s="19">
        <v>-17.399999999999999</v>
      </c>
      <c r="S13" s="19">
        <v>-12.3</v>
      </c>
      <c r="T13" s="19">
        <v>-6.1</v>
      </c>
      <c r="U13" s="19">
        <v>-2.2999999999999998</v>
      </c>
      <c r="V13" s="19">
        <v>3.2</v>
      </c>
      <c r="W13" s="19">
        <v>1.6</v>
      </c>
      <c r="X13" s="19">
        <v>2.9</v>
      </c>
      <c r="Y13" s="19">
        <v>-3.5</v>
      </c>
      <c r="Z13" s="19" t="s">
        <v>175</v>
      </c>
      <c r="AA13" s="19" t="s">
        <v>119</v>
      </c>
      <c r="AB13" s="19" t="s">
        <v>140</v>
      </c>
      <c r="AC13" s="19">
        <v>-6.1</v>
      </c>
      <c r="AD13" s="19" t="s">
        <v>191</v>
      </c>
      <c r="AE13" s="19" t="s">
        <v>199</v>
      </c>
      <c r="AF13" s="19"/>
    </row>
    <row r="14" spans="1:33" x14ac:dyDescent="0.25">
      <c r="A14" s="10">
        <v>24</v>
      </c>
      <c r="B14" s="19">
        <v>2.5</v>
      </c>
      <c r="C14" s="19">
        <v>2.2999999999999998</v>
      </c>
      <c r="D14" s="19">
        <v>-6.2</v>
      </c>
      <c r="E14" s="19">
        <v>-13.1</v>
      </c>
      <c r="F14" s="19">
        <v>-2.2000000000000002</v>
      </c>
      <c r="G14" s="19">
        <v>-22</v>
      </c>
      <c r="H14" s="19">
        <v>-12.4</v>
      </c>
      <c r="I14" s="19">
        <v>-18.3</v>
      </c>
      <c r="J14" s="19">
        <v>-6.1</v>
      </c>
      <c r="K14" s="19">
        <v>-14.4</v>
      </c>
      <c r="L14" s="19">
        <v>-16.899999999999999</v>
      </c>
      <c r="M14" s="19">
        <v>-18.100000000000001</v>
      </c>
      <c r="N14" s="19">
        <v>-17.100000000000001</v>
      </c>
      <c r="O14" s="19">
        <v>-17</v>
      </c>
      <c r="P14" s="19">
        <v>-12.4</v>
      </c>
      <c r="Q14" s="19">
        <v>-18.5</v>
      </c>
      <c r="R14" s="19">
        <v>-18.7</v>
      </c>
      <c r="S14" s="19">
        <v>-11.2</v>
      </c>
      <c r="T14" s="19">
        <v>-7</v>
      </c>
      <c r="U14" s="15">
        <v>-2</v>
      </c>
      <c r="V14" s="19">
        <v>2.1</v>
      </c>
      <c r="W14" s="19">
        <v>1</v>
      </c>
      <c r="X14" s="19">
        <v>2</v>
      </c>
      <c r="Y14" s="15">
        <v>-4</v>
      </c>
      <c r="Z14" s="19" t="s">
        <v>117</v>
      </c>
      <c r="AA14" s="19" t="s">
        <v>117</v>
      </c>
      <c r="AB14" s="19" t="s">
        <v>119</v>
      </c>
      <c r="AC14" s="19">
        <v>-6.4</v>
      </c>
      <c r="AD14" s="19" t="s">
        <v>192</v>
      </c>
      <c r="AE14" s="19" t="s">
        <v>128</v>
      </c>
      <c r="AF14" s="19"/>
    </row>
    <row r="15" spans="1:33" x14ac:dyDescent="0.25">
      <c r="A15" s="10">
        <v>2</v>
      </c>
      <c r="B15" s="19">
        <v>0.5</v>
      </c>
      <c r="C15" s="19">
        <v>2</v>
      </c>
      <c r="D15" s="19">
        <v>-10.8</v>
      </c>
      <c r="E15" s="19">
        <v>-13.6</v>
      </c>
      <c r="F15" s="19">
        <v>-2.2000000000000002</v>
      </c>
      <c r="G15" s="19">
        <v>-22.4</v>
      </c>
      <c r="H15" s="19">
        <v>-12.2</v>
      </c>
      <c r="I15" s="19">
        <v>-19.899999999999999</v>
      </c>
      <c r="J15" s="19">
        <v>-6.4</v>
      </c>
      <c r="K15" s="19">
        <v>-15.9</v>
      </c>
      <c r="L15" s="19">
        <v>-18.2</v>
      </c>
      <c r="M15" s="19">
        <v>-18.399999999999999</v>
      </c>
      <c r="N15" s="19">
        <v>-18.100000000000001</v>
      </c>
      <c r="O15" s="19">
        <v>-12.9</v>
      </c>
      <c r="P15" s="19">
        <v>-15.3</v>
      </c>
      <c r="Q15" s="19">
        <v>-18</v>
      </c>
      <c r="R15" s="19">
        <v>-19.600000000000001</v>
      </c>
      <c r="S15" s="19">
        <v>-10.9</v>
      </c>
      <c r="T15" s="19">
        <v>-7.6</v>
      </c>
      <c r="U15" s="19">
        <v>-3.5</v>
      </c>
      <c r="V15" s="19">
        <v>0.3</v>
      </c>
      <c r="W15" s="19">
        <v>0.9</v>
      </c>
      <c r="X15" s="19">
        <v>1.8</v>
      </c>
      <c r="Y15" s="19">
        <v>-3.9</v>
      </c>
      <c r="Z15" s="19" t="s">
        <v>117</v>
      </c>
      <c r="AA15" s="19" t="s">
        <v>182</v>
      </c>
      <c r="AB15" s="19">
        <v>-0.1</v>
      </c>
      <c r="AC15" s="19">
        <v>-7.2</v>
      </c>
      <c r="AD15" s="19" t="s">
        <v>101</v>
      </c>
      <c r="AE15" s="19" t="s">
        <v>115</v>
      </c>
      <c r="AF15" s="19"/>
    </row>
    <row r="16" spans="1:33" ht="30" x14ac:dyDescent="0.25">
      <c r="A16" s="11" t="s">
        <v>2</v>
      </c>
      <c r="B16" s="15">
        <f>(B4+B5+B6+B7+B8+B9+B10+B11+B12+B13+B14+B15)/12</f>
        <v>-1.6333333333333337</v>
      </c>
      <c r="C16" s="15">
        <f t="shared" ref="C16:O16" si="0">(C4+C5+C6+C7+C8+C9+C10+C11+C12+C13+C14+C15)/12</f>
        <v>3.0499999999999994</v>
      </c>
      <c r="D16" s="15">
        <f t="shared" si="0"/>
        <v>-0.10833333333333368</v>
      </c>
      <c r="E16" s="15">
        <f t="shared" si="0"/>
        <v>-10.691666666666665</v>
      </c>
      <c r="F16" s="15">
        <f t="shared" si="0"/>
        <v>-3.5249999999999999</v>
      </c>
      <c r="G16" s="15">
        <f t="shared" si="0"/>
        <v>-10.841666666666667</v>
      </c>
      <c r="H16" s="15">
        <f t="shared" si="0"/>
        <v>-14.6</v>
      </c>
      <c r="I16" s="15">
        <f t="shared" si="0"/>
        <v>-9.7083333333333339</v>
      </c>
      <c r="J16" s="15">
        <f t="shared" si="0"/>
        <v>-12.550000000000002</v>
      </c>
      <c r="K16" s="15">
        <f t="shared" si="0"/>
        <v>-7.6500000000000012</v>
      </c>
      <c r="L16" s="15">
        <f t="shared" si="0"/>
        <v>-14.15</v>
      </c>
      <c r="M16" s="15">
        <f t="shared" si="0"/>
        <v>-12.333333333333334</v>
      </c>
      <c r="N16" s="15">
        <f t="shared" si="0"/>
        <v>-15.933333333333332</v>
      </c>
      <c r="O16" s="15">
        <f t="shared" si="0"/>
        <v>-13.641666666666666</v>
      </c>
      <c r="P16" s="15">
        <f>(P4+P5+P6+P7+P8+P9+P10+P11+P12+P13+P14+P15)/12</f>
        <v>-7.5083333333333337</v>
      </c>
      <c r="Q16" s="15">
        <f>(Q4+Q5+Q6+Q7+Q8+Q9+Q10+Q11+Q12+Q13+Q14+Q15)/12</f>
        <v>-14.108333333333334</v>
      </c>
      <c r="R16" s="15">
        <f>(R4+R5+R6+R7+R8+R9+R10+R11+R12+R13+R14+R15)/12</f>
        <v>-15.933333333333332</v>
      </c>
      <c r="S16" s="15">
        <f t="shared" ref="S16:AF16" si="1">(S4+S5+S6+S7+S8+S9+S10+S11+S12+S13+S14+S15)/12</f>
        <v>-12.508333333333331</v>
      </c>
      <c r="T16" s="15">
        <f t="shared" si="1"/>
        <v>-3.8416666666666663</v>
      </c>
      <c r="U16" s="15">
        <f t="shared" si="1"/>
        <v>-0.26666666666666661</v>
      </c>
      <c r="V16" s="15">
        <f t="shared" si="1"/>
        <v>3.9833333333333338</v>
      </c>
      <c r="W16" s="15">
        <f t="shared" si="1"/>
        <v>4.708333333333333</v>
      </c>
      <c r="X16" s="15">
        <f t="shared" si="1"/>
        <v>3.8916666666666662</v>
      </c>
      <c r="Y16" s="15">
        <f t="shared" si="1"/>
        <v>-1.1166666666666667</v>
      </c>
      <c r="Z16" s="15">
        <f t="shared" si="1"/>
        <v>-3.3333333333333291E-2</v>
      </c>
      <c r="AA16" s="15">
        <f t="shared" si="1"/>
        <v>2.6916666666666678</v>
      </c>
      <c r="AB16" s="15">
        <f t="shared" si="1"/>
        <v>1</v>
      </c>
      <c r="AC16" s="15">
        <f t="shared" si="1"/>
        <v>-2.7916666666666665</v>
      </c>
      <c r="AD16" s="15">
        <f t="shared" si="1"/>
        <v>-4.5500000000000007</v>
      </c>
      <c r="AE16" s="15">
        <f t="shared" si="1"/>
        <v>-1.3666666666666665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167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-9.6</v>
      </c>
      <c r="C24" s="19">
        <v>1.4</v>
      </c>
      <c r="D24" s="19">
        <v>1.8</v>
      </c>
      <c r="E24" s="19">
        <v>-14.4</v>
      </c>
      <c r="F24" s="19">
        <v>-13.8</v>
      </c>
      <c r="G24" s="19">
        <v>-1.5</v>
      </c>
      <c r="H24" s="19">
        <v>-23.6</v>
      </c>
      <c r="I24" s="19">
        <v>-10.8</v>
      </c>
      <c r="J24" s="19">
        <v>-21.9</v>
      </c>
      <c r="K24" s="19">
        <v>-7.3</v>
      </c>
      <c r="L24" s="19">
        <v>-16.7</v>
      </c>
      <c r="M24" s="19">
        <v>-19.5</v>
      </c>
      <c r="N24" s="19">
        <v>-22.4</v>
      </c>
      <c r="O24" s="19">
        <v>-19.8</v>
      </c>
      <c r="P24" s="19">
        <v>-11.5</v>
      </c>
      <c r="Q24" s="19">
        <v>-17.899999999999999</v>
      </c>
      <c r="R24" s="19">
        <v>-19.5</v>
      </c>
      <c r="S24" s="19">
        <v>-24.2</v>
      </c>
      <c r="T24" s="19">
        <v>-11.8</v>
      </c>
      <c r="U24" s="19">
        <v>-7.5</v>
      </c>
      <c r="V24" s="19">
        <v>-1.6</v>
      </c>
      <c r="W24" s="19">
        <v>-0.1</v>
      </c>
      <c r="X24" s="19">
        <v>2.2000000000000002</v>
      </c>
      <c r="Y24" s="19">
        <v>3.2</v>
      </c>
      <c r="Z24" s="19">
        <v>-4.0999999999999996</v>
      </c>
      <c r="AA24" s="19">
        <v>-0.3</v>
      </c>
      <c r="AB24" s="19">
        <v>-0.2</v>
      </c>
      <c r="AC24" s="19">
        <v>1</v>
      </c>
      <c r="AD24" s="19">
        <v>-8.8000000000000007</v>
      </c>
      <c r="AE24" s="19">
        <v>-4.5</v>
      </c>
      <c r="AF24" s="19"/>
    </row>
    <row r="25" spans="1:32" x14ac:dyDescent="0.25">
      <c r="A25" s="10">
        <v>6</v>
      </c>
      <c r="B25" s="19">
        <v>-9.1999999999999993</v>
      </c>
      <c r="C25" s="19">
        <v>0.4</v>
      </c>
      <c r="D25" s="19">
        <v>1.4</v>
      </c>
      <c r="E25" s="19">
        <v>-15.3</v>
      </c>
      <c r="F25" s="19">
        <v>-10.9</v>
      </c>
      <c r="G25" s="19">
        <v>-2.2000000000000002</v>
      </c>
      <c r="H25" s="19">
        <v>-23.6</v>
      </c>
      <c r="I25" s="19">
        <v>-9.6999999999999993</v>
      </c>
      <c r="J25" s="19">
        <v>-22.5</v>
      </c>
      <c r="K25" s="19">
        <v>-6.7</v>
      </c>
      <c r="L25" s="19">
        <v>-17.3</v>
      </c>
      <c r="M25" s="19">
        <v>-16.399999999999999</v>
      </c>
      <c r="N25" s="19">
        <v>-21</v>
      </c>
      <c r="O25" s="19">
        <v>-20</v>
      </c>
      <c r="P25" s="19">
        <v>-10.5</v>
      </c>
      <c r="Q25" s="19">
        <v>-16.3</v>
      </c>
      <c r="R25" s="19">
        <v>-21.9</v>
      </c>
      <c r="S25" s="19">
        <v>-23.4</v>
      </c>
      <c r="T25" s="19">
        <v>9.4</v>
      </c>
      <c r="U25" s="19">
        <v>-5.3</v>
      </c>
      <c r="V25" s="19">
        <v>-0.6</v>
      </c>
      <c r="W25" s="19">
        <v>1.1000000000000001</v>
      </c>
      <c r="X25" s="19">
        <v>2.4</v>
      </c>
      <c r="Y25" s="19">
        <v>3.2</v>
      </c>
      <c r="Z25" s="19">
        <v>-3.2</v>
      </c>
      <c r="AA25" s="19">
        <v>0.3</v>
      </c>
      <c r="AB25" s="19">
        <v>0.3</v>
      </c>
      <c r="AC25" s="19">
        <v>1.1000000000000001</v>
      </c>
      <c r="AD25" s="19">
        <v>-8.6</v>
      </c>
      <c r="AE25" s="19">
        <v>-4.8</v>
      </c>
      <c r="AF25" s="19"/>
    </row>
    <row r="26" spans="1:32" x14ac:dyDescent="0.25">
      <c r="A26" s="10">
        <v>8</v>
      </c>
      <c r="B26" s="19">
        <v>-7.1</v>
      </c>
      <c r="C26" s="19">
        <v>0.6</v>
      </c>
      <c r="D26" s="19">
        <v>2.2999999999999998</v>
      </c>
      <c r="E26" s="19">
        <v>-13.6</v>
      </c>
      <c r="F26" s="19">
        <v>-8.4</v>
      </c>
      <c r="G26" s="19">
        <v>-2.2999999999999998</v>
      </c>
      <c r="H26" s="19">
        <v>-20.399999999999999</v>
      </c>
      <c r="I26" s="19">
        <v>-7.9</v>
      </c>
      <c r="J26" s="19">
        <v>-20.2</v>
      </c>
      <c r="K26" s="19">
        <v>-5.2</v>
      </c>
      <c r="L26" s="19">
        <v>-16.600000000000001</v>
      </c>
      <c r="M26" s="19">
        <v>-13.4</v>
      </c>
      <c r="N26" s="19">
        <v>-19.7</v>
      </c>
      <c r="O26" s="19">
        <v>-17.8</v>
      </c>
      <c r="P26" s="19">
        <v>-7.3</v>
      </c>
      <c r="Q26" s="19">
        <v>-13.9</v>
      </c>
      <c r="R26" s="19">
        <v>-21.6</v>
      </c>
      <c r="S26" s="19">
        <v>-17.3</v>
      </c>
      <c r="T26" s="19">
        <v>-7.3</v>
      </c>
      <c r="U26" s="19">
        <v>-3.9</v>
      </c>
      <c r="V26" s="19">
        <v>3.3</v>
      </c>
      <c r="W26" s="19">
        <v>2.2000000000000002</v>
      </c>
      <c r="X26" s="19">
        <v>1.8</v>
      </c>
      <c r="Y26" s="19">
        <v>0.8</v>
      </c>
      <c r="Z26" s="19">
        <v>-1</v>
      </c>
      <c r="AA26" s="19">
        <v>1.8</v>
      </c>
      <c r="AB26" s="19">
        <v>1.7</v>
      </c>
      <c r="AC26" s="19">
        <v>1.3</v>
      </c>
      <c r="AD26" s="19">
        <v>-7</v>
      </c>
      <c r="AE26" s="19">
        <v>-4.9000000000000004</v>
      </c>
      <c r="AF26" s="19"/>
    </row>
    <row r="27" spans="1:32" x14ac:dyDescent="0.25">
      <c r="A27" s="10">
        <v>10</v>
      </c>
      <c r="B27" s="19">
        <v>-3.1</v>
      </c>
      <c r="C27" s="19">
        <v>2.7</v>
      </c>
      <c r="D27" s="19">
        <v>2</v>
      </c>
      <c r="E27" s="19">
        <v>-9.6</v>
      </c>
      <c r="F27" s="19">
        <v>-3.8</v>
      </c>
      <c r="G27" s="19">
        <v>-1.7</v>
      </c>
      <c r="H27" s="19">
        <v>-16.5</v>
      </c>
      <c r="I27" s="19">
        <v>-6.3</v>
      </c>
      <c r="J27" s="19">
        <v>-16.8</v>
      </c>
      <c r="K27" s="19">
        <v>-4</v>
      </c>
      <c r="L27" s="19">
        <v>-14.9</v>
      </c>
      <c r="M27" s="19">
        <v>-11.6</v>
      </c>
      <c r="N27" s="19">
        <v>-16.899999999999999</v>
      </c>
      <c r="O27" s="19">
        <v>-14.8</v>
      </c>
      <c r="P27" s="19">
        <v>-5.2</v>
      </c>
      <c r="Q27" s="19">
        <v>-13.5</v>
      </c>
      <c r="R27" s="19">
        <v>-19.399999999999999</v>
      </c>
      <c r="S27" s="19">
        <v>-14.7</v>
      </c>
      <c r="T27" s="19">
        <v>-4.9000000000000004</v>
      </c>
      <c r="U27" s="19">
        <v>0.1</v>
      </c>
      <c r="V27" s="19">
        <v>5.3</v>
      </c>
      <c r="W27" s="19">
        <v>5.6</v>
      </c>
      <c r="X27" s="19">
        <v>1.8</v>
      </c>
      <c r="Y27" s="19">
        <v>-0.6</v>
      </c>
      <c r="Z27" s="19">
        <v>0.9</v>
      </c>
      <c r="AA27" s="19">
        <v>5.3</v>
      </c>
      <c r="AB27" s="19">
        <v>3.2</v>
      </c>
      <c r="AC27" s="19">
        <v>1.1000000000000001</v>
      </c>
      <c r="AD27" s="19">
        <v>-6.1</v>
      </c>
      <c r="AE27" s="19">
        <v>-4</v>
      </c>
      <c r="AF27" s="19"/>
    </row>
    <row r="28" spans="1:32" x14ac:dyDescent="0.25">
      <c r="A28" s="10">
        <v>12</v>
      </c>
      <c r="B28" s="19">
        <v>0.5</v>
      </c>
      <c r="C28" s="19">
        <v>3.9</v>
      </c>
      <c r="D28" s="19">
        <v>3.8</v>
      </c>
      <c r="E28" s="19">
        <v>-8.9</v>
      </c>
      <c r="F28" s="19">
        <v>-1.1000000000000001</v>
      </c>
      <c r="G28" s="19">
        <v>-6.1</v>
      </c>
      <c r="H28" s="19">
        <v>-13.6</v>
      </c>
      <c r="I28" s="19">
        <v>-2.9</v>
      </c>
      <c r="J28" s="19">
        <v>-15.9</v>
      </c>
      <c r="K28" s="19">
        <v>-2.5</v>
      </c>
      <c r="L28" s="19">
        <v>-11.5</v>
      </c>
      <c r="M28" s="19">
        <v>-9.3000000000000007</v>
      </c>
      <c r="N28" s="19">
        <v>-15</v>
      </c>
      <c r="O28" s="19">
        <v>-13.3</v>
      </c>
      <c r="P28" s="19">
        <v>-4.5999999999999996</v>
      </c>
      <c r="Q28" s="19">
        <v>-12.4</v>
      </c>
      <c r="R28" s="19">
        <v>-17</v>
      </c>
      <c r="S28" s="19">
        <v>-11.1</v>
      </c>
      <c r="T28" s="19">
        <v>-1.5</v>
      </c>
      <c r="U28" s="19">
        <v>2.2999999999999998</v>
      </c>
      <c r="V28" s="19">
        <v>8.1</v>
      </c>
      <c r="W28" s="19">
        <v>8.5</v>
      </c>
      <c r="X28" s="19">
        <v>3.2</v>
      </c>
      <c r="Y28" s="19">
        <v>-0.9</v>
      </c>
      <c r="Z28" s="19">
        <v>3.1</v>
      </c>
      <c r="AA28" s="19">
        <v>6.9</v>
      </c>
      <c r="AB28" s="19">
        <v>3.6</v>
      </c>
      <c r="AC28" s="19">
        <v>1.9</v>
      </c>
      <c r="AD28" s="19">
        <v>-4.3</v>
      </c>
      <c r="AE28" s="19">
        <v>-0.8</v>
      </c>
      <c r="AF28" s="19"/>
    </row>
    <row r="29" spans="1:32" x14ac:dyDescent="0.25">
      <c r="A29" s="10">
        <v>14</v>
      </c>
      <c r="B29" s="19">
        <v>3.9</v>
      </c>
      <c r="C29" s="19">
        <v>5.0999999999999996</v>
      </c>
      <c r="D29" s="19">
        <v>3.3</v>
      </c>
      <c r="E29" s="19">
        <v>-6.9</v>
      </c>
      <c r="F29" s="19">
        <v>0.4</v>
      </c>
      <c r="G29" s="19">
        <v>-8.8000000000000007</v>
      </c>
      <c r="H29" s="19">
        <v>-12.4</v>
      </c>
      <c r="I29" s="19">
        <v>-0.6</v>
      </c>
      <c r="J29" s="19">
        <v>-13.7</v>
      </c>
      <c r="K29" s="19">
        <v>-4.3</v>
      </c>
      <c r="L29" s="19">
        <v>-11.2</v>
      </c>
      <c r="M29" s="19">
        <v>-8.9</v>
      </c>
      <c r="N29" s="19">
        <v>-13.6</v>
      </c>
      <c r="O29" s="19">
        <v>-10.9</v>
      </c>
      <c r="P29" s="19">
        <v>-4.0999999999999996</v>
      </c>
      <c r="Q29" s="19">
        <v>-12.1</v>
      </c>
      <c r="R29" s="19">
        <v>-14.1</v>
      </c>
      <c r="S29" s="19">
        <v>-10.3</v>
      </c>
      <c r="T29" s="19">
        <v>-0.6</v>
      </c>
      <c r="U29" s="19">
        <v>2.6</v>
      </c>
      <c r="V29" s="19">
        <v>8.9</v>
      </c>
      <c r="W29" s="19">
        <v>8.8000000000000007</v>
      </c>
      <c r="X29" s="19">
        <v>3.9</v>
      </c>
      <c r="Y29" s="19">
        <v>-0.7</v>
      </c>
      <c r="Z29" s="19">
        <v>3.3</v>
      </c>
      <c r="AA29" s="19">
        <v>6.3</v>
      </c>
      <c r="AB29" s="19">
        <v>3.5</v>
      </c>
      <c r="AC29" s="19">
        <v>-0.9</v>
      </c>
      <c r="AD29" s="19">
        <v>-3.3</v>
      </c>
      <c r="AE29" s="19">
        <v>1</v>
      </c>
      <c r="AF29" s="19"/>
    </row>
    <row r="30" spans="1:32" x14ac:dyDescent="0.25">
      <c r="A30" s="10">
        <v>16</v>
      </c>
      <c r="B30" s="19">
        <v>4.5</v>
      </c>
      <c r="C30" s="19">
        <v>5.2</v>
      </c>
      <c r="D30" s="19">
        <v>2.2000000000000002</v>
      </c>
      <c r="E30" s="19">
        <v>-6</v>
      </c>
      <c r="F30" s="19">
        <v>1.9</v>
      </c>
      <c r="G30" s="19">
        <v>-11.4</v>
      </c>
      <c r="H30" s="19">
        <v>-11.1</v>
      </c>
      <c r="I30" s="19">
        <v>-3.2</v>
      </c>
      <c r="J30" s="19">
        <v>-11.2</v>
      </c>
      <c r="K30" s="19">
        <v>-5.3</v>
      </c>
      <c r="L30" s="19">
        <v>-10.8</v>
      </c>
      <c r="M30" s="19">
        <v>-8.9</v>
      </c>
      <c r="N30" s="19">
        <v>-12.4</v>
      </c>
      <c r="O30" s="19">
        <v>-10</v>
      </c>
      <c r="P30" s="19">
        <v>-3.7</v>
      </c>
      <c r="Q30" s="19">
        <v>-12.4</v>
      </c>
      <c r="R30" s="19">
        <v>-13.5</v>
      </c>
      <c r="S30" s="19">
        <v>-9.4</v>
      </c>
      <c r="T30" s="19">
        <v>1.6</v>
      </c>
      <c r="U30" s="19">
        <v>3.1</v>
      </c>
      <c r="V30" s="19">
        <v>8.6</v>
      </c>
      <c r="W30" s="19">
        <v>10.1</v>
      </c>
      <c r="X30" s="19">
        <v>9</v>
      </c>
      <c r="Y30" s="19">
        <v>-0.1</v>
      </c>
      <c r="Z30" s="19">
        <v>3.5</v>
      </c>
      <c r="AA30" s="19">
        <v>6.7</v>
      </c>
      <c r="AB30" s="19">
        <v>2.4</v>
      </c>
      <c r="AC30" s="19">
        <v>-1.9</v>
      </c>
      <c r="AD30" s="19">
        <v>-2.4</v>
      </c>
      <c r="AE30" s="19">
        <v>2.6</v>
      </c>
      <c r="AF30" s="19"/>
    </row>
    <row r="31" spans="1:32" x14ac:dyDescent="0.25">
      <c r="A31" s="10">
        <v>18</v>
      </c>
      <c r="B31" s="19">
        <v>4.4000000000000004</v>
      </c>
      <c r="C31" s="19">
        <v>3.9</v>
      </c>
      <c r="D31" s="19">
        <v>0.1</v>
      </c>
      <c r="E31" s="19">
        <v>-6.2</v>
      </c>
      <c r="F31" s="19">
        <v>1.4</v>
      </c>
      <c r="G31" s="19">
        <v>-16.100000000000001</v>
      </c>
      <c r="H31" s="19">
        <v>-11.7</v>
      </c>
      <c r="I31" s="19">
        <v>-6.5</v>
      </c>
      <c r="J31" s="19">
        <v>-10.4</v>
      </c>
      <c r="K31" s="19">
        <v>-9.1999999999999993</v>
      </c>
      <c r="L31" s="19">
        <v>-12.5</v>
      </c>
      <c r="M31" s="19">
        <v>-10.4</v>
      </c>
      <c r="N31" s="19">
        <v>-13.1</v>
      </c>
      <c r="O31" s="19">
        <v>-10.199999999999999</v>
      </c>
      <c r="P31" s="19">
        <v>-4.0999999999999996</v>
      </c>
      <c r="Q31" s="19">
        <v>-13.7</v>
      </c>
      <c r="R31" s="19">
        <v>-14</v>
      </c>
      <c r="S31" s="19">
        <v>-10.199999999999999</v>
      </c>
      <c r="T31" s="19">
        <v>1</v>
      </c>
      <c r="U31" s="19">
        <v>2.2000000000000002</v>
      </c>
      <c r="V31" s="19">
        <v>8.1999999999999993</v>
      </c>
      <c r="W31" s="19">
        <v>6.7</v>
      </c>
      <c r="X31" s="19">
        <v>7</v>
      </c>
      <c r="Y31" s="19">
        <v>-0.8</v>
      </c>
      <c r="Z31" s="19">
        <v>2.4</v>
      </c>
      <c r="AA31" s="19">
        <v>4.5999999999999996</v>
      </c>
      <c r="AB31" s="19">
        <v>1.6</v>
      </c>
      <c r="AC31" s="19">
        <v>-3.5</v>
      </c>
      <c r="AD31" s="19">
        <v>-2.7</v>
      </c>
      <c r="AE31" s="19">
        <v>1.9</v>
      </c>
      <c r="AF31" s="19"/>
    </row>
    <row r="32" spans="1:32" x14ac:dyDescent="0.25">
      <c r="A32" s="10">
        <v>20</v>
      </c>
      <c r="B32" s="19">
        <v>3.7</v>
      </c>
      <c r="C32" s="19">
        <v>3.6</v>
      </c>
      <c r="D32" s="19">
        <v>-2</v>
      </c>
      <c r="E32" s="19">
        <v>-9.4</v>
      </c>
      <c r="F32" s="19">
        <v>0.6</v>
      </c>
      <c r="G32" s="19">
        <v>-19.5</v>
      </c>
      <c r="H32" s="19">
        <v>-13</v>
      </c>
      <c r="I32" s="19">
        <v>-13.8</v>
      </c>
      <c r="J32" s="19">
        <v>-8.4</v>
      </c>
      <c r="K32" s="19">
        <v>-12.3</v>
      </c>
      <c r="L32" s="19">
        <v>-15.4</v>
      </c>
      <c r="M32" s="19">
        <v>-13.9</v>
      </c>
      <c r="N32" s="19">
        <v>-15.8</v>
      </c>
      <c r="O32" s="19">
        <v>-14.5</v>
      </c>
      <c r="P32" s="19">
        <v>-6.9</v>
      </c>
      <c r="Q32" s="19">
        <v>-16.3</v>
      </c>
      <c r="R32" s="19">
        <v>-17.100000000000001</v>
      </c>
      <c r="S32" s="19">
        <v>-12</v>
      </c>
      <c r="T32" s="19">
        <v>-2.6</v>
      </c>
      <c r="U32" s="19">
        <v>0.8</v>
      </c>
      <c r="V32" s="19">
        <v>5.7</v>
      </c>
      <c r="W32" s="19">
        <v>5.5</v>
      </c>
      <c r="X32" s="19">
        <v>4.7</v>
      </c>
      <c r="Y32" s="19">
        <v>-2.2999999999999998</v>
      </c>
      <c r="Z32" s="19">
        <v>0.3</v>
      </c>
      <c r="AA32" s="19">
        <v>1.6</v>
      </c>
      <c r="AB32" s="19">
        <v>1.6</v>
      </c>
      <c r="AC32" s="19">
        <v>-4.9000000000000004</v>
      </c>
      <c r="AD32" s="19">
        <v>-3.3</v>
      </c>
      <c r="AE32" s="19">
        <v>-1</v>
      </c>
      <c r="AF32" s="19"/>
    </row>
    <row r="33" spans="1:32" x14ac:dyDescent="0.25">
      <c r="A33" s="10">
        <v>22</v>
      </c>
      <c r="B33" s="19">
        <v>2.8</v>
      </c>
      <c r="C33" s="19">
        <v>2.8</v>
      </c>
      <c r="D33" s="19">
        <v>-4.0999999999999996</v>
      </c>
      <c r="E33" s="19">
        <v>-10.5</v>
      </c>
      <c r="F33" s="19">
        <v>0</v>
      </c>
      <c r="G33" s="19">
        <v>-21.5</v>
      </c>
      <c r="H33" s="19">
        <v>-12.1</v>
      </c>
      <c r="I33" s="19">
        <v>-16.399999999999999</v>
      </c>
      <c r="J33" s="19">
        <v>-7.7</v>
      </c>
      <c r="K33" s="19">
        <v>-13.7</v>
      </c>
      <c r="L33" s="19">
        <v>-16.2</v>
      </c>
      <c r="M33" s="19">
        <v>-16</v>
      </c>
      <c r="N33" s="19">
        <v>-14.5</v>
      </c>
      <c r="O33" s="19">
        <v>-15.7</v>
      </c>
      <c r="P33" s="19">
        <v>-11.6</v>
      </c>
      <c r="Q33" s="19">
        <v>-18.2</v>
      </c>
      <c r="R33" s="19">
        <v>-18.899999999999999</v>
      </c>
      <c r="S33" s="19">
        <v>-11.9</v>
      </c>
      <c r="T33" s="19">
        <v>-4.5999999999999996</v>
      </c>
      <c r="U33" s="19">
        <v>-2.2000000000000002</v>
      </c>
      <c r="V33" s="19">
        <v>5.0999999999999996</v>
      </c>
      <c r="W33" s="19">
        <v>4.0999999999999996</v>
      </c>
      <c r="X33" s="19">
        <v>3.1</v>
      </c>
      <c r="Y33" s="19">
        <v>-3</v>
      </c>
      <c r="Z33" s="19">
        <v>0.1</v>
      </c>
      <c r="AA33" s="19">
        <v>1.1000000000000001</v>
      </c>
      <c r="AB33" s="19">
        <v>1.2</v>
      </c>
      <c r="AC33" s="19">
        <v>-5.9</v>
      </c>
      <c r="AD33" s="19">
        <v>-3.7</v>
      </c>
      <c r="AE33" s="19">
        <v>-2.6</v>
      </c>
      <c r="AF33" s="19"/>
    </row>
    <row r="34" spans="1:32" x14ac:dyDescent="0.25">
      <c r="A34" s="10">
        <v>24</v>
      </c>
      <c r="B34" s="19">
        <v>3.1</v>
      </c>
      <c r="C34" s="19">
        <v>2.4</v>
      </c>
      <c r="D34" s="19">
        <v>-7.3</v>
      </c>
      <c r="E34" s="19">
        <v>-13</v>
      </c>
      <c r="F34" s="19">
        <v>-0.4</v>
      </c>
      <c r="G34" s="19">
        <v>-22.7</v>
      </c>
      <c r="H34" s="19">
        <v>-11.8</v>
      </c>
      <c r="I34" s="19">
        <v>-18.8</v>
      </c>
      <c r="J34" s="19">
        <v>-6</v>
      </c>
      <c r="K34" s="19">
        <v>-13.7</v>
      </c>
      <c r="L34" s="19">
        <v>-17.2</v>
      </c>
      <c r="M34" s="19">
        <v>-17.399999999999999</v>
      </c>
      <c r="N34" s="19">
        <v>-16.899999999999999</v>
      </c>
      <c r="O34" s="19">
        <v>-16.600000000000001</v>
      </c>
      <c r="P34" s="19">
        <v>-15.5</v>
      </c>
      <c r="Q34" s="19">
        <v>-19.3</v>
      </c>
      <c r="R34" s="19">
        <v>-20.399999999999999</v>
      </c>
      <c r="S34" s="19">
        <v>-10.6</v>
      </c>
      <c r="T34" s="19">
        <v>-5.0999999999999996</v>
      </c>
      <c r="U34" s="19">
        <v>-3.8</v>
      </c>
      <c r="V34" s="19">
        <v>3.1</v>
      </c>
      <c r="W34" s="19">
        <v>2.2999999999999998</v>
      </c>
      <c r="X34" s="19">
        <v>2.9</v>
      </c>
      <c r="Y34" s="19">
        <v>-3.2</v>
      </c>
      <c r="Z34" s="19">
        <v>-0.3</v>
      </c>
      <c r="AA34" s="19">
        <v>0.6</v>
      </c>
      <c r="AB34" s="19">
        <v>1</v>
      </c>
      <c r="AC34" s="19">
        <v>-5.9</v>
      </c>
      <c r="AD34" s="19">
        <v>-4</v>
      </c>
      <c r="AE34" s="19">
        <v>-2.7</v>
      </c>
      <c r="AF34" s="19"/>
    </row>
    <row r="35" spans="1:32" x14ac:dyDescent="0.25">
      <c r="A35" s="10">
        <v>2</v>
      </c>
      <c r="B35" s="19">
        <v>2.6</v>
      </c>
      <c r="C35" s="19">
        <v>2</v>
      </c>
      <c r="D35" s="19">
        <v>-10.5</v>
      </c>
      <c r="E35" s="19">
        <v>-13.9</v>
      </c>
      <c r="F35" s="19">
        <v>-1.2</v>
      </c>
      <c r="G35" s="19">
        <v>-23.1</v>
      </c>
      <c r="H35" s="19">
        <v>-11.7</v>
      </c>
      <c r="I35" s="19">
        <v>-20.399999999999999</v>
      </c>
      <c r="J35" s="19">
        <v>-8</v>
      </c>
      <c r="K35" s="19">
        <v>-14.5</v>
      </c>
      <c r="L35" s="19">
        <v>-17.5</v>
      </c>
      <c r="M35" s="19">
        <v>-19.7</v>
      </c>
      <c r="N35" s="19">
        <v>-17.8</v>
      </c>
      <c r="O35" s="19">
        <v>-14</v>
      </c>
      <c r="P35" s="19">
        <v>-16.8</v>
      </c>
      <c r="Q35" s="19">
        <v>-19</v>
      </c>
      <c r="R35" s="19">
        <v>-22.3</v>
      </c>
      <c r="S35" s="19">
        <v>-11.4</v>
      </c>
      <c r="T35" s="19">
        <v>-7.3</v>
      </c>
      <c r="U35" s="19">
        <v>-3.4</v>
      </c>
      <c r="V35" s="19">
        <v>1.3</v>
      </c>
      <c r="W35" s="19">
        <v>2.4</v>
      </c>
      <c r="X35" s="19">
        <v>2.7</v>
      </c>
      <c r="Y35" s="19">
        <v>-3.9</v>
      </c>
      <c r="Z35" s="19">
        <v>-0.3</v>
      </c>
      <c r="AA35" s="19">
        <v>0.6</v>
      </c>
      <c r="AB35" s="19">
        <v>1.1000000000000001</v>
      </c>
      <c r="AC35" s="19">
        <v>-7.5</v>
      </c>
      <c r="AD35" s="19">
        <v>-4.0999999999999996</v>
      </c>
      <c r="AE35" s="19">
        <v>-2.7</v>
      </c>
      <c r="AF35" s="19"/>
    </row>
    <row r="36" spans="1:32" ht="30" x14ac:dyDescent="0.25">
      <c r="A36" s="11" t="s">
        <v>2</v>
      </c>
      <c r="B36" s="15">
        <f>(B24+B25+B26+B27+B28+B29+B30+B31+B32+B33+B34+B35)/12</f>
        <v>-0.29166666666666663</v>
      </c>
      <c r="C36" s="15">
        <f t="shared" ref="C36:J36" si="2">(C24+C25+C26+C27+C28+C29+C30+C31+C32+C33+C34+C35)/12</f>
        <v>2.8333333333333335</v>
      </c>
      <c r="D36" s="15">
        <f t="shared" si="2"/>
        <v>-0.58333333333333315</v>
      </c>
      <c r="E36" s="15">
        <f t="shared" si="2"/>
        <v>-10.641666666666667</v>
      </c>
      <c r="F36" s="15">
        <f t="shared" si="2"/>
        <v>-2.9416666666666669</v>
      </c>
      <c r="G36" s="15">
        <f t="shared" si="2"/>
        <v>-11.408333333333333</v>
      </c>
      <c r="H36" s="15">
        <f t="shared" si="2"/>
        <v>-15.124999999999998</v>
      </c>
      <c r="I36" s="15">
        <f t="shared" si="2"/>
        <v>-9.7749999999999986</v>
      </c>
      <c r="J36" s="15">
        <f t="shared" si="2"/>
        <v>-13.558333333333332</v>
      </c>
      <c r="K36" s="15">
        <f>(K24+K25+K26+K27+K28+K29+K30+K31+K32+K33+K34+K35)/12</f>
        <v>-8.2249999999999996</v>
      </c>
      <c r="L36" s="15">
        <f t="shared" ref="L36:AF36" si="3">(L24+L25+L26+L27+L28+L29+L30+L31+L32+L33+L34+L35)/12</f>
        <v>-14.816666666666665</v>
      </c>
      <c r="M36" s="15">
        <f t="shared" si="3"/>
        <v>-13.783333333333333</v>
      </c>
      <c r="N36" s="15">
        <f t="shared" si="3"/>
        <v>-16.591666666666669</v>
      </c>
      <c r="O36" s="15">
        <f t="shared" si="3"/>
        <v>-14.799999999999999</v>
      </c>
      <c r="P36" s="15">
        <f t="shared" si="3"/>
        <v>-8.4833333333333325</v>
      </c>
      <c r="Q36" s="15">
        <f t="shared" si="3"/>
        <v>-15.416666666666666</v>
      </c>
      <c r="R36" s="15">
        <f t="shared" si="3"/>
        <v>-18.308333333333334</v>
      </c>
      <c r="S36" s="15">
        <f t="shared" si="3"/>
        <v>-13.875</v>
      </c>
      <c r="T36" s="15">
        <f t="shared" si="3"/>
        <v>-2.8083333333333336</v>
      </c>
      <c r="U36" s="15">
        <f t="shared" si="3"/>
        <v>-1.2499999999999998</v>
      </c>
      <c r="V36" s="15">
        <f t="shared" si="3"/>
        <v>4.6166666666666671</v>
      </c>
      <c r="W36" s="15">
        <f t="shared" si="3"/>
        <v>4.7666666666666666</v>
      </c>
      <c r="X36" s="15">
        <f t="shared" si="3"/>
        <v>3.7250000000000001</v>
      </c>
      <c r="Y36" s="15">
        <f t="shared" si="3"/>
        <v>-0.69166666666666654</v>
      </c>
      <c r="Z36" s="15">
        <f t="shared" si="3"/>
        <v>0.39166666666666655</v>
      </c>
      <c r="AA36" s="15">
        <f t="shared" si="3"/>
        <v>2.9583333333333339</v>
      </c>
      <c r="AB36" s="15">
        <f t="shared" si="3"/>
        <v>1.7500000000000002</v>
      </c>
      <c r="AC36" s="15">
        <f t="shared" si="3"/>
        <v>-2.0083333333333333</v>
      </c>
      <c r="AD36" s="15">
        <f>(AD24+AD25+AD26+AD27+AD28+AD29+AD30+AD31+AD32+AD33+AD34+AD35)/12</f>
        <v>-4.8583333333333334</v>
      </c>
      <c r="AE36" s="15">
        <f>(AE24+AE25+AE26+AE27+AE28+AE29+AE30+AE31+AE32+AE33+AE34+AE35)/12</f>
        <v>-1.8750000000000002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24" sqref="AF24:AF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11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 t="s">
        <v>200</v>
      </c>
      <c r="C4" s="19" t="s">
        <v>149</v>
      </c>
      <c r="D4" s="19" t="s">
        <v>181</v>
      </c>
      <c r="E4" s="19" t="s">
        <v>218</v>
      </c>
      <c r="F4" s="19" t="s">
        <v>224</v>
      </c>
      <c r="G4" s="19" t="s">
        <v>232</v>
      </c>
      <c r="H4" s="19">
        <v>0.8</v>
      </c>
      <c r="I4" s="19">
        <v>4.5</v>
      </c>
      <c r="J4" s="19">
        <v>-4.2</v>
      </c>
      <c r="K4" s="19">
        <v>1.2</v>
      </c>
      <c r="L4" s="19">
        <v>-1</v>
      </c>
      <c r="M4" s="19">
        <v>-8</v>
      </c>
      <c r="N4" s="19">
        <v>-5.8</v>
      </c>
      <c r="O4" s="19">
        <v>3.4</v>
      </c>
      <c r="P4" s="19">
        <v>-3</v>
      </c>
      <c r="Q4" s="19">
        <v>0.7</v>
      </c>
      <c r="R4" s="19">
        <v>-1</v>
      </c>
      <c r="S4" s="19">
        <v>-2</v>
      </c>
      <c r="T4" s="19">
        <v>9</v>
      </c>
      <c r="U4" s="19">
        <v>6</v>
      </c>
      <c r="V4" s="19">
        <v>7</v>
      </c>
      <c r="W4" s="19">
        <v>4</v>
      </c>
      <c r="X4" s="19">
        <v>11</v>
      </c>
      <c r="Y4" s="19">
        <v>7</v>
      </c>
      <c r="Z4" s="19">
        <v>5</v>
      </c>
      <c r="AA4" s="19">
        <v>8</v>
      </c>
      <c r="AB4" s="19">
        <v>13</v>
      </c>
      <c r="AC4" s="19">
        <v>13</v>
      </c>
      <c r="AD4" s="19">
        <v>13</v>
      </c>
      <c r="AE4" s="19">
        <v>13</v>
      </c>
      <c r="AF4" s="19">
        <v>14</v>
      </c>
    </row>
    <row r="5" spans="1:33" x14ac:dyDescent="0.25">
      <c r="A5" s="10">
        <v>6</v>
      </c>
      <c r="B5" s="19" t="s">
        <v>201</v>
      </c>
      <c r="C5" s="19" t="s">
        <v>151</v>
      </c>
      <c r="D5" s="19" t="s">
        <v>139</v>
      </c>
      <c r="E5" s="19" t="s">
        <v>180</v>
      </c>
      <c r="F5" s="19" t="s">
        <v>225</v>
      </c>
      <c r="G5" s="19" t="s">
        <v>139</v>
      </c>
      <c r="H5" s="19">
        <v>2.2000000000000002</v>
      </c>
      <c r="I5" s="19">
        <v>3.3</v>
      </c>
      <c r="J5" s="19">
        <v>-4.2</v>
      </c>
      <c r="K5" s="19">
        <v>1.7</v>
      </c>
      <c r="L5" s="19">
        <v>-1</v>
      </c>
      <c r="M5" s="19">
        <v>-7.5</v>
      </c>
      <c r="N5" s="19">
        <v>-5.8</v>
      </c>
      <c r="O5" s="19">
        <v>-0.6</v>
      </c>
      <c r="P5" s="19">
        <v>-2</v>
      </c>
      <c r="Q5" s="19">
        <v>0.9</v>
      </c>
      <c r="R5" s="19">
        <v>-1</v>
      </c>
      <c r="S5" s="19">
        <v>-1</v>
      </c>
      <c r="T5" s="19">
        <v>10</v>
      </c>
      <c r="U5" s="19">
        <v>8</v>
      </c>
      <c r="V5" s="19">
        <v>8</v>
      </c>
      <c r="W5" s="19">
        <v>6</v>
      </c>
      <c r="X5" s="19">
        <v>13</v>
      </c>
      <c r="Y5" s="19">
        <v>9</v>
      </c>
      <c r="Z5" s="19">
        <v>8</v>
      </c>
      <c r="AA5" s="19">
        <v>9</v>
      </c>
      <c r="AB5" s="19">
        <v>13</v>
      </c>
      <c r="AC5" s="19">
        <v>15</v>
      </c>
      <c r="AD5" s="19">
        <v>15</v>
      </c>
      <c r="AE5" s="19">
        <v>14</v>
      </c>
      <c r="AF5" s="19">
        <v>14</v>
      </c>
    </row>
    <row r="6" spans="1:33" x14ac:dyDescent="0.25">
      <c r="A6" s="10">
        <v>8</v>
      </c>
      <c r="B6" s="19" t="s">
        <v>170</v>
      </c>
      <c r="C6" s="19" t="s">
        <v>114</v>
      </c>
      <c r="D6" s="19" t="s">
        <v>211</v>
      </c>
      <c r="E6" s="19" t="s">
        <v>219</v>
      </c>
      <c r="F6" s="19" t="s">
        <v>215</v>
      </c>
      <c r="G6" s="19" t="s">
        <v>58</v>
      </c>
      <c r="H6" s="19" t="s">
        <v>12</v>
      </c>
      <c r="I6" s="19" t="s">
        <v>218</v>
      </c>
      <c r="J6" s="19" t="s">
        <v>115</v>
      </c>
      <c r="K6" s="19" t="s">
        <v>212</v>
      </c>
      <c r="L6" s="19">
        <v>0.2</v>
      </c>
      <c r="M6" s="19">
        <v>-6.1</v>
      </c>
      <c r="N6" s="19">
        <v>-3.6</v>
      </c>
      <c r="O6" s="19">
        <v>-0.1</v>
      </c>
      <c r="P6" s="19">
        <v>0.9</v>
      </c>
      <c r="Q6" s="19">
        <v>2.7</v>
      </c>
      <c r="R6" s="19">
        <v>-1</v>
      </c>
      <c r="S6" s="19">
        <v>6</v>
      </c>
      <c r="T6" s="19">
        <v>12</v>
      </c>
      <c r="U6" s="19">
        <v>13</v>
      </c>
      <c r="V6" s="19">
        <v>14</v>
      </c>
      <c r="W6" s="19">
        <v>7</v>
      </c>
      <c r="X6" s="19">
        <v>15</v>
      </c>
      <c r="Y6" s="19">
        <v>9</v>
      </c>
      <c r="Z6" s="19">
        <v>9</v>
      </c>
      <c r="AA6" s="19">
        <v>12</v>
      </c>
      <c r="AB6" s="19">
        <v>16</v>
      </c>
      <c r="AC6" s="19">
        <v>18</v>
      </c>
      <c r="AD6" s="19">
        <v>14</v>
      </c>
      <c r="AE6" s="19">
        <v>17</v>
      </c>
      <c r="AF6" s="19">
        <v>16</v>
      </c>
    </row>
    <row r="7" spans="1:33" x14ac:dyDescent="0.25">
      <c r="A7" s="10">
        <v>10</v>
      </c>
      <c r="B7" s="19" t="s">
        <v>140</v>
      </c>
      <c r="C7" s="19" t="s">
        <v>206</v>
      </c>
      <c r="D7" s="19" t="s">
        <v>212</v>
      </c>
      <c r="E7" s="19" t="s">
        <v>20</v>
      </c>
      <c r="F7" s="19" t="s">
        <v>226</v>
      </c>
      <c r="G7" s="19" t="s">
        <v>215</v>
      </c>
      <c r="H7" s="19" t="s">
        <v>235</v>
      </c>
      <c r="I7" s="19" t="s">
        <v>210</v>
      </c>
      <c r="J7" s="19" t="s">
        <v>118</v>
      </c>
      <c r="K7" s="19" t="s">
        <v>215</v>
      </c>
      <c r="L7" s="19">
        <v>-1.2</v>
      </c>
      <c r="M7" s="19">
        <v>-6.1</v>
      </c>
      <c r="N7" s="19">
        <v>-1</v>
      </c>
      <c r="O7" s="19">
        <v>-0.8</v>
      </c>
      <c r="P7" s="19">
        <v>1.8</v>
      </c>
      <c r="Q7" s="19">
        <v>2.8</v>
      </c>
      <c r="R7" s="19">
        <v>-1</v>
      </c>
      <c r="S7" s="19">
        <v>9</v>
      </c>
      <c r="T7" s="19">
        <v>14</v>
      </c>
      <c r="U7" s="19">
        <v>17</v>
      </c>
      <c r="V7" s="19">
        <v>14</v>
      </c>
      <c r="W7" s="19">
        <v>9</v>
      </c>
      <c r="X7" s="19">
        <v>18</v>
      </c>
      <c r="Y7" s="19">
        <v>12</v>
      </c>
      <c r="Z7" s="19">
        <v>12</v>
      </c>
      <c r="AA7" s="19">
        <v>15</v>
      </c>
      <c r="AB7" s="19">
        <v>17</v>
      </c>
      <c r="AC7" s="19">
        <v>20</v>
      </c>
      <c r="AD7" s="19">
        <v>14</v>
      </c>
      <c r="AE7" s="19">
        <v>19</v>
      </c>
      <c r="AF7" s="19">
        <v>17</v>
      </c>
    </row>
    <row r="8" spans="1:33" x14ac:dyDescent="0.25">
      <c r="A8" s="10">
        <v>12</v>
      </c>
      <c r="B8" s="19" t="s">
        <v>202</v>
      </c>
      <c r="C8" s="19" t="s">
        <v>207</v>
      </c>
      <c r="D8" s="19" t="s">
        <v>213</v>
      </c>
      <c r="E8" s="19" t="s">
        <v>220</v>
      </c>
      <c r="F8" s="19" t="s">
        <v>227</v>
      </c>
      <c r="G8" s="19" t="s">
        <v>222</v>
      </c>
      <c r="H8" s="19" t="s">
        <v>236</v>
      </c>
      <c r="I8" s="19" t="s">
        <v>215</v>
      </c>
      <c r="J8" s="19" t="s">
        <v>242</v>
      </c>
      <c r="K8" s="19" t="s">
        <v>210</v>
      </c>
      <c r="L8" s="19">
        <v>0.9</v>
      </c>
      <c r="M8" s="19">
        <v>-3</v>
      </c>
      <c r="N8" s="19">
        <v>3.3</v>
      </c>
      <c r="O8" s="19">
        <v>2.2999999999999998</v>
      </c>
      <c r="P8" s="19">
        <v>3.4</v>
      </c>
      <c r="Q8" s="19">
        <v>2.1</v>
      </c>
      <c r="R8" s="19">
        <v>2</v>
      </c>
      <c r="S8" s="19">
        <v>10</v>
      </c>
      <c r="T8" s="19">
        <v>17</v>
      </c>
      <c r="U8" s="19">
        <v>19</v>
      </c>
      <c r="V8" s="19">
        <v>17</v>
      </c>
      <c r="W8" s="19">
        <v>14</v>
      </c>
      <c r="X8" s="19">
        <v>19</v>
      </c>
      <c r="Y8" s="19">
        <v>13</v>
      </c>
      <c r="Z8" s="19">
        <v>13</v>
      </c>
      <c r="AA8" s="19">
        <v>17</v>
      </c>
      <c r="AB8" s="19">
        <v>19</v>
      </c>
      <c r="AC8" s="19">
        <v>20</v>
      </c>
      <c r="AD8" s="19">
        <v>13</v>
      </c>
      <c r="AE8" s="19">
        <v>21</v>
      </c>
      <c r="AF8" s="19">
        <v>19</v>
      </c>
    </row>
    <row r="9" spans="1:33" x14ac:dyDescent="0.25">
      <c r="A9" s="10">
        <v>14</v>
      </c>
      <c r="B9" s="19" t="s">
        <v>41</v>
      </c>
      <c r="C9" s="19" t="s">
        <v>208</v>
      </c>
      <c r="D9" s="19" t="s">
        <v>58</v>
      </c>
      <c r="E9" s="19" t="s">
        <v>221</v>
      </c>
      <c r="F9" s="19" t="s">
        <v>228</v>
      </c>
      <c r="G9" s="19" t="s">
        <v>41</v>
      </c>
      <c r="H9" s="19" t="s">
        <v>237</v>
      </c>
      <c r="I9" s="19" t="s">
        <v>231</v>
      </c>
      <c r="J9" s="19" t="s">
        <v>211</v>
      </c>
      <c r="K9" s="19" t="s">
        <v>245</v>
      </c>
      <c r="L9" s="19">
        <v>3.4</v>
      </c>
      <c r="M9" s="19">
        <v>0.7</v>
      </c>
      <c r="N9" s="19">
        <v>6.1</v>
      </c>
      <c r="O9" s="19">
        <v>4.3</v>
      </c>
      <c r="P9" s="19">
        <v>4.5</v>
      </c>
      <c r="Q9" s="19">
        <v>3.1</v>
      </c>
      <c r="R9" s="19">
        <v>6</v>
      </c>
      <c r="S9" s="19">
        <v>12</v>
      </c>
      <c r="T9" s="19">
        <v>18</v>
      </c>
      <c r="U9" s="19">
        <v>20</v>
      </c>
      <c r="V9" s="19">
        <v>19</v>
      </c>
      <c r="W9" s="19">
        <v>15</v>
      </c>
      <c r="X9" s="19">
        <v>19</v>
      </c>
      <c r="Y9" s="19">
        <v>14</v>
      </c>
      <c r="Z9" s="19">
        <v>15</v>
      </c>
      <c r="AA9" s="19">
        <v>18</v>
      </c>
      <c r="AB9" s="19">
        <v>21</v>
      </c>
      <c r="AC9" s="19">
        <v>23</v>
      </c>
      <c r="AD9" s="19">
        <v>13</v>
      </c>
      <c r="AE9" s="19">
        <v>22</v>
      </c>
      <c r="AF9" s="19">
        <v>20</v>
      </c>
    </row>
    <row r="10" spans="1:33" x14ac:dyDescent="0.25">
      <c r="A10" s="10">
        <v>16</v>
      </c>
      <c r="B10" s="19" t="s">
        <v>203</v>
      </c>
      <c r="C10" s="19" t="s">
        <v>209</v>
      </c>
      <c r="D10" s="19" t="s">
        <v>214</v>
      </c>
      <c r="E10" s="19" t="s">
        <v>16</v>
      </c>
      <c r="F10" s="19" t="s">
        <v>229</v>
      </c>
      <c r="G10" s="19" t="s">
        <v>215</v>
      </c>
      <c r="H10" s="19" t="s">
        <v>238</v>
      </c>
      <c r="I10" s="19" t="s">
        <v>171</v>
      </c>
      <c r="J10" s="19" t="s">
        <v>243</v>
      </c>
      <c r="K10" s="19" t="s">
        <v>138</v>
      </c>
      <c r="L10" s="19">
        <v>3.6</v>
      </c>
      <c r="M10" s="19">
        <v>-1.3</v>
      </c>
      <c r="N10" s="19">
        <v>4.2</v>
      </c>
      <c r="O10" s="19">
        <v>2.2000000000000002</v>
      </c>
      <c r="P10" s="19">
        <v>6.3</v>
      </c>
      <c r="Q10" s="19">
        <v>3</v>
      </c>
      <c r="R10" s="19">
        <v>6</v>
      </c>
      <c r="S10" s="19">
        <v>12</v>
      </c>
      <c r="T10" s="19">
        <v>19</v>
      </c>
      <c r="U10" s="19">
        <v>20</v>
      </c>
      <c r="V10" s="19">
        <v>19</v>
      </c>
      <c r="W10" s="19">
        <v>17</v>
      </c>
      <c r="X10" s="19">
        <v>20</v>
      </c>
      <c r="Y10" s="19">
        <v>14</v>
      </c>
      <c r="Z10" s="19">
        <v>16</v>
      </c>
      <c r="AA10" s="19">
        <v>18</v>
      </c>
      <c r="AB10" s="19">
        <v>22</v>
      </c>
      <c r="AC10" s="19">
        <v>23</v>
      </c>
      <c r="AD10" s="19">
        <v>18</v>
      </c>
      <c r="AE10" s="19">
        <v>23</v>
      </c>
      <c r="AF10" s="19">
        <v>21</v>
      </c>
    </row>
    <row r="11" spans="1:33" x14ac:dyDescent="0.25">
      <c r="A11" s="10">
        <v>18</v>
      </c>
      <c r="B11" s="19" t="s">
        <v>204</v>
      </c>
      <c r="C11" s="19" t="s">
        <v>210</v>
      </c>
      <c r="D11" s="19" t="s">
        <v>215</v>
      </c>
      <c r="E11" s="19" t="s">
        <v>15</v>
      </c>
      <c r="F11" s="19" t="s">
        <v>230</v>
      </c>
      <c r="G11" s="19" t="s">
        <v>234</v>
      </c>
      <c r="H11" s="19" t="s">
        <v>55</v>
      </c>
      <c r="I11" s="19" t="s">
        <v>134</v>
      </c>
      <c r="J11" s="19" t="s">
        <v>210</v>
      </c>
      <c r="K11" s="19" t="s">
        <v>246</v>
      </c>
      <c r="L11" s="19">
        <v>-1</v>
      </c>
      <c r="M11" s="19">
        <v>-3.2</v>
      </c>
      <c r="N11" s="19">
        <v>5.6</v>
      </c>
      <c r="O11" s="19">
        <v>1.4</v>
      </c>
      <c r="P11" s="19">
        <v>6.4</v>
      </c>
      <c r="Q11" s="19">
        <v>3</v>
      </c>
      <c r="R11" s="19">
        <v>4</v>
      </c>
      <c r="S11" s="19">
        <v>13</v>
      </c>
      <c r="T11" s="19">
        <v>19</v>
      </c>
      <c r="U11" s="19">
        <v>20</v>
      </c>
      <c r="V11" s="19">
        <v>17</v>
      </c>
      <c r="W11" s="19">
        <v>16</v>
      </c>
      <c r="X11" s="19">
        <v>19</v>
      </c>
      <c r="Y11" s="19">
        <v>14</v>
      </c>
      <c r="Z11" s="19">
        <v>16</v>
      </c>
      <c r="AA11" s="19">
        <v>17</v>
      </c>
      <c r="AB11" s="19">
        <v>21</v>
      </c>
      <c r="AC11" s="19">
        <v>22</v>
      </c>
      <c r="AD11" s="19">
        <v>18</v>
      </c>
      <c r="AE11" s="19">
        <v>21</v>
      </c>
      <c r="AF11" s="19">
        <v>20</v>
      </c>
    </row>
    <row r="12" spans="1:33" x14ac:dyDescent="0.25">
      <c r="A12" s="10">
        <v>20</v>
      </c>
      <c r="B12" s="19" t="s">
        <v>182</v>
      </c>
      <c r="C12" s="19" t="s">
        <v>134</v>
      </c>
      <c r="D12" s="19" t="s">
        <v>195</v>
      </c>
      <c r="E12" s="19" t="s">
        <v>222</v>
      </c>
      <c r="F12" s="19" t="s">
        <v>231</v>
      </c>
      <c r="G12" s="19" t="s">
        <v>223</v>
      </c>
      <c r="H12" s="19" t="s">
        <v>39</v>
      </c>
      <c r="I12" s="19" t="s">
        <v>198</v>
      </c>
      <c r="J12" s="19" t="s">
        <v>242</v>
      </c>
      <c r="K12" s="19" t="s">
        <v>183</v>
      </c>
      <c r="L12" s="19">
        <v>-4.0999999999999996</v>
      </c>
      <c r="M12" s="19">
        <v>-3.9</v>
      </c>
      <c r="N12" s="19">
        <v>4.5</v>
      </c>
      <c r="O12" s="19">
        <v>-2.2999999999999998</v>
      </c>
      <c r="P12" s="19">
        <v>3.8</v>
      </c>
      <c r="Q12" s="19">
        <v>1</v>
      </c>
      <c r="R12" s="19">
        <v>4</v>
      </c>
      <c r="S12" s="19">
        <v>10</v>
      </c>
      <c r="T12" s="19">
        <v>14</v>
      </c>
      <c r="U12" s="19">
        <v>17</v>
      </c>
      <c r="V12" s="19">
        <v>16</v>
      </c>
      <c r="W12" s="19">
        <v>15</v>
      </c>
      <c r="X12" s="19">
        <v>14</v>
      </c>
      <c r="Y12" s="19">
        <v>13</v>
      </c>
      <c r="Z12" s="19">
        <v>13</v>
      </c>
      <c r="AA12" s="19">
        <v>17</v>
      </c>
      <c r="AB12" s="19">
        <v>19</v>
      </c>
      <c r="AC12" s="19">
        <v>20</v>
      </c>
      <c r="AD12" s="19">
        <v>17</v>
      </c>
      <c r="AE12" s="19">
        <v>16</v>
      </c>
      <c r="AF12" s="19">
        <v>18</v>
      </c>
    </row>
    <row r="13" spans="1:33" x14ac:dyDescent="0.25">
      <c r="A13" s="10">
        <v>22</v>
      </c>
      <c r="B13" s="19" t="s">
        <v>115</v>
      </c>
      <c r="C13" s="19" t="s">
        <v>103</v>
      </c>
      <c r="D13" s="19" t="s">
        <v>195</v>
      </c>
      <c r="E13" s="19" t="s">
        <v>223</v>
      </c>
      <c r="F13" s="19" t="s">
        <v>232</v>
      </c>
      <c r="G13" s="19" t="s">
        <v>171</v>
      </c>
      <c r="H13" s="19" t="s">
        <v>239</v>
      </c>
      <c r="I13" s="19" t="s">
        <v>198</v>
      </c>
      <c r="J13" s="19" t="s">
        <v>139</v>
      </c>
      <c r="K13" s="19" t="s">
        <v>181</v>
      </c>
      <c r="L13" s="19">
        <v>-6.2</v>
      </c>
      <c r="M13" s="19">
        <v>-6.1</v>
      </c>
      <c r="N13" s="19">
        <v>4.4000000000000004</v>
      </c>
      <c r="O13" s="19">
        <v>-3.2</v>
      </c>
      <c r="P13" s="19">
        <v>1.1000000000000001</v>
      </c>
      <c r="Q13" s="19">
        <v>0.1</v>
      </c>
      <c r="R13" s="19">
        <v>0.5</v>
      </c>
      <c r="S13" s="19">
        <v>8</v>
      </c>
      <c r="T13" s="19">
        <v>12</v>
      </c>
      <c r="U13" s="19">
        <v>12</v>
      </c>
      <c r="V13" s="19">
        <v>12</v>
      </c>
      <c r="W13" s="19">
        <v>10</v>
      </c>
      <c r="X13" s="19">
        <v>10</v>
      </c>
      <c r="Y13" s="19">
        <v>10</v>
      </c>
      <c r="Z13" s="19">
        <v>12</v>
      </c>
      <c r="AA13" s="19">
        <v>13</v>
      </c>
      <c r="AB13" s="19">
        <v>14</v>
      </c>
      <c r="AC13" s="19">
        <v>18</v>
      </c>
      <c r="AD13" s="19">
        <v>13</v>
      </c>
      <c r="AE13" s="19">
        <v>16</v>
      </c>
      <c r="AF13" s="19">
        <v>15</v>
      </c>
    </row>
    <row r="14" spans="1:33" x14ac:dyDescent="0.25">
      <c r="A14" s="10">
        <v>24</v>
      </c>
      <c r="B14" s="19" t="s">
        <v>192</v>
      </c>
      <c r="C14" s="19" t="s">
        <v>198</v>
      </c>
      <c r="D14" s="19" t="s">
        <v>216</v>
      </c>
      <c r="E14" s="19" t="s">
        <v>171</v>
      </c>
      <c r="F14" s="19" t="s">
        <v>206</v>
      </c>
      <c r="G14" s="19" t="s">
        <v>183</v>
      </c>
      <c r="H14" s="19" t="s">
        <v>240</v>
      </c>
      <c r="I14" s="19" t="s">
        <v>170</v>
      </c>
      <c r="J14" s="19" t="s">
        <v>244</v>
      </c>
      <c r="K14" s="19" t="s">
        <v>119</v>
      </c>
      <c r="L14" s="19">
        <v>-7.1</v>
      </c>
      <c r="M14" s="19">
        <v>-7.3</v>
      </c>
      <c r="N14" s="19">
        <v>5.4</v>
      </c>
      <c r="O14" s="19">
        <v>-4.2</v>
      </c>
      <c r="P14" s="19">
        <v>1.1000000000000001</v>
      </c>
      <c r="Q14" s="19">
        <v>0.1</v>
      </c>
      <c r="R14" s="19">
        <v>1</v>
      </c>
      <c r="S14" s="19">
        <v>4</v>
      </c>
      <c r="T14" s="19">
        <v>9</v>
      </c>
      <c r="U14" s="19">
        <v>9</v>
      </c>
      <c r="V14" s="19">
        <v>9</v>
      </c>
      <c r="W14" s="19">
        <v>7</v>
      </c>
      <c r="X14" s="19">
        <v>7</v>
      </c>
      <c r="Y14" s="19">
        <v>8</v>
      </c>
      <c r="Z14" s="19">
        <v>9</v>
      </c>
      <c r="AA14" s="19">
        <v>12</v>
      </c>
      <c r="AB14" s="19">
        <v>14</v>
      </c>
      <c r="AC14" s="19">
        <v>14</v>
      </c>
      <c r="AD14" s="19">
        <v>12</v>
      </c>
      <c r="AE14" s="19">
        <v>15</v>
      </c>
      <c r="AF14" s="19">
        <v>12</v>
      </c>
    </row>
    <row r="15" spans="1:33" x14ac:dyDescent="0.25">
      <c r="A15" s="10">
        <v>2</v>
      </c>
      <c r="B15" s="19" t="s">
        <v>205</v>
      </c>
      <c r="C15" s="19" t="s">
        <v>186</v>
      </c>
      <c r="D15" s="19" t="s">
        <v>217</v>
      </c>
      <c r="E15" s="19" t="s">
        <v>184</v>
      </c>
      <c r="F15" s="19" t="s">
        <v>233</v>
      </c>
      <c r="G15" s="19" t="s">
        <v>181</v>
      </c>
      <c r="H15" s="19" t="s">
        <v>241</v>
      </c>
      <c r="I15" s="19" t="s">
        <v>115</v>
      </c>
      <c r="J15" s="19" t="s">
        <v>233</v>
      </c>
      <c r="K15" s="19" t="s">
        <v>198</v>
      </c>
      <c r="L15" s="19">
        <v>-7.5</v>
      </c>
      <c r="M15" s="19" t="s">
        <v>189</v>
      </c>
      <c r="N15" s="19" t="s">
        <v>247</v>
      </c>
      <c r="O15" s="19" t="s">
        <v>193</v>
      </c>
      <c r="P15" s="19">
        <v>0.7</v>
      </c>
      <c r="Q15" s="19">
        <v>0.5</v>
      </c>
      <c r="R15" s="19">
        <v>1</v>
      </c>
      <c r="S15" s="19">
        <v>3.5</v>
      </c>
      <c r="T15" s="19">
        <v>7</v>
      </c>
      <c r="U15" s="19">
        <v>8</v>
      </c>
      <c r="V15" s="19">
        <v>7</v>
      </c>
      <c r="W15" s="19">
        <v>7</v>
      </c>
      <c r="X15" s="19">
        <v>5.5</v>
      </c>
      <c r="Y15" s="19">
        <v>8</v>
      </c>
      <c r="Z15" s="19">
        <v>8</v>
      </c>
      <c r="AA15" s="19">
        <v>10</v>
      </c>
      <c r="AB15" s="19">
        <v>12</v>
      </c>
      <c r="AC15" s="19">
        <v>11</v>
      </c>
      <c r="AD15" s="19">
        <v>11</v>
      </c>
      <c r="AE15" s="19">
        <v>14</v>
      </c>
      <c r="AF15" s="19">
        <v>12</v>
      </c>
    </row>
    <row r="16" spans="1:33" ht="30" x14ac:dyDescent="0.25">
      <c r="A16" s="11" t="s">
        <v>2</v>
      </c>
      <c r="B16" s="15">
        <f>(B4+B5+B6+B7+B8+B9+B10+B11+B12+B13+B14+B15)/12</f>
        <v>-0.17500000000000004</v>
      </c>
      <c r="C16" s="15">
        <f t="shared" ref="C16:O16" si="0">(C4+C5+C6+C7+C8+C9+C10+C11+C12+C13+C14+C15)/12</f>
        <v>1.1333333333333331</v>
      </c>
      <c r="D16" s="15">
        <f t="shared" si="0"/>
        <v>4.7666666666666666</v>
      </c>
      <c r="E16" s="15">
        <f t="shared" si="0"/>
        <v>7.7500000000000009</v>
      </c>
      <c r="F16" s="15">
        <f t="shared" si="0"/>
        <v>5.8833333333333337</v>
      </c>
      <c r="G16" s="15">
        <f t="shared" si="0"/>
        <v>4.5666666666666664</v>
      </c>
      <c r="H16" s="15">
        <f t="shared" si="0"/>
        <v>10.541666666666666</v>
      </c>
      <c r="I16" s="15">
        <f t="shared" si="0"/>
        <v>2.1083333333333325</v>
      </c>
      <c r="J16" s="15">
        <f t="shared" si="0"/>
        <v>1.3</v>
      </c>
      <c r="K16" s="15">
        <f t="shared" si="0"/>
        <v>2.3583333333333334</v>
      </c>
      <c r="L16" s="15">
        <f t="shared" si="0"/>
        <v>-1.75</v>
      </c>
      <c r="M16" s="15">
        <f t="shared" si="0"/>
        <v>-5.0250000000000004</v>
      </c>
      <c r="N16" s="15">
        <f t="shared" si="0"/>
        <v>1.8250000000000004</v>
      </c>
      <c r="O16" s="15">
        <f t="shared" si="0"/>
        <v>-0.20833333333333334</v>
      </c>
      <c r="P16" s="15">
        <f>(P4+P5+P6+P7+P8+P9+P10+P11+P12+P13+P14+P15)/12</f>
        <v>2.0833333333333335</v>
      </c>
      <c r="Q16" s="15">
        <f>(Q4+Q5+Q6+Q7+Q8+Q9+Q10+Q11+Q12+Q13+Q14+Q15)/12</f>
        <v>1.666666666666667</v>
      </c>
      <c r="R16" s="15">
        <f>(R4+R5+R6+R7+R8+R9+R10+R11+R12+R13+R14+R15)/12</f>
        <v>1.7083333333333333</v>
      </c>
      <c r="S16" s="15">
        <f t="shared" ref="S16:AF16" si="1">(S4+S5+S6+S7+S8+S9+S10+S11+S12+S13+S14+S15)/12</f>
        <v>7.041666666666667</v>
      </c>
      <c r="T16" s="15">
        <f t="shared" si="1"/>
        <v>13.333333333333334</v>
      </c>
      <c r="U16" s="15">
        <f t="shared" si="1"/>
        <v>14.083333333333334</v>
      </c>
      <c r="V16" s="15">
        <f t="shared" si="1"/>
        <v>13.25</v>
      </c>
      <c r="W16" s="15">
        <f t="shared" si="1"/>
        <v>10.583333333333334</v>
      </c>
      <c r="X16" s="15">
        <f t="shared" si="1"/>
        <v>14.208333333333334</v>
      </c>
      <c r="Y16" s="15">
        <f t="shared" si="1"/>
        <v>10.916666666666666</v>
      </c>
      <c r="Z16" s="15">
        <f t="shared" si="1"/>
        <v>11.333333333333334</v>
      </c>
      <c r="AA16" s="15">
        <f t="shared" si="1"/>
        <v>13.833333333333334</v>
      </c>
      <c r="AB16" s="15">
        <f t="shared" si="1"/>
        <v>16.75</v>
      </c>
      <c r="AC16" s="15">
        <f t="shared" si="1"/>
        <v>18.083333333333332</v>
      </c>
      <c r="AD16" s="15">
        <f t="shared" si="1"/>
        <v>14.25</v>
      </c>
      <c r="AE16" s="15">
        <f t="shared" si="1"/>
        <v>17.583333333333332</v>
      </c>
      <c r="AF16" s="15">
        <f t="shared" si="1"/>
        <v>16.5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11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-2.6</v>
      </c>
      <c r="C24" s="19">
        <v>-8.5</v>
      </c>
      <c r="D24" s="19">
        <v>1</v>
      </c>
      <c r="E24" s="19">
        <v>4</v>
      </c>
      <c r="F24" s="19">
        <v>3.2</v>
      </c>
      <c r="G24" s="19">
        <v>1</v>
      </c>
      <c r="H24" s="19">
        <v>1.8</v>
      </c>
      <c r="I24" s="19">
        <v>11.9</v>
      </c>
      <c r="J24" s="19">
        <v>-4.3</v>
      </c>
      <c r="K24" s="19">
        <v>2.2000000000000002</v>
      </c>
      <c r="L24" s="19">
        <v>-0.7</v>
      </c>
      <c r="M24" s="19">
        <v>-8.3000000000000007</v>
      </c>
      <c r="N24" s="19">
        <v>-7.4</v>
      </c>
      <c r="O24" s="19">
        <v>4.5999999999999996</v>
      </c>
      <c r="P24" s="19">
        <v>-3.8</v>
      </c>
      <c r="Q24" s="19">
        <v>1</v>
      </c>
      <c r="R24" s="19">
        <v>-1.7</v>
      </c>
      <c r="S24" s="19">
        <v>-2.2000000000000002</v>
      </c>
      <c r="T24" s="19">
        <v>6.2</v>
      </c>
      <c r="U24" s="19">
        <v>9.1</v>
      </c>
      <c r="V24" s="19">
        <v>5.0999999999999996</v>
      </c>
      <c r="W24" s="19">
        <v>2.8</v>
      </c>
      <c r="X24" s="19">
        <v>5.9</v>
      </c>
      <c r="Y24" s="19">
        <v>4</v>
      </c>
      <c r="Z24" s="19">
        <v>4</v>
      </c>
      <c r="AA24" s="19">
        <v>5</v>
      </c>
      <c r="AB24" s="19">
        <v>8</v>
      </c>
      <c r="AC24" s="19">
        <v>10</v>
      </c>
      <c r="AD24" s="19">
        <v>12</v>
      </c>
      <c r="AE24" s="19">
        <v>8</v>
      </c>
      <c r="AF24" s="19">
        <v>12</v>
      </c>
    </row>
    <row r="25" spans="1:32" x14ac:dyDescent="0.25">
      <c r="A25" s="10">
        <v>6</v>
      </c>
      <c r="B25" s="19">
        <v>-3</v>
      </c>
      <c r="C25" s="19">
        <v>-6.2</v>
      </c>
      <c r="D25" s="19">
        <v>2.7</v>
      </c>
      <c r="E25" s="19">
        <v>5.2</v>
      </c>
      <c r="F25" s="19">
        <v>5.0999999999999996</v>
      </c>
      <c r="G25" s="19">
        <v>3.9</v>
      </c>
      <c r="H25" s="19">
        <v>2.9</v>
      </c>
      <c r="I25" s="19">
        <v>5.0999999999999996</v>
      </c>
      <c r="J25" s="19">
        <v>-3.8</v>
      </c>
      <c r="K25" s="19">
        <v>3.3</v>
      </c>
      <c r="L25" s="19">
        <v>0.1</v>
      </c>
      <c r="M25" s="19">
        <v>-7.5</v>
      </c>
      <c r="N25" s="19">
        <v>-5.3</v>
      </c>
      <c r="O25" s="19">
        <v>0.6</v>
      </c>
      <c r="P25" s="19">
        <v>-2.2000000000000002</v>
      </c>
      <c r="Q25" s="19">
        <v>1.6</v>
      </c>
      <c r="R25" s="19">
        <v>-2.2999999999999998</v>
      </c>
      <c r="S25" s="19">
        <v>-0.1</v>
      </c>
      <c r="T25" s="19">
        <v>7.8</v>
      </c>
      <c r="U25" s="19">
        <v>11.2</v>
      </c>
      <c r="V25" s="19">
        <v>6.6</v>
      </c>
      <c r="W25" s="19">
        <v>6.3</v>
      </c>
      <c r="X25" s="19">
        <v>9.1</v>
      </c>
      <c r="Y25" s="19">
        <v>6</v>
      </c>
      <c r="Z25" s="19">
        <v>6</v>
      </c>
      <c r="AA25" s="19">
        <v>7</v>
      </c>
      <c r="AB25" s="19">
        <v>9</v>
      </c>
      <c r="AC25" s="19">
        <v>13</v>
      </c>
      <c r="AD25" s="19">
        <v>13</v>
      </c>
      <c r="AE25" s="19">
        <v>11</v>
      </c>
      <c r="AF25" s="19">
        <v>14</v>
      </c>
    </row>
    <row r="26" spans="1:32" x14ac:dyDescent="0.25">
      <c r="A26" s="10">
        <v>8</v>
      </c>
      <c r="B26" s="19">
        <v>-2.6</v>
      </c>
      <c r="C26" s="19">
        <v>-1.5</v>
      </c>
      <c r="D26" s="19">
        <v>5.9</v>
      </c>
      <c r="E26" s="19">
        <v>9.8000000000000007</v>
      </c>
      <c r="F26" s="19">
        <v>8</v>
      </c>
      <c r="G26" s="19">
        <v>7.7</v>
      </c>
      <c r="H26" s="19">
        <v>5.6</v>
      </c>
      <c r="I26" s="19">
        <v>5</v>
      </c>
      <c r="J26" s="19">
        <v>-2.2000000000000002</v>
      </c>
      <c r="K26" s="19">
        <v>4</v>
      </c>
      <c r="L26" s="19">
        <v>-0.3</v>
      </c>
      <c r="M26" s="19">
        <v>-7</v>
      </c>
      <c r="N26" s="19">
        <v>-3.7</v>
      </c>
      <c r="O26" s="19">
        <v>-0.6</v>
      </c>
      <c r="P26" s="19">
        <v>-0.1</v>
      </c>
      <c r="Q26" s="19">
        <v>1.4</v>
      </c>
      <c r="R26" s="19">
        <v>-2</v>
      </c>
      <c r="S26" s="19">
        <v>3.3</v>
      </c>
      <c r="T26" s="19">
        <v>12.3</v>
      </c>
      <c r="U26" s="19">
        <v>15.4</v>
      </c>
      <c r="V26" s="19">
        <v>10.3</v>
      </c>
      <c r="W26" s="19">
        <v>9.1999999999999993</v>
      </c>
      <c r="X26" s="19">
        <v>15.9</v>
      </c>
      <c r="Y26" s="19">
        <v>7</v>
      </c>
      <c r="Z26" s="19">
        <v>10</v>
      </c>
      <c r="AA26" s="19">
        <v>11</v>
      </c>
      <c r="AB26" s="19">
        <v>15</v>
      </c>
      <c r="AC26" s="19">
        <v>17</v>
      </c>
      <c r="AD26" s="19">
        <v>14</v>
      </c>
      <c r="AE26" s="19">
        <v>14</v>
      </c>
      <c r="AF26" s="19">
        <v>17</v>
      </c>
    </row>
    <row r="27" spans="1:32" x14ac:dyDescent="0.25">
      <c r="A27" s="10">
        <v>10</v>
      </c>
      <c r="B27" s="19">
        <v>-0.8</v>
      </c>
      <c r="C27" s="19">
        <v>1.3</v>
      </c>
      <c r="D27" s="19">
        <v>6.1</v>
      </c>
      <c r="E27" s="19">
        <v>9.6999999999999993</v>
      </c>
      <c r="F27" s="19">
        <v>8.5</v>
      </c>
      <c r="G27" s="19">
        <v>6.9</v>
      </c>
      <c r="H27" s="19">
        <v>9.9</v>
      </c>
      <c r="I27" s="19">
        <v>6.5</v>
      </c>
      <c r="J27" s="19">
        <v>-0.3</v>
      </c>
      <c r="K27" s="19">
        <v>7.3</v>
      </c>
      <c r="L27" s="19">
        <v>-1.2</v>
      </c>
      <c r="M27" s="19">
        <v>-6.3</v>
      </c>
      <c r="N27" s="19">
        <v>-2.2000000000000002</v>
      </c>
      <c r="O27" s="19">
        <v>-1</v>
      </c>
      <c r="P27" s="19">
        <v>1.2</v>
      </c>
      <c r="Q27" s="19">
        <v>2.2999999999999998</v>
      </c>
      <c r="R27" s="19">
        <v>-1.2</v>
      </c>
      <c r="S27" s="19">
        <v>5.4</v>
      </c>
      <c r="T27" s="19">
        <v>17.100000000000001</v>
      </c>
      <c r="U27" s="19">
        <v>18.8</v>
      </c>
      <c r="V27" s="19">
        <v>14.8</v>
      </c>
      <c r="W27" s="19">
        <v>11.9</v>
      </c>
      <c r="X27" s="19">
        <v>17</v>
      </c>
      <c r="Y27" s="19">
        <v>11</v>
      </c>
      <c r="Z27" s="19">
        <v>12</v>
      </c>
      <c r="AA27" s="19">
        <v>15</v>
      </c>
      <c r="AB27" s="19">
        <v>18</v>
      </c>
      <c r="AC27" s="19">
        <v>19</v>
      </c>
      <c r="AD27" s="19">
        <v>12</v>
      </c>
      <c r="AE27" s="19">
        <v>20</v>
      </c>
      <c r="AF27" s="19">
        <v>17</v>
      </c>
    </row>
    <row r="28" spans="1:32" x14ac:dyDescent="0.25">
      <c r="A28" s="10">
        <v>12</v>
      </c>
      <c r="B28" s="19">
        <v>0.6</v>
      </c>
      <c r="C28" s="19">
        <v>4.0999999999999996</v>
      </c>
      <c r="D28" s="19">
        <v>5.0999999999999996</v>
      </c>
      <c r="E28" s="19">
        <v>11.7</v>
      </c>
      <c r="F28" s="19">
        <v>9.1999999999999993</v>
      </c>
      <c r="G28" s="19">
        <v>7.7</v>
      </c>
      <c r="H28" s="19">
        <v>14.5</v>
      </c>
      <c r="I28" s="19">
        <v>6.5</v>
      </c>
      <c r="J28" s="19">
        <v>0.9</v>
      </c>
      <c r="K28" s="19">
        <v>8.3000000000000007</v>
      </c>
      <c r="L28" s="19">
        <v>-0.7</v>
      </c>
      <c r="M28" s="19">
        <v>-5</v>
      </c>
      <c r="N28" s="19">
        <v>0.4</v>
      </c>
      <c r="O28" s="19">
        <v>-0.5</v>
      </c>
      <c r="P28" s="19">
        <v>3.5</v>
      </c>
      <c r="Q28" s="19">
        <v>2.8</v>
      </c>
      <c r="R28" s="19">
        <v>0.7</v>
      </c>
      <c r="S28" s="19">
        <v>8.4</v>
      </c>
      <c r="T28" s="19">
        <v>18.100000000000001</v>
      </c>
      <c r="U28" s="19">
        <v>19.7</v>
      </c>
      <c r="V28" s="19">
        <v>16.8</v>
      </c>
      <c r="W28" s="19">
        <v>14.6</v>
      </c>
      <c r="X28" s="19">
        <v>17</v>
      </c>
      <c r="Y28" s="19">
        <v>13</v>
      </c>
      <c r="Z28" s="19">
        <v>14</v>
      </c>
      <c r="AA28" s="19">
        <v>16</v>
      </c>
      <c r="AB28" s="19">
        <v>20</v>
      </c>
      <c r="AC28" s="19">
        <v>21</v>
      </c>
      <c r="AD28" s="19">
        <v>13</v>
      </c>
      <c r="AE28" s="19">
        <v>21</v>
      </c>
      <c r="AF28" s="19">
        <v>18</v>
      </c>
    </row>
    <row r="29" spans="1:32" x14ac:dyDescent="0.25">
      <c r="A29" s="10">
        <v>14</v>
      </c>
      <c r="B29" s="19">
        <v>1.9</v>
      </c>
      <c r="C29" s="19">
        <v>4.7</v>
      </c>
      <c r="D29" s="19">
        <v>6.7</v>
      </c>
      <c r="E29" s="19">
        <v>13</v>
      </c>
      <c r="F29" s="19">
        <v>10.9</v>
      </c>
      <c r="G29" s="19">
        <v>6.2</v>
      </c>
      <c r="H29" s="19">
        <v>15.2</v>
      </c>
      <c r="I29" s="19">
        <v>6</v>
      </c>
      <c r="J29" s="19">
        <v>2.2999999999999998</v>
      </c>
      <c r="K29" s="19">
        <v>4.8</v>
      </c>
      <c r="L29" s="19">
        <v>0.4</v>
      </c>
      <c r="M29" s="19">
        <v>-3.6</v>
      </c>
      <c r="N29" s="19">
        <v>3</v>
      </c>
      <c r="O29" s="19">
        <v>0.2</v>
      </c>
      <c r="P29" s="19">
        <v>4.7</v>
      </c>
      <c r="Q29" s="19">
        <v>2.5</v>
      </c>
      <c r="R29" s="19">
        <v>1</v>
      </c>
      <c r="S29" s="19">
        <v>10.4</v>
      </c>
      <c r="T29" s="19">
        <v>19.100000000000001</v>
      </c>
      <c r="U29" s="19">
        <v>20.399999999999999</v>
      </c>
      <c r="V29" s="19">
        <v>19.100000000000001</v>
      </c>
      <c r="W29" s="19">
        <v>16</v>
      </c>
      <c r="X29" s="19">
        <v>20</v>
      </c>
      <c r="Y29" s="19">
        <v>15</v>
      </c>
      <c r="Z29" s="19">
        <v>15</v>
      </c>
      <c r="AA29" s="19">
        <v>17</v>
      </c>
      <c r="AB29" s="19">
        <v>21</v>
      </c>
      <c r="AC29" s="19">
        <v>22</v>
      </c>
      <c r="AD29" s="19">
        <v>14</v>
      </c>
      <c r="AE29" s="19">
        <v>23</v>
      </c>
      <c r="AF29" s="19">
        <v>20</v>
      </c>
    </row>
    <row r="30" spans="1:32" x14ac:dyDescent="0.25">
      <c r="A30" s="10">
        <v>16</v>
      </c>
      <c r="B30" s="19">
        <v>2</v>
      </c>
      <c r="C30" s="19">
        <v>2.8</v>
      </c>
      <c r="D30" s="19">
        <v>6.7</v>
      </c>
      <c r="E30" s="19">
        <v>11.7</v>
      </c>
      <c r="F30" s="19">
        <v>10.199999999999999</v>
      </c>
      <c r="G30" s="19">
        <v>5.8</v>
      </c>
      <c r="H30" s="19">
        <v>19.100000000000001</v>
      </c>
      <c r="I30" s="19">
        <v>2.4</v>
      </c>
      <c r="J30" s="19">
        <v>4.5999999999999996</v>
      </c>
      <c r="K30" s="19">
        <v>3.4</v>
      </c>
      <c r="L30" s="19">
        <v>-1.2</v>
      </c>
      <c r="M30" s="19">
        <v>-3.1</v>
      </c>
      <c r="N30" s="19">
        <v>4.5999999999999996</v>
      </c>
      <c r="O30" s="19">
        <v>-0.2</v>
      </c>
      <c r="P30" s="19">
        <v>5.9</v>
      </c>
      <c r="Q30" s="19">
        <v>0.2</v>
      </c>
      <c r="R30" s="19">
        <v>3.4</v>
      </c>
      <c r="S30" s="19">
        <v>12.3</v>
      </c>
      <c r="T30" s="19">
        <v>19.399999999999999</v>
      </c>
      <c r="U30" s="19">
        <v>21</v>
      </c>
      <c r="V30" s="19">
        <v>18.899999999999999</v>
      </c>
      <c r="W30" s="19">
        <v>17.5</v>
      </c>
      <c r="X30" s="19">
        <v>19</v>
      </c>
      <c r="Y30" s="19">
        <v>15</v>
      </c>
      <c r="Z30" s="19">
        <v>16</v>
      </c>
      <c r="AA30" s="19">
        <v>18</v>
      </c>
      <c r="AB30" s="19">
        <v>22</v>
      </c>
      <c r="AC30" s="19">
        <v>23</v>
      </c>
      <c r="AD30" s="19">
        <v>17</v>
      </c>
      <c r="AE30" s="19">
        <v>23</v>
      </c>
      <c r="AF30" s="19">
        <v>21</v>
      </c>
    </row>
    <row r="31" spans="1:32" x14ac:dyDescent="0.25">
      <c r="A31" s="10">
        <v>18</v>
      </c>
      <c r="B31" s="19">
        <v>1.4</v>
      </c>
      <c r="C31" s="19">
        <v>3.5</v>
      </c>
      <c r="D31" s="19">
        <v>7.5</v>
      </c>
      <c r="E31" s="19">
        <v>10.8</v>
      </c>
      <c r="F31" s="19">
        <v>7</v>
      </c>
      <c r="G31" s="19">
        <v>6.8</v>
      </c>
      <c r="H31" s="19">
        <v>17.899999999999999</v>
      </c>
      <c r="I31" s="19">
        <v>1.4</v>
      </c>
      <c r="J31" s="19">
        <v>4.2</v>
      </c>
      <c r="K31" s="19">
        <v>2.5</v>
      </c>
      <c r="L31" s="19">
        <v>-3.7</v>
      </c>
      <c r="M31" s="19">
        <v>2</v>
      </c>
      <c r="N31" s="19">
        <v>5.4</v>
      </c>
      <c r="O31" s="19">
        <v>-0.3</v>
      </c>
      <c r="P31" s="19">
        <v>6.8</v>
      </c>
      <c r="Q31" s="19">
        <v>0.2</v>
      </c>
      <c r="R31" s="19">
        <v>4.9000000000000004</v>
      </c>
      <c r="S31" s="19">
        <v>12.8</v>
      </c>
      <c r="T31" s="19">
        <v>19.399999999999999</v>
      </c>
      <c r="U31" s="19">
        <v>21</v>
      </c>
      <c r="V31" s="19">
        <v>15.9</v>
      </c>
      <c r="W31" s="19">
        <v>16.3</v>
      </c>
      <c r="X31" s="19">
        <v>18</v>
      </c>
      <c r="Y31" s="19">
        <v>14</v>
      </c>
      <c r="Z31" s="19">
        <v>15</v>
      </c>
      <c r="AA31" s="19">
        <v>17</v>
      </c>
      <c r="AB31" s="19">
        <v>21</v>
      </c>
      <c r="AC31" s="19">
        <v>22</v>
      </c>
      <c r="AD31" s="19">
        <v>18</v>
      </c>
      <c r="AE31" s="19">
        <v>21</v>
      </c>
      <c r="AF31" s="19">
        <v>20</v>
      </c>
    </row>
    <row r="32" spans="1:32" x14ac:dyDescent="0.25">
      <c r="A32" s="10">
        <v>20</v>
      </c>
      <c r="B32" s="19">
        <v>-1.2</v>
      </c>
      <c r="C32" s="19">
        <v>0.4</v>
      </c>
      <c r="D32" s="19">
        <v>5.9</v>
      </c>
      <c r="E32" s="19">
        <v>7.2</v>
      </c>
      <c r="F32" s="19">
        <v>4.9000000000000004</v>
      </c>
      <c r="G32" s="19">
        <v>5.0999999999999996</v>
      </c>
      <c r="H32" s="19">
        <v>13</v>
      </c>
      <c r="I32" s="19">
        <v>0.3</v>
      </c>
      <c r="J32" s="19">
        <v>4.3</v>
      </c>
      <c r="K32" s="19">
        <v>3.2</v>
      </c>
      <c r="L32" s="19">
        <v>-4.5</v>
      </c>
      <c r="M32" s="19">
        <v>-4.5999999999999996</v>
      </c>
      <c r="N32" s="19">
        <v>5.3</v>
      </c>
      <c r="O32" s="19">
        <v>-2</v>
      </c>
      <c r="P32" s="19">
        <v>4.9000000000000004</v>
      </c>
      <c r="Q32" s="19">
        <v>-0.7</v>
      </c>
      <c r="R32" s="19">
        <v>2.7</v>
      </c>
      <c r="S32" s="19">
        <v>10.8</v>
      </c>
      <c r="T32" s="19">
        <v>16.7</v>
      </c>
      <c r="U32" s="19">
        <v>18</v>
      </c>
      <c r="V32" s="19">
        <v>12.1</v>
      </c>
      <c r="W32" s="19">
        <v>15.3</v>
      </c>
      <c r="X32" s="19">
        <v>17</v>
      </c>
      <c r="Y32" s="19">
        <v>12</v>
      </c>
      <c r="Z32" s="19">
        <v>13</v>
      </c>
      <c r="AA32" s="19">
        <v>16</v>
      </c>
      <c r="AB32" s="19">
        <v>18</v>
      </c>
      <c r="AC32" s="19">
        <v>19</v>
      </c>
      <c r="AD32" s="19">
        <v>16</v>
      </c>
      <c r="AE32" s="19">
        <v>17</v>
      </c>
      <c r="AF32" s="19">
        <v>17</v>
      </c>
    </row>
    <row r="33" spans="1:32" x14ac:dyDescent="0.25">
      <c r="A33" s="10">
        <v>22</v>
      </c>
      <c r="B33" s="19">
        <v>-3.5</v>
      </c>
      <c r="C33" s="19">
        <v>-0.7</v>
      </c>
      <c r="D33" s="19">
        <v>5.0999999999999996</v>
      </c>
      <c r="E33" s="19">
        <v>5.2</v>
      </c>
      <c r="F33" s="19">
        <v>2.8</v>
      </c>
      <c r="G33" s="19">
        <v>3.9</v>
      </c>
      <c r="H33" s="19">
        <v>9.4</v>
      </c>
      <c r="I33" s="19">
        <v>0</v>
      </c>
      <c r="J33" s="19">
        <v>3</v>
      </c>
      <c r="K33" s="19">
        <v>2.2999999999999998</v>
      </c>
      <c r="L33" s="19">
        <v>-6.1</v>
      </c>
      <c r="M33" s="19">
        <v>-5.0999999999999996</v>
      </c>
      <c r="N33" s="19">
        <v>5.8</v>
      </c>
      <c r="O33" s="19">
        <v>-2.8</v>
      </c>
      <c r="P33" s="19">
        <v>3.3</v>
      </c>
      <c r="Q33" s="19">
        <v>-1.4</v>
      </c>
      <c r="R33" s="19">
        <v>0.3</v>
      </c>
      <c r="S33" s="19">
        <v>8.5</v>
      </c>
      <c r="T33" s="19">
        <v>12.9</v>
      </c>
      <c r="U33" s="19">
        <v>14</v>
      </c>
      <c r="V33" s="19">
        <v>8.1999999999999993</v>
      </c>
      <c r="W33" s="19">
        <v>10.6</v>
      </c>
      <c r="X33" s="19">
        <v>9</v>
      </c>
      <c r="Y33" s="19">
        <v>8</v>
      </c>
      <c r="Z33" s="19">
        <v>9</v>
      </c>
      <c r="AA33" s="19">
        <v>12</v>
      </c>
      <c r="AB33" s="19">
        <v>14</v>
      </c>
      <c r="AC33" s="19">
        <v>16</v>
      </c>
      <c r="AD33" s="19">
        <v>13</v>
      </c>
      <c r="AE33" s="19">
        <v>15</v>
      </c>
      <c r="AF33" s="19">
        <v>14</v>
      </c>
    </row>
    <row r="34" spans="1:32" x14ac:dyDescent="0.25">
      <c r="A34" s="10">
        <v>24</v>
      </c>
      <c r="B34" s="19">
        <v>-5.5</v>
      </c>
      <c r="C34" s="19">
        <v>-1.1000000000000001</v>
      </c>
      <c r="D34" s="19">
        <v>3.5</v>
      </c>
      <c r="E34" s="19">
        <v>3.5</v>
      </c>
      <c r="F34" s="19">
        <v>1.7</v>
      </c>
      <c r="G34" s="19">
        <v>3.4</v>
      </c>
      <c r="H34" s="19">
        <v>10.5</v>
      </c>
      <c r="I34" s="19">
        <v>-1.4</v>
      </c>
      <c r="J34" s="19">
        <v>3.7</v>
      </c>
      <c r="K34" s="19">
        <v>1.2</v>
      </c>
      <c r="L34" s="19">
        <v>-6.9</v>
      </c>
      <c r="M34" s="19">
        <v>-7</v>
      </c>
      <c r="N34" s="19">
        <v>6.2</v>
      </c>
      <c r="O34" s="19">
        <v>-3.6</v>
      </c>
      <c r="P34" s="19">
        <v>2.4</v>
      </c>
      <c r="Q34" s="19">
        <v>-1.6</v>
      </c>
      <c r="R34" s="19">
        <v>-0.8</v>
      </c>
      <c r="S34" s="19">
        <v>7.1</v>
      </c>
      <c r="T34" s="19">
        <v>11.1</v>
      </c>
      <c r="U34" s="19">
        <v>9.3000000000000007</v>
      </c>
      <c r="V34" s="19">
        <v>4.8</v>
      </c>
      <c r="W34" s="19">
        <v>8.1</v>
      </c>
      <c r="X34" s="19">
        <v>8</v>
      </c>
      <c r="Y34" s="19">
        <v>7</v>
      </c>
      <c r="Z34" s="19">
        <v>7</v>
      </c>
      <c r="AA34" s="19">
        <v>11</v>
      </c>
      <c r="AB34" s="19">
        <v>12</v>
      </c>
      <c r="AC34" s="19">
        <v>14</v>
      </c>
      <c r="AD34" s="19">
        <v>11</v>
      </c>
      <c r="AE34" s="19">
        <v>13</v>
      </c>
      <c r="AF34" s="19">
        <v>12</v>
      </c>
    </row>
    <row r="35" spans="1:32" x14ac:dyDescent="0.25">
      <c r="A35" s="10">
        <v>2</v>
      </c>
      <c r="B35" s="19">
        <v>-7.3</v>
      </c>
      <c r="C35" s="19">
        <v>0.7</v>
      </c>
      <c r="D35" s="19">
        <v>4.3</v>
      </c>
      <c r="E35" s="19">
        <v>3.2</v>
      </c>
      <c r="F35" s="19">
        <v>2.2000000000000002</v>
      </c>
      <c r="G35" s="19">
        <v>2.6</v>
      </c>
      <c r="H35" s="19">
        <v>15</v>
      </c>
      <c r="I35" s="19">
        <v>-2.2000000000000002</v>
      </c>
      <c r="J35" s="19">
        <v>2.5</v>
      </c>
      <c r="K35" s="19">
        <v>0</v>
      </c>
      <c r="L35" s="19">
        <v>-7.3</v>
      </c>
      <c r="M35" s="19">
        <v>-9.1</v>
      </c>
      <c r="N35" s="19">
        <v>5.9</v>
      </c>
      <c r="O35" s="19">
        <v>-4.2</v>
      </c>
      <c r="P35" s="19">
        <v>1.7</v>
      </c>
      <c r="Q35" s="19">
        <v>-1.6</v>
      </c>
      <c r="R35" s="19">
        <v>-2</v>
      </c>
      <c r="S35" s="19">
        <v>6.8</v>
      </c>
      <c r="T35" s="19">
        <v>9.6</v>
      </c>
      <c r="U35" s="19">
        <v>6.6</v>
      </c>
      <c r="V35" s="19">
        <v>3.2</v>
      </c>
      <c r="W35" s="19">
        <v>6.2</v>
      </c>
      <c r="X35" s="19">
        <v>4</v>
      </c>
      <c r="Y35" s="19">
        <v>5</v>
      </c>
      <c r="Z35" s="19">
        <v>5</v>
      </c>
      <c r="AA35" s="19">
        <v>9</v>
      </c>
      <c r="AB35" s="19">
        <v>11</v>
      </c>
      <c r="AC35" s="19">
        <v>13</v>
      </c>
      <c r="AD35" s="19">
        <v>9</v>
      </c>
      <c r="AE35" s="19">
        <v>12</v>
      </c>
      <c r="AF35" s="19">
        <v>11</v>
      </c>
    </row>
    <row r="36" spans="1:32" ht="30" x14ac:dyDescent="0.25">
      <c r="A36" s="11" t="s">
        <v>2</v>
      </c>
      <c r="B36" s="15">
        <f>(B24+B25+B26+B27+B28+B29+B30+B31+B32+B33+B34+B35)/12</f>
        <v>-1.7166666666666668</v>
      </c>
      <c r="C36" s="15">
        <f t="shared" ref="C36:J36" si="2">(C24+C25+C26+C27+C28+C29+C30+C31+C32+C33+C34+C35)/12</f>
        <v>-4.1666666666666574E-2</v>
      </c>
      <c r="D36" s="15">
        <f t="shared" si="2"/>
        <v>5.041666666666667</v>
      </c>
      <c r="E36" s="15">
        <f t="shared" si="2"/>
        <v>7.916666666666667</v>
      </c>
      <c r="F36" s="15">
        <f t="shared" si="2"/>
        <v>6.1416666666666666</v>
      </c>
      <c r="G36" s="15">
        <f t="shared" si="2"/>
        <v>5.083333333333333</v>
      </c>
      <c r="H36" s="15">
        <f t="shared" si="2"/>
        <v>11.233333333333334</v>
      </c>
      <c r="I36" s="15">
        <f t="shared" si="2"/>
        <v>3.4583333333333326</v>
      </c>
      <c r="J36" s="15">
        <f t="shared" si="2"/>
        <v>1.2416666666666665</v>
      </c>
      <c r="K36" s="15">
        <f>(K24+K25+K26+K27+K28+K29+K30+K31+K32+K33+K34+K35)/12</f>
        <v>3.5416666666666674</v>
      </c>
      <c r="L36" s="15">
        <f t="shared" ref="L36:AF36" si="3">(L24+L25+L26+L27+L28+L29+L30+L31+L32+L33+L34+L35)/12</f>
        <v>-2.6749999999999994</v>
      </c>
      <c r="M36" s="15">
        <f t="shared" si="3"/>
        <v>-5.3833333333333337</v>
      </c>
      <c r="N36" s="15">
        <f t="shared" si="3"/>
        <v>1.5</v>
      </c>
      <c r="O36" s="15">
        <f t="shared" si="3"/>
        <v>-0.81666666666666676</v>
      </c>
      <c r="P36" s="15">
        <f t="shared" si="3"/>
        <v>2.3583333333333329</v>
      </c>
      <c r="Q36" s="15">
        <f t="shared" si="3"/>
        <v>0.55833333333333324</v>
      </c>
      <c r="R36" s="15">
        <f t="shared" si="3"/>
        <v>0.25</v>
      </c>
      <c r="S36" s="15">
        <f t="shared" si="3"/>
        <v>6.9583333333333321</v>
      </c>
      <c r="T36" s="15">
        <f t="shared" si="3"/>
        <v>14.141666666666666</v>
      </c>
      <c r="U36" s="15">
        <f t="shared" si="3"/>
        <v>15.375</v>
      </c>
      <c r="V36" s="15">
        <f t="shared" si="3"/>
        <v>11.316666666666665</v>
      </c>
      <c r="W36" s="15">
        <f t="shared" si="3"/>
        <v>11.233333333333333</v>
      </c>
      <c r="X36" s="15">
        <f t="shared" si="3"/>
        <v>13.325000000000001</v>
      </c>
      <c r="Y36" s="15">
        <f t="shared" si="3"/>
        <v>9.75</v>
      </c>
      <c r="Z36" s="15">
        <f t="shared" si="3"/>
        <v>10.5</v>
      </c>
      <c r="AA36" s="15">
        <f t="shared" si="3"/>
        <v>12.833333333333334</v>
      </c>
      <c r="AB36" s="15">
        <f t="shared" si="3"/>
        <v>15.75</v>
      </c>
      <c r="AC36" s="15">
        <f t="shared" si="3"/>
        <v>17.416666666666668</v>
      </c>
      <c r="AD36" s="15">
        <f>(AD24+AD25+AD26+AD27+AD28+AD29+AD30+AD31+AD32+AD33+AD34+AD35)/12</f>
        <v>13.5</v>
      </c>
      <c r="AE36" s="15">
        <f>(AE24+AE25+AE26+AE27+AE28+AE29+AE30+AE31+AE32+AE33+AE34+AE35)/12</f>
        <v>16.5</v>
      </c>
      <c r="AF36" s="15">
        <f t="shared" si="3"/>
        <v>16.083333333333332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4" sqref="AF4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60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14</v>
      </c>
      <c r="C4" s="19">
        <v>19</v>
      </c>
      <c r="D4" s="19">
        <v>18</v>
      </c>
      <c r="E4" s="19">
        <v>19</v>
      </c>
      <c r="F4" s="19">
        <v>19</v>
      </c>
      <c r="G4" s="19">
        <v>15</v>
      </c>
      <c r="H4" s="19">
        <v>16</v>
      </c>
      <c r="I4" s="19">
        <v>15</v>
      </c>
      <c r="J4" s="19">
        <v>7</v>
      </c>
      <c r="K4" s="19">
        <v>10</v>
      </c>
      <c r="L4" s="19">
        <v>13</v>
      </c>
      <c r="M4" s="19">
        <v>8</v>
      </c>
      <c r="N4" s="19">
        <v>4</v>
      </c>
      <c r="O4" s="19">
        <v>9</v>
      </c>
      <c r="P4" s="19">
        <v>8</v>
      </c>
      <c r="Q4" s="19">
        <v>6</v>
      </c>
      <c r="R4" s="19">
        <v>6</v>
      </c>
      <c r="S4" s="19">
        <v>6</v>
      </c>
      <c r="T4" s="19">
        <v>6</v>
      </c>
      <c r="U4" s="19">
        <v>10</v>
      </c>
      <c r="V4" s="19">
        <v>8</v>
      </c>
      <c r="W4" s="19">
        <v>6</v>
      </c>
      <c r="X4" s="19">
        <v>4</v>
      </c>
      <c r="Y4" s="19">
        <v>4</v>
      </c>
      <c r="Z4" s="19">
        <v>5</v>
      </c>
      <c r="AA4" s="19">
        <v>8</v>
      </c>
      <c r="AB4" s="19">
        <v>10</v>
      </c>
      <c r="AC4" s="19">
        <v>11</v>
      </c>
      <c r="AD4" s="19">
        <v>11</v>
      </c>
      <c r="AE4" s="19">
        <v>12</v>
      </c>
      <c r="AF4" s="19"/>
    </row>
    <row r="5" spans="1:33" x14ac:dyDescent="0.25">
      <c r="A5" s="10">
        <v>6</v>
      </c>
      <c r="B5" s="19">
        <v>16</v>
      </c>
      <c r="C5" s="19">
        <v>20</v>
      </c>
      <c r="D5" s="19">
        <v>18</v>
      </c>
      <c r="E5" s="19">
        <v>19</v>
      </c>
      <c r="F5" s="19">
        <v>19</v>
      </c>
      <c r="G5" s="19">
        <v>17</v>
      </c>
      <c r="H5" s="19">
        <v>16</v>
      </c>
      <c r="I5" s="19">
        <v>16</v>
      </c>
      <c r="J5" s="19">
        <v>9</v>
      </c>
      <c r="K5" s="19">
        <v>10</v>
      </c>
      <c r="L5" s="19">
        <v>13</v>
      </c>
      <c r="M5" s="19">
        <v>8</v>
      </c>
      <c r="N5" s="19">
        <v>6</v>
      </c>
      <c r="O5" s="19">
        <v>9</v>
      </c>
      <c r="P5" s="19">
        <v>9</v>
      </c>
      <c r="Q5" s="19">
        <v>9</v>
      </c>
      <c r="R5" s="19">
        <v>7</v>
      </c>
      <c r="S5" s="19">
        <v>7</v>
      </c>
      <c r="T5" s="19">
        <v>7</v>
      </c>
      <c r="U5" s="19">
        <v>8</v>
      </c>
      <c r="V5" s="19">
        <v>8</v>
      </c>
      <c r="W5" s="19">
        <v>6</v>
      </c>
      <c r="X5" s="19">
        <v>5</v>
      </c>
      <c r="Y5" s="19">
        <v>5</v>
      </c>
      <c r="Z5" s="19">
        <v>7</v>
      </c>
      <c r="AA5" s="19">
        <v>9</v>
      </c>
      <c r="AB5" s="19">
        <v>12</v>
      </c>
      <c r="AC5" s="19">
        <v>13</v>
      </c>
      <c r="AD5" s="19">
        <v>13</v>
      </c>
      <c r="AE5" s="19">
        <v>13</v>
      </c>
      <c r="AF5" s="19"/>
    </row>
    <row r="6" spans="1:33" x14ac:dyDescent="0.25">
      <c r="A6" s="10">
        <v>8</v>
      </c>
      <c r="B6" s="19">
        <v>18</v>
      </c>
      <c r="C6" s="19">
        <v>22</v>
      </c>
      <c r="D6" s="19">
        <v>18</v>
      </c>
      <c r="E6" s="19">
        <v>22</v>
      </c>
      <c r="F6" s="19">
        <v>23</v>
      </c>
      <c r="G6" s="19">
        <v>19</v>
      </c>
      <c r="H6" s="19">
        <v>20</v>
      </c>
      <c r="I6" s="19">
        <v>17</v>
      </c>
      <c r="J6" s="19">
        <v>11</v>
      </c>
      <c r="K6" s="19">
        <v>12</v>
      </c>
      <c r="L6" s="19">
        <v>15</v>
      </c>
      <c r="M6" s="19">
        <v>8</v>
      </c>
      <c r="N6" s="19">
        <v>6</v>
      </c>
      <c r="O6" s="19">
        <v>12</v>
      </c>
      <c r="P6" s="19">
        <v>9</v>
      </c>
      <c r="Q6" s="19">
        <v>12</v>
      </c>
      <c r="R6" s="19">
        <v>8</v>
      </c>
      <c r="S6" s="19">
        <v>8</v>
      </c>
      <c r="T6" s="19">
        <v>9</v>
      </c>
      <c r="U6" s="19">
        <v>8</v>
      </c>
      <c r="V6" s="19">
        <v>9</v>
      </c>
      <c r="W6" s="19">
        <v>6</v>
      </c>
      <c r="X6" s="19">
        <v>6</v>
      </c>
      <c r="Y6" s="19">
        <v>7</v>
      </c>
      <c r="Z6" s="19">
        <v>9</v>
      </c>
      <c r="AA6" s="19">
        <v>11</v>
      </c>
      <c r="AB6" s="19">
        <v>15</v>
      </c>
      <c r="AC6" s="19">
        <v>18</v>
      </c>
      <c r="AD6" s="19">
        <v>16</v>
      </c>
      <c r="AE6" s="19">
        <v>14</v>
      </c>
      <c r="AF6" s="19"/>
    </row>
    <row r="7" spans="1:33" x14ac:dyDescent="0.25">
      <c r="A7" s="10">
        <v>10</v>
      </c>
      <c r="B7" s="19">
        <v>21</v>
      </c>
      <c r="C7" s="19">
        <v>22</v>
      </c>
      <c r="D7" s="19">
        <v>23</v>
      </c>
      <c r="E7" s="19">
        <v>25</v>
      </c>
      <c r="F7" s="19">
        <v>24</v>
      </c>
      <c r="G7" s="19">
        <v>20</v>
      </c>
      <c r="H7" s="19">
        <v>22</v>
      </c>
      <c r="I7" s="19">
        <v>20</v>
      </c>
      <c r="J7" s="19">
        <v>13</v>
      </c>
      <c r="K7" s="19">
        <v>13</v>
      </c>
      <c r="L7" s="19">
        <v>14</v>
      </c>
      <c r="M7" s="19">
        <v>7</v>
      </c>
      <c r="N7" s="19">
        <v>7</v>
      </c>
      <c r="O7" s="19">
        <v>16</v>
      </c>
      <c r="P7" s="19">
        <v>8</v>
      </c>
      <c r="Q7" s="19">
        <v>13</v>
      </c>
      <c r="R7" s="19">
        <v>9</v>
      </c>
      <c r="S7" s="19">
        <v>9</v>
      </c>
      <c r="T7" s="19">
        <v>10</v>
      </c>
      <c r="U7" s="19">
        <v>8</v>
      </c>
      <c r="V7" s="19">
        <v>11</v>
      </c>
      <c r="W7" s="19">
        <v>6</v>
      </c>
      <c r="X7" s="19">
        <v>7</v>
      </c>
      <c r="Y7" s="19">
        <v>8</v>
      </c>
      <c r="Z7" s="19">
        <v>10</v>
      </c>
      <c r="AA7" s="19">
        <v>12</v>
      </c>
      <c r="AB7" s="19">
        <v>16</v>
      </c>
      <c r="AC7" s="19">
        <v>17</v>
      </c>
      <c r="AD7" s="19">
        <v>18</v>
      </c>
      <c r="AE7" s="19">
        <v>15</v>
      </c>
      <c r="AF7" s="19"/>
    </row>
    <row r="8" spans="1:33" x14ac:dyDescent="0.25">
      <c r="A8" s="10">
        <v>12</v>
      </c>
      <c r="B8" s="19">
        <v>23</v>
      </c>
      <c r="C8" s="19">
        <v>23</v>
      </c>
      <c r="D8" s="19">
        <v>25</v>
      </c>
      <c r="E8" s="19">
        <v>29</v>
      </c>
      <c r="F8" s="19">
        <v>27</v>
      </c>
      <c r="G8" s="19">
        <v>21</v>
      </c>
      <c r="H8" s="19">
        <v>24</v>
      </c>
      <c r="I8" s="19">
        <v>20</v>
      </c>
      <c r="J8" s="19">
        <v>15</v>
      </c>
      <c r="K8" s="19">
        <v>15</v>
      </c>
      <c r="L8" s="19">
        <v>15</v>
      </c>
      <c r="M8" s="19">
        <v>7</v>
      </c>
      <c r="N8" s="19">
        <v>10</v>
      </c>
      <c r="O8" s="19">
        <v>19</v>
      </c>
      <c r="P8" s="19">
        <v>9</v>
      </c>
      <c r="Q8" s="19">
        <v>11</v>
      </c>
      <c r="R8" s="19">
        <v>10</v>
      </c>
      <c r="S8" s="19">
        <v>9</v>
      </c>
      <c r="T8" s="19">
        <v>11</v>
      </c>
      <c r="U8" s="19">
        <v>8</v>
      </c>
      <c r="V8" s="19">
        <v>11</v>
      </c>
      <c r="W8" s="19">
        <v>7</v>
      </c>
      <c r="X8" s="19">
        <v>7</v>
      </c>
      <c r="Y8" s="19">
        <v>7</v>
      </c>
      <c r="Z8" s="19">
        <v>12</v>
      </c>
      <c r="AA8" s="19">
        <v>13</v>
      </c>
      <c r="AB8" s="19">
        <v>16</v>
      </c>
      <c r="AC8" s="19">
        <v>19</v>
      </c>
      <c r="AD8" s="19">
        <v>19</v>
      </c>
      <c r="AE8" s="19">
        <v>16</v>
      </c>
      <c r="AF8" s="19"/>
    </row>
    <row r="9" spans="1:33" x14ac:dyDescent="0.25">
      <c r="A9" s="10">
        <v>14</v>
      </c>
      <c r="B9" s="19">
        <v>27</v>
      </c>
      <c r="C9" s="19">
        <v>24</v>
      </c>
      <c r="D9" s="19">
        <v>25</v>
      </c>
      <c r="E9" s="19">
        <v>30</v>
      </c>
      <c r="F9" s="19">
        <v>28</v>
      </c>
      <c r="G9" s="19">
        <v>23</v>
      </c>
      <c r="H9" s="19">
        <v>24</v>
      </c>
      <c r="I9" s="19">
        <v>20</v>
      </c>
      <c r="J9" s="19">
        <v>16</v>
      </c>
      <c r="K9" s="19">
        <v>15</v>
      </c>
      <c r="L9" s="19">
        <v>14</v>
      </c>
      <c r="M9" s="19">
        <v>7</v>
      </c>
      <c r="N9" s="19">
        <v>10</v>
      </c>
      <c r="O9" s="19">
        <v>21</v>
      </c>
      <c r="P9" s="19">
        <v>10</v>
      </c>
      <c r="Q9" s="19">
        <v>11</v>
      </c>
      <c r="R9" s="19">
        <v>11</v>
      </c>
      <c r="S9" s="19">
        <v>9</v>
      </c>
      <c r="T9" s="19">
        <v>12</v>
      </c>
      <c r="U9" s="19">
        <v>8</v>
      </c>
      <c r="V9" s="19">
        <v>11</v>
      </c>
      <c r="W9" s="19">
        <v>7</v>
      </c>
      <c r="X9" s="19">
        <v>7</v>
      </c>
      <c r="Y9" s="19">
        <v>7</v>
      </c>
      <c r="Z9" s="19">
        <v>12</v>
      </c>
      <c r="AA9" s="19">
        <v>15</v>
      </c>
      <c r="AB9" s="19">
        <v>18</v>
      </c>
      <c r="AC9" s="19">
        <v>20</v>
      </c>
      <c r="AD9" s="19">
        <v>20</v>
      </c>
      <c r="AE9" s="19">
        <v>17</v>
      </c>
      <c r="AF9" s="19"/>
    </row>
    <row r="10" spans="1:33" x14ac:dyDescent="0.25">
      <c r="A10" s="10">
        <v>16</v>
      </c>
      <c r="B10" s="19">
        <v>27</v>
      </c>
      <c r="C10" s="19">
        <v>23</v>
      </c>
      <c r="D10" s="19">
        <v>25</v>
      </c>
      <c r="E10" s="19">
        <v>30</v>
      </c>
      <c r="F10" s="19">
        <v>29</v>
      </c>
      <c r="G10" s="19">
        <v>22</v>
      </c>
      <c r="H10" s="19">
        <v>23</v>
      </c>
      <c r="I10" s="19">
        <v>19</v>
      </c>
      <c r="J10" s="19">
        <v>15</v>
      </c>
      <c r="K10" s="19">
        <v>16</v>
      </c>
      <c r="L10" s="19">
        <v>13</v>
      </c>
      <c r="M10" s="19">
        <v>7</v>
      </c>
      <c r="N10" s="19">
        <v>14</v>
      </c>
      <c r="O10" s="19">
        <v>20</v>
      </c>
      <c r="P10" s="19">
        <v>10</v>
      </c>
      <c r="Q10" s="19">
        <v>12</v>
      </c>
      <c r="R10" s="19">
        <v>11</v>
      </c>
      <c r="S10" s="19">
        <v>11</v>
      </c>
      <c r="T10" s="19">
        <v>12</v>
      </c>
      <c r="U10" s="19">
        <v>10</v>
      </c>
      <c r="V10" s="19">
        <v>12</v>
      </c>
      <c r="W10" s="19">
        <v>7</v>
      </c>
      <c r="X10" s="19">
        <v>7</v>
      </c>
      <c r="Y10" s="19">
        <v>8</v>
      </c>
      <c r="Z10" s="19">
        <v>13</v>
      </c>
      <c r="AA10" s="19">
        <v>16</v>
      </c>
      <c r="AB10" s="19">
        <v>18</v>
      </c>
      <c r="AC10" s="19">
        <v>21</v>
      </c>
      <c r="AD10" s="19">
        <v>19</v>
      </c>
      <c r="AE10" s="19">
        <v>18</v>
      </c>
      <c r="AF10" s="19"/>
    </row>
    <row r="11" spans="1:33" x14ac:dyDescent="0.25">
      <c r="A11" s="10">
        <v>18</v>
      </c>
      <c r="B11" s="19">
        <v>25</v>
      </c>
      <c r="C11" s="19">
        <v>23</v>
      </c>
      <c r="D11" s="19">
        <v>24</v>
      </c>
      <c r="E11" s="19">
        <v>28</v>
      </c>
      <c r="F11" s="19">
        <v>29</v>
      </c>
      <c r="G11" s="19">
        <v>21</v>
      </c>
      <c r="H11" s="19">
        <v>22</v>
      </c>
      <c r="I11" s="19">
        <v>15</v>
      </c>
      <c r="J11" s="19">
        <v>14</v>
      </c>
      <c r="K11" s="19">
        <v>14</v>
      </c>
      <c r="L11" s="19">
        <v>12</v>
      </c>
      <c r="M11" s="19">
        <v>7</v>
      </c>
      <c r="N11" s="19">
        <v>13</v>
      </c>
      <c r="O11" s="19">
        <v>20</v>
      </c>
      <c r="P11" s="19">
        <v>10</v>
      </c>
      <c r="Q11" s="19">
        <v>11</v>
      </c>
      <c r="R11" s="19">
        <v>11</v>
      </c>
      <c r="S11" s="19">
        <v>11</v>
      </c>
      <c r="T11" s="19">
        <v>12</v>
      </c>
      <c r="U11" s="19">
        <v>9</v>
      </c>
      <c r="V11" s="19">
        <v>12</v>
      </c>
      <c r="W11" s="19">
        <v>7</v>
      </c>
      <c r="X11" s="19">
        <v>7</v>
      </c>
      <c r="Y11" s="19">
        <v>8</v>
      </c>
      <c r="Z11" s="19">
        <v>13</v>
      </c>
      <c r="AA11" s="19">
        <v>16</v>
      </c>
      <c r="AB11" s="19">
        <v>18</v>
      </c>
      <c r="AC11" s="19">
        <v>21</v>
      </c>
      <c r="AD11" s="19">
        <v>19</v>
      </c>
      <c r="AE11" s="19">
        <v>18</v>
      </c>
      <c r="AF11" s="19"/>
    </row>
    <row r="12" spans="1:33" x14ac:dyDescent="0.25">
      <c r="A12" s="10">
        <v>20</v>
      </c>
      <c r="B12" s="19">
        <v>24</v>
      </c>
      <c r="C12" s="19">
        <v>20</v>
      </c>
      <c r="D12" s="19">
        <v>22</v>
      </c>
      <c r="E12" s="19">
        <v>24</v>
      </c>
      <c r="F12" s="19">
        <v>27</v>
      </c>
      <c r="G12" s="19">
        <v>21</v>
      </c>
      <c r="H12" s="19">
        <v>23</v>
      </c>
      <c r="I12" s="19">
        <v>11</v>
      </c>
      <c r="J12" s="19">
        <v>11</v>
      </c>
      <c r="K12" s="19">
        <v>14</v>
      </c>
      <c r="L12" s="19">
        <v>12</v>
      </c>
      <c r="M12" s="19">
        <v>6</v>
      </c>
      <c r="N12" s="19">
        <v>11</v>
      </c>
      <c r="O12" s="19">
        <v>19</v>
      </c>
      <c r="P12" s="19">
        <v>11</v>
      </c>
      <c r="Q12" s="19">
        <v>10</v>
      </c>
      <c r="R12" s="19">
        <v>9</v>
      </c>
      <c r="S12" s="19">
        <v>9</v>
      </c>
      <c r="T12" s="19">
        <v>11</v>
      </c>
      <c r="U12" s="19">
        <v>9</v>
      </c>
      <c r="V12" s="19">
        <v>10</v>
      </c>
      <c r="W12" s="19">
        <v>6</v>
      </c>
      <c r="X12" s="19">
        <v>6</v>
      </c>
      <c r="Y12" s="19">
        <v>7</v>
      </c>
      <c r="Z12" s="19">
        <v>11</v>
      </c>
      <c r="AA12" s="19">
        <v>13</v>
      </c>
      <c r="AB12" s="19">
        <v>16</v>
      </c>
      <c r="AC12" s="19">
        <v>19</v>
      </c>
      <c r="AD12" s="19">
        <v>18</v>
      </c>
      <c r="AE12" s="19">
        <v>16</v>
      </c>
      <c r="AF12" s="19"/>
    </row>
    <row r="13" spans="1:33" x14ac:dyDescent="0.25">
      <c r="A13" s="10">
        <v>22</v>
      </c>
      <c r="B13" s="19">
        <v>23</v>
      </c>
      <c r="C13" s="19">
        <v>19</v>
      </c>
      <c r="D13" s="19">
        <v>19</v>
      </c>
      <c r="E13" s="19">
        <v>24</v>
      </c>
      <c r="F13" s="19">
        <v>24</v>
      </c>
      <c r="G13" s="19">
        <v>17</v>
      </c>
      <c r="H13" s="19">
        <v>18</v>
      </c>
      <c r="I13" s="19">
        <v>10</v>
      </c>
      <c r="J13" s="19">
        <v>12</v>
      </c>
      <c r="K13" s="19">
        <v>13</v>
      </c>
      <c r="L13" s="19">
        <v>11</v>
      </c>
      <c r="M13" s="19">
        <v>6</v>
      </c>
      <c r="N13" s="19">
        <v>9</v>
      </c>
      <c r="O13" s="19">
        <v>14</v>
      </c>
      <c r="P13" s="19">
        <v>8</v>
      </c>
      <c r="Q13" s="19">
        <v>8</v>
      </c>
      <c r="R13" s="19">
        <v>6</v>
      </c>
      <c r="S13" s="19">
        <v>8</v>
      </c>
      <c r="T13" s="19">
        <v>10</v>
      </c>
      <c r="U13" s="19">
        <v>9</v>
      </c>
      <c r="V13" s="19">
        <v>8</v>
      </c>
      <c r="W13" s="19">
        <v>5</v>
      </c>
      <c r="X13" s="19">
        <v>6</v>
      </c>
      <c r="Y13" s="19">
        <v>6</v>
      </c>
      <c r="Z13" s="19">
        <v>8</v>
      </c>
      <c r="AA13" s="19">
        <v>10</v>
      </c>
      <c r="AB13" s="19">
        <v>14</v>
      </c>
      <c r="AC13" s="19">
        <v>15</v>
      </c>
      <c r="AD13" s="19">
        <v>14</v>
      </c>
      <c r="AE13" s="19">
        <v>14</v>
      </c>
      <c r="AF13" s="19"/>
    </row>
    <row r="14" spans="1:33" x14ac:dyDescent="0.25">
      <c r="A14" s="10">
        <v>24</v>
      </c>
      <c r="B14" s="19">
        <v>21</v>
      </c>
      <c r="C14" s="19">
        <v>16</v>
      </c>
      <c r="D14" s="19">
        <v>16</v>
      </c>
      <c r="E14" s="19">
        <v>21</v>
      </c>
      <c r="F14" s="19">
        <v>20</v>
      </c>
      <c r="G14" s="19">
        <v>14</v>
      </c>
      <c r="H14" s="19">
        <v>18</v>
      </c>
      <c r="I14" s="19">
        <v>8</v>
      </c>
      <c r="J14" s="19">
        <v>10</v>
      </c>
      <c r="K14" s="19">
        <v>12</v>
      </c>
      <c r="L14" s="19">
        <v>9</v>
      </c>
      <c r="M14" s="19">
        <v>6</v>
      </c>
      <c r="N14" s="19">
        <v>9</v>
      </c>
      <c r="O14" s="19">
        <v>9</v>
      </c>
      <c r="P14" s="19">
        <v>8</v>
      </c>
      <c r="Q14" s="19">
        <v>6</v>
      </c>
      <c r="R14" s="19">
        <v>6</v>
      </c>
      <c r="S14" s="19">
        <v>8</v>
      </c>
      <c r="T14" s="19">
        <v>10</v>
      </c>
      <c r="U14" s="19">
        <v>8</v>
      </c>
      <c r="V14" s="19">
        <v>7</v>
      </c>
      <c r="W14" s="19">
        <v>5</v>
      </c>
      <c r="X14" s="19">
        <v>4</v>
      </c>
      <c r="Y14" s="19">
        <v>6</v>
      </c>
      <c r="Z14" s="19">
        <v>7</v>
      </c>
      <c r="AA14" s="19">
        <v>8</v>
      </c>
      <c r="AB14" s="19">
        <v>11</v>
      </c>
      <c r="AC14" s="19">
        <v>12</v>
      </c>
      <c r="AD14" s="19">
        <v>14</v>
      </c>
      <c r="AE14" s="19">
        <v>13</v>
      </c>
      <c r="AF14" s="19"/>
    </row>
    <row r="15" spans="1:33" x14ac:dyDescent="0.25">
      <c r="A15" s="10">
        <v>2</v>
      </c>
      <c r="B15" s="19">
        <v>19</v>
      </c>
      <c r="C15" s="19">
        <v>19</v>
      </c>
      <c r="D15" s="19">
        <v>19</v>
      </c>
      <c r="E15" s="19">
        <v>20</v>
      </c>
      <c r="F15" s="19">
        <v>18</v>
      </c>
      <c r="G15" s="19">
        <v>14</v>
      </c>
      <c r="H15" s="19">
        <v>16</v>
      </c>
      <c r="I15" s="19">
        <v>7</v>
      </c>
      <c r="J15" s="19">
        <v>9</v>
      </c>
      <c r="K15" s="19">
        <v>11</v>
      </c>
      <c r="L15" s="19">
        <v>6</v>
      </c>
      <c r="M15" s="19">
        <v>4</v>
      </c>
      <c r="N15" s="19">
        <v>8</v>
      </c>
      <c r="O15" s="19">
        <v>8</v>
      </c>
      <c r="P15" s="19">
        <v>9</v>
      </c>
      <c r="Q15" s="19">
        <v>6</v>
      </c>
      <c r="R15" s="19">
        <v>6</v>
      </c>
      <c r="S15" s="19">
        <v>5</v>
      </c>
      <c r="T15" s="19">
        <v>8</v>
      </c>
      <c r="U15" s="19">
        <v>8</v>
      </c>
      <c r="V15" s="19">
        <v>7</v>
      </c>
      <c r="W15" s="19">
        <v>4</v>
      </c>
      <c r="X15" s="19">
        <v>4</v>
      </c>
      <c r="Y15" s="19">
        <v>6</v>
      </c>
      <c r="Z15" s="19">
        <v>6</v>
      </c>
      <c r="AA15" s="19">
        <v>8</v>
      </c>
      <c r="AB15" s="19">
        <v>10</v>
      </c>
      <c r="AC15" s="19">
        <v>11</v>
      </c>
      <c r="AD15" s="19">
        <v>13</v>
      </c>
      <c r="AE15" s="19">
        <v>12</v>
      </c>
      <c r="AF15" s="19"/>
    </row>
    <row r="16" spans="1:33" ht="30" x14ac:dyDescent="0.25">
      <c r="A16" s="11" t="s">
        <v>2</v>
      </c>
      <c r="B16" s="15">
        <f>(B4+B5+B6+B7+B8+B9+B10+B11+B12+B13+B14+B15)/12</f>
        <v>21.5</v>
      </c>
      <c r="C16" s="15">
        <f t="shared" ref="C16:O16" si="0">(C4+C5+C6+C7+C8+C9+C10+C11+C12+C13+C14+C15)/12</f>
        <v>20.833333333333332</v>
      </c>
      <c r="D16" s="15">
        <f t="shared" si="0"/>
        <v>21</v>
      </c>
      <c r="E16" s="15">
        <f t="shared" si="0"/>
        <v>24.25</v>
      </c>
      <c r="F16" s="15">
        <f t="shared" si="0"/>
        <v>23.916666666666668</v>
      </c>
      <c r="G16" s="15">
        <f t="shared" si="0"/>
        <v>18.666666666666668</v>
      </c>
      <c r="H16" s="15">
        <f t="shared" si="0"/>
        <v>20.166666666666668</v>
      </c>
      <c r="I16" s="15">
        <f t="shared" si="0"/>
        <v>14.833333333333334</v>
      </c>
      <c r="J16" s="15">
        <f t="shared" si="0"/>
        <v>11.833333333333334</v>
      </c>
      <c r="K16" s="15">
        <f t="shared" si="0"/>
        <v>12.916666666666666</v>
      </c>
      <c r="L16" s="15">
        <f t="shared" si="0"/>
        <v>12.25</v>
      </c>
      <c r="M16" s="15">
        <f t="shared" si="0"/>
        <v>6.75</v>
      </c>
      <c r="N16" s="15">
        <f t="shared" si="0"/>
        <v>8.9166666666666661</v>
      </c>
      <c r="O16" s="15">
        <f t="shared" si="0"/>
        <v>14.666666666666666</v>
      </c>
      <c r="P16" s="15">
        <f>(P4+P5+P6+P7+P8+P9+P10+P11+P12+P13+P14+P15)/12</f>
        <v>9.0833333333333339</v>
      </c>
      <c r="Q16" s="15">
        <f>(Q4+Q5+Q6+Q7+Q8+Q9+Q10+Q11+Q12+Q13+Q14+Q15)/12</f>
        <v>9.5833333333333339</v>
      </c>
      <c r="R16" s="15">
        <f>(R4+R5+R6+R7+R8+R9+R10+R11+R12+R13+R14+R15)/12</f>
        <v>8.3333333333333339</v>
      </c>
      <c r="S16" s="15">
        <f t="shared" ref="S16:AF16" si="1">(S4+S5+S6+S7+S8+S9+S10+S11+S12+S13+S14+S15)/12</f>
        <v>8.3333333333333339</v>
      </c>
      <c r="T16" s="15">
        <f t="shared" si="1"/>
        <v>9.8333333333333339</v>
      </c>
      <c r="U16" s="15">
        <f t="shared" si="1"/>
        <v>8.5833333333333339</v>
      </c>
      <c r="V16" s="15">
        <f t="shared" si="1"/>
        <v>9.5</v>
      </c>
      <c r="W16" s="15">
        <f t="shared" si="1"/>
        <v>6</v>
      </c>
      <c r="X16" s="15">
        <f t="shared" si="1"/>
        <v>5.833333333333333</v>
      </c>
      <c r="Y16" s="15">
        <f t="shared" si="1"/>
        <v>6.583333333333333</v>
      </c>
      <c r="Z16" s="15">
        <f t="shared" si="1"/>
        <v>9.4166666666666661</v>
      </c>
      <c r="AA16" s="15">
        <f t="shared" si="1"/>
        <v>11.583333333333334</v>
      </c>
      <c r="AB16" s="15">
        <f t="shared" si="1"/>
        <v>14.5</v>
      </c>
      <c r="AC16" s="15">
        <f t="shared" si="1"/>
        <v>16.416666666666668</v>
      </c>
      <c r="AD16" s="15">
        <f t="shared" si="1"/>
        <v>16.166666666666668</v>
      </c>
      <c r="AE16" s="15">
        <f t="shared" si="1"/>
        <v>14.833333333333334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12</v>
      </c>
      <c r="C24" s="19">
        <v>18</v>
      </c>
      <c r="D24" s="19">
        <v>13</v>
      </c>
      <c r="E24" s="19">
        <v>16</v>
      </c>
      <c r="F24" s="13">
        <v>17</v>
      </c>
      <c r="G24" s="19">
        <v>17</v>
      </c>
      <c r="H24" s="19">
        <v>11</v>
      </c>
      <c r="I24" s="19">
        <v>14</v>
      </c>
      <c r="J24" s="19">
        <v>8</v>
      </c>
      <c r="K24" s="19">
        <v>8</v>
      </c>
      <c r="L24" s="19">
        <v>11</v>
      </c>
      <c r="M24" s="19">
        <v>7</v>
      </c>
      <c r="N24" s="19">
        <v>4</v>
      </c>
      <c r="O24" s="13">
        <v>9</v>
      </c>
      <c r="P24" s="19">
        <v>8</v>
      </c>
      <c r="Q24" s="19">
        <v>6</v>
      </c>
      <c r="R24" s="19">
        <v>4</v>
      </c>
      <c r="S24" s="19">
        <v>6</v>
      </c>
      <c r="T24" s="19">
        <v>5</v>
      </c>
      <c r="U24" s="19">
        <v>8</v>
      </c>
      <c r="V24" s="19">
        <v>7</v>
      </c>
      <c r="W24" s="19">
        <v>7</v>
      </c>
      <c r="X24" s="19">
        <v>4</v>
      </c>
      <c r="Y24" s="19">
        <v>4</v>
      </c>
      <c r="Z24" s="19">
        <v>4</v>
      </c>
      <c r="AA24" s="19">
        <v>6</v>
      </c>
      <c r="AB24" s="19">
        <v>7</v>
      </c>
      <c r="AC24" s="19">
        <v>9</v>
      </c>
      <c r="AD24" s="19">
        <v>11</v>
      </c>
      <c r="AE24" s="19">
        <v>12</v>
      </c>
      <c r="AF24" s="19"/>
    </row>
    <row r="25" spans="1:32" x14ac:dyDescent="0.25">
      <c r="A25" s="10">
        <v>6</v>
      </c>
      <c r="B25" s="19">
        <v>14</v>
      </c>
      <c r="C25" s="19">
        <v>21</v>
      </c>
      <c r="D25" s="19">
        <v>15</v>
      </c>
      <c r="E25" s="19">
        <v>18</v>
      </c>
      <c r="F25" s="13">
        <v>20</v>
      </c>
      <c r="G25" s="19">
        <v>17</v>
      </c>
      <c r="H25" s="19">
        <v>15</v>
      </c>
      <c r="I25" s="19">
        <v>15</v>
      </c>
      <c r="J25" s="19">
        <v>10</v>
      </c>
      <c r="K25" s="19">
        <v>9</v>
      </c>
      <c r="L25" s="19">
        <v>13</v>
      </c>
      <c r="M25" s="19">
        <v>7</v>
      </c>
      <c r="N25" s="19">
        <v>5</v>
      </c>
      <c r="O25" s="13">
        <v>10</v>
      </c>
      <c r="P25" s="19">
        <v>8</v>
      </c>
      <c r="Q25" s="19">
        <v>6</v>
      </c>
      <c r="R25" s="19">
        <v>6</v>
      </c>
      <c r="S25" s="19">
        <v>7</v>
      </c>
      <c r="T25" s="19">
        <v>8</v>
      </c>
      <c r="U25" s="19">
        <v>8</v>
      </c>
      <c r="V25" s="19">
        <v>8</v>
      </c>
      <c r="W25" s="19">
        <v>7</v>
      </c>
      <c r="X25" s="19">
        <v>5</v>
      </c>
      <c r="Y25" s="19">
        <v>6</v>
      </c>
      <c r="Z25" s="19">
        <v>6</v>
      </c>
      <c r="AA25" s="19">
        <v>8</v>
      </c>
      <c r="AB25" s="19">
        <v>11</v>
      </c>
      <c r="AC25" s="19">
        <v>12</v>
      </c>
      <c r="AD25" s="19">
        <v>13</v>
      </c>
      <c r="AE25" s="19">
        <v>13</v>
      </c>
      <c r="AF25" s="19"/>
    </row>
    <row r="26" spans="1:32" x14ac:dyDescent="0.25">
      <c r="A26" s="10">
        <v>8</v>
      </c>
      <c r="B26" s="19">
        <v>17</v>
      </c>
      <c r="C26" s="19">
        <v>22</v>
      </c>
      <c r="D26" s="19">
        <v>18</v>
      </c>
      <c r="E26" s="19">
        <v>21</v>
      </c>
      <c r="F26" s="13">
        <v>22</v>
      </c>
      <c r="G26" s="19">
        <v>18</v>
      </c>
      <c r="H26" s="19">
        <v>18</v>
      </c>
      <c r="I26" s="19">
        <v>17</v>
      </c>
      <c r="J26" s="19">
        <v>17</v>
      </c>
      <c r="K26" s="19">
        <v>10</v>
      </c>
      <c r="L26" s="19">
        <v>14</v>
      </c>
      <c r="M26" s="19">
        <v>9</v>
      </c>
      <c r="N26" s="19">
        <v>7</v>
      </c>
      <c r="O26" s="13">
        <v>13</v>
      </c>
      <c r="P26" s="19">
        <v>8</v>
      </c>
      <c r="Q26" s="19">
        <v>11</v>
      </c>
      <c r="R26" s="19">
        <v>8</v>
      </c>
      <c r="S26" s="19">
        <v>8</v>
      </c>
      <c r="T26" s="19">
        <v>9</v>
      </c>
      <c r="U26" s="19">
        <v>8</v>
      </c>
      <c r="V26" s="19">
        <v>10</v>
      </c>
      <c r="W26" s="19">
        <v>6</v>
      </c>
      <c r="X26" s="19">
        <v>6</v>
      </c>
      <c r="Y26" s="19">
        <v>6</v>
      </c>
      <c r="Z26" s="19">
        <v>7</v>
      </c>
      <c r="AA26" s="19">
        <v>11</v>
      </c>
      <c r="AB26" s="19">
        <v>14</v>
      </c>
      <c r="AC26" s="19">
        <v>16</v>
      </c>
      <c r="AD26" s="19">
        <v>15</v>
      </c>
      <c r="AE26" s="19">
        <v>14</v>
      </c>
      <c r="AF26" s="19"/>
    </row>
    <row r="27" spans="1:32" x14ac:dyDescent="0.25">
      <c r="A27" s="10">
        <v>10</v>
      </c>
      <c r="B27" s="19">
        <v>19</v>
      </c>
      <c r="C27" s="19">
        <v>22</v>
      </c>
      <c r="D27" s="19">
        <v>23</v>
      </c>
      <c r="E27" s="19">
        <v>25</v>
      </c>
      <c r="F27" s="13">
        <v>23</v>
      </c>
      <c r="G27" s="19">
        <v>21</v>
      </c>
      <c r="H27" s="19">
        <v>23</v>
      </c>
      <c r="I27" s="19">
        <v>19</v>
      </c>
      <c r="J27" s="19">
        <v>12</v>
      </c>
      <c r="K27" s="19">
        <v>12</v>
      </c>
      <c r="L27" s="19">
        <v>15</v>
      </c>
      <c r="M27" s="19">
        <v>9</v>
      </c>
      <c r="N27" s="19">
        <v>8</v>
      </c>
      <c r="O27" s="13">
        <v>17</v>
      </c>
      <c r="P27" s="19">
        <v>8</v>
      </c>
      <c r="Q27" s="19">
        <v>13</v>
      </c>
      <c r="R27" s="19">
        <v>8</v>
      </c>
      <c r="S27" s="19">
        <v>9</v>
      </c>
      <c r="T27" s="19">
        <v>11</v>
      </c>
      <c r="U27" s="19">
        <v>8</v>
      </c>
      <c r="V27" s="19">
        <v>11</v>
      </c>
      <c r="W27" s="19">
        <v>6</v>
      </c>
      <c r="X27" s="19">
        <v>7</v>
      </c>
      <c r="Y27" s="19">
        <v>7</v>
      </c>
      <c r="Z27" s="19">
        <v>10</v>
      </c>
      <c r="AA27" s="19">
        <v>12</v>
      </c>
      <c r="AB27" s="19">
        <v>16</v>
      </c>
      <c r="AC27" s="19">
        <v>18</v>
      </c>
      <c r="AD27" s="19">
        <v>18</v>
      </c>
      <c r="AE27" s="19">
        <v>15</v>
      </c>
      <c r="AF27" s="19"/>
    </row>
    <row r="28" spans="1:32" x14ac:dyDescent="0.25">
      <c r="A28" s="10">
        <v>12</v>
      </c>
      <c r="B28" s="19">
        <v>21</v>
      </c>
      <c r="C28" s="19">
        <v>23</v>
      </c>
      <c r="D28" s="19">
        <v>23</v>
      </c>
      <c r="E28" s="19">
        <v>29</v>
      </c>
      <c r="F28" s="13">
        <v>25</v>
      </c>
      <c r="G28" s="19">
        <v>23</v>
      </c>
      <c r="H28" s="19">
        <v>24</v>
      </c>
      <c r="I28" s="19">
        <v>20</v>
      </c>
      <c r="J28" s="19">
        <v>14</v>
      </c>
      <c r="K28" s="19">
        <v>14</v>
      </c>
      <c r="L28" s="19">
        <v>15</v>
      </c>
      <c r="M28" s="19">
        <v>9</v>
      </c>
      <c r="N28" s="19">
        <v>12</v>
      </c>
      <c r="O28" s="13">
        <v>20</v>
      </c>
      <c r="P28" s="19">
        <v>9</v>
      </c>
      <c r="Q28" s="19">
        <v>11</v>
      </c>
      <c r="R28" s="19">
        <v>10</v>
      </c>
      <c r="S28" s="19">
        <v>10</v>
      </c>
      <c r="T28" s="19">
        <v>12</v>
      </c>
      <c r="U28" s="19">
        <v>10</v>
      </c>
      <c r="V28" s="19">
        <v>11</v>
      </c>
      <c r="W28" s="19">
        <v>7</v>
      </c>
      <c r="X28" s="19">
        <v>9</v>
      </c>
      <c r="Y28" s="19">
        <v>7</v>
      </c>
      <c r="Z28" s="19">
        <v>11</v>
      </c>
      <c r="AA28" s="19">
        <v>13</v>
      </c>
      <c r="AB28" s="19">
        <v>17</v>
      </c>
      <c r="AC28" s="19">
        <v>19</v>
      </c>
      <c r="AD28" s="19">
        <v>19</v>
      </c>
      <c r="AE28" s="19">
        <v>15</v>
      </c>
      <c r="AF28" s="19"/>
    </row>
    <row r="29" spans="1:32" x14ac:dyDescent="0.25">
      <c r="A29" s="10">
        <v>14</v>
      </c>
      <c r="B29" s="19">
        <v>25</v>
      </c>
      <c r="C29" s="19">
        <v>24</v>
      </c>
      <c r="D29" s="19">
        <v>24</v>
      </c>
      <c r="E29" s="19">
        <v>31</v>
      </c>
      <c r="F29" s="13">
        <v>27</v>
      </c>
      <c r="G29" s="19">
        <v>24</v>
      </c>
      <c r="H29" s="19">
        <v>25</v>
      </c>
      <c r="I29" s="19">
        <v>18</v>
      </c>
      <c r="J29" s="19">
        <v>15</v>
      </c>
      <c r="K29" s="19">
        <v>16</v>
      </c>
      <c r="L29" s="19">
        <v>14</v>
      </c>
      <c r="M29" s="19">
        <v>9</v>
      </c>
      <c r="N29" s="19">
        <v>13</v>
      </c>
      <c r="O29" s="13">
        <v>21</v>
      </c>
      <c r="P29" s="19">
        <v>10</v>
      </c>
      <c r="Q29" s="19">
        <v>11</v>
      </c>
      <c r="R29" s="19">
        <v>11</v>
      </c>
      <c r="S29" s="19">
        <v>10</v>
      </c>
      <c r="T29" s="19">
        <v>12</v>
      </c>
      <c r="U29" s="19">
        <v>9</v>
      </c>
      <c r="V29" s="19">
        <v>12</v>
      </c>
      <c r="W29" s="19">
        <v>8</v>
      </c>
      <c r="X29" s="19">
        <v>9</v>
      </c>
      <c r="Y29" s="19">
        <v>7</v>
      </c>
      <c r="Z29" s="19">
        <v>12</v>
      </c>
      <c r="AA29" s="19">
        <v>15</v>
      </c>
      <c r="AB29" s="19">
        <v>18</v>
      </c>
      <c r="AC29" s="19">
        <v>19</v>
      </c>
      <c r="AD29" s="19">
        <v>20</v>
      </c>
      <c r="AE29" s="19">
        <v>16</v>
      </c>
      <c r="AF29" s="19"/>
    </row>
    <row r="30" spans="1:32" x14ac:dyDescent="0.25">
      <c r="A30" s="10">
        <v>16</v>
      </c>
      <c r="B30" s="19">
        <v>26</v>
      </c>
      <c r="C30" s="19">
        <v>24</v>
      </c>
      <c r="D30" s="19">
        <v>25</v>
      </c>
      <c r="E30" s="19">
        <v>31</v>
      </c>
      <c r="F30" s="13">
        <v>28</v>
      </c>
      <c r="G30" s="19">
        <v>24</v>
      </c>
      <c r="H30" s="19">
        <v>24</v>
      </c>
      <c r="I30" s="19">
        <v>15</v>
      </c>
      <c r="J30" s="19">
        <v>15</v>
      </c>
      <c r="K30" s="19">
        <v>17</v>
      </c>
      <c r="L30" s="19">
        <v>13</v>
      </c>
      <c r="M30" s="19">
        <v>8</v>
      </c>
      <c r="N30" s="19">
        <v>13</v>
      </c>
      <c r="O30" s="13">
        <v>20</v>
      </c>
      <c r="P30" s="19">
        <v>11</v>
      </c>
      <c r="Q30" s="19">
        <v>11</v>
      </c>
      <c r="R30" s="19">
        <v>11</v>
      </c>
      <c r="S30" s="19">
        <v>11</v>
      </c>
      <c r="T30" s="19">
        <v>13</v>
      </c>
      <c r="U30" s="19">
        <v>10</v>
      </c>
      <c r="V30" s="19">
        <v>12</v>
      </c>
      <c r="W30" s="19">
        <v>8</v>
      </c>
      <c r="X30" s="19">
        <v>10</v>
      </c>
      <c r="Y30" s="19">
        <v>8</v>
      </c>
      <c r="Z30" s="19">
        <v>13</v>
      </c>
      <c r="AA30" s="19">
        <v>16</v>
      </c>
      <c r="AB30" s="19">
        <v>18</v>
      </c>
      <c r="AC30" s="19">
        <v>20</v>
      </c>
      <c r="AD30" s="19">
        <v>20</v>
      </c>
      <c r="AE30" s="19">
        <v>17</v>
      </c>
      <c r="AF30" s="19"/>
    </row>
    <row r="31" spans="1:32" x14ac:dyDescent="0.25">
      <c r="A31" s="10">
        <v>18</v>
      </c>
      <c r="B31" s="19">
        <v>25</v>
      </c>
      <c r="C31" s="19">
        <v>22</v>
      </c>
      <c r="D31" s="19">
        <v>25</v>
      </c>
      <c r="E31" s="19">
        <v>28</v>
      </c>
      <c r="F31" s="13">
        <v>27</v>
      </c>
      <c r="G31" s="19">
        <v>23</v>
      </c>
      <c r="H31" s="19">
        <v>24</v>
      </c>
      <c r="I31" s="19">
        <v>13</v>
      </c>
      <c r="J31" s="19">
        <v>14</v>
      </c>
      <c r="K31" s="19">
        <v>16</v>
      </c>
      <c r="L31" s="19">
        <v>13</v>
      </c>
      <c r="M31" s="19">
        <v>7</v>
      </c>
      <c r="N31" s="19">
        <v>13</v>
      </c>
      <c r="O31" s="13">
        <v>18</v>
      </c>
      <c r="P31" s="19">
        <v>10</v>
      </c>
      <c r="Q31" s="19">
        <v>11</v>
      </c>
      <c r="R31" s="19">
        <v>11</v>
      </c>
      <c r="S31" s="19">
        <v>11</v>
      </c>
      <c r="T31" s="19">
        <v>12</v>
      </c>
      <c r="U31" s="19">
        <v>10</v>
      </c>
      <c r="V31" s="19">
        <v>11</v>
      </c>
      <c r="W31" s="19">
        <v>8</v>
      </c>
      <c r="X31" s="19">
        <v>9</v>
      </c>
      <c r="Y31" s="19">
        <v>7</v>
      </c>
      <c r="Z31" s="19">
        <v>12</v>
      </c>
      <c r="AA31" s="19">
        <v>16</v>
      </c>
      <c r="AB31" s="19">
        <v>19</v>
      </c>
      <c r="AC31" s="19">
        <v>21</v>
      </c>
      <c r="AD31" s="19">
        <v>19</v>
      </c>
      <c r="AE31" s="19">
        <v>17</v>
      </c>
      <c r="AF31" s="19"/>
    </row>
    <row r="32" spans="1:32" x14ac:dyDescent="0.25">
      <c r="A32" s="10">
        <v>20</v>
      </c>
      <c r="B32" s="19">
        <v>22</v>
      </c>
      <c r="C32" s="19">
        <v>21</v>
      </c>
      <c r="D32" s="19">
        <v>22</v>
      </c>
      <c r="E32" s="19">
        <v>26</v>
      </c>
      <c r="F32" s="13">
        <v>24</v>
      </c>
      <c r="G32" s="19">
        <v>20</v>
      </c>
      <c r="H32" s="19">
        <v>22</v>
      </c>
      <c r="I32" s="19">
        <v>11</v>
      </c>
      <c r="J32" s="19">
        <v>12</v>
      </c>
      <c r="K32" s="19">
        <v>15</v>
      </c>
      <c r="L32" s="19">
        <v>12</v>
      </c>
      <c r="M32" s="19">
        <v>7</v>
      </c>
      <c r="N32" s="19">
        <v>12</v>
      </c>
      <c r="O32" s="13">
        <v>14</v>
      </c>
      <c r="P32" s="19">
        <v>9</v>
      </c>
      <c r="Q32" s="19">
        <v>11</v>
      </c>
      <c r="R32" s="19">
        <v>9</v>
      </c>
      <c r="S32" s="19">
        <v>10</v>
      </c>
      <c r="T32" s="19">
        <v>11</v>
      </c>
      <c r="U32" s="19">
        <v>9</v>
      </c>
      <c r="V32" s="19">
        <v>12</v>
      </c>
      <c r="W32" s="19">
        <v>7</v>
      </c>
      <c r="X32" s="19">
        <v>7</v>
      </c>
      <c r="Y32" s="19">
        <v>6</v>
      </c>
      <c r="Z32" s="19">
        <v>12</v>
      </c>
      <c r="AA32" s="19">
        <v>13</v>
      </c>
      <c r="AB32" s="19">
        <v>18</v>
      </c>
      <c r="AC32" s="19">
        <v>18</v>
      </c>
      <c r="AD32" s="19">
        <v>17</v>
      </c>
      <c r="AE32" s="19">
        <v>16</v>
      </c>
      <c r="AF32" s="19"/>
    </row>
    <row r="33" spans="1:32" x14ac:dyDescent="0.25">
      <c r="A33" s="10">
        <v>22</v>
      </c>
      <c r="B33" s="19">
        <v>21</v>
      </c>
      <c r="C33" s="19">
        <v>17</v>
      </c>
      <c r="D33" s="19">
        <v>17</v>
      </c>
      <c r="E33" s="19">
        <v>22</v>
      </c>
      <c r="F33" s="13">
        <v>22</v>
      </c>
      <c r="G33" s="19">
        <v>18</v>
      </c>
      <c r="H33" s="19">
        <v>18</v>
      </c>
      <c r="I33" s="19">
        <v>10</v>
      </c>
      <c r="J33" s="19">
        <v>10</v>
      </c>
      <c r="K33" s="19">
        <v>13</v>
      </c>
      <c r="L33" s="19">
        <v>10</v>
      </c>
      <c r="M33" s="19">
        <v>6</v>
      </c>
      <c r="N33" s="19">
        <v>9</v>
      </c>
      <c r="O33" s="13">
        <v>12</v>
      </c>
      <c r="P33" s="19">
        <v>8</v>
      </c>
      <c r="Q33" s="19">
        <v>7</v>
      </c>
      <c r="R33" s="19">
        <v>8</v>
      </c>
      <c r="S33" s="19">
        <v>8</v>
      </c>
      <c r="T33" s="19">
        <v>9</v>
      </c>
      <c r="U33" s="19">
        <v>8</v>
      </c>
      <c r="V33" s="19">
        <v>8</v>
      </c>
      <c r="W33" s="19">
        <v>6</v>
      </c>
      <c r="X33" s="19">
        <v>6</v>
      </c>
      <c r="Y33" s="19">
        <v>5</v>
      </c>
      <c r="Z33" s="19">
        <v>9</v>
      </c>
      <c r="AA33" s="19">
        <v>11</v>
      </c>
      <c r="AB33" s="19">
        <v>12</v>
      </c>
      <c r="AC33" s="19">
        <v>14</v>
      </c>
      <c r="AD33" s="19">
        <v>14</v>
      </c>
      <c r="AE33" s="19">
        <v>15</v>
      </c>
      <c r="AF33" s="19"/>
    </row>
    <row r="34" spans="1:32" x14ac:dyDescent="0.25">
      <c r="A34" s="10">
        <v>24</v>
      </c>
      <c r="B34" s="19">
        <v>20</v>
      </c>
      <c r="C34" s="19">
        <v>16</v>
      </c>
      <c r="D34" s="19">
        <v>15</v>
      </c>
      <c r="E34" s="19">
        <v>19</v>
      </c>
      <c r="F34" s="13">
        <v>19</v>
      </c>
      <c r="G34" s="19">
        <v>14</v>
      </c>
      <c r="H34" s="19">
        <v>16</v>
      </c>
      <c r="I34" s="19">
        <v>8</v>
      </c>
      <c r="J34" s="19">
        <v>8</v>
      </c>
      <c r="K34" s="19">
        <v>11</v>
      </c>
      <c r="L34" s="19">
        <v>9</v>
      </c>
      <c r="M34" s="19">
        <v>5</v>
      </c>
      <c r="N34" s="19">
        <v>8</v>
      </c>
      <c r="O34" s="13">
        <v>10</v>
      </c>
      <c r="P34" s="19">
        <v>7</v>
      </c>
      <c r="Q34" s="19">
        <v>5</v>
      </c>
      <c r="R34" s="19">
        <v>6</v>
      </c>
      <c r="S34" s="19">
        <v>6</v>
      </c>
      <c r="T34" s="19">
        <v>8</v>
      </c>
      <c r="U34" s="19">
        <v>9</v>
      </c>
      <c r="V34" s="19">
        <v>7</v>
      </c>
      <c r="W34" s="19">
        <v>5</v>
      </c>
      <c r="X34" s="19">
        <v>4</v>
      </c>
      <c r="Y34" s="19">
        <v>5</v>
      </c>
      <c r="Z34" s="19">
        <v>7</v>
      </c>
      <c r="AA34" s="19">
        <v>8</v>
      </c>
      <c r="AB34" s="19">
        <v>11</v>
      </c>
      <c r="AC34" s="19">
        <v>12</v>
      </c>
      <c r="AD34" s="19">
        <v>14</v>
      </c>
      <c r="AE34" s="19">
        <v>13</v>
      </c>
      <c r="AF34" s="19"/>
    </row>
    <row r="35" spans="1:32" x14ac:dyDescent="0.25">
      <c r="A35" s="10">
        <v>2</v>
      </c>
      <c r="B35" s="19">
        <v>19</v>
      </c>
      <c r="C35" s="19">
        <v>16</v>
      </c>
      <c r="D35" s="19">
        <v>14</v>
      </c>
      <c r="E35" s="19">
        <v>18</v>
      </c>
      <c r="F35" s="13">
        <v>17</v>
      </c>
      <c r="G35" s="19">
        <v>11</v>
      </c>
      <c r="H35" s="19">
        <v>14</v>
      </c>
      <c r="I35" s="19">
        <v>8</v>
      </c>
      <c r="J35" s="19">
        <v>7</v>
      </c>
      <c r="K35" s="19">
        <v>11</v>
      </c>
      <c r="L35" s="19">
        <v>7</v>
      </c>
      <c r="M35" s="19">
        <v>5</v>
      </c>
      <c r="N35" s="19">
        <v>8</v>
      </c>
      <c r="O35" s="13">
        <v>8</v>
      </c>
      <c r="P35" s="19">
        <v>5</v>
      </c>
      <c r="Q35" s="19">
        <v>4</v>
      </c>
      <c r="R35" s="19">
        <v>5</v>
      </c>
      <c r="S35" s="19">
        <v>5</v>
      </c>
      <c r="T35" s="19">
        <v>8</v>
      </c>
      <c r="U35" s="19">
        <v>7</v>
      </c>
      <c r="V35" s="19">
        <v>6</v>
      </c>
      <c r="W35" s="19">
        <v>4</v>
      </c>
      <c r="X35" s="19">
        <v>3</v>
      </c>
      <c r="Y35" s="19">
        <v>4</v>
      </c>
      <c r="Z35" s="19">
        <v>6</v>
      </c>
      <c r="AA35" s="19">
        <v>7</v>
      </c>
      <c r="AB35" s="19">
        <v>9</v>
      </c>
      <c r="AC35" s="19">
        <v>11</v>
      </c>
      <c r="AD35" s="19">
        <v>11</v>
      </c>
      <c r="AE35" s="19">
        <v>11</v>
      </c>
      <c r="AF35" s="19"/>
    </row>
    <row r="36" spans="1:32" ht="30" x14ac:dyDescent="0.25">
      <c r="A36" s="11" t="s">
        <v>2</v>
      </c>
      <c r="B36" s="15">
        <f>(B24+B25+B26+B27+B28+B29+B30+B31+B32+B33+B34+B35)/12</f>
        <v>20.083333333333332</v>
      </c>
      <c r="C36" s="15">
        <f t="shared" ref="C36:J36" si="2">(C24+C25+C26+C27+C28+C29+C30+C31+C32+C33+C34+C35)/12</f>
        <v>20.5</v>
      </c>
      <c r="D36" s="15">
        <f t="shared" si="2"/>
        <v>19.5</v>
      </c>
      <c r="E36" s="15">
        <f t="shared" si="2"/>
        <v>23.666666666666668</v>
      </c>
      <c r="F36" s="15">
        <f t="shared" si="2"/>
        <v>22.583333333333332</v>
      </c>
      <c r="G36" s="15">
        <f t="shared" si="2"/>
        <v>19.166666666666668</v>
      </c>
      <c r="H36" s="15">
        <f t="shared" si="2"/>
        <v>19.5</v>
      </c>
      <c r="I36" s="15">
        <f t="shared" si="2"/>
        <v>14</v>
      </c>
      <c r="J36" s="15">
        <f t="shared" si="2"/>
        <v>11.833333333333334</v>
      </c>
      <c r="K36" s="15">
        <f>(K24+K25+K26+K27+K28+K29+K30+K31+K32+K33+K34+K35)/12</f>
        <v>12.666666666666666</v>
      </c>
      <c r="L36" s="15">
        <f t="shared" ref="L36:AF36" si="3">(L24+L25+L26+L27+L28+L29+L30+L31+L32+L33+L34+L35)/12</f>
        <v>12.166666666666666</v>
      </c>
      <c r="M36" s="15">
        <f t="shared" si="3"/>
        <v>7.333333333333333</v>
      </c>
      <c r="N36" s="15">
        <f t="shared" si="3"/>
        <v>9.3333333333333339</v>
      </c>
      <c r="O36" s="15">
        <f t="shared" si="3"/>
        <v>14.333333333333334</v>
      </c>
      <c r="P36" s="15">
        <f t="shared" si="3"/>
        <v>8.4166666666666661</v>
      </c>
      <c r="Q36" s="15">
        <f t="shared" si="3"/>
        <v>8.9166666666666661</v>
      </c>
      <c r="R36" s="15">
        <f t="shared" si="3"/>
        <v>8.0833333333333339</v>
      </c>
      <c r="S36" s="15">
        <f t="shared" si="3"/>
        <v>8.4166666666666661</v>
      </c>
      <c r="T36" s="15">
        <f t="shared" si="3"/>
        <v>9.8333333333333339</v>
      </c>
      <c r="U36" s="15">
        <f t="shared" si="3"/>
        <v>8.6666666666666661</v>
      </c>
      <c r="V36" s="15">
        <f t="shared" si="3"/>
        <v>9.5833333333333339</v>
      </c>
      <c r="W36" s="15">
        <f t="shared" si="3"/>
        <v>6.583333333333333</v>
      </c>
      <c r="X36" s="15">
        <f t="shared" si="3"/>
        <v>6.583333333333333</v>
      </c>
      <c r="Y36" s="15">
        <f t="shared" si="3"/>
        <v>6</v>
      </c>
      <c r="Z36" s="15">
        <f t="shared" si="3"/>
        <v>9.0833333333333339</v>
      </c>
      <c r="AA36" s="15">
        <f t="shared" si="3"/>
        <v>11.333333333333334</v>
      </c>
      <c r="AB36" s="15">
        <f t="shared" si="3"/>
        <v>14.166666666666666</v>
      </c>
      <c r="AC36" s="15">
        <f t="shared" si="3"/>
        <v>15.75</v>
      </c>
      <c r="AD36" s="15">
        <f>(AD24+AD25+AD26+AD27+AD28+AD29+AD30+AD31+AD32+AD33+AD34+AD35)/12</f>
        <v>15.916666666666666</v>
      </c>
      <c r="AE36" s="15">
        <f>(AE24+AE25+AE26+AE27+AE28+AE29+AE30+AE31+AE32+AE33+AE34+AE35)/12</f>
        <v>14.5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24" sqref="AF24:AF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60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11</v>
      </c>
      <c r="C4" s="19">
        <v>13</v>
      </c>
      <c r="D4" s="19">
        <v>16</v>
      </c>
      <c r="E4" s="19">
        <v>17</v>
      </c>
      <c r="F4" s="19">
        <v>20</v>
      </c>
      <c r="G4" s="19">
        <v>20</v>
      </c>
      <c r="H4" s="19">
        <v>18</v>
      </c>
      <c r="I4" s="19">
        <v>15</v>
      </c>
      <c r="J4" s="19">
        <v>14</v>
      </c>
      <c r="K4" s="19">
        <v>16</v>
      </c>
      <c r="L4" s="19">
        <v>14</v>
      </c>
      <c r="M4" s="19">
        <v>13</v>
      </c>
      <c r="N4" s="19">
        <v>12</v>
      </c>
      <c r="O4" s="19">
        <v>11</v>
      </c>
      <c r="P4" s="19">
        <v>11</v>
      </c>
      <c r="Q4" s="19">
        <v>14</v>
      </c>
      <c r="R4" s="19">
        <v>15</v>
      </c>
      <c r="S4" s="19">
        <v>16</v>
      </c>
      <c r="T4" s="19">
        <v>17</v>
      </c>
      <c r="U4" s="19">
        <v>18</v>
      </c>
      <c r="V4" s="19">
        <v>19</v>
      </c>
      <c r="W4" s="19">
        <v>17</v>
      </c>
      <c r="X4" s="19">
        <v>17</v>
      </c>
      <c r="Y4" s="19">
        <v>17</v>
      </c>
      <c r="Z4" s="19">
        <v>18</v>
      </c>
      <c r="AA4" s="19">
        <v>16</v>
      </c>
      <c r="AB4" s="19">
        <v>17</v>
      </c>
      <c r="AC4" s="19">
        <v>17</v>
      </c>
      <c r="AD4" s="19">
        <v>16</v>
      </c>
      <c r="AE4" s="19">
        <v>17</v>
      </c>
      <c r="AF4" s="19">
        <v>17</v>
      </c>
    </row>
    <row r="5" spans="1:33" x14ac:dyDescent="0.25">
      <c r="A5" s="10">
        <v>6</v>
      </c>
      <c r="B5" s="19">
        <v>12</v>
      </c>
      <c r="C5" s="19">
        <v>15</v>
      </c>
      <c r="D5" s="19">
        <v>17</v>
      </c>
      <c r="E5" s="19">
        <v>20</v>
      </c>
      <c r="F5" s="19">
        <v>22</v>
      </c>
      <c r="G5" s="19">
        <v>22</v>
      </c>
      <c r="H5" s="19">
        <v>19</v>
      </c>
      <c r="I5" s="19">
        <v>16</v>
      </c>
      <c r="J5" s="19">
        <v>16</v>
      </c>
      <c r="K5" s="19">
        <v>17</v>
      </c>
      <c r="L5" s="19">
        <v>15</v>
      </c>
      <c r="M5" s="19">
        <v>13</v>
      </c>
      <c r="N5" s="19">
        <v>14</v>
      </c>
      <c r="O5" s="19">
        <v>12</v>
      </c>
      <c r="P5" s="19">
        <v>14</v>
      </c>
      <c r="Q5" s="19">
        <v>15</v>
      </c>
      <c r="R5" s="19">
        <v>17</v>
      </c>
      <c r="S5" s="19">
        <v>18</v>
      </c>
      <c r="T5" s="19">
        <v>19</v>
      </c>
      <c r="U5" s="19">
        <v>20</v>
      </c>
      <c r="V5" s="19">
        <v>19</v>
      </c>
      <c r="W5" s="19">
        <v>18</v>
      </c>
      <c r="X5" s="19">
        <v>18</v>
      </c>
      <c r="Y5" s="19">
        <v>18</v>
      </c>
      <c r="Z5" s="19">
        <v>18</v>
      </c>
      <c r="AA5" s="19">
        <v>17</v>
      </c>
      <c r="AB5" s="19">
        <v>17</v>
      </c>
      <c r="AC5" s="19">
        <v>19</v>
      </c>
      <c r="AD5" s="19">
        <v>18</v>
      </c>
      <c r="AE5" s="19">
        <v>18</v>
      </c>
      <c r="AF5" s="19">
        <v>18</v>
      </c>
    </row>
    <row r="6" spans="1:33" x14ac:dyDescent="0.25">
      <c r="A6" s="10">
        <v>8</v>
      </c>
      <c r="B6" s="19">
        <v>14</v>
      </c>
      <c r="C6" s="19">
        <v>18</v>
      </c>
      <c r="D6" s="19">
        <v>20</v>
      </c>
      <c r="E6" s="19">
        <v>24</v>
      </c>
      <c r="F6" s="19">
        <v>24</v>
      </c>
      <c r="G6" s="19">
        <v>24</v>
      </c>
      <c r="H6" s="19">
        <v>21</v>
      </c>
      <c r="I6" s="19">
        <v>21</v>
      </c>
      <c r="J6" s="19">
        <v>16</v>
      </c>
      <c r="K6" s="19">
        <v>18</v>
      </c>
      <c r="L6" s="19">
        <v>16</v>
      </c>
      <c r="M6" s="19">
        <v>19</v>
      </c>
      <c r="N6" s="19">
        <v>16</v>
      </c>
      <c r="O6" s="19">
        <v>13</v>
      </c>
      <c r="P6" s="19">
        <v>16</v>
      </c>
      <c r="Q6" s="19">
        <v>18</v>
      </c>
      <c r="R6" s="19">
        <v>18</v>
      </c>
      <c r="S6" s="19">
        <v>20</v>
      </c>
      <c r="T6" s="19">
        <v>22</v>
      </c>
      <c r="U6" s="19">
        <v>23</v>
      </c>
      <c r="V6" s="19">
        <v>19</v>
      </c>
      <c r="W6" s="19">
        <v>21</v>
      </c>
      <c r="X6" s="19">
        <v>21</v>
      </c>
      <c r="Y6" s="19">
        <v>21</v>
      </c>
      <c r="Z6" s="19">
        <v>19</v>
      </c>
      <c r="AA6" s="19">
        <v>20</v>
      </c>
      <c r="AB6" s="19">
        <v>19</v>
      </c>
      <c r="AC6" s="19">
        <v>21</v>
      </c>
      <c r="AD6" s="19">
        <v>21</v>
      </c>
      <c r="AE6" s="19">
        <v>20</v>
      </c>
      <c r="AF6" s="19">
        <v>20</v>
      </c>
    </row>
    <row r="7" spans="1:33" x14ac:dyDescent="0.25">
      <c r="A7" s="10">
        <v>10</v>
      </c>
      <c r="B7" s="19">
        <v>17</v>
      </c>
      <c r="C7" s="19">
        <v>19</v>
      </c>
      <c r="D7" s="19">
        <v>22</v>
      </c>
      <c r="E7" s="19">
        <v>26</v>
      </c>
      <c r="F7" s="19">
        <v>28</v>
      </c>
      <c r="G7" s="19">
        <v>26</v>
      </c>
      <c r="H7" s="19">
        <v>22</v>
      </c>
      <c r="I7" s="19">
        <v>22</v>
      </c>
      <c r="J7" s="19">
        <v>21</v>
      </c>
      <c r="K7" s="19">
        <v>18</v>
      </c>
      <c r="L7" s="19">
        <v>17</v>
      </c>
      <c r="M7" s="19">
        <v>21</v>
      </c>
      <c r="N7" s="19">
        <v>18</v>
      </c>
      <c r="O7" s="19">
        <v>14</v>
      </c>
      <c r="P7" s="19">
        <v>18</v>
      </c>
      <c r="Q7" s="19">
        <v>19</v>
      </c>
      <c r="R7" s="19">
        <v>20</v>
      </c>
      <c r="S7" s="19">
        <v>22</v>
      </c>
      <c r="T7" s="19">
        <v>24</v>
      </c>
      <c r="U7" s="19">
        <v>25</v>
      </c>
      <c r="V7" s="19">
        <v>22</v>
      </c>
      <c r="W7" s="19">
        <v>22</v>
      </c>
      <c r="X7" s="19">
        <v>23</v>
      </c>
      <c r="Y7" s="19">
        <v>24</v>
      </c>
      <c r="Z7" s="19">
        <v>19</v>
      </c>
      <c r="AA7" s="19">
        <v>22</v>
      </c>
      <c r="AB7" s="19">
        <v>20</v>
      </c>
      <c r="AC7" s="19">
        <v>23</v>
      </c>
      <c r="AD7" s="19">
        <v>22</v>
      </c>
      <c r="AE7" s="19">
        <v>21</v>
      </c>
      <c r="AF7" s="19">
        <v>22</v>
      </c>
    </row>
    <row r="8" spans="1:33" x14ac:dyDescent="0.25">
      <c r="A8" s="10">
        <v>12</v>
      </c>
      <c r="B8" s="19">
        <v>19</v>
      </c>
      <c r="C8" s="19">
        <v>21</v>
      </c>
      <c r="D8" s="19">
        <v>25</v>
      </c>
      <c r="E8" s="19">
        <v>28</v>
      </c>
      <c r="F8" s="19">
        <v>30</v>
      </c>
      <c r="G8" s="19">
        <v>27</v>
      </c>
      <c r="H8" s="19">
        <v>22</v>
      </c>
      <c r="I8" s="19">
        <v>22</v>
      </c>
      <c r="J8" s="19">
        <v>22</v>
      </c>
      <c r="K8" s="19">
        <v>19</v>
      </c>
      <c r="L8" s="19">
        <v>18</v>
      </c>
      <c r="M8" s="19">
        <v>20</v>
      </c>
      <c r="N8" s="19">
        <v>20</v>
      </c>
      <c r="O8" s="19">
        <v>15</v>
      </c>
      <c r="P8" s="19">
        <v>19</v>
      </c>
      <c r="Q8" s="19">
        <v>21</v>
      </c>
      <c r="R8" s="19">
        <v>22</v>
      </c>
      <c r="S8" s="19">
        <v>25</v>
      </c>
      <c r="T8" s="19">
        <v>26</v>
      </c>
      <c r="U8" s="19">
        <v>26</v>
      </c>
      <c r="V8" s="19">
        <v>25</v>
      </c>
      <c r="W8" s="19">
        <v>24</v>
      </c>
      <c r="X8" s="19">
        <v>24</v>
      </c>
      <c r="Y8" s="19">
        <v>25</v>
      </c>
      <c r="Z8" s="19">
        <v>20</v>
      </c>
      <c r="AA8" s="19">
        <v>22</v>
      </c>
      <c r="AB8" s="19">
        <v>21</v>
      </c>
      <c r="AC8" s="19">
        <v>25</v>
      </c>
      <c r="AD8" s="19">
        <v>24</v>
      </c>
      <c r="AE8" s="19">
        <v>21</v>
      </c>
      <c r="AF8" s="19">
        <v>25</v>
      </c>
    </row>
    <row r="9" spans="1:33" x14ac:dyDescent="0.25">
      <c r="A9" s="10">
        <v>14</v>
      </c>
      <c r="B9" s="19">
        <v>20</v>
      </c>
      <c r="C9" s="19">
        <v>22</v>
      </c>
      <c r="D9" s="19">
        <v>26</v>
      </c>
      <c r="E9" s="19">
        <v>29</v>
      </c>
      <c r="F9" s="19">
        <v>28</v>
      </c>
      <c r="G9" s="19">
        <v>28</v>
      </c>
      <c r="H9" s="19">
        <v>24</v>
      </c>
      <c r="I9" s="19">
        <v>23</v>
      </c>
      <c r="J9" s="19">
        <v>23</v>
      </c>
      <c r="K9" s="19">
        <v>22</v>
      </c>
      <c r="L9" s="19">
        <v>19</v>
      </c>
      <c r="M9" s="19">
        <v>22</v>
      </c>
      <c r="N9" s="19">
        <v>21</v>
      </c>
      <c r="O9" s="19">
        <v>16</v>
      </c>
      <c r="P9" s="19">
        <v>21</v>
      </c>
      <c r="Q9" s="19">
        <v>22</v>
      </c>
      <c r="R9" s="19">
        <v>24</v>
      </c>
      <c r="S9" s="19">
        <v>26</v>
      </c>
      <c r="T9" s="19">
        <v>26</v>
      </c>
      <c r="U9" s="19">
        <v>27</v>
      </c>
      <c r="V9" s="19">
        <v>25</v>
      </c>
      <c r="W9" s="19">
        <v>25</v>
      </c>
      <c r="X9" s="19">
        <v>24</v>
      </c>
      <c r="Y9" s="19">
        <v>26</v>
      </c>
      <c r="Z9" s="19">
        <v>21</v>
      </c>
      <c r="AA9" s="19">
        <v>22</v>
      </c>
      <c r="AB9" s="19">
        <v>22</v>
      </c>
      <c r="AC9" s="19">
        <v>25</v>
      </c>
      <c r="AD9" s="19">
        <v>24</v>
      </c>
      <c r="AE9" s="19">
        <v>20</v>
      </c>
      <c r="AF9" s="19">
        <v>25</v>
      </c>
    </row>
    <row r="10" spans="1:33" x14ac:dyDescent="0.25">
      <c r="A10" s="10">
        <v>16</v>
      </c>
      <c r="B10" s="19">
        <v>20</v>
      </c>
      <c r="C10" s="19">
        <v>22</v>
      </c>
      <c r="D10" s="19">
        <v>27</v>
      </c>
      <c r="E10" s="19">
        <v>30</v>
      </c>
      <c r="F10" s="19">
        <v>25</v>
      </c>
      <c r="G10" s="19">
        <v>28</v>
      </c>
      <c r="H10" s="19">
        <v>22</v>
      </c>
      <c r="I10" s="19">
        <v>22</v>
      </c>
      <c r="J10" s="19">
        <v>23</v>
      </c>
      <c r="K10" s="19">
        <v>22</v>
      </c>
      <c r="L10" s="19">
        <v>20</v>
      </c>
      <c r="M10" s="19">
        <v>22</v>
      </c>
      <c r="N10" s="19">
        <v>19</v>
      </c>
      <c r="O10" s="19">
        <v>18</v>
      </c>
      <c r="P10" s="19">
        <v>21</v>
      </c>
      <c r="Q10" s="19">
        <v>21</v>
      </c>
      <c r="R10" s="19">
        <v>24</v>
      </c>
      <c r="S10" s="19">
        <v>26</v>
      </c>
      <c r="T10" s="19">
        <v>25</v>
      </c>
      <c r="U10" s="19">
        <v>28</v>
      </c>
      <c r="V10" s="19">
        <v>25</v>
      </c>
      <c r="W10" s="19">
        <v>25</v>
      </c>
      <c r="X10" s="19">
        <v>25</v>
      </c>
      <c r="Y10" s="19">
        <v>26</v>
      </c>
      <c r="Z10" s="19">
        <v>21</v>
      </c>
      <c r="AA10" s="19">
        <v>22</v>
      </c>
      <c r="AB10" s="19">
        <v>22</v>
      </c>
      <c r="AC10" s="19">
        <v>25</v>
      </c>
      <c r="AD10" s="19">
        <v>24</v>
      </c>
      <c r="AE10" s="19">
        <v>20</v>
      </c>
      <c r="AF10" s="19">
        <v>25</v>
      </c>
    </row>
    <row r="11" spans="1:33" x14ac:dyDescent="0.25">
      <c r="A11" s="10">
        <v>18</v>
      </c>
      <c r="B11" s="19">
        <v>20</v>
      </c>
      <c r="C11" s="19">
        <v>22</v>
      </c>
      <c r="D11" s="19">
        <v>27</v>
      </c>
      <c r="E11" s="19">
        <v>30</v>
      </c>
      <c r="F11" s="19">
        <v>25</v>
      </c>
      <c r="G11" s="19">
        <v>28</v>
      </c>
      <c r="H11" s="19">
        <v>22</v>
      </c>
      <c r="I11" s="19">
        <v>22</v>
      </c>
      <c r="J11" s="19">
        <v>23</v>
      </c>
      <c r="K11" s="19">
        <v>22</v>
      </c>
      <c r="L11" s="19">
        <v>20</v>
      </c>
      <c r="M11" s="19">
        <v>22</v>
      </c>
      <c r="N11" s="19">
        <v>19</v>
      </c>
      <c r="O11" s="19">
        <v>20</v>
      </c>
      <c r="P11" s="19">
        <v>20</v>
      </c>
      <c r="Q11" s="19">
        <v>21</v>
      </c>
      <c r="R11" s="19">
        <v>22</v>
      </c>
      <c r="S11" s="19">
        <v>25</v>
      </c>
      <c r="T11" s="19">
        <v>24</v>
      </c>
      <c r="U11" s="19">
        <v>26</v>
      </c>
      <c r="V11" s="19">
        <v>24</v>
      </c>
      <c r="W11" s="19">
        <v>25</v>
      </c>
      <c r="X11" s="19">
        <v>24</v>
      </c>
      <c r="Y11" s="19">
        <v>25</v>
      </c>
      <c r="Z11" s="19">
        <v>20</v>
      </c>
      <c r="AA11" s="19">
        <v>21</v>
      </c>
      <c r="AB11" s="19">
        <v>21</v>
      </c>
      <c r="AC11" s="19">
        <v>24</v>
      </c>
      <c r="AD11" s="19">
        <v>23</v>
      </c>
      <c r="AE11" s="19">
        <v>22</v>
      </c>
      <c r="AF11" s="19">
        <v>22</v>
      </c>
    </row>
    <row r="12" spans="1:33" x14ac:dyDescent="0.25">
      <c r="A12" s="10">
        <v>20</v>
      </c>
      <c r="B12" s="19">
        <v>17</v>
      </c>
      <c r="C12" s="19">
        <v>17</v>
      </c>
      <c r="D12" s="19">
        <v>24</v>
      </c>
      <c r="E12" s="19">
        <v>26</v>
      </c>
      <c r="F12" s="19">
        <v>25</v>
      </c>
      <c r="G12" s="19">
        <v>24</v>
      </c>
      <c r="H12" s="19">
        <v>21</v>
      </c>
      <c r="I12" s="19">
        <v>19</v>
      </c>
      <c r="J12" s="19">
        <v>21</v>
      </c>
      <c r="K12" s="19">
        <v>16</v>
      </c>
      <c r="L12" s="19">
        <v>18</v>
      </c>
      <c r="M12" s="19">
        <v>19</v>
      </c>
      <c r="N12" s="19">
        <v>17</v>
      </c>
      <c r="O12" s="19">
        <v>16</v>
      </c>
      <c r="P12" s="19">
        <v>18</v>
      </c>
      <c r="Q12" s="19">
        <v>18</v>
      </c>
      <c r="R12" s="19">
        <v>19</v>
      </c>
      <c r="S12" s="19">
        <v>23</v>
      </c>
      <c r="T12" s="19">
        <v>26</v>
      </c>
      <c r="U12" s="19">
        <v>26</v>
      </c>
      <c r="V12" s="19">
        <v>22</v>
      </c>
      <c r="W12" s="19">
        <v>25</v>
      </c>
      <c r="X12" s="19">
        <v>24</v>
      </c>
      <c r="Y12" s="19">
        <v>23</v>
      </c>
      <c r="Z12" s="19">
        <v>21</v>
      </c>
      <c r="AA12" s="19">
        <v>20</v>
      </c>
      <c r="AB12" s="19">
        <v>20</v>
      </c>
      <c r="AC12" s="19">
        <v>20</v>
      </c>
      <c r="AD12" s="19">
        <v>22</v>
      </c>
      <c r="AE12" s="19">
        <v>21</v>
      </c>
      <c r="AF12" s="19">
        <v>21</v>
      </c>
    </row>
    <row r="13" spans="1:33" x14ac:dyDescent="0.25">
      <c r="A13" s="10">
        <v>22</v>
      </c>
      <c r="B13" s="19">
        <v>14</v>
      </c>
      <c r="C13" s="19">
        <v>16</v>
      </c>
      <c r="D13" s="19">
        <v>20</v>
      </c>
      <c r="E13" s="19">
        <v>24</v>
      </c>
      <c r="F13" s="19">
        <v>23</v>
      </c>
      <c r="G13" s="19">
        <v>20</v>
      </c>
      <c r="H13" s="19">
        <v>18</v>
      </c>
      <c r="I13" s="19">
        <v>17</v>
      </c>
      <c r="J13" s="19">
        <v>18</v>
      </c>
      <c r="K13" s="19">
        <v>14</v>
      </c>
      <c r="L13" s="19">
        <v>15</v>
      </c>
      <c r="M13" s="19">
        <v>18</v>
      </c>
      <c r="N13" s="19">
        <v>15</v>
      </c>
      <c r="O13" s="19">
        <v>13</v>
      </c>
      <c r="P13" s="19">
        <v>17</v>
      </c>
      <c r="Q13" s="19">
        <v>17</v>
      </c>
      <c r="R13" s="19">
        <v>19</v>
      </c>
      <c r="S13" s="19">
        <v>19</v>
      </c>
      <c r="T13" s="19">
        <v>23</v>
      </c>
      <c r="U13" s="19">
        <v>23</v>
      </c>
      <c r="V13" s="19">
        <v>21</v>
      </c>
      <c r="W13" s="19">
        <v>22</v>
      </c>
      <c r="X13" s="19">
        <v>21</v>
      </c>
      <c r="Y13" s="19">
        <v>22</v>
      </c>
      <c r="Z13" s="19">
        <v>18</v>
      </c>
      <c r="AA13" s="19">
        <v>19</v>
      </c>
      <c r="AB13" s="19">
        <v>18</v>
      </c>
      <c r="AC13" s="19">
        <v>18</v>
      </c>
      <c r="AD13" s="19">
        <v>19</v>
      </c>
      <c r="AE13" s="19">
        <v>20</v>
      </c>
      <c r="AF13" s="19">
        <v>19</v>
      </c>
    </row>
    <row r="14" spans="1:33" x14ac:dyDescent="0.25">
      <c r="A14" s="10">
        <v>24</v>
      </c>
      <c r="B14" s="19">
        <v>12</v>
      </c>
      <c r="C14" s="19">
        <v>15</v>
      </c>
      <c r="D14" s="19">
        <v>18</v>
      </c>
      <c r="E14" s="19">
        <v>23</v>
      </c>
      <c r="F14" s="19">
        <v>21</v>
      </c>
      <c r="G14" s="19">
        <v>19</v>
      </c>
      <c r="H14" s="19">
        <v>17</v>
      </c>
      <c r="I14" s="19">
        <v>15</v>
      </c>
      <c r="J14" s="19">
        <v>16</v>
      </c>
      <c r="K14" s="19">
        <v>12</v>
      </c>
      <c r="L14" s="19">
        <v>14</v>
      </c>
      <c r="M14" s="19">
        <v>16</v>
      </c>
      <c r="N14" s="19">
        <v>15</v>
      </c>
      <c r="O14" s="19">
        <v>11</v>
      </c>
      <c r="P14" s="19">
        <v>15</v>
      </c>
      <c r="Q14" s="19">
        <v>15</v>
      </c>
      <c r="R14" s="19">
        <v>17</v>
      </c>
      <c r="S14" s="19">
        <v>18</v>
      </c>
      <c r="T14" s="19">
        <v>21</v>
      </c>
      <c r="U14" s="19">
        <v>21</v>
      </c>
      <c r="V14" s="19">
        <v>20</v>
      </c>
      <c r="W14" s="19">
        <v>19</v>
      </c>
      <c r="X14" s="19">
        <v>20</v>
      </c>
      <c r="Y14" s="19">
        <v>20</v>
      </c>
      <c r="Z14" s="19">
        <v>17</v>
      </c>
      <c r="AA14" s="19">
        <v>17</v>
      </c>
      <c r="AB14" s="19">
        <v>17</v>
      </c>
      <c r="AC14" s="19">
        <v>16</v>
      </c>
      <c r="AD14" s="19">
        <v>19</v>
      </c>
      <c r="AE14" s="19">
        <v>19</v>
      </c>
      <c r="AF14" s="19">
        <v>18</v>
      </c>
    </row>
    <row r="15" spans="1:33" x14ac:dyDescent="0.25">
      <c r="A15" s="10">
        <v>2</v>
      </c>
      <c r="B15" s="19">
        <v>11</v>
      </c>
      <c r="C15" s="19">
        <v>16</v>
      </c>
      <c r="D15" s="19">
        <v>16</v>
      </c>
      <c r="E15" s="19">
        <v>21</v>
      </c>
      <c r="F15" s="19">
        <v>20</v>
      </c>
      <c r="G15" s="19">
        <v>19</v>
      </c>
      <c r="H15" s="19">
        <v>16</v>
      </c>
      <c r="I15" s="19">
        <v>14</v>
      </c>
      <c r="J15" s="19">
        <v>18</v>
      </c>
      <c r="K15" s="19">
        <v>14</v>
      </c>
      <c r="L15" s="19">
        <v>14</v>
      </c>
      <c r="M15" s="19">
        <v>14</v>
      </c>
      <c r="N15" s="19">
        <v>15</v>
      </c>
      <c r="O15" s="19">
        <v>9</v>
      </c>
      <c r="P15" s="19">
        <v>14</v>
      </c>
      <c r="Q15" s="19">
        <v>14</v>
      </c>
      <c r="R15" s="19">
        <v>18</v>
      </c>
      <c r="S15" s="19">
        <v>17</v>
      </c>
      <c r="T15" s="19">
        <v>19</v>
      </c>
      <c r="U15" s="19">
        <v>19</v>
      </c>
      <c r="V15" s="19">
        <v>18</v>
      </c>
      <c r="W15" s="19">
        <v>18</v>
      </c>
      <c r="X15" s="19">
        <v>18</v>
      </c>
      <c r="Y15" s="19">
        <v>19</v>
      </c>
      <c r="Z15" s="19">
        <v>17</v>
      </c>
      <c r="AA15" s="19">
        <v>17</v>
      </c>
      <c r="AB15" s="19">
        <v>16</v>
      </c>
      <c r="AC15" s="19">
        <v>16</v>
      </c>
      <c r="AD15" s="19">
        <v>19</v>
      </c>
      <c r="AE15" s="19">
        <v>17</v>
      </c>
      <c r="AF15" s="19">
        <v>17</v>
      </c>
    </row>
    <row r="16" spans="1:33" ht="30" x14ac:dyDescent="0.25">
      <c r="A16" s="11" t="s">
        <v>2</v>
      </c>
      <c r="B16" s="15">
        <f>(B4+B5+B6+B7+B8+B9+B10+B11+B12+B13+B14+B15)/12</f>
        <v>15.583333333333334</v>
      </c>
      <c r="C16" s="15">
        <f t="shared" ref="C16:O16" si="0">(C4+C5+C6+C7+C8+C9+C10+C11+C12+C13+C14+C15)/12</f>
        <v>18</v>
      </c>
      <c r="D16" s="15">
        <f t="shared" si="0"/>
        <v>21.5</v>
      </c>
      <c r="E16" s="15">
        <f t="shared" si="0"/>
        <v>24.833333333333332</v>
      </c>
      <c r="F16" s="15">
        <f t="shared" si="0"/>
        <v>24.25</v>
      </c>
      <c r="G16" s="15">
        <f t="shared" si="0"/>
        <v>23.75</v>
      </c>
      <c r="H16" s="15">
        <f t="shared" si="0"/>
        <v>20.166666666666668</v>
      </c>
      <c r="I16" s="15">
        <f t="shared" si="0"/>
        <v>19</v>
      </c>
      <c r="J16" s="15">
        <f t="shared" si="0"/>
        <v>19.25</v>
      </c>
      <c r="K16" s="15">
        <f t="shared" si="0"/>
        <v>17.5</v>
      </c>
      <c r="L16" s="15">
        <f t="shared" si="0"/>
        <v>16.666666666666668</v>
      </c>
      <c r="M16" s="15">
        <f t="shared" si="0"/>
        <v>18.25</v>
      </c>
      <c r="N16" s="15">
        <f t="shared" si="0"/>
        <v>16.75</v>
      </c>
      <c r="O16" s="15">
        <f t="shared" si="0"/>
        <v>14</v>
      </c>
      <c r="P16" s="15">
        <f>(P4+P5+P6+P7+P8+P9+P10+P11+P12+P13+P14+P15)/12</f>
        <v>17</v>
      </c>
      <c r="Q16" s="15">
        <f>(Q4+Q5+Q6+Q7+Q8+Q9+Q10+Q11+Q12+Q13+Q14+Q15)/12</f>
        <v>17.916666666666668</v>
      </c>
      <c r="R16" s="15">
        <f>(R4+R5+R6+R7+R8+R9+R10+R11+R12+R13+R14+R15)/12</f>
        <v>19.583333333333332</v>
      </c>
      <c r="S16" s="15">
        <f t="shared" ref="S16:AF16" si="1">(S4+S5+S6+S7+S8+S9+S10+S11+S12+S13+S14+S15)/12</f>
        <v>21.25</v>
      </c>
      <c r="T16" s="15">
        <f t="shared" si="1"/>
        <v>22.666666666666668</v>
      </c>
      <c r="U16" s="15">
        <f t="shared" si="1"/>
        <v>23.5</v>
      </c>
      <c r="V16" s="15">
        <f t="shared" si="1"/>
        <v>21.583333333333332</v>
      </c>
      <c r="W16" s="15">
        <f t="shared" si="1"/>
        <v>21.75</v>
      </c>
      <c r="X16" s="15">
        <f t="shared" si="1"/>
        <v>21.583333333333332</v>
      </c>
      <c r="Y16" s="15">
        <f t="shared" si="1"/>
        <v>22.166666666666668</v>
      </c>
      <c r="Z16" s="15">
        <f t="shared" si="1"/>
        <v>19.083333333333332</v>
      </c>
      <c r="AA16" s="15">
        <f t="shared" si="1"/>
        <v>19.583333333333332</v>
      </c>
      <c r="AB16" s="15">
        <f t="shared" si="1"/>
        <v>19.166666666666668</v>
      </c>
      <c r="AC16" s="15">
        <f t="shared" si="1"/>
        <v>20.75</v>
      </c>
      <c r="AD16" s="15">
        <f t="shared" si="1"/>
        <v>20.916666666666668</v>
      </c>
      <c r="AE16" s="15">
        <f t="shared" si="1"/>
        <v>19.666666666666668</v>
      </c>
      <c r="AF16" s="15">
        <f t="shared" si="1"/>
        <v>20.75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12</v>
      </c>
      <c r="C24" s="19">
        <v>11</v>
      </c>
      <c r="D24" s="19">
        <v>17</v>
      </c>
      <c r="E24" s="19">
        <v>16</v>
      </c>
      <c r="F24" s="19">
        <v>19</v>
      </c>
      <c r="G24" s="19">
        <v>25</v>
      </c>
      <c r="H24" s="19">
        <v>17</v>
      </c>
      <c r="I24" s="19">
        <v>15</v>
      </c>
      <c r="J24" s="19">
        <v>15</v>
      </c>
      <c r="K24" s="19">
        <v>16</v>
      </c>
      <c r="L24" s="19">
        <v>12</v>
      </c>
      <c r="M24" s="19">
        <v>12</v>
      </c>
      <c r="N24" s="19">
        <v>14</v>
      </c>
      <c r="O24" s="19">
        <v>10</v>
      </c>
      <c r="P24" s="13">
        <v>11</v>
      </c>
      <c r="Q24" s="19">
        <v>12</v>
      </c>
      <c r="R24" s="19">
        <v>11</v>
      </c>
      <c r="S24" s="19">
        <v>14</v>
      </c>
      <c r="T24" s="19">
        <v>16</v>
      </c>
      <c r="U24" s="19">
        <v>18</v>
      </c>
      <c r="V24" s="19">
        <v>15</v>
      </c>
      <c r="W24" s="19">
        <v>16</v>
      </c>
      <c r="X24" s="13">
        <v>16</v>
      </c>
      <c r="Y24" s="19">
        <v>17</v>
      </c>
      <c r="Z24" s="19">
        <v>19</v>
      </c>
      <c r="AA24" s="19">
        <v>16</v>
      </c>
      <c r="AB24" s="19">
        <v>16</v>
      </c>
      <c r="AC24" s="19">
        <v>16</v>
      </c>
      <c r="AD24" s="19">
        <v>15</v>
      </c>
      <c r="AE24" s="19">
        <v>15</v>
      </c>
      <c r="AF24" s="13">
        <v>17</v>
      </c>
    </row>
    <row r="25" spans="1:32" x14ac:dyDescent="0.25">
      <c r="A25" s="10">
        <v>6</v>
      </c>
      <c r="B25" s="19">
        <v>13</v>
      </c>
      <c r="C25" s="19">
        <v>14</v>
      </c>
      <c r="D25" s="19">
        <v>17</v>
      </c>
      <c r="E25" s="19">
        <v>16</v>
      </c>
      <c r="F25" s="19">
        <v>21</v>
      </c>
      <c r="G25" s="19">
        <v>27</v>
      </c>
      <c r="H25" s="19">
        <v>17</v>
      </c>
      <c r="I25" s="19">
        <v>17</v>
      </c>
      <c r="J25" s="19">
        <v>16</v>
      </c>
      <c r="K25" s="19">
        <v>17</v>
      </c>
      <c r="L25" s="19">
        <v>14</v>
      </c>
      <c r="M25" s="19">
        <v>15</v>
      </c>
      <c r="N25" s="19">
        <v>14</v>
      </c>
      <c r="O25" s="19">
        <v>10</v>
      </c>
      <c r="P25" s="13">
        <v>13</v>
      </c>
      <c r="Q25" s="19">
        <v>14</v>
      </c>
      <c r="R25" s="19">
        <v>12</v>
      </c>
      <c r="S25" s="19">
        <v>15</v>
      </c>
      <c r="T25" s="19">
        <v>16</v>
      </c>
      <c r="U25" s="19">
        <v>19</v>
      </c>
      <c r="V25" s="19">
        <v>19</v>
      </c>
      <c r="W25" s="19">
        <v>18</v>
      </c>
      <c r="X25" s="13">
        <v>18</v>
      </c>
      <c r="Y25" s="19">
        <v>17</v>
      </c>
      <c r="Z25" s="19">
        <v>20</v>
      </c>
      <c r="AA25" s="19">
        <v>18</v>
      </c>
      <c r="AB25" s="19">
        <v>17</v>
      </c>
      <c r="AC25" s="19">
        <v>17</v>
      </c>
      <c r="AD25" s="19">
        <v>18</v>
      </c>
      <c r="AE25" s="19">
        <v>16</v>
      </c>
      <c r="AF25" s="13">
        <v>17</v>
      </c>
    </row>
    <row r="26" spans="1:32" x14ac:dyDescent="0.25">
      <c r="A26" s="10">
        <v>8</v>
      </c>
      <c r="B26" s="19">
        <v>15</v>
      </c>
      <c r="C26" s="19">
        <v>16</v>
      </c>
      <c r="D26" s="19">
        <v>19</v>
      </c>
      <c r="E26" s="19">
        <v>22</v>
      </c>
      <c r="F26" s="19">
        <v>25</v>
      </c>
      <c r="G26" s="19">
        <v>26</v>
      </c>
      <c r="H26" s="19">
        <v>18</v>
      </c>
      <c r="I26" s="19">
        <v>19</v>
      </c>
      <c r="J26" s="19">
        <v>18</v>
      </c>
      <c r="K26" s="19">
        <v>18</v>
      </c>
      <c r="L26" s="19">
        <v>15</v>
      </c>
      <c r="M26" s="19">
        <v>18</v>
      </c>
      <c r="N26" s="19">
        <v>15</v>
      </c>
      <c r="O26" s="19">
        <v>10</v>
      </c>
      <c r="P26" s="13">
        <v>15</v>
      </c>
      <c r="Q26" s="19">
        <v>18</v>
      </c>
      <c r="R26" s="19">
        <v>15</v>
      </c>
      <c r="S26" s="19">
        <v>19</v>
      </c>
      <c r="T26" s="19">
        <v>22</v>
      </c>
      <c r="U26" s="19">
        <v>22</v>
      </c>
      <c r="V26" s="19">
        <v>21</v>
      </c>
      <c r="W26" s="19">
        <v>20</v>
      </c>
      <c r="X26" s="13">
        <v>21</v>
      </c>
      <c r="Y26" s="19">
        <v>22</v>
      </c>
      <c r="Z26" s="19">
        <v>20</v>
      </c>
      <c r="AA26" s="19">
        <v>19</v>
      </c>
      <c r="AB26" s="19">
        <v>18</v>
      </c>
      <c r="AC26" s="19">
        <v>20</v>
      </c>
      <c r="AD26" s="19">
        <v>20</v>
      </c>
      <c r="AE26" s="19">
        <v>20</v>
      </c>
      <c r="AF26" s="13">
        <v>17</v>
      </c>
    </row>
    <row r="27" spans="1:32" x14ac:dyDescent="0.25">
      <c r="A27" s="10">
        <v>10</v>
      </c>
      <c r="B27" s="19">
        <v>17</v>
      </c>
      <c r="C27" s="19">
        <v>20</v>
      </c>
      <c r="D27" s="19">
        <v>24</v>
      </c>
      <c r="E27" s="19">
        <v>27</v>
      </c>
      <c r="F27" s="19">
        <v>28</v>
      </c>
      <c r="G27" s="19">
        <v>26</v>
      </c>
      <c r="H27" s="19">
        <v>21</v>
      </c>
      <c r="I27" s="19">
        <v>22</v>
      </c>
      <c r="J27" s="19">
        <v>20</v>
      </c>
      <c r="K27" s="19">
        <v>19</v>
      </c>
      <c r="L27" s="19">
        <v>15</v>
      </c>
      <c r="M27" s="19">
        <v>19</v>
      </c>
      <c r="N27" s="19">
        <v>17</v>
      </c>
      <c r="O27" s="19">
        <v>14</v>
      </c>
      <c r="P27" s="13">
        <v>18</v>
      </c>
      <c r="Q27" s="19">
        <v>20</v>
      </c>
      <c r="R27" s="19">
        <v>19</v>
      </c>
      <c r="S27" s="19">
        <v>25</v>
      </c>
      <c r="T27" s="19">
        <v>25</v>
      </c>
      <c r="U27" s="19">
        <v>24</v>
      </c>
      <c r="V27" s="19">
        <v>23</v>
      </c>
      <c r="W27" s="19">
        <v>22</v>
      </c>
      <c r="X27" s="13">
        <v>23</v>
      </c>
      <c r="Y27" s="19">
        <v>24</v>
      </c>
      <c r="Z27" s="19">
        <v>19</v>
      </c>
      <c r="AA27" s="19">
        <v>22</v>
      </c>
      <c r="AB27" s="19">
        <v>22</v>
      </c>
      <c r="AC27" s="19">
        <v>23</v>
      </c>
      <c r="AD27" s="19">
        <v>22</v>
      </c>
      <c r="AE27" s="19">
        <v>21</v>
      </c>
      <c r="AF27" s="13">
        <v>23</v>
      </c>
    </row>
    <row r="28" spans="1:32" x14ac:dyDescent="0.25">
      <c r="A28" s="10">
        <v>12</v>
      </c>
      <c r="B28" s="19">
        <v>19</v>
      </c>
      <c r="C28" s="19">
        <v>22</v>
      </c>
      <c r="D28" s="19">
        <v>26</v>
      </c>
      <c r="E28" s="19">
        <v>29</v>
      </c>
      <c r="F28" s="19">
        <v>29</v>
      </c>
      <c r="G28" s="19">
        <v>28</v>
      </c>
      <c r="H28" s="19">
        <v>22</v>
      </c>
      <c r="I28" s="19">
        <v>23</v>
      </c>
      <c r="J28" s="19">
        <v>22</v>
      </c>
      <c r="K28" s="19">
        <v>21</v>
      </c>
      <c r="L28" s="19">
        <v>16</v>
      </c>
      <c r="M28" s="19">
        <v>22</v>
      </c>
      <c r="N28" s="19">
        <v>19</v>
      </c>
      <c r="O28" s="19">
        <v>16</v>
      </c>
      <c r="P28" s="13">
        <v>19</v>
      </c>
      <c r="Q28" s="19">
        <v>21</v>
      </c>
      <c r="R28" s="19">
        <v>21</v>
      </c>
      <c r="S28" s="19">
        <v>25</v>
      </c>
      <c r="T28" s="19">
        <v>26</v>
      </c>
      <c r="U28" s="19">
        <v>26</v>
      </c>
      <c r="V28" s="19">
        <v>24</v>
      </c>
      <c r="W28" s="19">
        <v>24</v>
      </c>
      <c r="X28" s="13">
        <v>24</v>
      </c>
      <c r="Y28" s="19">
        <v>25</v>
      </c>
      <c r="Z28" s="19">
        <v>20</v>
      </c>
      <c r="AA28" s="19">
        <v>23</v>
      </c>
      <c r="AB28" s="19">
        <v>22</v>
      </c>
      <c r="AC28" s="19">
        <v>25</v>
      </c>
      <c r="AD28" s="19">
        <v>24</v>
      </c>
      <c r="AE28" s="19">
        <v>22</v>
      </c>
      <c r="AF28" s="13">
        <v>25</v>
      </c>
    </row>
    <row r="29" spans="1:32" x14ac:dyDescent="0.25">
      <c r="A29" s="10">
        <v>14</v>
      </c>
      <c r="B29" s="19">
        <v>20</v>
      </c>
      <c r="C29" s="19">
        <v>19</v>
      </c>
      <c r="D29" s="19">
        <v>29</v>
      </c>
      <c r="E29" s="19">
        <v>31</v>
      </c>
      <c r="F29" s="19">
        <v>26</v>
      </c>
      <c r="G29" s="19">
        <v>29</v>
      </c>
      <c r="H29" s="19">
        <v>22</v>
      </c>
      <c r="I29" s="19">
        <v>22</v>
      </c>
      <c r="J29" s="19">
        <v>22</v>
      </c>
      <c r="K29" s="19">
        <v>22</v>
      </c>
      <c r="L29" s="19">
        <v>19</v>
      </c>
      <c r="M29" s="19">
        <v>22</v>
      </c>
      <c r="N29" s="19">
        <v>19</v>
      </c>
      <c r="O29" s="19">
        <v>18</v>
      </c>
      <c r="P29" s="13">
        <v>20</v>
      </c>
      <c r="Q29" s="19">
        <v>21</v>
      </c>
      <c r="R29" s="19">
        <v>23</v>
      </c>
      <c r="S29" s="19">
        <v>22</v>
      </c>
      <c r="T29" s="19">
        <v>28</v>
      </c>
      <c r="U29" s="19">
        <v>27</v>
      </c>
      <c r="V29" s="19">
        <v>25</v>
      </c>
      <c r="W29" s="19">
        <v>26</v>
      </c>
      <c r="X29" s="13">
        <v>25</v>
      </c>
      <c r="Y29" s="19">
        <v>26</v>
      </c>
      <c r="Z29" s="19">
        <v>21</v>
      </c>
      <c r="AA29" s="19">
        <v>22</v>
      </c>
      <c r="AB29" s="19">
        <v>22</v>
      </c>
      <c r="AC29" s="19">
        <v>25</v>
      </c>
      <c r="AD29" s="19">
        <v>24</v>
      </c>
      <c r="AE29" s="19">
        <v>23</v>
      </c>
      <c r="AF29" s="13">
        <v>26</v>
      </c>
    </row>
    <row r="30" spans="1:32" x14ac:dyDescent="0.25">
      <c r="A30" s="10">
        <v>16</v>
      </c>
      <c r="B30" s="19">
        <v>20</v>
      </c>
      <c r="C30" s="19">
        <v>19</v>
      </c>
      <c r="D30" s="19">
        <v>31</v>
      </c>
      <c r="E30" s="19">
        <v>32</v>
      </c>
      <c r="F30" s="19">
        <v>25</v>
      </c>
      <c r="G30" s="19">
        <v>29</v>
      </c>
      <c r="H30" s="19">
        <v>21</v>
      </c>
      <c r="I30" s="19">
        <v>22</v>
      </c>
      <c r="J30" s="19">
        <v>23</v>
      </c>
      <c r="K30" s="19">
        <v>21</v>
      </c>
      <c r="L30" s="19">
        <v>20</v>
      </c>
      <c r="M30" s="19">
        <v>22</v>
      </c>
      <c r="N30" s="19">
        <v>19</v>
      </c>
      <c r="O30" s="19">
        <v>19</v>
      </c>
      <c r="P30" s="13">
        <v>21</v>
      </c>
      <c r="Q30" s="19">
        <v>21</v>
      </c>
      <c r="R30" s="19">
        <v>24</v>
      </c>
      <c r="S30" s="19">
        <v>24</v>
      </c>
      <c r="T30" s="19">
        <v>23</v>
      </c>
      <c r="U30" s="19">
        <v>27</v>
      </c>
      <c r="V30" s="19">
        <v>24</v>
      </c>
      <c r="W30" s="19">
        <v>25</v>
      </c>
      <c r="X30" s="13">
        <v>25</v>
      </c>
      <c r="Y30" s="19">
        <v>26</v>
      </c>
      <c r="Z30" s="19">
        <v>21</v>
      </c>
      <c r="AA30" s="19">
        <v>23</v>
      </c>
      <c r="AB30" s="19">
        <v>24</v>
      </c>
      <c r="AC30" s="19">
        <v>25</v>
      </c>
      <c r="AD30" s="19">
        <v>24</v>
      </c>
      <c r="AE30" s="19">
        <v>23</v>
      </c>
      <c r="AF30" s="13">
        <v>25</v>
      </c>
    </row>
    <row r="31" spans="1:32" x14ac:dyDescent="0.25">
      <c r="A31" s="10">
        <v>18</v>
      </c>
      <c r="B31" s="19">
        <v>20</v>
      </c>
      <c r="C31" s="19">
        <v>19</v>
      </c>
      <c r="D31" s="19">
        <v>32</v>
      </c>
      <c r="E31" s="19">
        <v>32</v>
      </c>
      <c r="F31" s="19">
        <v>24</v>
      </c>
      <c r="G31" s="19">
        <v>29</v>
      </c>
      <c r="H31" s="19">
        <v>20</v>
      </c>
      <c r="I31" s="19">
        <v>20</v>
      </c>
      <c r="J31" s="19">
        <v>22</v>
      </c>
      <c r="K31" s="19">
        <v>17</v>
      </c>
      <c r="L31" s="19">
        <v>20</v>
      </c>
      <c r="M31" s="19">
        <v>22</v>
      </c>
      <c r="N31" s="19">
        <v>19</v>
      </c>
      <c r="O31" s="19">
        <v>19</v>
      </c>
      <c r="P31" s="13">
        <v>20</v>
      </c>
      <c r="Q31" s="19">
        <v>19</v>
      </c>
      <c r="R31" s="19">
        <v>24</v>
      </c>
      <c r="S31" s="19">
        <v>24</v>
      </c>
      <c r="T31" s="19">
        <v>25</v>
      </c>
      <c r="U31" s="19">
        <v>26</v>
      </c>
      <c r="V31" s="19">
        <v>22</v>
      </c>
      <c r="W31" s="19">
        <v>24</v>
      </c>
      <c r="X31" s="13">
        <v>24</v>
      </c>
      <c r="Y31" s="19">
        <v>25</v>
      </c>
      <c r="Z31" s="19">
        <v>21</v>
      </c>
      <c r="AA31" s="19">
        <v>22</v>
      </c>
      <c r="AB31" s="19">
        <v>22</v>
      </c>
      <c r="AC31" s="19">
        <v>24</v>
      </c>
      <c r="AD31" s="19">
        <v>23</v>
      </c>
      <c r="AE31" s="19">
        <v>22</v>
      </c>
      <c r="AF31" s="13">
        <v>24</v>
      </c>
    </row>
    <row r="32" spans="1:32" x14ac:dyDescent="0.25">
      <c r="A32" s="10">
        <v>20</v>
      </c>
      <c r="B32" s="19">
        <v>18</v>
      </c>
      <c r="C32" s="19">
        <v>17</v>
      </c>
      <c r="D32" s="19">
        <v>30</v>
      </c>
      <c r="E32" s="19">
        <v>30</v>
      </c>
      <c r="F32" s="19">
        <v>27</v>
      </c>
      <c r="G32" s="19">
        <v>29</v>
      </c>
      <c r="H32" s="19">
        <v>22</v>
      </c>
      <c r="I32" s="19">
        <v>19</v>
      </c>
      <c r="J32" s="19">
        <v>21</v>
      </c>
      <c r="K32" s="19">
        <v>17</v>
      </c>
      <c r="L32" s="19">
        <v>18</v>
      </c>
      <c r="M32" s="19">
        <v>20</v>
      </c>
      <c r="N32" s="19">
        <v>18</v>
      </c>
      <c r="O32" s="19">
        <v>16</v>
      </c>
      <c r="P32" s="13">
        <v>18</v>
      </c>
      <c r="Q32" s="19">
        <v>18</v>
      </c>
      <c r="R32" s="19">
        <v>22</v>
      </c>
      <c r="S32" s="19">
        <v>25</v>
      </c>
      <c r="T32" s="19">
        <v>23</v>
      </c>
      <c r="U32" s="19">
        <v>24</v>
      </c>
      <c r="V32" s="19">
        <v>21</v>
      </c>
      <c r="W32" s="19">
        <v>22</v>
      </c>
      <c r="X32" s="13">
        <v>21</v>
      </c>
      <c r="Y32" s="19">
        <v>23</v>
      </c>
      <c r="Z32" s="19">
        <v>20</v>
      </c>
      <c r="AA32" s="19">
        <v>20</v>
      </c>
      <c r="AB32" s="19">
        <v>19</v>
      </c>
      <c r="AC32" s="19">
        <v>21</v>
      </c>
      <c r="AD32" s="19">
        <v>21</v>
      </c>
      <c r="AE32" s="19">
        <v>20</v>
      </c>
      <c r="AF32" s="13">
        <v>24</v>
      </c>
    </row>
    <row r="33" spans="1:32" x14ac:dyDescent="0.25">
      <c r="A33" s="10">
        <v>22</v>
      </c>
      <c r="B33" s="19">
        <v>15</v>
      </c>
      <c r="C33" s="19">
        <v>17</v>
      </c>
      <c r="D33" s="19">
        <v>20</v>
      </c>
      <c r="E33" s="19">
        <v>24</v>
      </c>
      <c r="F33" s="19">
        <v>23</v>
      </c>
      <c r="G33" s="19">
        <v>27</v>
      </c>
      <c r="H33" s="19">
        <v>18</v>
      </c>
      <c r="I33" s="19">
        <v>17</v>
      </c>
      <c r="J33" s="19">
        <v>17</v>
      </c>
      <c r="K33" s="19">
        <v>15</v>
      </c>
      <c r="L33" s="19">
        <v>15</v>
      </c>
      <c r="M33" s="19">
        <v>18</v>
      </c>
      <c r="N33" s="19">
        <v>13</v>
      </c>
      <c r="O33" s="19">
        <v>14</v>
      </c>
      <c r="P33" s="13">
        <v>15</v>
      </c>
      <c r="Q33" s="19">
        <v>16</v>
      </c>
      <c r="R33" s="19">
        <v>18</v>
      </c>
      <c r="S33" s="19">
        <v>19</v>
      </c>
      <c r="T33" s="19">
        <v>22</v>
      </c>
      <c r="U33" s="19">
        <v>22</v>
      </c>
      <c r="V33" s="19">
        <v>18</v>
      </c>
      <c r="W33" s="19">
        <v>21</v>
      </c>
      <c r="X33" s="13">
        <v>19</v>
      </c>
      <c r="Y33" s="19">
        <v>22</v>
      </c>
      <c r="Z33" s="19">
        <v>17</v>
      </c>
      <c r="AA33" s="19">
        <v>17</v>
      </c>
      <c r="AB33" s="19">
        <v>18</v>
      </c>
      <c r="AC33" s="19">
        <v>18</v>
      </c>
      <c r="AD33" s="19">
        <v>19</v>
      </c>
      <c r="AE33" s="19">
        <v>17</v>
      </c>
      <c r="AF33" s="13">
        <v>20</v>
      </c>
    </row>
    <row r="34" spans="1:32" x14ac:dyDescent="0.25">
      <c r="A34" s="10">
        <v>24</v>
      </c>
      <c r="B34" s="19">
        <v>12</v>
      </c>
      <c r="C34" s="19">
        <v>17</v>
      </c>
      <c r="D34" s="19">
        <v>18</v>
      </c>
      <c r="E34" s="19">
        <v>18</v>
      </c>
      <c r="F34" s="19">
        <v>23</v>
      </c>
      <c r="G34" s="19">
        <v>25</v>
      </c>
      <c r="H34" s="19">
        <v>16</v>
      </c>
      <c r="I34" s="19">
        <v>15</v>
      </c>
      <c r="J34" s="19">
        <v>16</v>
      </c>
      <c r="K34" s="19">
        <v>13</v>
      </c>
      <c r="L34" s="19">
        <v>13</v>
      </c>
      <c r="M34" s="19">
        <v>16</v>
      </c>
      <c r="N34" s="19">
        <v>12</v>
      </c>
      <c r="O34" s="19">
        <v>12</v>
      </c>
      <c r="P34" s="13">
        <v>13</v>
      </c>
      <c r="Q34" s="19">
        <v>13</v>
      </c>
      <c r="R34" s="19">
        <v>16</v>
      </c>
      <c r="S34" s="19">
        <v>17</v>
      </c>
      <c r="T34" s="19">
        <v>20</v>
      </c>
      <c r="U34" s="19">
        <v>20</v>
      </c>
      <c r="V34" s="19">
        <v>17</v>
      </c>
      <c r="W34" s="19">
        <v>18</v>
      </c>
      <c r="X34" s="13">
        <v>17</v>
      </c>
      <c r="Y34" s="19">
        <v>20</v>
      </c>
      <c r="Z34" s="19">
        <v>17</v>
      </c>
      <c r="AA34" s="19">
        <v>16</v>
      </c>
      <c r="AB34" s="19">
        <v>16</v>
      </c>
      <c r="AC34" s="19">
        <v>17</v>
      </c>
      <c r="AD34" s="19">
        <v>17</v>
      </c>
      <c r="AE34" s="19">
        <v>16</v>
      </c>
      <c r="AF34" s="13">
        <v>18</v>
      </c>
    </row>
    <row r="35" spans="1:32" x14ac:dyDescent="0.25">
      <c r="A35" s="10">
        <v>2</v>
      </c>
      <c r="B35" s="19">
        <v>11</v>
      </c>
      <c r="C35" s="19">
        <v>17</v>
      </c>
      <c r="D35" s="19">
        <v>16</v>
      </c>
      <c r="E35" s="19">
        <v>19</v>
      </c>
      <c r="F35" s="19">
        <v>22</v>
      </c>
      <c r="G35" s="19">
        <v>20</v>
      </c>
      <c r="H35" s="19">
        <v>14</v>
      </c>
      <c r="I35" s="19">
        <v>14</v>
      </c>
      <c r="J35" s="19">
        <v>15</v>
      </c>
      <c r="K35" s="19">
        <v>12</v>
      </c>
      <c r="L35" s="19">
        <v>12</v>
      </c>
      <c r="M35" s="19">
        <v>15</v>
      </c>
      <c r="N35" s="19">
        <v>10</v>
      </c>
      <c r="O35" s="19">
        <v>11</v>
      </c>
      <c r="P35" s="13">
        <v>12</v>
      </c>
      <c r="Q35" s="19">
        <v>11</v>
      </c>
      <c r="R35" s="19">
        <v>14</v>
      </c>
      <c r="S35" s="19">
        <v>16</v>
      </c>
      <c r="T35" s="19">
        <v>18</v>
      </c>
      <c r="U35" s="19">
        <v>20</v>
      </c>
      <c r="V35" s="19">
        <v>16</v>
      </c>
      <c r="W35" s="19">
        <v>17</v>
      </c>
      <c r="X35" s="13">
        <v>16</v>
      </c>
      <c r="Y35" s="19">
        <v>19</v>
      </c>
      <c r="Z35" s="19">
        <v>16</v>
      </c>
      <c r="AA35" s="19">
        <v>15</v>
      </c>
      <c r="AB35" s="19">
        <v>16</v>
      </c>
      <c r="AC35" s="19">
        <v>16</v>
      </c>
      <c r="AD35" s="19">
        <v>17</v>
      </c>
      <c r="AE35" s="19">
        <v>15</v>
      </c>
      <c r="AF35" s="13">
        <v>16</v>
      </c>
    </row>
    <row r="36" spans="1:32" ht="30" x14ac:dyDescent="0.25">
      <c r="A36" s="11" t="s">
        <v>2</v>
      </c>
      <c r="B36" s="15">
        <f>(B24+B25+B26+B27+B28+B29+B30+B31+B32+B33+B34+B35)/12</f>
        <v>16</v>
      </c>
      <c r="C36" s="15">
        <f t="shared" ref="C36:J36" si="2">(C24+C25+C26+C27+C28+C29+C30+C31+C32+C33+C34+C35)/12</f>
        <v>17.333333333333332</v>
      </c>
      <c r="D36" s="15">
        <f t="shared" si="2"/>
        <v>23.25</v>
      </c>
      <c r="E36" s="15">
        <f t="shared" si="2"/>
        <v>24.666666666666668</v>
      </c>
      <c r="F36" s="15">
        <f t="shared" si="2"/>
        <v>24.333333333333332</v>
      </c>
      <c r="G36" s="15">
        <f t="shared" si="2"/>
        <v>26.666666666666668</v>
      </c>
      <c r="H36" s="15">
        <f t="shared" si="2"/>
        <v>19</v>
      </c>
      <c r="I36" s="15">
        <f t="shared" si="2"/>
        <v>18.75</v>
      </c>
      <c r="J36" s="15">
        <f t="shared" si="2"/>
        <v>18.916666666666668</v>
      </c>
      <c r="K36" s="15">
        <f>(K24+K25+K26+K27+K28+K29+K30+K31+K32+K33+K34+K35)/12</f>
        <v>17.333333333333332</v>
      </c>
      <c r="L36" s="15">
        <f t="shared" ref="L36:AF36" si="3">(L24+L25+L26+L27+L28+L29+L30+L31+L32+L33+L34+L35)/12</f>
        <v>15.75</v>
      </c>
      <c r="M36" s="15">
        <f t="shared" si="3"/>
        <v>18.416666666666668</v>
      </c>
      <c r="N36" s="15">
        <f t="shared" si="3"/>
        <v>15.75</v>
      </c>
      <c r="O36" s="15">
        <f t="shared" si="3"/>
        <v>14.083333333333334</v>
      </c>
      <c r="P36" s="15">
        <f t="shared" si="3"/>
        <v>16.25</v>
      </c>
      <c r="Q36" s="15">
        <f t="shared" si="3"/>
        <v>17</v>
      </c>
      <c r="R36" s="15">
        <f t="shared" si="3"/>
        <v>18.25</v>
      </c>
      <c r="S36" s="15">
        <f t="shared" si="3"/>
        <v>20.416666666666668</v>
      </c>
      <c r="T36" s="15">
        <f t="shared" si="3"/>
        <v>22</v>
      </c>
      <c r="U36" s="15">
        <f t="shared" si="3"/>
        <v>22.916666666666668</v>
      </c>
      <c r="V36" s="15">
        <f t="shared" si="3"/>
        <v>20.416666666666668</v>
      </c>
      <c r="W36" s="15">
        <f t="shared" si="3"/>
        <v>21.083333333333332</v>
      </c>
      <c r="X36" s="15">
        <f t="shared" si="3"/>
        <v>20.75</v>
      </c>
      <c r="Y36" s="15">
        <f t="shared" si="3"/>
        <v>22.166666666666668</v>
      </c>
      <c r="Z36" s="15">
        <f t="shared" si="3"/>
        <v>19.25</v>
      </c>
      <c r="AA36" s="15">
        <f t="shared" si="3"/>
        <v>19.416666666666668</v>
      </c>
      <c r="AB36" s="15">
        <f t="shared" si="3"/>
        <v>19.333333333333332</v>
      </c>
      <c r="AC36" s="15">
        <f t="shared" si="3"/>
        <v>20.583333333333332</v>
      </c>
      <c r="AD36" s="15">
        <f>(AD24+AD25+AD26+AD27+AD28+AD29+AD30+AD31+AD32+AD33+AD34+AD35)/12</f>
        <v>20.333333333333332</v>
      </c>
      <c r="AE36" s="15">
        <f>(AE24+AE25+AE26+AE27+AE28+AE29+AE30+AE31+AE32+AE33+AE34+AE35)/12</f>
        <v>19.166666666666668</v>
      </c>
      <c r="AF36" s="15">
        <f t="shared" si="3"/>
        <v>21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B22" sqref="B22:AF22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62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17</v>
      </c>
      <c r="C4" s="19">
        <v>17</v>
      </c>
      <c r="D4" s="19">
        <v>18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>
        <v>6</v>
      </c>
      <c r="AA4" s="19">
        <v>9</v>
      </c>
      <c r="AB4" s="19">
        <v>8</v>
      </c>
      <c r="AC4" s="19">
        <v>8</v>
      </c>
      <c r="AD4" s="19">
        <v>12</v>
      </c>
      <c r="AE4" s="19">
        <v>10</v>
      </c>
      <c r="AF4" s="19">
        <v>13</v>
      </c>
    </row>
    <row r="5" spans="1:33" x14ac:dyDescent="0.25">
      <c r="A5" s="10">
        <v>6</v>
      </c>
      <c r="B5" s="19">
        <v>18</v>
      </c>
      <c r="C5" s="19">
        <v>19</v>
      </c>
      <c r="D5" s="19">
        <v>19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>
        <v>7</v>
      </c>
      <c r="AA5" s="19">
        <v>9</v>
      </c>
      <c r="AB5" s="19">
        <v>8</v>
      </c>
      <c r="AC5" s="19">
        <v>8</v>
      </c>
      <c r="AD5" s="19">
        <v>12</v>
      </c>
      <c r="AE5" s="19">
        <v>10</v>
      </c>
      <c r="AF5" s="19">
        <v>14</v>
      </c>
    </row>
    <row r="6" spans="1:33" x14ac:dyDescent="0.25">
      <c r="A6" s="10">
        <v>8</v>
      </c>
      <c r="B6" s="19">
        <v>19</v>
      </c>
      <c r="C6" s="19">
        <v>22</v>
      </c>
      <c r="D6" s="19">
        <v>21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>
        <v>11</v>
      </c>
      <c r="AA6" s="19">
        <v>10</v>
      </c>
      <c r="AB6" s="19">
        <v>11</v>
      </c>
      <c r="AC6" s="19">
        <v>11</v>
      </c>
      <c r="AD6" s="19">
        <v>12</v>
      </c>
      <c r="AE6" s="19">
        <v>13</v>
      </c>
      <c r="AF6" s="19">
        <v>16</v>
      </c>
    </row>
    <row r="7" spans="1:33" x14ac:dyDescent="0.25">
      <c r="A7" s="10">
        <v>10</v>
      </c>
      <c r="B7" s="19">
        <v>21</v>
      </c>
      <c r="C7" s="19">
        <v>23</v>
      </c>
      <c r="D7" s="19">
        <v>25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>
        <v>14</v>
      </c>
      <c r="AA7" s="19">
        <v>11</v>
      </c>
      <c r="AB7" s="19">
        <v>13</v>
      </c>
      <c r="AC7" s="19">
        <v>14</v>
      </c>
      <c r="AD7" s="19">
        <v>14</v>
      </c>
      <c r="AE7" s="19">
        <v>15</v>
      </c>
      <c r="AF7" s="19">
        <v>17</v>
      </c>
    </row>
    <row r="8" spans="1:33" x14ac:dyDescent="0.25">
      <c r="A8" s="10">
        <v>12</v>
      </c>
      <c r="B8" s="19">
        <v>23</v>
      </c>
      <c r="C8" s="19">
        <v>26</v>
      </c>
      <c r="D8" s="19">
        <v>26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>
        <v>15</v>
      </c>
      <c r="AA8" s="19">
        <v>13</v>
      </c>
      <c r="AB8" s="19">
        <v>13</v>
      </c>
      <c r="AC8" s="19">
        <v>14</v>
      </c>
      <c r="AD8" s="19">
        <v>16</v>
      </c>
      <c r="AE8" s="19">
        <v>17</v>
      </c>
      <c r="AF8" s="19">
        <v>18</v>
      </c>
    </row>
    <row r="9" spans="1:33" x14ac:dyDescent="0.25">
      <c r="A9" s="10">
        <v>14</v>
      </c>
      <c r="B9" s="19">
        <v>26</v>
      </c>
      <c r="C9" s="19">
        <v>24</v>
      </c>
      <c r="D9" s="19">
        <v>27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>
        <v>16</v>
      </c>
      <c r="AA9" s="19">
        <v>15</v>
      </c>
      <c r="AB9" s="19">
        <v>15</v>
      </c>
      <c r="AC9" s="19">
        <v>14</v>
      </c>
      <c r="AD9" s="19">
        <v>17</v>
      </c>
      <c r="AE9" s="19">
        <v>20</v>
      </c>
      <c r="AF9" s="19">
        <v>18</v>
      </c>
    </row>
    <row r="10" spans="1:33" x14ac:dyDescent="0.25">
      <c r="A10" s="10">
        <v>16</v>
      </c>
      <c r="B10" s="19">
        <v>27</v>
      </c>
      <c r="C10" s="19">
        <v>23</v>
      </c>
      <c r="D10" s="19">
        <v>26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>
        <v>16</v>
      </c>
      <c r="AA10" s="19">
        <v>15</v>
      </c>
      <c r="AB10" s="19">
        <v>15</v>
      </c>
      <c r="AC10" s="19">
        <v>15</v>
      </c>
      <c r="AD10" s="19">
        <v>17</v>
      </c>
      <c r="AE10" s="19">
        <v>21</v>
      </c>
      <c r="AF10" s="19">
        <v>20</v>
      </c>
    </row>
    <row r="11" spans="1:33" x14ac:dyDescent="0.25">
      <c r="A11" s="10">
        <v>18</v>
      </c>
      <c r="B11" s="19">
        <v>25</v>
      </c>
      <c r="C11" s="19">
        <v>23</v>
      </c>
      <c r="D11" s="19">
        <v>26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>
        <v>15</v>
      </c>
      <c r="AA11" s="19">
        <v>11</v>
      </c>
      <c r="AB11" s="19">
        <v>15</v>
      </c>
      <c r="AC11" s="19">
        <v>14</v>
      </c>
      <c r="AD11" s="19">
        <v>16</v>
      </c>
      <c r="AE11" s="19">
        <v>20</v>
      </c>
      <c r="AF11" s="19">
        <v>19</v>
      </c>
    </row>
    <row r="12" spans="1:33" x14ac:dyDescent="0.25">
      <c r="A12" s="10">
        <v>20</v>
      </c>
      <c r="B12" s="19">
        <v>22</v>
      </c>
      <c r="C12" s="19">
        <v>22</v>
      </c>
      <c r="D12" s="19">
        <v>23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>
        <v>12</v>
      </c>
      <c r="AA12" s="19">
        <v>11</v>
      </c>
      <c r="AB12" s="19">
        <v>15</v>
      </c>
      <c r="AC12" s="19">
        <v>14</v>
      </c>
      <c r="AD12" s="19">
        <v>13</v>
      </c>
      <c r="AE12" s="19">
        <v>16</v>
      </c>
      <c r="AF12" s="19">
        <v>18</v>
      </c>
    </row>
    <row r="13" spans="1:33" x14ac:dyDescent="0.25">
      <c r="A13" s="10">
        <v>22</v>
      </c>
      <c r="B13" s="19">
        <v>20</v>
      </c>
      <c r="C13" s="19">
        <v>20</v>
      </c>
      <c r="D13" s="19">
        <v>22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>
        <v>11</v>
      </c>
      <c r="AA13" s="19">
        <v>10</v>
      </c>
      <c r="AB13" s="19">
        <v>10</v>
      </c>
      <c r="AC13" s="19">
        <v>13</v>
      </c>
      <c r="AD13" s="19">
        <v>13</v>
      </c>
      <c r="AE13" s="19">
        <v>15</v>
      </c>
      <c r="AF13" s="19">
        <v>17</v>
      </c>
    </row>
    <row r="14" spans="1:33" x14ac:dyDescent="0.25">
      <c r="A14" s="10">
        <v>24</v>
      </c>
      <c r="B14" s="19">
        <v>19</v>
      </c>
      <c r="C14" s="19">
        <v>20</v>
      </c>
      <c r="D14" s="19">
        <v>22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>
        <v>9</v>
      </c>
      <c r="AA14" s="19">
        <v>10</v>
      </c>
      <c r="AB14" s="19">
        <v>8</v>
      </c>
      <c r="AC14" s="19">
        <v>13</v>
      </c>
      <c r="AD14" s="19">
        <v>12</v>
      </c>
      <c r="AE14" s="19">
        <v>14</v>
      </c>
      <c r="AF14" s="19">
        <v>16</v>
      </c>
    </row>
    <row r="15" spans="1:33" x14ac:dyDescent="0.25">
      <c r="A15" s="10">
        <v>2</v>
      </c>
      <c r="B15" s="19">
        <v>17</v>
      </c>
      <c r="C15" s="19">
        <v>20</v>
      </c>
      <c r="D15" s="19">
        <v>22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>
        <v>9</v>
      </c>
      <c r="AA15" s="19">
        <v>9</v>
      </c>
      <c r="AB15" s="19">
        <v>8</v>
      </c>
      <c r="AC15" s="19">
        <v>13</v>
      </c>
      <c r="AD15" s="19">
        <v>12</v>
      </c>
      <c r="AE15" s="19">
        <v>14</v>
      </c>
      <c r="AF15" s="19">
        <v>16</v>
      </c>
    </row>
    <row r="16" spans="1:33" ht="30" x14ac:dyDescent="0.25">
      <c r="A16" s="11" t="s">
        <v>2</v>
      </c>
      <c r="B16" s="15">
        <f>(B4+B5+B6+B7+B8+B9+B10+B11+B12+B13+B14+B15)/12</f>
        <v>21.166666666666668</v>
      </c>
      <c r="C16" s="15">
        <f t="shared" ref="C16:O16" si="0">(C4+C5+C6+C7+C8+C9+C10+C11+C12+C13+C14+C15)/12</f>
        <v>21.583333333333332</v>
      </c>
      <c r="D16" s="15">
        <f t="shared" si="0"/>
        <v>23.083333333333332</v>
      </c>
      <c r="E16" s="15">
        <f t="shared" si="0"/>
        <v>0</v>
      </c>
      <c r="F16" s="15">
        <f t="shared" si="0"/>
        <v>0</v>
      </c>
      <c r="G16" s="15">
        <f t="shared" si="0"/>
        <v>0</v>
      </c>
      <c r="H16" s="15">
        <f t="shared" si="0"/>
        <v>0</v>
      </c>
      <c r="I16" s="15">
        <f t="shared" si="0"/>
        <v>0</v>
      </c>
      <c r="J16" s="15">
        <f t="shared" si="0"/>
        <v>0</v>
      </c>
      <c r="K16" s="15">
        <f t="shared" si="0"/>
        <v>0</v>
      </c>
      <c r="L16" s="15">
        <f t="shared" si="0"/>
        <v>0</v>
      </c>
      <c r="M16" s="15">
        <f t="shared" si="0"/>
        <v>0</v>
      </c>
      <c r="N16" s="15">
        <f t="shared" si="0"/>
        <v>0</v>
      </c>
      <c r="O16" s="15">
        <f t="shared" si="0"/>
        <v>0</v>
      </c>
      <c r="P16" s="15">
        <f>(P4+P5+P6+P7+P8+P9+P10+P11+P12+P13+P14+P15)/12</f>
        <v>0</v>
      </c>
      <c r="Q16" s="15">
        <f>(Q4+Q5+Q6+Q7+Q8+Q9+Q10+Q11+Q12+Q13+Q14+Q15)/12</f>
        <v>0</v>
      </c>
      <c r="R16" s="15">
        <f>(R4+R5+R6+R7+R8+R9+R10+R11+R12+R13+R14+R15)/12</f>
        <v>0</v>
      </c>
      <c r="S16" s="15">
        <f t="shared" ref="S16:AF16" si="1">(S4+S5+S6+S7+S8+S9+S10+S11+S12+S13+S14+S15)/12</f>
        <v>0</v>
      </c>
      <c r="T16" s="15">
        <f t="shared" si="1"/>
        <v>0</v>
      </c>
      <c r="U16" s="15">
        <f t="shared" si="1"/>
        <v>0</v>
      </c>
      <c r="V16" s="15">
        <f t="shared" si="1"/>
        <v>0</v>
      </c>
      <c r="W16" s="15">
        <f t="shared" si="1"/>
        <v>0</v>
      </c>
      <c r="X16" s="15">
        <f t="shared" si="1"/>
        <v>0</v>
      </c>
      <c r="Y16" s="15">
        <f t="shared" si="1"/>
        <v>0</v>
      </c>
      <c r="Z16" s="15">
        <f t="shared" si="1"/>
        <v>11.75</v>
      </c>
      <c r="AA16" s="15">
        <f t="shared" si="1"/>
        <v>11.083333333333334</v>
      </c>
      <c r="AB16" s="15">
        <f t="shared" si="1"/>
        <v>11.583333333333334</v>
      </c>
      <c r="AC16" s="15">
        <f t="shared" si="1"/>
        <v>12.583333333333334</v>
      </c>
      <c r="AD16" s="15">
        <f t="shared" si="1"/>
        <v>13.833333333333334</v>
      </c>
      <c r="AE16" s="15">
        <f t="shared" si="1"/>
        <v>15.416666666666666</v>
      </c>
      <c r="AF16" s="15">
        <f t="shared" si="1"/>
        <v>16.833333333333332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62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16</v>
      </c>
      <c r="C24" s="19">
        <v>18</v>
      </c>
      <c r="D24" s="19">
        <v>18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3"/>
      <c r="Q24" s="19"/>
      <c r="R24" s="19"/>
      <c r="S24" s="19"/>
      <c r="T24" s="19"/>
      <c r="U24" s="19"/>
      <c r="V24" s="19"/>
      <c r="W24" s="19"/>
      <c r="X24" s="13"/>
      <c r="Y24" s="19"/>
      <c r="Z24" s="19">
        <v>7</v>
      </c>
      <c r="AA24" s="19">
        <v>9</v>
      </c>
      <c r="AB24" s="19">
        <v>8</v>
      </c>
      <c r="AC24" s="19">
        <v>9</v>
      </c>
      <c r="AD24" s="19">
        <v>13</v>
      </c>
      <c r="AE24" s="19">
        <v>11</v>
      </c>
      <c r="AF24" s="19">
        <v>13</v>
      </c>
    </row>
    <row r="25" spans="1:32" x14ac:dyDescent="0.25">
      <c r="A25" s="10">
        <v>6</v>
      </c>
      <c r="B25" s="19">
        <v>17</v>
      </c>
      <c r="C25" s="19">
        <v>19</v>
      </c>
      <c r="D25" s="19">
        <v>18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3"/>
      <c r="Q25" s="19"/>
      <c r="R25" s="19"/>
      <c r="S25" s="19"/>
      <c r="T25" s="19"/>
      <c r="U25" s="19"/>
      <c r="V25" s="19"/>
      <c r="W25" s="19"/>
      <c r="X25" s="13"/>
      <c r="Y25" s="19"/>
      <c r="Z25" s="19">
        <v>5</v>
      </c>
      <c r="AA25" s="19">
        <v>9</v>
      </c>
      <c r="AB25" s="19">
        <v>8</v>
      </c>
      <c r="AC25" s="19">
        <v>9</v>
      </c>
      <c r="AD25" s="19">
        <v>12</v>
      </c>
      <c r="AE25" s="19">
        <v>11</v>
      </c>
      <c r="AF25" s="19">
        <v>13</v>
      </c>
    </row>
    <row r="26" spans="1:32" x14ac:dyDescent="0.25">
      <c r="A26" s="10">
        <v>8</v>
      </c>
      <c r="B26" s="19">
        <v>19</v>
      </c>
      <c r="C26" s="19">
        <v>22</v>
      </c>
      <c r="D26" s="19">
        <v>22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3"/>
      <c r="Q26" s="19"/>
      <c r="R26" s="19"/>
      <c r="S26" s="19"/>
      <c r="T26" s="19"/>
      <c r="U26" s="19"/>
      <c r="V26" s="19"/>
      <c r="W26" s="19"/>
      <c r="X26" s="13"/>
      <c r="Y26" s="19"/>
      <c r="Z26" s="19">
        <v>8</v>
      </c>
      <c r="AA26" s="19">
        <v>10</v>
      </c>
      <c r="AB26" s="19">
        <v>11</v>
      </c>
      <c r="AC26" s="19">
        <v>11</v>
      </c>
      <c r="AD26" s="19">
        <v>13</v>
      </c>
      <c r="AE26" s="19">
        <v>13</v>
      </c>
      <c r="AF26" s="19">
        <v>15</v>
      </c>
    </row>
    <row r="27" spans="1:32" x14ac:dyDescent="0.25">
      <c r="A27" s="10">
        <v>10</v>
      </c>
      <c r="B27" s="19">
        <v>22</v>
      </c>
      <c r="C27" s="19">
        <v>25</v>
      </c>
      <c r="D27" s="19">
        <v>24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3"/>
      <c r="Q27" s="19"/>
      <c r="R27" s="19"/>
      <c r="S27" s="19"/>
      <c r="T27" s="19"/>
      <c r="U27" s="19"/>
      <c r="V27" s="19"/>
      <c r="W27" s="19"/>
      <c r="X27" s="13"/>
      <c r="Y27" s="19"/>
      <c r="Z27" s="19">
        <v>14</v>
      </c>
      <c r="AA27" s="19">
        <v>12</v>
      </c>
      <c r="AB27" s="19">
        <v>13</v>
      </c>
      <c r="AC27" s="19">
        <v>14</v>
      </c>
      <c r="AD27" s="19">
        <v>13</v>
      </c>
      <c r="AE27" s="19">
        <v>14</v>
      </c>
      <c r="AF27" s="19">
        <v>18</v>
      </c>
    </row>
    <row r="28" spans="1:32" x14ac:dyDescent="0.25">
      <c r="A28" s="10">
        <v>12</v>
      </c>
      <c r="B28" s="19">
        <v>24</v>
      </c>
      <c r="C28" s="19">
        <v>24</v>
      </c>
      <c r="D28" s="19">
        <v>25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3"/>
      <c r="Q28" s="19"/>
      <c r="R28" s="19"/>
      <c r="S28" s="19"/>
      <c r="T28" s="19"/>
      <c r="U28" s="19"/>
      <c r="V28" s="19"/>
      <c r="W28" s="19"/>
      <c r="X28" s="13"/>
      <c r="Y28" s="19"/>
      <c r="Z28" s="19">
        <v>16</v>
      </c>
      <c r="AA28" s="19">
        <v>13</v>
      </c>
      <c r="AB28" s="19">
        <v>13</v>
      </c>
      <c r="AC28" s="19">
        <v>15</v>
      </c>
      <c r="AD28" s="19">
        <v>15</v>
      </c>
      <c r="AE28" s="19">
        <v>18</v>
      </c>
      <c r="AF28" s="19">
        <v>18</v>
      </c>
    </row>
    <row r="29" spans="1:32" x14ac:dyDescent="0.25">
      <c r="A29" s="10">
        <v>14</v>
      </c>
      <c r="B29" s="19">
        <v>26</v>
      </c>
      <c r="C29" s="19">
        <v>21</v>
      </c>
      <c r="D29" s="19">
        <v>27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3"/>
      <c r="Q29" s="19"/>
      <c r="R29" s="19"/>
      <c r="S29" s="19"/>
      <c r="T29" s="19"/>
      <c r="U29" s="19"/>
      <c r="V29" s="19"/>
      <c r="W29" s="19"/>
      <c r="X29" s="13"/>
      <c r="Y29" s="19"/>
      <c r="Z29" s="19">
        <v>16</v>
      </c>
      <c r="AA29" s="19">
        <v>15</v>
      </c>
      <c r="AB29" s="19">
        <v>11</v>
      </c>
      <c r="AC29" s="19">
        <v>16</v>
      </c>
      <c r="AD29" s="19">
        <v>16</v>
      </c>
      <c r="AE29" s="19">
        <v>19</v>
      </c>
      <c r="AF29" s="19">
        <v>20</v>
      </c>
    </row>
    <row r="30" spans="1:32" x14ac:dyDescent="0.25">
      <c r="A30" s="10">
        <v>16</v>
      </c>
      <c r="B30" s="19">
        <v>26</v>
      </c>
      <c r="C30" s="19">
        <v>20</v>
      </c>
      <c r="D30" s="19">
        <v>27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3"/>
      <c r="Q30" s="19"/>
      <c r="R30" s="19"/>
      <c r="S30" s="19"/>
      <c r="T30" s="19"/>
      <c r="U30" s="19"/>
      <c r="V30" s="19"/>
      <c r="W30" s="19"/>
      <c r="X30" s="13"/>
      <c r="Y30" s="19"/>
      <c r="Z30" s="19">
        <v>16</v>
      </c>
      <c r="AA30" s="19">
        <v>14</v>
      </c>
      <c r="AB30" s="19">
        <v>11</v>
      </c>
      <c r="AC30" s="19">
        <v>17</v>
      </c>
      <c r="AD30" s="19">
        <v>16</v>
      </c>
      <c r="AE30" s="19">
        <v>20</v>
      </c>
      <c r="AF30" s="19">
        <v>22</v>
      </c>
    </row>
    <row r="31" spans="1:32" x14ac:dyDescent="0.25">
      <c r="A31" s="10">
        <v>18</v>
      </c>
      <c r="B31" s="19">
        <v>25</v>
      </c>
      <c r="C31" s="19">
        <v>23</v>
      </c>
      <c r="D31" s="19">
        <v>24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3"/>
      <c r="Q31" s="19"/>
      <c r="R31" s="19"/>
      <c r="S31" s="19"/>
      <c r="T31" s="19"/>
      <c r="U31" s="19"/>
      <c r="V31" s="19"/>
      <c r="W31" s="19"/>
      <c r="X31" s="13"/>
      <c r="Y31" s="19"/>
      <c r="Z31" s="19">
        <v>15</v>
      </c>
      <c r="AA31" s="19">
        <v>13</v>
      </c>
      <c r="AB31" s="19">
        <v>10</v>
      </c>
      <c r="AC31" s="19">
        <v>16</v>
      </c>
      <c r="AD31" s="19">
        <v>15</v>
      </c>
      <c r="AE31" s="19">
        <v>19</v>
      </c>
      <c r="AF31" s="19">
        <v>20</v>
      </c>
    </row>
    <row r="32" spans="1:32" x14ac:dyDescent="0.25">
      <c r="A32" s="10">
        <v>20</v>
      </c>
      <c r="B32" s="19">
        <v>22</v>
      </c>
      <c r="C32" s="19">
        <v>24</v>
      </c>
      <c r="D32" s="19">
        <v>25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3"/>
      <c r="Q32" s="19"/>
      <c r="R32" s="19"/>
      <c r="S32" s="19"/>
      <c r="T32" s="19"/>
      <c r="U32" s="19"/>
      <c r="V32" s="19"/>
      <c r="W32" s="19"/>
      <c r="X32" s="13"/>
      <c r="Y32" s="19"/>
      <c r="Z32" s="19">
        <v>12</v>
      </c>
      <c r="AA32" s="19">
        <v>11</v>
      </c>
      <c r="AB32" s="19">
        <v>12</v>
      </c>
      <c r="AC32" s="19">
        <v>15</v>
      </c>
      <c r="AD32" s="19">
        <v>14</v>
      </c>
      <c r="AE32" s="19">
        <v>17</v>
      </c>
      <c r="AF32" s="19">
        <v>19</v>
      </c>
    </row>
    <row r="33" spans="1:32" x14ac:dyDescent="0.25">
      <c r="A33" s="10">
        <v>22</v>
      </c>
      <c r="B33" s="19">
        <v>20</v>
      </c>
      <c r="C33" s="19">
        <v>21</v>
      </c>
      <c r="D33" s="19">
        <v>21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3"/>
      <c r="Q33" s="19"/>
      <c r="R33" s="19"/>
      <c r="S33" s="19"/>
      <c r="T33" s="19"/>
      <c r="U33" s="19"/>
      <c r="V33" s="19"/>
      <c r="W33" s="19"/>
      <c r="X33" s="13"/>
      <c r="Y33" s="19"/>
      <c r="Z33" s="19">
        <v>11</v>
      </c>
      <c r="AA33" s="19">
        <v>10</v>
      </c>
      <c r="AB33" s="19">
        <v>11</v>
      </c>
      <c r="AC33" s="19">
        <v>11</v>
      </c>
      <c r="AD33" s="19">
        <v>14</v>
      </c>
      <c r="AE33" s="19">
        <v>15</v>
      </c>
      <c r="AF33" s="19">
        <v>15</v>
      </c>
    </row>
    <row r="34" spans="1:32" x14ac:dyDescent="0.25">
      <c r="A34" s="10">
        <v>24</v>
      </c>
      <c r="B34" s="19">
        <v>19</v>
      </c>
      <c r="C34" s="19">
        <v>19</v>
      </c>
      <c r="D34" s="19">
        <v>19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3"/>
      <c r="Q34" s="19"/>
      <c r="R34" s="19"/>
      <c r="S34" s="19"/>
      <c r="T34" s="19"/>
      <c r="U34" s="19"/>
      <c r="V34" s="19"/>
      <c r="W34" s="19"/>
      <c r="X34" s="13"/>
      <c r="Y34" s="19"/>
      <c r="Z34" s="19">
        <v>9</v>
      </c>
      <c r="AA34" s="19">
        <v>10</v>
      </c>
      <c r="AB34" s="19">
        <v>9</v>
      </c>
      <c r="AC34" s="19">
        <v>11</v>
      </c>
      <c r="AD34" s="19">
        <v>13</v>
      </c>
      <c r="AE34" s="19">
        <v>14</v>
      </c>
      <c r="AF34" s="19">
        <v>14</v>
      </c>
    </row>
    <row r="35" spans="1:32" x14ac:dyDescent="0.25">
      <c r="A35" s="10">
        <v>2</v>
      </c>
      <c r="B35" s="19">
        <v>18</v>
      </c>
      <c r="C35" s="19">
        <v>18</v>
      </c>
      <c r="D35" s="19">
        <v>18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3"/>
      <c r="Q35" s="19"/>
      <c r="R35" s="19"/>
      <c r="S35" s="19"/>
      <c r="T35" s="19"/>
      <c r="U35" s="19"/>
      <c r="V35" s="19"/>
      <c r="W35" s="19"/>
      <c r="X35" s="13"/>
      <c r="Y35" s="19"/>
      <c r="Z35" s="19">
        <v>9</v>
      </c>
      <c r="AA35" s="19">
        <v>9</v>
      </c>
      <c r="AB35" s="19">
        <v>9</v>
      </c>
      <c r="AC35" s="19">
        <v>11</v>
      </c>
      <c r="AD35" s="19">
        <v>12</v>
      </c>
      <c r="AE35" s="19">
        <v>12</v>
      </c>
      <c r="AF35" s="19">
        <v>14</v>
      </c>
    </row>
    <row r="36" spans="1:32" ht="30" x14ac:dyDescent="0.25">
      <c r="A36" s="11" t="s">
        <v>2</v>
      </c>
      <c r="B36" s="15">
        <f>(B24+B25+B26+B27+B28+B29+B30+B31+B32+B33+B34+B35)/12</f>
        <v>21.166666666666668</v>
      </c>
      <c r="C36" s="15">
        <f t="shared" ref="C36:J36" si="2">(C24+C25+C26+C27+C28+C29+C30+C31+C32+C33+C34+C35)/12</f>
        <v>21.166666666666668</v>
      </c>
      <c r="D36" s="15">
        <f t="shared" si="2"/>
        <v>22.333333333333332</v>
      </c>
      <c r="E36" s="15">
        <f t="shared" si="2"/>
        <v>0</v>
      </c>
      <c r="F36" s="15">
        <f t="shared" si="2"/>
        <v>0</v>
      </c>
      <c r="G36" s="15">
        <f t="shared" si="2"/>
        <v>0</v>
      </c>
      <c r="H36" s="15">
        <f t="shared" si="2"/>
        <v>0</v>
      </c>
      <c r="I36" s="15">
        <f t="shared" si="2"/>
        <v>0</v>
      </c>
      <c r="J36" s="15">
        <f t="shared" si="2"/>
        <v>0</v>
      </c>
      <c r="K36" s="15">
        <f>(K24+K25+K26+K27+K28+K29+K30+K31+K32+K33+K34+K35)/12</f>
        <v>0</v>
      </c>
      <c r="L36" s="15">
        <f t="shared" ref="L36:AF36" si="3">(L24+L25+L26+L27+L28+L29+L30+L31+L32+L33+L34+L35)/12</f>
        <v>0</v>
      </c>
      <c r="M36" s="15">
        <f t="shared" si="3"/>
        <v>0</v>
      </c>
      <c r="N36" s="15">
        <f t="shared" si="3"/>
        <v>0</v>
      </c>
      <c r="O36" s="15">
        <f t="shared" si="3"/>
        <v>0</v>
      </c>
      <c r="P36" s="15">
        <f t="shared" si="3"/>
        <v>0</v>
      </c>
      <c r="Q36" s="15">
        <f t="shared" si="3"/>
        <v>0</v>
      </c>
      <c r="R36" s="15">
        <f t="shared" si="3"/>
        <v>0</v>
      </c>
      <c r="S36" s="15">
        <f t="shared" si="3"/>
        <v>0</v>
      </c>
      <c r="T36" s="15">
        <f t="shared" si="3"/>
        <v>0</v>
      </c>
      <c r="U36" s="15">
        <f t="shared" si="3"/>
        <v>0</v>
      </c>
      <c r="V36" s="15">
        <f t="shared" si="3"/>
        <v>0</v>
      </c>
      <c r="W36" s="15">
        <f t="shared" si="3"/>
        <v>0</v>
      </c>
      <c r="X36" s="15">
        <f t="shared" si="3"/>
        <v>0</v>
      </c>
      <c r="Y36" s="15">
        <f t="shared" si="3"/>
        <v>0</v>
      </c>
      <c r="Z36" s="15">
        <f t="shared" si="3"/>
        <v>11.5</v>
      </c>
      <c r="AA36" s="15">
        <f t="shared" si="3"/>
        <v>11.25</v>
      </c>
      <c r="AB36" s="15">
        <f t="shared" si="3"/>
        <v>10.5</v>
      </c>
      <c r="AC36" s="15">
        <f t="shared" si="3"/>
        <v>12.916666666666666</v>
      </c>
      <c r="AD36" s="15">
        <f>(AD24+AD25+AD26+AD27+AD28+AD29+AD30+AD31+AD32+AD33+AD34+AD35)/12</f>
        <v>13.833333333333334</v>
      </c>
      <c r="AE36" s="15">
        <f>(AE24+AE25+AE26+AE27+AE28+AE29+AE30+AE31+AE32+AE33+AE34+AE35)/12</f>
        <v>15.25</v>
      </c>
      <c r="AF36" s="15">
        <f t="shared" si="3"/>
        <v>16.75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E24" sqref="AE24:AE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13</v>
      </c>
      <c r="C4" s="19">
        <v>11</v>
      </c>
      <c r="D4" s="19">
        <v>10</v>
      </c>
      <c r="E4" s="19">
        <v>5</v>
      </c>
      <c r="F4" s="19">
        <v>8</v>
      </c>
      <c r="G4" s="19">
        <v>6</v>
      </c>
      <c r="H4" s="19">
        <v>5</v>
      </c>
      <c r="I4" s="19">
        <v>5</v>
      </c>
      <c r="J4" s="19">
        <v>5</v>
      </c>
      <c r="K4" s="19">
        <v>8</v>
      </c>
      <c r="L4" s="19">
        <v>9</v>
      </c>
      <c r="M4" s="19">
        <v>8</v>
      </c>
      <c r="N4" s="19">
        <v>9</v>
      </c>
      <c r="O4" s="19">
        <v>9</v>
      </c>
      <c r="P4" s="19">
        <v>6</v>
      </c>
      <c r="Q4" s="19">
        <v>9</v>
      </c>
      <c r="R4" s="19">
        <v>8</v>
      </c>
      <c r="S4" s="19">
        <v>11</v>
      </c>
      <c r="T4" s="19">
        <v>5</v>
      </c>
      <c r="U4" s="19">
        <v>8</v>
      </c>
      <c r="V4" s="19">
        <v>10</v>
      </c>
      <c r="W4" s="19">
        <v>11</v>
      </c>
      <c r="X4" s="19">
        <v>4</v>
      </c>
      <c r="Y4" s="19">
        <v>2</v>
      </c>
      <c r="Z4" s="19">
        <v>6</v>
      </c>
      <c r="AA4" s="19">
        <v>11</v>
      </c>
      <c r="AB4" s="19">
        <v>3</v>
      </c>
      <c r="AC4" s="19">
        <v>5</v>
      </c>
      <c r="AD4" s="19">
        <v>6</v>
      </c>
      <c r="AE4" s="19">
        <v>-1</v>
      </c>
      <c r="AF4" s="19"/>
    </row>
    <row r="5" spans="1:33" x14ac:dyDescent="0.25">
      <c r="A5" s="10">
        <v>6</v>
      </c>
      <c r="B5" s="19">
        <v>13</v>
      </c>
      <c r="C5" s="19">
        <v>11</v>
      </c>
      <c r="D5" s="19">
        <v>10</v>
      </c>
      <c r="E5" s="19">
        <v>8</v>
      </c>
      <c r="F5" s="19">
        <v>10</v>
      </c>
      <c r="G5" s="19">
        <v>6</v>
      </c>
      <c r="H5" s="19">
        <v>5</v>
      </c>
      <c r="I5" s="19">
        <v>5</v>
      </c>
      <c r="J5" s="19">
        <v>5</v>
      </c>
      <c r="K5" s="19">
        <v>8</v>
      </c>
      <c r="L5" s="19">
        <v>9</v>
      </c>
      <c r="M5" s="19">
        <v>9</v>
      </c>
      <c r="N5" s="19">
        <v>9</v>
      </c>
      <c r="O5" s="19">
        <v>9</v>
      </c>
      <c r="P5" s="19">
        <v>7</v>
      </c>
      <c r="Q5" s="19">
        <v>9</v>
      </c>
      <c r="R5" s="19">
        <v>7</v>
      </c>
      <c r="S5" s="19">
        <v>11</v>
      </c>
      <c r="T5" s="19">
        <v>6</v>
      </c>
      <c r="U5" s="19">
        <v>8</v>
      </c>
      <c r="V5" s="19">
        <v>10</v>
      </c>
      <c r="W5" s="19">
        <v>12</v>
      </c>
      <c r="X5" s="19">
        <v>5</v>
      </c>
      <c r="Y5" s="19">
        <v>2</v>
      </c>
      <c r="Z5" s="19">
        <v>6</v>
      </c>
      <c r="AA5" s="19">
        <v>11</v>
      </c>
      <c r="AB5" s="19">
        <v>3</v>
      </c>
      <c r="AC5" s="19">
        <v>5</v>
      </c>
      <c r="AD5" s="19">
        <v>6</v>
      </c>
      <c r="AE5" s="19">
        <v>1</v>
      </c>
      <c r="AF5" s="19"/>
    </row>
    <row r="6" spans="1:33" x14ac:dyDescent="0.25">
      <c r="A6" s="10">
        <v>8</v>
      </c>
      <c r="B6" s="19">
        <v>13</v>
      </c>
      <c r="C6" s="19">
        <v>12</v>
      </c>
      <c r="D6" s="19">
        <v>11</v>
      </c>
      <c r="E6" s="19">
        <v>8</v>
      </c>
      <c r="F6" s="19">
        <v>9</v>
      </c>
      <c r="G6" s="19">
        <v>8</v>
      </c>
      <c r="H6" s="19">
        <v>9</v>
      </c>
      <c r="I6" s="19">
        <v>9</v>
      </c>
      <c r="J6" s="19">
        <v>10</v>
      </c>
      <c r="K6" s="19">
        <v>11</v>
      </c>
      <c r="L6" s="19">
        <v>9</v>
      </c>
      <c r="M6" s="19">
        <v>10</v>
      </c>
      <c r="N6" s="19">
        <v>12</v>
      </c>
      <c r="O6" s="19">
        <v>12</v>
      </c>
      <c r="P6" s="19">
        <v>10</v>
      </c>
      <c r="Q6" s="19">
        <v>13</v>
      </c>
      <c r="R6" s="19">
        <v>10</v>
      </c>
      <c r="S6" s="19">
        <v>11</v>
      </c>
      <c r="T6" s="19">
        <v>8</v>
      </c>
      <c r="U6" s="19">
        <v>9</v>
      </c>
      <c r="V6" s="19">
        <v>10</v>
      </c>
      <c r="W6" s="19">
        <v>11</v>
      </c>
      <c r="X6" s="19">
        <v>5</v>
      </c>
      <c r="Y6" s="19">
        <v>3</v>
      </c>
      <c r="Z6" s="19">
        <v>8</v>
      </c>
      <c r="AA6" s="19">
        <v>10</v>
      </c>
      <c r="AB6" s="19">
        <v>4</v>
      </c>
      <c r="AC6" s="19">
        <v>5</v>
      </c>
      <c r="AD6" s="19">
        <v>7</v>
      </c>
      <c r="AE6" s="19">
        <v>1</v>
      </c>
      <c r="AF6" s="19"/>
    </row>
    <row r="7" spans="1:33" x14ac:dyDescent="0.25">
      <c r="A7" s="10">
        <v>10</v>
      </c>
      <c r="B7" s="19">
        <v>14</v>
      </c>
      <c r="C7" s="19">
        <v>15</v>
      </c>
      <c r="D7" s="19">
        <v>12</v>
      </c>
      <c r="E7" s="19">
        <v>9</v>
      </c>
      <c r="F7" s="19">
        <v>11</v>
      </c>
      <c r="G7" s="19">
        <v>11</v>
      </c>
      <c r="H7" s="19">
        <v>12</v>
      </c>
      <c r="I7" s="19">
        <v>13</v>
      </c>
      <c r="J7" s="19">
        <v>14</v>
      </c>
      <c r="K7" s="19">
        <v>12</v>
      </c>
      <c r="L7" s="19">
        <v>13</v>
      </c>
      <c r="M7" s="19">
        <v>15</v>
      </c>
      <c r="N7" s="19">
        <v>14</v>
      </c>
      <c r="O7" s="19">
        <v>14</v>
      </c>
      <c r="P7" s="19">
        <v>15</v>
      </c>
      <c r="Q7" s="19">
        <v>17</v>
      </c>
      <c r="R7" s="19">
        <v>14</v>
      </c>
      <c r="S7" s="19">
        <v>13</v>
      </c>
      <c r="T7" s="19">
        <v>12</v>
      </c>
      <c r="U7" s="19">
        <v>11</v>
      </c>
      <c r="V7" s="19">
        <v>12</v>
      </c>
      <c r="W7" s="19">
        <v>10</v>
      </c>
      <c r="X7" s="19">
        <v>6</v>
      </c>
      <c r="Y7" s="19">
        <v>7</v>
      </c>
      <c r="Z7" s="19">
        <v>10</v>
      </c>
      <c r="AA7" s="19">
        <v>12</v>
      </c>
      <c r="AB7" s="19">
        <v>6</v>
      </c>
      <c r="AC7" s="19">
        <v>5</v>
      </c>
      <c r="AD7" s="19">
        <v>9</v>
      </c>
      <c r="AE7" s="19">
        <v>2</v>
      </c>
      <c r="AF7" s="19"/>
    </row>
    <row r="8" spans="1:33" x14ac:dyDescent="0.25">
      <c r="A8" s="10">
        <v>12</v>
      </c>
      <c r="B8" s="19">
        <v>14</v>
      </c>
      <c r="C8" s="19">
        <v>17</v>
      </c>
      <c r="D8" s="19">
        <v>12</v>
      </c>
      <c r="E8" s="19">
        <v>11</v>
      </c>
      <c r="F8" s="19">
        <v>13</v>
      </c>
      <c r="G8" s="19">
        <v>11</v>
      </c>
      <c r="H8" s="19">
        <v>14</v>
      </c>
      <c r="I8" s="19">
        <v>15</v>
      </c>
      <c r="J8" s="19">
        <v>16</v>
      </c>
      <c r="K8" s="19">
        <v>14</v>
      </c>
      <c r="L8" s="19">
        <v>14</v>
      </c>
      <c r="M8" s="19">
        <v>17</v>
      </c>
      <c r="N8" s="19">
        <v>16</v>
      </c>
      <c r="O8" s="19">
        <v>16</v>
      </c>
      <c r="P8" s="19">
        <v>17</v>
      </c>
      <c r="Q8" s="19">
        <v>17</v>
      </c>
      <c r="R8" s="19">
        <v>18</v>
      </c>
      <c r="S8" s="19">
        <v>14</v>
      </c>
      <c r="T8" s="19">
        <v>12</v>
      </c>
      <c r="U8" s="19">
        <v>13</v>
      </c>
      <c r="V8" s="19">
        <v>12</v>
      </c>
      <c r="W8" s="19">
        <v>8</v>
      </c>
      <c r="X8" s="19">
        <v>7</v>
      </c>
      <c r="Y8" s="19">
        <v>9</v>
      </c>
      <c r="Z8" s="19">
        <v>12</v>
      </c>
      <c r="AA8" s="19">
        <v>12</v>
      </c>
      <c r="AB8" s="19">
        <v>8</v>
      </c>
      <c r="AC8" s="19">
        <v>7</v>
      </c>
      <c r="AD8" s="19">
        <v>8</v>
      </c>
      <c r="AE8" s="19">
        <v>3</v>
      </c>
      <c r="AF8" s="19"/>
    </row>
    <row r="9" spans="1:33" x14ac:dyDescent="0.25">
      <c r="A9" s="10">
        <v>14</v>
      </c>
      <c r="B9" s="19">
        <v>15</v>
      </c>
      <c r="C9" s="19">
        <v>19</v>
      </c>
      <c r="D9" s="19">
        <v>12</v>
      </c>
      <c r="E9" s="19">
        <v>10</v>
      </c>
      <c r="F9" s="19">
        <v>14</v>
      </c>
      <c r="G9" s="19">
        <v>14</v>
      </c>
      <c r="H9" s="19">
        <v>15</v>
      </c>
      <c r="I9" s="19">
        <v>16</v>
      </c>
      <c r="J9" s="19">
        <v>17</v>
      </c>
      <c r="K9" s="19">
        <v>15</v>
      </c>
      <c r="L9" s="19">
        <v>17</v>
      </c>
      <c r="M9" s="19">
        <v>19</v>
      </c>
      <c r="N9" s="19">
        <v>17</v>
      </c>
      <c r="O9" s="19">
        <v>17</v>
      </c>
      <c r="P9" s="19">
        <v>18</v>
      </c>
      <c r="Q9" s="19">
        <v>19</v>
      </c>
      <c r="R9" s="19">
        <v>19</v>
      </c>
      <c r="S9" s="19">
        <v>13</v>
      </c>
      <c r="T9" s="19">
        <v>17</v>
      </c>
      <c r="U9" s="19">
        <v>12</v>
      </c>
      <c r="V9" s="19">
        <v>16</v>
      </c>
      <c r="W9" s="19">
        <v>8</v>
      </c>
      <c r="X9" s="19">
        <v>6</v>
      </c>
      <c r="Y9" s="19">
        <v>10</v>
      </c>
      <c r="Z9" s="19">
        <v>14</v>
      </c>
      <c r="AA9" s="19">
        <v>12</v>
      </c>
      <c r="AB9" s="19">
        <v>8</v>
      </c>
      <c r="AC9" s="19">
        <v>8</v>
      </c>
      <c r="AD9" s="19">
        <v>6</v>
      </c>
      <c r="AE9" s="19">
        <v>4</v>
      </c>
      <c r="AF9" s="19"/>
    </row>
    <row r="10" spans="1:33" x14ac:dyDescent="0.25">
      <c r="A10" s="10">
        <v>16</v>
      </c>
      <c r="B10" s="19">
        <v>17</v>
      </c>
      <c r="C10" s="19">
        <v>18</v>
      </c>
      <c r="D10" s="19">
        <v>14</v>
      </c>
      <c r="E10" s="19">
        <v>10</v>
      </c>
      <c r="F10" s="19">
        <v>14</v>
      </c>
      <c r="G10" s="19">
        <v>14</v>
      </c>
      <c r="H10" s="19">
        <v>15</v>
      </c>
      <c r="I10" s="19">
        <v>16</v>
      </c>
      <c r="J10" s="19">
        <v>17</v>
      </c>
      <c r="K10" s="19">
        <v>13</v>
      </c>
      <c r="L10" s="19">
        <v>16</v>
      </c>
      <c r="M10" s="19">
        <v>19</v>
      </c>
      <c r="N10" s="19">
        <v>17</v>
      </c>
      <c r="O10" s="19">
        <v>17</v>
      </c>
      <c r="P10" s="19">
        <v>19</v>
      </c>
      <c r="Q10" s="19">
        <v>19</v>
      </c>
      <c r="R10" s="19">
        <v>18</v>
      </c>
      <c r="S10" s="19">
        <v>13</v>
      </c>
      <c r="T10" s="19">
        <v>17</v>
      </c>
      <c r="U10" s="19">
        <v>11</v>
      </c>
      <c r="V10" s="19">
        <v>15</v>
      </c>
      <c r="W10" s="19">
        <v>7</v>
      </c>
      <c r="X10" s="19">
        <v>7</v>
      </c>
      <c r="Y10" s="19">
        <v>10</v>
      </c>
      <c r="Z10" s="19">
        <v>16</v>
      </c>
      <c r="AA10" s="19">
        <v>12</v>
      </c>
      <c r="AB10" s="19">
        <v>8</v>
      </c>
      <c r="AC10" s="19">
        <v>8</v>
      </c>
      <c r="AD10" s="19">
        <v>4</v>
      </c>
      <c r="AE10" s="19">
        <v>3</v>
      </c>
      <c r="AF10" s="19"/>
    </row>
    <row r="11" spans="1:33" x14ac:dyDescent="0.25">
      <c r="A11" s="10">
        <v>18</v>
      </c>
      <c r="B11" s="19">
        <v>16</v>
      </c>
      <c r="C11" s="19">
        <v>14</v>
      </c>
      <c r="D11" s="19">
        <v>13</v>
      </c>
      <c r="E11" s="19">
        <v>12</v>
      </c>
      <c r="F11" s="19">
        <v>12</v>
      </c>
      <c r="G11" s="19">
        <v>14</v>
      </c>
      <c r="H11" s="19">
        <v>15</v>
      </c>
      <c r="I11" s="19">
        <v>15</v>
      </c>
      <c r="J11" s="19">
        <v>16</v>
      </c>
      <c r="K11" s="19">
        <v>13</v>
      </c>
      <c r="L11" s="19">
        <v>14</v>
      </c>
      <c r="M11" s="19">
        <v>17</v>
      </c>
      <c r="N11" s="19">
        <v>17</v>
      </c>
      <c r="O11" s="19">
        <v>17</v>
      </c>
      <c r="P11" s="19">
        <v>17</v>
      </c>
      <c r="Q11" s="19">
        <v>20</v>
      </c>
      <c r="R11" s="19">
        <v>15</v>
      </c>
      <c r="S11" s="19">
        <v>11</v>
      </c>
      <c r="T11" s="19">
        <v>16</v>
      </c>
      <c r="U11" s="19">
        <v>9</v>
      </c>
      <c r="V11" s="19">
        <v>13</v>
      </c>
      <c r="W11" s="19">
        <v>7</v>
      </c>
      <c r="X11" s="19">
        <v>6</v>
      </c>
      <c r="Y11" s="19">
        <v>9</v>
      </c>
      <c r="Z11" s="19">
        <v>13</v>
      </c>
      <c r="AA11" s="19">
        <v>11</v>
      </c>
      <c r="AB11" s="19">
        <v>8</v>
      </c>
      <c r="AC11" s="19">
        <v>8</v>
      </c>
      <c r="AD11" s="19">
        <v>3</v>
      </c>
      <c r="AE11" s="19">
        <v>2</v>
      </c>
      <c r="AF11" s="19"/>
    </row>
    <row r="12" spans="1:33" x14ac:dyDescent="0.25">
      <c r="A12" s="10">
        <v>20</v>
      </c>
      <c r="B12" s="19">
        <v>16</v>
      </c>
      <c r="C12" s="19">
        <v>14</v>
      </c>
      <c r="D12" s="19">
        <v>11</v>
      </c>
      <c r="E12" s="19">
        <v>12</v>
      </c>
      <c r="F12" s="19">
        <v>10</v>
      </c>
      <c r="G12" s="19">
        <v>9</v>
      </c>
      <c r="H12" s="19">
        <v>10</v>
      </c>
      <c r="I12" s="19">
        <v>10</v>
      </c>
      <c r="J12" s="19">
        <v>14</v>
      </c>
      <c r="K12" s="19">
        <v>10</v>
      </c>
      <c r="L12" s="19">
        <v>12</v>
      </c>
      <c r="M12" s="19">
        <v>13</v>
      </c>
      <c r="N12" s="19">
        <v>13</v>
      </c>
      <c r="O12" s="19">
        <v>13</v>
      </c>
      <c r="P12" s="19">
        <v>12</v>
      </c>
      <c r="Q12" s="19">
        <v>14</v>
      </c>
      <c r="R12" s="19">
        <v>13</v>
      </c>
      <c r="S12" s="19">
        <v>9</v>
      </c>
      <c r="T12" s="19">
        <v>14</v>
      </c>
      <c r="U12" s="19">
        <v>9</v>
      </c>
      <c r="V12" s="19">
        <v>11</v>
      </c>
      <c r="W12" s="19">
        <v>5</v>
      </c>
      <c r="X12" s="19">
        <v>6</v>
      </c>
      <c r="Y12" s="19">
        <v>8</v>
      </c>
      <c r="Z12" s="19">
        <v>12</v>
      </c>
      <c r="AA12" s="19">
        <v>9</v>
      </c>
      <c r="AB12" s="19">
        <v>8</v>
      </c>
      <c r="AC12" s="19">
        <v>9</v>
      </c>
      <c r="AD12" s="19">
        <v>1</v>
      </c>
      <c r="AE12" s="19">
        <v>1</v>
      </c>
      <c r="AF12" s="19"/>
    </row>
    <row r="13" spans="1:33" x14ac:dyDescent="0.25">
      <c r="A13" s="10">
        <v>22</v>
      </c>
      <c r="B13" s="19">
        <v>15</v>
      </c>
      <c r="C13" s="19">
        <v>12</v>
      </c>
      <c r="D13" s="19">
        <v>10</v>
      </c>
      <c r="E13" s="19">
        <v>10</v>
      </c>
      <c r="F13" s="19">
        <v>8</v>
      </c>
      <c r="G13" s="19">
        <v>8</v>
      </c>
      <c r="H13" s="19">
        <v>9</v>
      </c>
      <c r="I13" s="19">
        <v>8</v>
      </c>
      <c r="J13" s="19">
        <v>11</v>
      </c>
      <c r="K13" s="19">
        <v>10</v>
      </c>
      <c r="L13" s="19">
        <v>10</v>
      </c>
      <c r="M13" s="19">
        <v>11</v>
      </c>
      <c r="N13" s="19">
        <v>11</v>
      </c>
      <c r="O13" s="19">
        <v>11</v>
      </c>
      <c r="P13" s="19">
        <v>11</v>
      </c>
      <c r="Q13" s="19">
        <v>12</v>
      </c>
      <c r="R13" s="19">
        <v>12</v>
      </c>
      <c r="S13" s="19">
        <v>6</v>
      </c>
      <c r="T13" s="19">
        <v>12</v>
      </c>
      <c r="U13" s="19">
        <v>9</v>
      </c>
      <c r="V13" s="19">
        <v>12</v>
      </c>
      <c r="W13" s="19">
        <v>5</v>
      </c>
      <c r="X13" s="19">
        <v>5</v>
      </c>
      <c r="Y13" s="19">
        <v>7</v>
      </c>
      <c r="Z13" s="19">
        <v>12</v>
      </c>
      <c r="AA13" s="19">
        <v>7</v>
      </c>
      <c r="AB13" s="19">
        <v>6</v>
      </c>
      <c r="AC13" s="19">
        <v>8</v>
      </c>
      <c r="AD13" s="19">
        <v>0</v>
      </c>
      <c r="AE13" s="19">
        <v>1</v>
      </c>
      <c r="AF13" s="19"/>
    </row>
    <row r="14" spans="1:33" x14ac:dyDescent="0.25">
      <c r="A14" s="10">
        <v>24</v>
      </c>
      <c r="B14" s="19">
        <v>14</v>
      </c>
      <c r="C14" s="19">
        <v>12</v>
      </c>
      <c r="D14" s="19">
        <v>10</v>
      </c>
      <c r="E14" s="19">
        <v>8</v>
      </c>
      <c r="F14" s="19">
        <v>7</v>
      </c>
      <c r="G14" s="19">
        <v>7</v>
      </c>
      <c r="H14" s="19">
        <v>8</v>
      </c>
      <c r="I14" s="19">
        <v>8</v>
      </c>
      <c r="J14" s="19">
        <v>11</v>
      </c>
      <c r="K14" s="19">
        <v>9</v>
      </c>
      <c r="L14" s="19">
        <v>9</v>
      </c>
      <c r="M14" s="19">
        <v>11</v>
      </c>
      <c r="N14" s="19">
        <v>10</v>
      </c>
      <c r="O14" s="19">
        <v>10</v>
      </c>
      <c r="P14" s="19">
        <v>10</v>
      </c>
      <c r="Q14" s="19">
        <v>11</v>
      </c>
      <c r="R14" s="19">
        <v>12</v>
      </c>
      <c r="S14" s="19">
        <v>5</v>
      </c>
      <c r="T14" s="19">
        <v>11</v>
      </c>
      <c r="U14" s="19">
        <v>9</v>
      </c>
      <c r="V14" s="19">
        <v>12</v>
      </c>
      <c r="W14" s="19">
        <v>5</v>
      </c>
      <c r="X14" s="19">
        <v>2</v>
      </c>
      <c r="Y14" s="19">
        <v>7</v>
      </c>
      <c r="Z14" s="19">
        <v>11</v>
      </c>
      <c r="AA14" s="19">
        <v>7</v>
      </c>
      <c r="AB14" s="19">
        <v>5</v>
      </c>
      <c r="AC14" s="19">
        <v>7</v>
      </c>
      <c r="AD14" s="19">
        <v>-1</v>
      </c>
      <c r="AE14" s="19">
        <v>-1</v>
      </c>
      <c r="AF14" s="19"/>
    </row>
    <row r="15" spans="1:33" x14ac:dyDescent="0.25">
      <c r="A15" s="10">
        <v>2</v>
      </c>
      <c r="B15" s="19">
        <v>15</v>
      </c>
      <c r="C15" s="19">
        <v>11</v>
      </c>
      <c r="D15" s="19">
        <v>9</v>
      </c>
      <c r="E15" s="19">
        <v>9</v>
      </c>
      <c r="F15" s="19">
        <v>7</v>
      </c>
      <c r="G15" s="19">
        <v>6</v>
      </c>
      <c r="H15" s="19">
        <v>9</v>
      </c>
      <c r="I15" s="19">
        <v>6</v>
      </c>
      <c r="J15" s="19">
        <v>10</v>
      </c>
      <c r="K15" s="19">
        <v>9</v>
      </c>
      <c r="L15" s="19">
        <v>8</v>
      </c>
      <c r="M15" s="19">
        <v>11</v>
      </c>
      <c r="N15" s="19">
        <v>9</v>
      </c>
      <c r="O15" s="19">
        <v>9</v>
      </c>
      <c r="P15" s="19">
        <v>8</v>
      </c>
      <c r="Q15" s="19">
        <v>9</v>
      </c>
      <c r="R15" s="19">
        <v>12</v>
      </c>
      <c r="S15" s="19">
        <v>5</v>
      </c>
      <c r="T15" s="19">
        <v>10</v>
      </c>
      <c r="U15" s="19">
        <v>8</v>
      </c>
      <c r="V15" s="19">
        <v>13</v>
      </c>
      <c r="W15" s="19">
        <v>5</v>
      </c>
      <c r="X15" s="19">
        <v>1</v>
      </c>
      <c r="Y15" s="19">
        <v>8</v>
      </c>
      <c r="Z15" s="19">
        <v>12</v>
      </c>
      <c r="AA15" s="19">
        <v>6</v>
      </c>
      <c r="AB15" s="19">
        <v>4</v>
      </c>
      <c r="AC15" s="19">
        <v>7</v>
      </c>
      <c r="AD15" s="19">
        <v>-2</v>
      </c>
      <c r="AE15" s="19">
        <v>-1</v>
      </c>
      <c r="AF15" s="19"/>
    </row>
    <row r="16" spans="1:33" ht="30" x14ac:dyDescent="0.25">
      <c r="A16" s="11" t="s">
        <v>2</v>
      </c>
      <c r="B16" s="15">
        <f>(B4+B5+B6+B7+B8+B9+B10+B11+B12+B13+B14+B15)/12</f>
        <v>14.583333333333334</v>
      </c>
      <c r="C16" s="15">
        <f t="shared" ref="C16:O16" si="0">(C4+C5+C6+C7+C8+C9+C10+C11+C12+C13+C14+C15)/12</f>
        <v>13.833333333333334</v>
      </c>
      <c r="D16" s="15">
        <f t="shared" si="0"/>
        <v>11.166666666666666</v>
      </c>
      <c r="E16" s="15">
        <f t="shared" si="0"/>
        <v>9.3333333333333339</v>
      </c>
      <c r="F16" s="15">
        <f t="shared" si="0"/>
        <v>10.25</v>
      </c>
      <c r="G16" s="15">
        <f t="shared" si="0"/>
        <v>9.5</v>
      </c>
      <c r="H16" s="15">
        <f t="shared" si="0"/>
        <v>10.5</v>
      </c>
      <c r="I16" s="15">
        <f t="shared" si="0"/>
        <v>10.5</v>
      </c>
      <c r="J16" s="15">
        <f t="shared" si="0"/>
        <v>12.166666666666666</v>
      </c>
      <c r="K16" s="15">
        <f t="shared" si="0"/>
        <v>11</v>
      </c>
      <c r="L16" s="15">
        <f t="shared" si="0"/>
        <v>11.666666666666666</v>
      </c>
      <c r="M16" s="15">
        <f t="shared" si="0"/>
        <v>13.333333333333334</v>
      </c>
      <c r="N16" s="15">
        <f t="shared" si="0"/>
        <v>12.833333333333334</v>
      </c>
      <c r="O16" s="15">
        <f t="shared" si="0"/>
        <v>12.833333333333334</v>
      </c>
      <c r="P16" s="15">
        <f>(P4+P5+P6+P7+P8+P9+P10+P11+P12+P13+P14+P15)/12</f>
        <v>12.5</v>
      </c>
      <c r="Q16" s="15">
        <f>(Q4+Q5+Q6+Q7+Q8+Q9+Q10+Q11+Q12+Q13+Q14+Q15)/12</f>
        <v>14.083333333333334</v>
      </c>
      <c r="R16" s="15">
        <f>(R4+R5+R6+R7+R8+R9+R10+R11+R12+R13+R14+R15)/12</f>
        <v>13.166666666666666</v>
      </c>
      <c r="S16" s="15">
        <f t="shared" ref="S16:AF16" si="1">(S4+S5+S6+S7+S8+S9+S10+S11+S12+S13+S14+S15)/12</f>
        <v>10.166666666666666</v>
      </c>
      <c r="T16" s="15">
        <f t="shared" si="1"/>
        <v>11.666666666666666</v>
      </c>
      <c r="U16" s="15">
        <f t="shared" si="1"/>
        <v>9.6666666666666661</v>
      </c>
      <c r="V16" s="15">
        <f t="shared" si="1"/>
        <v>12.166666666666666</v>
      </c>
      <c r="W16" s="15">
        <f t="shared" si="1"/>
        <v>7.833333333333333</v>
      </c>
      <c r="X16" s="15">
        <f t="shared" si="1"/>
        <v>5</v>
      </c>
      <c r="Y16" s="15">
        <f t="shared" si="1"/>
        <v>6.833333333333333</v>
      </c>
      <c r="Z16" s="15">
        <f t="shared" si="1"/>
        <v>11</v>
      </c>
      <c r="AA16" s="15">
        <f t="shared" si="1"/>
        <v>10</v>
      </c>
      <c r="AB16" s="15">
        <f t="shared" si="1"/>
        <v>5.916666666666667</v>
      </c>
      <c r="AC16" s="15">
        <f t="shared" si="1"/>
        <v>6.833333333333333</v>
      </c>
      <c r="AD16" s="15">
        <f t="shared" si="1"/>
        <v>3.9166666666666665</v>
      </c>
      <c r="AE16" s="15">
        <f t="shared" si="1"/>
        <v>1.25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63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13</v>
      </c>
      <c r="C24" s="19">
        <v>11</v>
      </c>
      <c r="D24" s="19">
        <v>10</v>
      </c>
      <c r="E24" s="19">
        <v>6</v>
      </c>
      <c r="F24" s="19">
        <v>9</v>
      </c>
      <c r="G24" s="19">
        <v>6</v>
      </c>
      <c r="H24" s="19">
        <v>7</v>
      </c>
      <c r="I24" s="19">
        <v>5</v>
      </c>
      <c r="J24" s="19">
        <v>6</v>
      </c>
      <c r="K24" s="19">
        <v>9</v>
      </c>
      <c r="L24" s="15">
        <v>6</v>
      </c>
      <c r="M24" s="19">
        <v>7</v>
      </c>
      <c r="N24" s="19">
        <v>10</v>
      </c>
      <c r="O24" s="19">
        <v>8</v>
      </c>
      <c r="P24" s="19">
        <v>8</v>
      </c>
      <c r="Q24" s="19">
        <v>8</v>
      </c>
      <c r="R24" s="19">
        <v>9</v>
      </c>
      <c r="S24" s="19">
        <v>10</v>
      </c>
      <c r="T24" s="19">
        <v>4</v>
      </c>
      <c r="U24" s="19">
        <v>10</v>
      </c>
      <c r="V24" s="19">
        <v>9</v>
      </c>
      <c r="W24" s="19">
        <v>12</v>
      </c>
      <c r="X24" s="19">
        <v>3</v>
      </c>
      <c r="Y24" s="19">
        <v>1</v>
      </c>
      <c r="Z24" s="19">
        <v>7</v>
      </c>
      <c r="AA24" s="19">
        <v>11</v>
      </c>
      <c r="AB24" s="19">
        <v>4</v>
      </c>
      <c r="AC24" s="19">
        <v>5</v>
      </c>
      <c r="AD24" s="19">
        <v>5</v>
      </c>
      <c r="AE24" s="19">
        <v>0</v>
      </c>
      <c r="AF24" s="19"/>
    </row>
    <row r="25" spans="1:32" x14ac:dyDescent="0.25">
      <c r="A25" s="10">
        <v>6</v>
      </c>
      <c r="B25" s="19">
        <v>12</v>
      </c>
      <c r="C25" s="19">
        <v>11</v>
      </c>
      <c r="D25" s="19">
        <v>10</v>
      </c>
      <c r="E25" s="19">
        <v>8</v>
      </c>
      <c r="F25" s="19">
        <v>8</v>
      </c>
      <c r="G25" s="19">
        <v>6</v>
      </c>
      <c r="H25" s="19">
        <v>6</v>
      </c>
      <c r="I25" s="19">
        <v>6</v>
      </c>
      <c r="J25" s="19">
        <v>5</v>
      </c>
      <c r="K25" s="19">
        <v>8</v>
      </c>
      <c r="L25" s="15">
        <v>7</v>
      </c>
      <c r="M25" s="19">
        <v>8</v>
      </c>
      <c r="N25" s="19">
        <v>10</v>
      </c>
      <c r="O25" s="19">
        <v>9</v>
      </c>
      <c r="P25" s="19">
        <v>8</v>
      </c>
      <c r="Q25" s="19">
        <v>8</v>
      </c>
      <c r="R25" s="19">
        <v>7</v>
      </c>
      <c r="S25" s="19">
        <v>10</v>
      </c>
      <c r="T25" s="19">
        <v>5</v>
      </c>
      <c r="U25" s="19">
        <v>8</v>
      </c>
      <c r="V25" s="19">
        <v>9</v>
      </c>
      <c r="W25" s="19">
        <v>12</v>
      </c>
      <c r="X25" s="19">
        <v>5</v>
      </c>
      <c r="Y25" s="19">
        <v>1</v>
      </c>
      <c r="Z25" s="19">
        <v>7</v>
      </c>
      <c r="AA25" s="19">
        <v>12</v>
      </c>
      <c r="AB25" s="19">
        <v>4</v>
      </c>
      <c r="AC25" s="19">
        <v>5</v>
      </c>
      <c r="AD25" s="19">
        <v>6</v>
      </c>
      <c r="AE25" s="19">
        <v>-1</v>
      </c>
      <c r="AF25" s="19"/>
    </row>
    <row r="26" spans="1:32" x14ac:dyDescent="0.25">
      <c r="A26" s="10">
        <v>8</v>
      </c>
      <c r="B26" s="19">
        <v>13</v>
      </c>
      <c r="C26" s="19">
        <v>13</v>
      </c>
      <c r="D26" s="19">
        <v>11</v>
      </c>
      <c r="E26" s="19">
        <v>7</v>
      </c>
      <c r="F26" s="19">
        <v>9</v>
      </c>
      <c r="G26" s="19">
        <v>6</v>
      </c>
      <c r="H26" s="19">
        <v>8</v>
      </c>
      <c r="I26" s="19">
        <v>9</v>
      </c>
      <c r="J26" s="19">
        <v>8</v>
      </c>
      <c r="K26" s="19">
        <v>8</v>
      </c>
      <c r="L26" s="15">
        <v>9</v>
      </c>
      <c r="M26" s="19">
        <v>12</v>
      </c>
      <c r="N26" s="19">
        <v>11</v>
      </c>
      <c r="O26" s="19">
        <v>11</v>
      </c>
      <c r="P26" s="19">
        <v>9</v>
      </c>
      <c r="Q26" s="19">
        <v>11</v>
      </c>
      <c r="R26" s="19">
        <v>9</v>
      </c>
      <c r="S26" s="19">
        <v>11</v>
      </c>
      <c r="T26" s="19">
        <v>8</v>
      </c>
      <c r="U26" s="19">
        <v>8</v>
      </c>
      <c r="V26" s="19">
        <v>10</v>
      </c>
      <c r="W26" s="19">
        <v>12</v>
      </c>
      <c r="X26" s="19">
        <v>5</v>
      </c>
      <c r="Y26" s="19">
        <v>3</v>
      </c>
      <c r="Z26" s="19">
        <v>8</v>
      </c>
      <c r="AA26" s="19">
        <v>12</v>
      </c>
      <c r="AB26" s="19">
        <v>3</v>
      </c>
      <c r="AC26" s="19">
        <v>5</v>
      </c>
      <c r="AD26" s="19">
        <v>7</v>
      </c>
      <c r="AE26" s="19">
        <v>1</v>
      </c>
      <c r="AF26" s="19"/>
    </row>
    <row r="27" spans="1:32" x14ac:dyDescent="0.25">
      <c r="A27" s="10">
        <v>10</v>
      </c>
      <c r="B27" s="19">
        <v>15</v>
      </c>
      <c r="C27" s="19">
        <v>14</v>
      </c>
      <c r="D27" s="19">
        <v>12</v>
      </c>
      <c r="E27" s="19">
        <v>9</v>
      </c>
      <c r="F27" s="19">
        <v>11</v>
      </c>
      <c r="G27" s="19">
        <v>11</v>
      </c>
      <c r="H27" s="19">
        <v>11</v>
      </c>
      <c r="I27" s="19">
        <v>11</v>
      </c>
      <c r="J27" s="19">
        <v>12</v>
      </c>
      <c r="K27" s="19">
        <v>10</v>
      </c>
      <c r="L27" s="13">
        <v>12</v>
      </c>
      <c r="M27" s="19">
        <v>15</v>
      </c>
      <c r="N27" s="19">
        <v>11</v>
      </c>
      <c r="O27" s="19">
        <v>16</v>
      </c>
      <c r="P27" s="19">
        <v>14</v>
      </c>
      <c r="Q27" s="19">
        <v>15</v>
      </c>
      <c r="R27" s="19">
        <v>14</v>
      </c>
      <c r="S27" s="19">
        <v>11</v>
      </c>
      <c r="T27" s="19">
        <v>10</v>
      </c>
      <c r="U27" s="19">
        <v>11</v>
      </c>
      <c r="V27" s="19">
        <v>11</v>
      </c>
      <c r="W27" s="19">
        <v>11</v>
      </c>
      <c r="X27" s="19">
        <v>4</v>
      </c>
      <c r="Y27" s="19">
        <v>6</v>
      </c>
      <c r="Z27" s="19">
        <v>10</v>
      </c>
      <c r="AA27" s="19">
        <v>13</v>
      </c>
      <c r="AB27" s="19">
        <v>6</v>
      </c>
      <c r="AC27" s="19">
        <v>6</v>
      </c>
      <c r="AD27" s="19">
        <v>8</v>
      </c>
      <c r="AE27" s="19">
        <v>2</v>
      </c>
      <c r="AF27" s="19"/>
    </row>
    <row r="28" spans="1:32" x14ac:dyDescent="0.25">
      <c r="A28" s="10">
        <v>12</v>
      </c>
      <c r="B28" s="19">
        <v>15</v>
      </c>
      <c r="C28" s="19">
        <v>16</v>
      </c>
      <c r="D28" s="19">
        <v>14</v>
      </c>
      <c r="E28" s="19">
        <v>9</v>
      </c>
      <c r="F28" s="19">
        <v>13</v>
      </c>
      <c r="G28" s="19">
        <v>13</v>
      </c>
      <c r="H28" s="19">
        <v>14</v>
      </c>
      <c r="I28" s="19">
        <v>14</v>
      </c>
      <c r="J28" s="19">
        <v>15</v>
      </c>
      <c r="K28" s="19">
        <v>14</v>
      </c>
      <c r="L28" s="13">
        <v>14</v>
      </c>
      <c r="M28" s="19">
        <v>17</v>
      </c>
      <c r="N28" s="19">
        <v>16</v>
      </c>
      <c r="O28" s="19">
        <v>18</v>
      </c>
      <c r="P28" s="19">
        <v>18</v>
      </c>
      <c r="Q28" s="19">
        <v>18</v>
      </c>
      <c r="R28" s="19">
        <v>17</v>
      </c>
      <c r="S28" s="19">
        <v>11</v>
      </c>
      <c r="T28" s="19">
        <v>14</v>
      </c>
      <c r="U28" s="19">
        <v>12</v>
      </c>
      <c r="V28" s="19">
        <v>12</v>
      </c>
      <c r="W28" s="19">
        <v>9</v>
      </c>
      <c r="X28" s="19">
        <v>5</v>
      </c>
      <c r="Y28" s="19">
        <v>8</v>
      </c>
      <c r="Z28" s="19">
        <v>12</v>
      </c>
      <c r="AA28" s="19">
        <v>14</v>
      </c>
      <c r="AB28" s="19">
        <v>7</v>
      </c>
      <c r="AC28" s="19">
        <v>7</v>
      </c>
      <c r="AD28" s="19">
        <v>8</v>
      </c>
      <c r="AE28" s="19">
        <v>3</v>
      </c>
      <c r="AF28" s="19"/>
    </row>
    <row r="29" spans="1:32" x14ac:dyDescent="0.25">
      <c r="A29" s="10">
        <v>14</v>
      </c>
      <c r="B29" s="19">
        <v>17</v>
      </c>
      <c r="C29" s="19">
        <v>17</v>
      </c>
      <c r="D29" s="19">
        <v>15</v>
      </c>
      <c r="E29" s="19">
        <v>9</v>
      </c>
      <c r="F29" s="19">
        <v>15</v>
      </c>
      <c r="G29" s="19">
        <v>14</v>
      </c>
      <c r="H29" s="19">
        <v>15</v>
      </c>
      <c r="I29" s="19">
        <v>16</v>
      </c>
      <c r="J29" s="19">
        <v>16</v>
      </c>
      <c r="K29" s="19">
        <v>16</v>
      </c>
      <c r="L29" s="13">
        <v>16</v>
      </c>
      <c r="M29" s="19">
        <v>18</v>
      </c>
      <c r="N29" s="19">
        <v>17</v>
      </c>
      <c r="O29" s="19">
        <v>19</v>
      </c>
      <c r="P29" s="19">
        <v>19</v>
      </c>
      <c r="Q29" s="19">
        <v>20</v>
      </c>
      <c r="R29" s="19">
        <v>18</v>
      </c>
      <c r="S29" s="19">
        <v>12</v>
      </c>
      <c r="T29" s="19">
        <v>17</v>
      </c>
      <c r="U29" s="19">
        <v>13</v>
      </c>
      <c r="V29" s="19">
        <v>16</v>
      </c>
      <c r="W29" s="19">
        <v>9</v>
      </c>
      <c r="X29" s="19">
        <v>6</v>
      </c>
      <c r="Y29" s="19">
        <v>10</v>
      </c>
      <c r="Z29" s="19">
        <v>14</v>
      </c>
      <c r="AA29" s="19">
        <v>13</v>
      </c>
      <c r="AB29" s="19">
        <v>9</v>
      </c>
      <c r="AC29" s="19">
        <v>8</v>
      </c>
      <c r="AD29" s="19">
        <v>6</v>
      </c>
      <c r="AE29" s="19">
        <v>4</v>
      </c>
      <c r="AF29" s="19"/>
    </row>
    <row r="30" spans="1:32" x14ac:dyDescent="0.25">
      <c r="A30" s="10">
        <v>16</v>
      </c>
      <c r="B30" s="19">
        <v>18</v>
      </c>
      <c r="C30" s="19">
        <v>18</v>
      </c>
      <c r="D30" s="19">
        <v>14</v>
      </c>
      <c r="E30" s="19">
        <v>12</v>
      </c>
      <c r="F30" s="19">
        <v>14</v>
      </c>
      <c r="G30" s="19">
        <v>14</v>
      </c>
      <c r="H30" s="19">
        <v>16</v>
      </c>
      <c r="I30" s="19">
        <v>16</v>
      </c>
      <c r="J30" s="19">
        <v>17</v>
      </c>
      <c r="K30" s="19">
        <v>15</v>
      </c>
      <c r="L30" s="13">
        <v>16</v>
      </c>
      <c r="M30" s="19">
        <v>19</v>
      </c>
      <c r="N30" s="19">
        <v>18</v>
      </c>
      <c r="O30" s="19">
        <v>20</v>
      </c>
      <c r="P30" s="19">
        <v>20</v>
      </c>
      <c r="Q30" s="19">
        <v>20</v>
      </c>
      <c r="R30" s="19">
        <v>13</v>
      </c>
      <c r="S30" s="19">
        <v>12</v>
      </c>
      <c r="T30" s="19">
        <v>18</v>
      </c>
      <c r="U30" s="19">
        <v>12</v>
      </c>
      <c r="V30" s="19">
        <v>16</v>
      </c>
      <c r="W30" s="19">
        <v>7</v>
      </c>
      <c r="X30" s="19">
        <v>6</v>
      </c>
      <c r="Y30" s="19">
        <v>9</v>
      </c>
      <c r="Z30" s="19">
        <v>14</v>
      </c>
      <c r="AA30" s="19">
        <v>14</v>
      </c>
      <c r="AB30" s="19">
        <v>9</v>
      </c>
      <c r="AC30" s="19">
        <v>9</v>
      </c>
      <c r="AD30" s="19">
        <v>6</v>
      </c>
      <c r="AE30" s="19">
        <v>5</v>
      </c>
      <c r="AF30" s="19"/>
    </row>
    <row r="31" spans="1:32" x14ac:dyDescent="0.25">
      <c r="A31" s="10">
        <v>18</v>
      </c>
      <c r="B31" s="19">
        <v>18</v>
      </c>
      <c r="C31" s="19">
        <v>17</v>
      </c>
      <c r="D31" s="19">
        <v>13</v>
      </c>
      <c r="E31" s="19">
        <v>12</v>
      </c>
      <c r="F31" s="19">
        <v>14</v>
      </c>
      <c r="G31" s="19">
        <v>12</v>
      </c>
      <c r="H31" s="19">
        <v>15</v>
      </c>
      <c r="I31" s="19">
        <v>15</v>
      </c>
      <c r="J31" s="19">
        <v>15</v>
      </c>
      <c r="K31" s="19">
        <v>13</v>
      </c>
      <c r="L31" s="13">
        <v>15</v>
      </c>
      <c r="M31" s="19">
        <v>17</v>
      </c>
      <c r="N31" s="19">
        <v>18</v>
      </c>
      <c r="O31" s="19">
        <v>18</v>
      </c>
      <c r="P31" s="19">
        <v>18</v>
      </c>
      <c r="Q31" s="19">
        <v>17</v>
      </c>
      <c r="R31" s="19">
        <v>13</v>
      </c>
      <c r="S31" s="19">
        <v>11</v>
      </c>
      <c r="T31" s="19">
        <v>16</v>
      </c>
      <c r="U31" s="19">
        <v>12</v>
      </c>
      <c r="V31" s="19">
        <v>12</v>
      </c>
      <c r="W31" s="19">
        <v>7</v>
      </c>
      <c r="X31" s="19">
        <v>6</v>
      </c>
      <c r="Y31" s="19">
        <v>9</v>
      </c>
      <c r="Z31" s="19">
        <v>13</v>
      </c>
      <c r="AA31" s="19">
        <v>12</v>
      </c>
      <c r="AB31" s="19">
        <v>9</v>
      </c>
      <c r="AC31" s="19">
        <v>9</v>
      </c>
      <c r="AD31" s="19">
        <v>3</v>
      </c>
      <c r="AE31" s="19">
        <v>3</v>
      </c>
      <c r="AF31" s="19"/>
    </row>
    <row r="32" spans="1:32" x14ac:dyDescent="0.25">
      <c r="A32" s="10">
        <v>20</v>
      </c>
      <c r="B32" s="19">
        <v>16</v>
      </c>
      <c r="C32" s="19">
        <v>14</v>
      </c>
      <c r="D32" s="19">
        <v>12</v>
      </c>
      <c r="E32" s="19">
        <v>12</v>
      </c>
      <c r="F32" s="19">
        <v>11</v>
      </c>
      <c r="G32" s="19">
        <v>11</v>
      </c>
      <c r="H32" s="19">
        <v>12</v>
      </c>
      <c r="I32" s="19">
        <v>10</v>
      </c>
      <c r="J32" s="19">
        <v>12</v>
      </c>
      <c r="K32" s="19">
        <v>10</v>
      </c>
      <c r="L32" s="13">
        <v>12</v>
      </c>
      <c r="M32" s="19">
        <v>14</v>
      </c>
      <c r="N32" s="19">
        <v>17</v>
      </c>
      <c r="O32" s="19">
        <v>14</v>
      </c>
      <c r="P32" s="19">
        <v>14</v>
      </c>
      <c r="Q32" s="19">
        <v>13</v>
      </c>
      <c r="R32" s="19">
        <v>10</v>
      </c>
      <c r="S32" s="19">
        <v>8</v>
      </c>
      <c r="T32" s="19">
        <v>14</v>
      </c>
      <c r="U32" s="19">
        <v>11</v>
      </c>
      <c r="V32" s="19">
        <v>12</v>
      </c>
      <c r="W32" s="19">
        <v>5</v>
      </c>
      <c r="X32" s="19">
        <v>6</v>
      </c>
      <c r="Y32" s="19">
        <v>8</v>
      </c>
      <c r="Z32" s="19">
        <v>12</v>
      </c>
      <c r="AA32" s="19">
        <v>9</v>
      </c>
      <c r="AB32" s="19">
        <v>7</v>
      </c>
      <c r="AC32" s="19">
        <v>7</v>
      </c>
      <c r="AD32" s="19">
        <v>2</v>
      </c>
      <c r="AE32" s="19">
        <v>1</v>
      </c>
      <c r="AF32" s="19"/>
    </row>
    <row r="33" spans="1:32" x14ac:dyDescent="0.25">
      <c r="A33" s="10">
        <v>22</v>
      </c>
      <c r="B33" s="19">
        <v>13</v>
      </c>
      <c r="C33" s="19">
        <v>14</v>
      </c>
      <c r="D33" s="19">
        <v>9</v>
      </c>
      <c r="E33" s="19">
        <v>11</v>
      </c>
      <c r="F33" s="19">
        <v>10</v>
      </c>
      <c r="G33" s="19">
        <v>10</v>
      </c>
      <c r="H33" s="19">
        <v>9</v>
      </c>
      <c r="I33" s="19">
        <v>9</v>
      </c>
      <c r="J33" s="19">
        <v>10</v>
      </c>
      <c r="K33" s="19">
        <v>10</v>
      </c>
      <c r="L33" s="13">
        <v>10</v>
      </c>
      <c r="M33" s="19">
        <v>13</v>
      </c>
      <c r="N33" s="19">
        <v>11</v>
      </c>
      <c r="O33" s="19">
        <v>10</v>
      </c>
      <c r="P33" s="19">
        <v>11</v>
      </c>
      <c r="Q33" s="19">
        <v>11</v>
      </c>
      <c r="R33" s="19">
        <v>13</v>
      </c>
      <c r="S33" s="19">
        <v>6</v>
      </c>
      <c r="T33" s="19">
        <v>13</v>
      </c>
      <c r="U33" s="19">
        <v>11</v>
      </c>
      <c r="V33" s="19">
        <v>12</v>
      </c>
      <c r="W33" s="19">
        <v>5</v>
      </c>
      <c r="X33" s="19">
        <v>4</v>
      </c>
      <c r="Y33" s="19">
        <v>7</v>
      </c>
      <c r="Z33" s="19">
        <v>13</v>
      </c>
      <c r="AA33" s="19">
        <v>9</v>
      </c>
      <c r="AB33" s="19">
        <v>7</v>
      </c>
      <c r="AC33" s="19">
        <v>7</v>
      </c>
      <c r="AD33" s="19">
        <v>1</v>
      </c>
      <c r="AE33" s="19">
        <v>-1</v>
      </c>
      <c r="AF33" s="19"/>
    </row>
    <row r="34" spans="1:32" x14ac:dyDescent="0.25">
      <c r="A34" s="10">
        <v>24</v>
      </c>
      <c r="B34" s="19">
        <v>12</v>
      </c>
      <c r="C34" s="19">
        <v>12</v>
      </c>
      <c r="D34" s="19">
        <v>7</v>
      </c>
      <c r="E34" s="19">
        <v>10</v>
      </c>
      <c r="F34" s="19">
        <v>6</v>
      </c>
      <c r="G34" s="19">
        <v>8</v>
      </c>
      <c r="H34" s="19">
        <v>7</v>
      </c>
      <c r="I34" s="19">
        <v>8</v>
      </c>
      <c r="J34" s="19">
        <v>10</v>
      </c>
      <c r="K34" s="19">
        <v>9</v>
      </c>
      <c r="L34" s="13">
        <v>9</v>
      </c>
      <c r="M34" s="19">
        <v>11</v>
      </c>
      <c r="N34" s="19">
        <v>10</v>
      </c>
      <c r="O34" s="19">
        <v>9</v>
      </c>
      <c r="P34" s="19">
        <v>10</v>
      </c>
      <c r="Q34" s="19">
        <v>11</v>
      </c>
      <c r="R34" s="19">
        <v>11</v>
      </c>
      <c r="S34" s="19">
        <v>5</v>
      </c>
      <c r="T34" s="19">
        <v>11</v>
      </c>
      <c r="U34" s="19">
        <v>11</v>
      </c>
      <c r="V34" s="19">
        <v>12</v>
      </c>
      <c r="W34" s="19">
        <v>3</v>
      </c>
      <c r="X34" s="19">
        <v>3</v>
      </c>
      <c r="Y34" s="19">
        <v>6</v>
      </c>
      <c r="Z34" s="19">
        <v>13</v>
      </c>
      <c r="AA34" s="19">
        <v>7</v>
      </c>
      <c r="AB34" s="19">
        <v>7</v>
      </c>
      <c r="AC34" s="19">
        <v>5</v>
      </c>
      <c r="AD34" s="19">
        <v>0</v>
      </c>
      <c r="AE34" s="19">
        <v>-2</v>
      </c>
      <c r="AF34" s="19"/>
    </row>
    <row r="35" spans="1:32" x14ac:dyDescent="0.25">
      <c r="A35" s="10">
        <v>2</v>
      </c>
      <c r="B35" s="19">
        <v>11</v>
      </c>
      <c r="C35" s="19">
        <v>10</v>
      </c>
      <c r="D35" s="19">
        <v>7</v>
      </c>
      <c r="E35" s="19">
        <v>10</v>
      </c>
      <c r="F35" s="19">
        <v>6</v>
      </c>
      <c r="G35" s="19">
        <v>7</v>
      </c>
      <c r="H35" s="19">
        <v>5</v>
      </c>
      <c r="I35" s="19">
        <v>7</v>
      </c>
      <c r="J35" s="19">
        <v>10</v>
      </c>
      <c r="K35" s="19">
        <v>7</v>
      </c>
      <c r="L35" s="13">
        <v>7</v>
      </c>
      <c r="M35" s="19">
        <v>10</v>
      </c>
      <c r="N35" s="19">
        <v>9</v>
      </c>
      <c r="O35" s="19">
        <v>8</v>
      </c>
      <c r="P35" s="19">
        <v>9</v>
      </c>
      <c r="Q35" s="19">
        <v>10</v>
      </c>
      <c r="R35" s="19">
        <v>11</v>
      </c>
      <c r="S35" s="19">
        <v>4</v>
      </c>
      <c r="T35" s="19">
        <v>11</v>
      </c>
      <c r="U35" s="19">
        <v>9</v>
      </c>
      <c r="V35" s="19">
        <v>12</v>
      </c>
      <c r="W35" s="19">
        <v>3</v>
      </c>
      <c r="X35" s="19">
        <v>2</v>
      </c>
      <c r="Y35" s="19">
        <v>8</v>
      </c>
      <c r="Z35" s="19">
        <v>12</v>
      </c>
      <c r="AA35" s="19">
        <v>7</v>
      </c>
      <c r="AB35" s="19">
        <v>5</v>
      </c>
      <c r="AC35" s="19">
        <v>3</v>
      </c>
      <c r="AD35" s="19">
        <v>-1</v>
      </c>
      <c r="AE35" s="19">
        <v>-1</v>
      </c>
      <c r="AF35" s="19"/>
    </row>
    <row r="36" spans="1:32" ht="30" x14ac:dyDescent="0.25">
      <c r="A36" s="11" t="s">
        <v>2</v>
      </c>
      <c r="B36" s="15">
        <f>(B24+B25+B26+B27+B28+B29+B30+B31+B32+B33+B34+B35)/12</f>
        <v>14.416666666666666</v>
      </c>
      <c r="C36" s="15">
        <f t="shared" ref="C36:J36" si="2">(C24+C25+C26+C27+C28+C29+C30+C31+C32+C33+C34+C35)/12</f>
        <v>13.916666666666666</v>
      </c>
      <c r="D36" s="15">
        <f t="shared" si="2"/>
        <v>11.166666666666666</v>
      </c>
      <c r="E36" s="15">
        <f t="shared" si="2"/>
        <v>9.5833333333333339</v>
      </c>
      <c r="F36" s="15">
        <f t="shared" si="2"/>
        <v>10.5</v>
      </c>
      <c r="G36" s="15">
        <f t="shared" si="2"/>
        <v>9.8333333333333339</v>
      </c>
      <c r="H36" s="15">
        <f t="shared" si="2"/>
        <v>10.416666666666666</v>
      </c>
      <c r="I36" s="15">
        <f t="shared" si="2"/>
        <v>10.5</v>
      </c>
      <c r="J36" s="15">
        <f t="shared" si="2"/>
        <v>11.333333333333334</v>
      </c>
      <c r="K36" s="15">
        <f>(K24+K25+K26+K27+K28+K29+K30+K31+K32+K33+K34+K35)/12</f>
        <v>10.75</v>
      </c>
      <c r="L36" s="15">
        <f t="shared" ref="L36:AF36" si="3">(L24+L25+L26+L27+L28+L29+L30+L31+L32+L33+L34+L35)/12</f>
        <v>11.083333333333334</v>
      </c>
      <c r="M36" s="15">
        <f t="shared" si="3"/>
        <v>13.416666666666666</v>
      </c>
      <c r="N36" s="15">
        <f t="shared" si="3"/>
        <v>13.166666666666666</v>
      </c>
      <c r="O36" s="15">
        <f t="shared" si="3"/>
        <v>13.333333333333334</v>
      </c>
      <c r="P36" s="15">
        <f t="shared" si="3"/>
        <v>13.166666666666666</v>
      </c>
      <c r="Q36" s="15">
        <f t="shared" si="3"/>
        <v>13.5</v>
      </c>
      <c r="R36" s="15">
        <f t="shared" si="3"/>
        <v>12.083333333333334</v>
      </c>
      <c r="S36" s="15">
        <f t="shared" si="3"/>
        <v>9.25</v>
      </c>
      <c r="T36" s="15">
        <f t="shared" si="3"/>
        <v>11.75</v>
      </c>
      <c r="U36" s="15">
        <f t="shared" si="3"/>
        <v>10.666666666666666</v>
      </c>
      <c r="V36" s="15">
        <f t="shared" si="3"/>
        <v>11.916666666666666</v>
      </c>
      <c r="W36" s="15">
        <f t="shared" si="3"/>
        <v>7.916666666666667</v>
      </c>
      <c r="X36" s="15">
        <f t="shared" si="3"/>
        <v>4.583333333333333</v>
      </c>
      <c r="Y36" s="15">
        <f t="shared" si="3"/>
        <v>6.333333333333333</v>
      </c>
      <c r="Z36" s="15">
        <f t="shared" si="3"/>
        <v>11.25</v>
      </c>
      <c r="AA36" s="15">
        <f t="shared" si="3"/>
        <v>11.083333333333334</v>
      </c>
      <c r="AB36" s="15">
        <f t="shared" si="3"/>
        <v>6.416666666666667</v>
      </c>
      <c r="AC36" s="15">
        <f t="shared" si="3"/>
        <v>6.333333333333333</v>
      </c>
      <c r="AD36" s="15">
        <f>(AD24+AD25+AD26+AD27+AD28+AD29+AD30+AD31+AD32+AD33+AD34+AD35)/12</f>
        <v>4.25</v>
      </c>
      <c r="AE36" s="15">
        <f>(AE24+AE25+AE26+AE27+AE28+AE29+AE30+AE31+AE32+AE33+AE34+AE35)/12</f>
        <v>1.1666666666666667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C18" sqref="AC18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</v>
      </c>
      <c r="C4" s="19">
        <v>7</v>
      </c>
      <c r="D4" s="19">
        <v>9</v>
      </c>
      <c r="E4" s="19">
        <v>4</v>
      </c>
      <c r="F4" s="19">
        <v>7</v>
      </c>
      <c r="G4" s="19">
        <v>8</v>
      </c>
      <c r="H4" s="19">
        <v>4</v>
      </c>
      <c r="I4" s="19">
        <v>8</v>
      </c>
      <c r="J4" s="19">
        <v>9</v>
      </c>
      <c r="K4" s="19">
        <v>6</v>
      </c>
      <c r="L4" s="19">
        <v>2</v>
      </c>
      <c r="M4" s="19">
        <v>3</v>
      </c>
      <c r="N4" s="19">
        <v>-2</v>
      </c>
      <c r="O4" s="19">
        <v>4</v>
      </c>
      <c r="P4" s="19">
        <v>3</v>
      </c>
      <c r="Q4" s="19">
        <v>3</v>
      </c>
      <c r="R4" s="19">
        <v>3</v>
      </c>
      <c r="S4" s="19">
        <v>6</v>
      </c>
      <c r="T4" s="19">
        <v>7</v>
      </c>
      <c r="U4" s="19">
        <v>3</v>
      </c>
      <c r="V4" s="19">
        <v>-2</v>
      </c>
      <c r="W4" s="19">
        <v>-2</v>
      </c>
      <c r="X4" s="19">
        <v>-2</v>
      </c>
      <c r="Y4" s="19">
        <v>-2</v>
      </c>
      <c r="Z4" s="19">
        <v>-4</v>
      </c>
      <c r="AA4" s="19">
        <v>-5</v>
      </c>
      <c r="AB4" s="19">
        <v>-6</v>
      </c>
      <c r="AC4" s="19">
        <v>-9</v>
      </c>
      <c r="AD4" s="19">
        <v>-9</v>
      </c>
      <c r="AE4" s="19">
        <v>-11</v>
      </c>
      <c r="AF4" s="19">
        <v>-11</v>
      </c>
    </row>
    <row r="5" spans="1:33" x14ac:dyDescent="0.25">
      <c r="A5" s="10">
        <v>6</v>
      </c>
      <c r="B5" s="19">
        <v>1</v>
      </c>
      <c r="C5" s="19">
        <v>7</v>
      </c>
      <c r="D5" s="19">
        <v>9</v>
      </c>
      <c r="E5" s="19">
        <v>5</v>
      </c>
      <c r="F5" s="19">
        <v>7</v>
      </c>
      <c r="G5" s="19">
        <v>8</v>
      </c>
      <c r="H5" s="19">
        <v>3</v>
      </c>
      <c r="I5" s="19">
        <v>8</v>
      </c>
      <c r="J5" s="19">
        <v>9</v>
      </c>
      <c r="K5" s="19">
        <v>6</v>
      </c>
      <c r="L5" s="19">
        <v>2</v>
      </c>
      <c r="M5" s="19">
        <v>3</v>
      </c>
      <c r="N5" s="19">
        <v>-2</v>
      </c>
      <c r="O5" s="19">
        <v>5</v>
      </c>
      <c r="P5" s="19">
        <v>3</v>
      </c>
      <c r="Q5" s="19">
        <v>3</v>
      </c>
      <c r="R5" s="19">
        <v>3</v>
      </c>
      <c r="S5" s="19">
        <v>6</v>
      </c>
      <c r="T5" s="19">
        <v>7</v>
      </c>
      <c r="U5" s="19">
        <v>3</v>
      </c>
      <c r="V5" s="19">
        <v>-2</v>
      </c>
      <c r="W5" s="19">
        <v>-2</v>
      </c>
      <c r="X5" s="19">
        <v>-2</v>
      </c>
      <c r="Y5" s="19">
        <v>-2</v>
      </c>
      <c r="Z5" s="19">
        <v>-4</v>
      </c>
      <c r="AA5" s="19">
        <v>-5</v>
      </c>
      <c r="AB5" s="19">
        <v>-6</v>
      </c>
      <c r="AC5" s="19">
        <v>-9</v>
      </c>
      <c r="AD5" s="19">
        <v>-9</v>
      </c>
      <c r="AE5" s="19">
        <v>-11</v>
      </c>
      <c r="AF5" s="19">
        <v>-11</v>
      </c>
    </row>
    <row r="6" spans="1:33" x14ac:dyDescent="0.25">
      <c r="A6" s="10">
        <v>8</v>
      </c>
      <c r="B6" s="19">
        <v>1</v>
      </c>
      <c r="C6" s="19">
        <v>7</v>
      </c>
      <c r="D6" s="19">
        <v>9</v>
      </c>
      <c r="E6" s="19">
        <v>6</v>
      </c>
      <c r="F6" s="19">
        <v>7</v>
      </c>
      <c r="G6" s="19">
        <v>8</v>
      </c>
      <c r="H6" s="19">
        <v>4</v>
      </c>
      <c r="I6" s="19">
        <v>8</v>
      </c>
      <c r="J6" s="19">
        <v>10</v>
      </c>
      <c r="K6" s="19">
        <v>5</v>
      </c>
      <c r="L6" s="19">
        <v>2</v>
      </c>
      <c r="M6" s="19">
        <v>3</v>
      </c>
      <c r="N6" s="19">
        <v>-1</v>
      </c>
      <c r="O6" s="19">
        <v>4</v>
      </c>
      <c r="P6" s="19">
        <v>3</v>
      </c>
      <c r="Q6" s="19">
        <v>3</v>
      </c>
      <c r="R6" s="19">
        <v>5</v>
      </c>
      <c r="S6" s="19">
        <v>7</v>
      </c>
      <c r="T6" s="19">
        <v>6</v>
      </c>
      <c r="U6" s="19">
        <v>3</v>
      </c>
      <c r="V6" s="19">
        <v>-1</v>
      </c>
      <c r="W6" s="19">
        <v>-2</v>
      </c>
      <c r="X6" s="19">
        <v>-3</v>
      </c>
      <c r="Y6" s="19">
        <v>-2</v>
      </c>
      <c r="Z6" s="19">
        <v>-3</v>
      </c>
      <c r="AA6" s="19">
        <v>-5</v>
      </c>
      <c r="AB6" s="19">
        <v>-7</v>
      </c>
      <c r="AC6" s="19">
        <v>-9</v>
      </c>
      <c r="AD6" s="19">
        <v>-9</v>
      </c>
      <c r="AE6" s="19">
        <v>-11</v>
      </c>
      <c r="AF6" s="19">
        <v>-9</v>
      </c>
    </row>
    <row r="7" spans="1:33" x14ac:dyDescent="0.25">
      <c r="A7" s="10">
        <v>10</v>
      </c>
      <c r="B7" s="19">
        <v>2</v>
      </c>
      <c r="C7" s="19">
        <v>8</v>
      </c>
      <c r="D7" s="19">
        <v>11</v>
      </c>
      <c r="E7" s="19">
        <v>7</v>
      </c>
      <c r="F7" s="19">
        <v>8</v>
      </c>
      <c r="G7" s="19">
        <v>8</v>
      </c>
      <c r="H7" s="19">
        <v>5</v>
      </c>
      <c r="I7" s="19">
        <v>9</v>
      </c>
      <c r="J7" s="19">
        <v>8</v>
      </c>
      <c r="K7" s="19">
        <v>5</v>
      </c>
      <c r="L7" s="19">
        <v>3</v>
      </c>
      <c r="M7" s="19">
        <v>3</v>
      </c>
      <c r="N7" s="19">
        <v>2</v>
      </c>
      <c r="O7" s="19">
        <v>4</v>
      </c>
      <c r="P7" s="19">
        <v>2</v>
      </c>
      <c r="Q7" s="19">
        <v>2</v>
      </c>
      <c r="R7" s="19">
        <v>6</v>
      </c>
      <c r="S7" s="19">
        <v>7</v>
      </c>
      <c r="T7" s="19">
        <v>5</v>
      </c>
      <c r="U7" s="19">
        <v>4</v>
      </c>
      <c r="V7" s="19">
        <v>-1</v>
      </c>
      <c r="W7" s="19">
        <v>-2</v>
      </c>
      <c r="X7" s="19">
        <v>-2</v>
      </c>
      <c r="Y7" s="19">
        <v>-3</v>
      </c>
      <c r="Z7" s="19">
        <v>-2</v>
      </c>
      <c r="AA7" s="19">
        <v>-4</v>
      </c>
      <c r="AB7" s="19">
        <v>-7</v>
      </c>
      <c r="AC7" s="19">
        <v>-8</v>
      </c>
      <c r="AD7" s="19">
        <v>-8</v>
      </c>
      <c r="AE7" s="19">
        <v>-11</v>
      </c>
      <c r="AF7" s="19">
        <v>-12</v>
      </c>
    </row>
    <row r="8" spans="1:33" x14ac:dyDescent="0.25">
      <c r="A8" s="10">
        <v>12</v>
      </c>
      <c r="B8" s="19">
        <v>3</v>
      </c>
      <c r="C8" s="19">
        <v>10</v>
      </c>
      <c r="D8" s="19">
        <v>12</v>
      </c>
      <c r="E8" s="19">
        <v>9</v>
      </c>
      <c r="F8" s="19">
        <v>8</v>
      </c>
      <c r="G8" s="19">
        <v>10</v>
      </c>
      <c r="H8" s="19">
        <v>6</v>
      </c>
      <c r="I8" s="19">
        <v>11</v>
      </c>
      <c r="J8" s="19">
        <v>9</v>
      </c>
      <c r="K8" s="19">
        <v>6</v>
      </c>
      <c r="L8" s="19">
        <v>5</v>
      </c>
      <c r="M8" s="19">
        <v>3</v>
      </c>
      <c r="N8" s="19">
        <v>2</v>
      </c>
      <c r="O8" s="19">
        <v>5</v>
      </c>
      <c r="P8" s="19">
        <v>4</v>
      </c>
      <c r="Q8" s="19">
        <v>2</v>
      </c>
      <c r="R8" s="19">
        <v>8</v>
      </c>
      <c r="S8" s="19">
        <v>8</v>
      </c>
      <c r="T8" s="19">
        <v>6</v>
      </c>
      <c r="U8" s="19">
        <v>4</v>
      </c>
      <c r="V8" s="19">
        <v>1</v>
      </c>
      <c r="W8" s="19">
        <v>-1</v>
      </c>
      <c r="X8" s="19">
        <v>-1</v>
      </c>
      <c r="Y8" s="19">
        <v>-1</v>
      </c>
      <c r="Z8" s="19">
        <v>-1</v>
      </c>
      <c r="AA8" s="19">
        <v>-4</v>
      </c>
      <c r="AB8" s="19">
        <v>-6</v>
      </c>
      <c r="AC8" s="19">
        <v>-7</v>
      </c>
      <c r="AD8" s="19">
        <v>-6</v>
      </c>
      <c r="AE8" s="19">
        <v>-10</v>
      </c>
      <c r="AF8" s="19">
        <v>-12</v>
      </c>
    </row>
    <row r="9" spans="1:33" x14ac:dyDescent="0.25">
      <c r="A9" s="10">
        <v>14</v>
      </c>
      <c r="B9" s="19">
        <v>4</v>
      </c>
      <c r="C9" s="19">
        <v>11</v>
      </c>
      <c r="D9" s="19">
        <v>12</v>
      </c>
      <c r="E9" s="19">
        <v>10</v>
      </c>
      <c r="F9" s="19">
        <v>10</v>
      </c>
      <c r="G9" s="19">
        <v>10</v>
      </c>
      <c r="H9" s="19">
        <v>10</v>
      </c>
      <c r="I9" s="19">
        <v>11</v>
      </c>
      <c r="J9" s="19">
        <v>10</v>
      </c>
      <c r="K9" s="19">
        <v>6</v>
      </c>
      <c r="L9" s="19">
        <v>6</v>
      </c>
      <c r="M9" s="19">
        <v>4</v>
      </c>
      <c r="N9" s="19">
        <v>2</v>
      </c>
      <c r="O9" s="19">
        <v>5</v>
      </c>
      <c r="P9" s="19">
        <v>4</v>
      </c>
      <c r="Q9" s="19">
        <v>3</v>
      </c>
      <c r="R9" s="19">
        <v>9</v>
      </c>
      <c r="S9" s="19">
        <v>11</v>
      </c>
      <c r="T9" s="19">
        <v>7</v>
      </c>
      <c r="U9" s="19">
        <v>4</v>
      </c>
      <c r="V9" s="19">
        <v>2</v>
      </c>
      <c r="W9" s="19">
        <v>-1</v>
      </c>
      <c r="X9" s="19" t="s">
        <v>119</v>
      </c>
      <c r="Y9" s="19" t="s">
        <v>119</v>
      </c>
      <c r="Z9" s="19" t="s">
        <v>198</v>
      </c>
      <c r="AA9" s="19" t="s">
        <v>248</v>
      </c>
      <c r="AB9" s="19">
        <v>-6</v>
      </c>
      <c r="AC9" s="19">
        <v>-7</v>
      </c>
      <c r="AD9" s="19">
        <v>-6</v>
      </c>
      <c r="AE9" s="19">
        <v>-10</v>
      </c>
      <c r="AF9" s="19">
        <v>-10</v>
      </c>
    </row>
    <row r="10" spans="1:33" x14ac:dyDescent="0.25">
      <c r="A10" s="10">
        <v>16</v>
      </c>
      <c r="B10" s="19">
        <v>5</v>
      </c>
      <c r="C10" s="19">
        <v>11</v>
      </c>
      <c r="D10" s="19">
        <v>11</v>
      </c>
      <c r="E10" s="19">
        <v>11</v>
      </c>
      <c r="F10" s="19">
        <v>10</v>
      </c>
      <c r="G10" s="19">
        <v>9</v>
      </c>
      <c r="H10" s="19">
        <v>9</v>
      </c>
      <c r="I10" s="19">
        <v>11</v>
      </c>
      <c r="J10" s="19">
        <v>9</v>
      </c>
      <c r="K10" s="19">
        <v>6</v>
      </c>
      <c r="L10" s="19">
        <v>7</v>
      </c>
      <c r="M10" s="19">
        <v>4</v>
      </c>
      <c r="N10" s="19">
        <v>2</v>
      </c>
      <c r="O10" s="19">
        <v>5</v>
      </c>
      <c r="P10" s="19">
        <v>4</v>
      </c>
      <c r="Q10" s="19">
        <v>4</v>
      </c>
      <c r="R10" s="19">
        <v>10</v>
      </c>
      <c r="S10" s="19">
        <v>12</v>
      </c>
      <c r="T10" s="19">
        <v>5</v>
      </c>
      <c r="U10" s="19">
        <v>4</v>
      </c>
      <c r="V10" s="19">
        <v>1</v>
      </c>
      <c r="W10" s="19">
        <v>-1</v>
      </c>
      <c r="X10" s="19">
        <v>-1</v>
      </c>
      <c r="Y10" s="19">
        <v>-1</v>
      </c>
      <c r="Z10" s="19">
        <v>-2</v>
      </c>
      <c r="AA10" s="19">
        <v>-3</v>
      </c>
      <c r="AB10" s="19">
        <v>-6</v>
      </c>
      <c r="AC10" s="19">
        <v>-7</v>
      </c>
      <c r="AD10" s="19">
        <v>-6</v>
      </c>
      <c r="AE10" s="19">
        <v>-10</v>
      </c>
      <c r="AF10" s="19">
        <v>-10</v>
      </c>
    </row>
    <row r="11" spans="1:33" x14ac:dyDescent="0.25">
      <c r="A11" s="10">
        <v>18</v>
      </c>
      <c r="B11" s="19">
        <v>5</v>
      </c>
      <c r="C11" s="19">
        <v>11</v>
      </c>
      <c r="D11" s="19">
        <v>8</v>
      </c>
      <c r="E11" s="19">
        <v>10</v>
      </c>
      <c r="F11" s="19">
        <v>11</v>
      </c>
      <c r="G11" s="19">
        <v>8</v>
      </c>
      <c r="H11" s="19">
        <v>9</v>
      </c>
      <c r="I11" s="19">
        <v>11</v>
      </c>
      <c r="J11" s="19">
        <v>9</v>
      </c>
      <c r="K11" s="19">
        <v>5</v>
      </c>
      <c r="L11" s="19">
        <v>4</v>
      </c>
      <c r="M11" s="19">
        <v>3</v>
      </c>
      <c r="N11" s="19">
        <v>2</v>
      </c>
      <c r="O11" s="19">
        <v>5</v>
      </c>
      <c r="P11" s="19">
        <v>4</v>
      </c>
      <c r="Q11" s="19">
        <v>7</v>
      </c>
      <c r="R11" s="19">
        <v>10</v>
      </c>
      <c r="S11" s="19">
        <v>9</v>
      </c>
      <c r="T11" s="19">
        <v>4</v>
      </c>
      <c r="U11" s="19">
        <v>3</v>
      </c>
      <c r="V11" s="19">
        <v>2</v>
      </c>
      <c r="W11" s="19">
        <v>-1</v>
      </c>
      <c r="X11" s="19">
        <v>-1</v>
      </c>
      <c r="Y11" s="19">
        <v>-1</v>
      </c>
      <c r="Z11" s="19">
        <v>-2</v>
      </c>
      <c r="AA11" s="19">
        <v>-3</v>
      </c>
      <c r="AB11" s="19">
        <v>-6</v>
      </c>
      <c r="AC11" s="19">
        <v>-7</v>
      </c>
      <c r="AD11" s="19">
        <v>-6</v>
      </c>
      <c r="AE11" s="19">
        <v>-9</v>
      </c>
      <c r="AF11" s="19">
        <v>-10</v>
      </c>
    </row>
    <row r="12" spans="1:33" x14ac:dyDescent="0.25">
      <c r="A12" s="10">
        <v>20</v>
      </c>
      <c r="B12" s="19">
        <v>6</v>
      </c>
      <c r="C12" s="19">
        <v>10</v>
      </c>
      <c r="D12" s="19">
        <v>6</v>
      </c>
      <c r="E12" s="19">
        <v>8</v>
      </c>
      <c r="F12" s="19">
        <v>9</v>
      </c>
      <c r="G12" s="19">
        <v>6</v>
      </c>
      <c r="H12" s="19">
        <v>8</v>
      </c>
      <c r="I12" s="19">
        <v>9</v>
      </c>
      <c r="J12" s="19">
        <v>8</v>
      </c>
      <c r="K12" s="19">
        <v>5</v>
      </c>
      <c r="L12" s="19">
        <v>4</v>
      </c>
      <c r="M12" s="19">
        <v>2</v>
      </c>
      <c r="N12" s="19">
        <v>4</v>
      </c>
      <c r="O12" s="19">
        <v>4</v>
      </c>
      <c r="P12" s="19">
        <v>1</v>
      </c>
      <c r="Q12" s="19">
        <v>7</v>
      </c>
      <c r="R12" s="19">
        <v>9</v>
      </c>
      <c r="S12" s="19">
        <v>9</v>
      </c>
      <c r="T12" s="19">
        <v>3</v>
      </c>
      <c r="U12" s="19">
        <v>2</v>
      </c>
      <c r="V12" s="19">
        <v>-1</v>
      </c>
      <c r="W12" s="19">
        <v>-2</v>
      </c>
      <c r="X12" s="19">
        <v>-1</v>
      </c>
      <c r="Y12" s="19">
        <v>-2</v>
      </c>
      <c r="Z12" s="19">
        <v>-3</v>
      </c>
      <c r="AA12" s="19">
        <v>-5</v>
      </c>
      <c r="AB12" s="19">
        <v>-8</v>
      </c>
      <c r="AC12" s="19">
        <v>-9</v>
      </c>
      <c r="AD12" s="19">
        <v>-6</v>
      </c>
      <c r="AE12" s="19">
        <v>-7</v>
      </c>
      <c r="AF12" s="19">
        <v>-10</v>
      </c>
    </row>
    <row r="13" spans="1:33" x14ac:dyDescent="0.25">
      <c r="A13" s="10">
        <v>22</v>
      </c>
      <c r="B13" s="19">
        <v>6</v>
      </c>
      <c r="C13" s="19">
        <v>9</v>
      </c>
      <c r="D13" s="19">
        <v>5</v>
      </c>
      <c r="E13" s="19">
        <v>8</v>
      </c>
      <c r="F13" s="19">
        <v>8</v>
      </c>
      <c r="G13" s="19">
        <v>6</v>
      </c>
      <c r="H13" s="19">
        <v>8</v>
      </c>
      <c r="I13" s="19">
        <v>9</v>
      </c>
      <c r="J13" s="19">
        <v>8</v>
      </c>
      <c r="K13" s="19">
        <v>4</v>
      </c>
      <c r="L13" s="19">
        <v>4</v>
      </c>
      <c r="M13" s="19">
        <v>1</v>
      </c>
      <c r="N13" s="19">
        <v>4</v>
      </c>
      <c r="O13" s="19">
        <v>4</v>
      </c>
      <c r="P13" s="19">
        <v>1</v>
      </c>
      <c r="Q13" s="19">
        <v>6</v>
      </c>
      <c r="R13" s="19">
        <v>8</v>
      </c>
      <c r="S13" s="19">
        <v>8</v>
      </c>
      <c r="T13" s="19">
        <v>3</v>
      </c>
      <c r="U13" s="19">
        <v>2</v>
      </c>
      <c r="V13" s="19">
        <v>-2</v>
      </c>
      <c r="W13" s="19">
        <v>-2</v>
      </c>
      <c r="X13" s="19">
        <v>-2</v>
      </c>
      <c r="Y13" s="19">
        <v>-2</v>
      </c>
      <c r="Z13" s="19">
        <v>-4</v>
      </c>
      <c r="AA13" s="19">
        <v>-5</v>
      </c>
      <c r="AB13" s="19">
        <v>-8</v>
      </c>
      <c r="AC13" s="19">
        <v>-9</v>
      </c>
      <c r="AD13" s="19">
        <v>-9</v>
      </c>
      <c r="AE13" s="19">
        <v>-8</v>
      </c>
      <c r="AF13" s="19">
        <v>-10</v>
      </c>
    </row>
    <row r="14" spans="1:33" x14ac:dyDescent="0.25">
      <c r="A14" s="10">
        <v>24</v>
      </c>
      <c r="B14" s="19">
        <v>6</v>
      </c>
      <c r="C14" s="19">
        <v>9</v>
      </c>
      <c r="D14" s="19">
        <v>5</v>
      </c>
      <c r="E14" s="19">
        <v>7</v>
      </c>
      <c r="F14" s="19">
        <v>8</v>
      </c>
      <c r="G14" s="19">
        <v>5</v>
      </c>
      <c r="H14" s="19">
        <v>8</v>
      </c>
      <c r="I14" s="19">
        <v>9</v>
      </c>
      <c r="J14" s="19">
        <v>7</v>
      </c>
      <c r="K14" s="19">
        <v>3</v>
      </c>
      <c r="L14" s="19">
        <v>4</v>
      </c>
      <c r="M14" s="19">
        <v>1</v>
      </c>
      <c r="N14" s="19">
        <v>4</v>
      </c>
      <c r="O14" s="19">
        <v>3</v>
      </c>
      <c r="P14" s="19">
        <v>1</v>
      </c>
      <c r="Q14" s="19">
        <v>6</v>
      </c>
      <c r="R14" s="19">
        <v>8</v>
      </c>
      <c r="S14" s="19">
        <v>8</v>
      </c>
      <c r="T14" s="19">
        <v>3</v>
      </c>
      <c r="U14" s="19">
        <v>1</v>
      </c>
      <c r="V14" s="19">
        <v>-1</v>
      </c>
      <c r="W14" s="19">
        <v>-2</v>
      </c>
      <c r="X14" s="19">
        <v>-2</v>
      </c>
      <c r="Y14" s="19">
        <v>-2</v>
      </c>
      <c r="Z14" s="19">
        <v>-4</v>
      </c>
      <c r="AA14" s="19">
        <v>-5</v>
      </c>
      <c r="AB14" s="19">
        <v>-8</v>
      </c>
      <c r="AC14" s="19">
        <v>-9</v>
      </c>
      <c r="AD14" s="19">
        <v>-12</v>
      </c>
      <c r="AE14" s="19">
        <v>-8</v>
      </c>
      <c r="AF14" s="19">
        <v>-10</v>
      </c>
    </row>
    <row r="15" spans="1:33" x14ac:dyDescent="0.25">
      <c r="A15" s="10">
        <v>2</v>
      </c>
      <c r="B15" s="19">
        <v>6</v>
      </c>
      <c r="C15" s="19">
        <v>8</v>
      </c>
      <c r="D15" s="19">
        <v>4</v>
      </c>
      <c r="E15" s="19">
        <v>7</v>
      </c>
      <c r="F15" s="19">
        <v>8</v>
      </c>
      <c r="G15" s="19">
        <v>4</v>
      </c>
      <c r="H15" s="19">
        <v>7</v>
      </c>
      <c r="I15" s="19">
        <v>8</v>
      </c>
      <c r="J15" s="19">
        <v>7</v>
      </c>
      <c r="K15" s="19">
        <v>3</v>
      </c>
      <c r="L15" s="19">
        <v>3</v>
      </c>
      <c r="M15" s="19">
        <v>0.1</v>
      </c>
      <c r="N15" s="19">
        <v>4</v>
      </c>
      <c r="O15" s="19">
        <v>4</v>
      </c>
      <c r="P15" s="19">
        <v>3</v>
      </c>
      <c r="Q15" s="19">
        <v>5</v>
      </c>
      <c r="R15" s="19">
        <v>7</v>
      </c>
      <c r="S15" s="19">
        <v>7</v>
      </c>
      <c r="T15" s="19">
        <v>3</v>
      </c>
      <c r="U15" s="19">
        <v>1</v>
      </c>
      <c r="V15" s="19">
        <v>-1</v>
      </c>
      <c r="W15" s="19">
        <v>-2</v>
      </c>
      <c r="X15" s="19">
        <v>-2</v>
      </c>
      <c r="Y15" s="19">
        <v>-4</v>
      </c>
      <c r="Z15" s="19">
        <v>-5</v>
      </c>
      <c r="AA15" s="19">
        <v>-5</v>
      </c>
      <c r="AB15" s="19">
        <v>-8</v>
      </c>
      <c r="AC15" s="19">
        <v>-11</v>
      </c>
      <c r="AD15" s="19">
        <v>-11</v>
      </c>
      <c r="AE15" s="19">
        <v>-11</v>
      </c>
      <c r="AF15" s="19">
        <v>-11</v>
      </c>
    </row>
    <row r="16" spans="1:33" ht="30" x14ac:dyDescent="0.25">
      <c r="A16" s="11" t="s">
        <v>2</v>
      </c>
      <c r="B16" s="15">
        <f>(B4+B5+B6+B7+B8+B9+B10+B11+B12+B13+B14+B15)/12</f>
        <v>3.8333333333333335</v>
      </c>
      <c r="C16" s="15">
        <f t="shared" ref="C16:O16" si="0">(C4+C5+C6+C7+C8+C9+C10+C11+C12+C13+C14+C15)/12</f>
        <v>9</v>
      </c>
      <c r="D16" s="15">
        <f t="shared" si="0"/>
        <v>8.4166666666666661</v>
      </c>
      <c r="E16" s="15">
        <f t="shared" si="0"/>
        <v>7.666666666666667</v>
      </c>
      <c r="F16" s="15">
        <f t="shared" si="0"/>
        <v>8.4166666666666661</v>
      </c>
      <c r="G16" s="15">
        <f t="shared" si="0"/>
        <v>7.5</v>
      </c>
      <c r="H16" s="15">
        <f t="shared" si="0"/>
        <v>6.75</v>
      </c>
      <c r="I16" s="15">
        <f t="shared" si="0"/>
        <v>9.3333333333333339</v>
      </c>
      <c r="J16" s="15">
        <f t="shared" si="0"/>
        <v>8.5833333333333339</v>
      </c>
      <c r="K16" s="15">
        <f t="shared" si="0"/>
        <v>5</v>
      </c>
      <c r="L16" s="15">
        <f t="shared" si="0"/>
        <v>3.8333333333333335</v>
      </c>
      <c r="M16" s="15">
        <f t="shared" si="0"/>
        <v>2.5083333333333333</v>
      </c>
      <c r="N16" s="15">
        <f t="shared" si="0"/>
        <v>1.75</v>
      </c>
      <c r="O16" s="15">
        <f t="shared" si="0"/>
        <v>4.333333333333333</v>
      </c>
      <c r="P16" s="15">
        <f>(P4+P5+P6+P7+P8+P9+P10+P11+P12+P13+P14+P15)/12</f>
        <v>2.75</v>
      </c>
      <c r="Q16" s="15">
        <f>(Q4+Q5+Q6+Q7+Q8+Q9+Q10+Q11+Q12+Q13+Q14+Q15)/12</f>
        <v>4.25</v>
      </c>
      <c r="R16" s="15">
        <f>(R4+R5+R6+R7+R8+R9+R10+R11+R12+R13+R14+R15)/12</f>
        <v>7.166666666666667</v>
      </c>
      <c r="S16" s="15">
        <f t="shared" ref="S16:AF16" si="1">(S4+S5+S6+S7+S8+S9+S10+S11+S12+S13+S14+S15)/12</f>
        <v>8.1666666666666661</v>
      </c>
      <c r="T16" s="15">
        <f t="shared" si="1"/>
        <v>4.916666666666667</v>
      </c>
      <c r="U16" s="15">
        <f t="shared" si="1"/>
        <v>2.8333333333333335</v>
      </c>
      <c r="V16" s="15">
        <f t="shared" si="1"/>
        <v>-0.41666666666666669</v>
      </c>
      <c r="W16" s="15">
        <f t="shared" si="1"/>
        <v>-1.6666666666666667</v>
      </c>
      <c r="X16" s="15">
        <f t="shared" si="1"/>
        <v>-1.5833333333333333</v>
      </c>
      <c r="Y16" s="15">
        <f t="shared" si="1"/>
        <v>-1.8333333333333333</v>
      </c>
      <c r="Z16" s="15">
        <f t="shared" si="1"/>
        <v>-2.9166666666666665</v>
      </c>
      <c r="AA16" s="15">
        <f t="shared" si="1"/>
        <v>-4.416666666666667</v>
      </c>
      <c r="AB16" s="15">
        <f t="shared" si="1"/>
        <v>-6.833333333333333</v>
      </c>
      <c r="AC16" s="15">
        <f t="shared" si="1"/>
        <v>-8.4166666666666661</v>
      </c>
      <c r="AD16" s="15">
        <f t="shared" si="1"/>
        <v>-8.0833333333333339</v>
      </c>
      <c r="AE16" s="15">
        <f t="shared" si="1"/>
        <v>-9.75</v>
      </c>
      <c r="AF16" s="15">
        <f t="shared" si="1"/>
        <v>-10.5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64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-1</v>
      </c>
      <c r="C24" s="19">
        <v>7</v>
      </c>
      <c r="D24" s="19">
        <v>8</v>
      </c>
      <c r="E24" s="19">
        <v>3</v>
      </c>
      <c r="F24" s="19">
        <v>7</v>
      </c>
      <c r="G24" s="19">
        <v>8</v>
      </c>
      <c r="H24" s="19">
        <v>4</v>
      </c>
      <c r="I24" s="19">
        <v>8</v>
      </c>
      <c r="J24" s="19">
        <v>8</v>
      </c>
      <c r="K24" s="19">
        <v>6</v>
      </c>
      <c r="L24" s="19">
        <v>1</v>
      </c>
      <c r="M24" s="19">
        <v>4</v>
      </c>
      <c r="N24" s="19">
        <v>-1</v>
      </c>
      <c r="O24" s="19">
        <v>3</v>
      </c>
      <c r="P24" s="19">
        <v>2</v>
      </c>
      <c r="Q24" s="19">
        <v>1</v>
      </c>
      <c r="R24" s="19">
        <v>3</v>
      </c>
      <c r="S24" s="19">
        <v>6</v>
      </c>
      <c r="T24" s="19">
        <v>7</v>
      </c>
      <c r="U24" s="19">
        <v>3</v>
      </c>
      <c r="V24" s="19">
        <v>-1</v>
      </c>
      <c r="W24" s="19">
        <v>-3</v>
      </c>
      <c r="X24" s="19">
        <v>-3</v>
      </c>
      <c r="Y24" s="19">
        <v>-2</v>
      </c>
      <c r="Z24" s="19">
        <v>-4</v>
      </c>
      <c r="AA24" s="19">
        <v>-5</v>
      </c>
      <c r="AB24" s="19">
        <v>-6</v>
      </c>
      <c r="AC24" s="19">
        <v>-9</v>
      </c>
      <c r="AD24" s="19">
        <v>-9</v>
      </c>
      <c r="AE24" s="19">
        <v>-9</v>
      </c>
      <c r="AF24" s="19">
        <v>-9</v>
      </c>
    </row>
    <row r="25" spans="1:32" x14ac:dyDescent="0.25">
      <c r="A25" s="10">
        <v>6</v>
      </c>
      <c r="B25" s="19">
        <v>-1</v>
      </c>
      <c r="C25" s="19">
        <v>6</v>
      </c>
      <c r="D25" s="19">
        <v>10</v>
      </c>
      <c r="E25" s="19">
        <v>4</v>
      </c>
      <c r="F25" s="19">
        <v>7</v>
      </c>
      <c r="G25" s="19">
        <v>8</v>
      </c>
      <c r="H25" s="19">
        <v>6</v>
      </c>
      <c r="I25" s="19">
        <v>8</v>
      </c>
      <c r="J25" s="19">
        <v>9</v>
      </c>
      <c r="K25" s="19">
        <v>5</v>
      </c>
      <c r="L25" s="19">
        <v>2</v>
      </c>
      <c r="M25" s="19">
        <v>4</v>
      </c>
      <c r="N25" s="19">
        <v>-2</v>
      </c>
      <c r="O25" s="19">
        <v>4</v>
      </c>
      <c r="P25" s="19">
        <v>2</v>
      </c>
      <c r="Q25" s="19">
        <v>1</v>
      </c>
      <c r="R25" s="19">
        <v>3</v>
      </c>
      <c r="S25" s="19">
        <v>6</v>
      </c>
      <c r="T25" s="19">
        <v>7</v>
      </c>
      <c r="U25" s="19">
        <v>2</v>
      </c>
      <c r="V25" s="19">
        <v>-1</v>
      </c>
      <c r="W25" s="19">
        <v>-2</v>
      </c>
      <c r="X25" s="19">
        <v>-3</v>
      </c>
      <c r="Y25" s="19">
        <v>-2</v>
      </c>
      <c r="Z25" s="19">
        <v>-4</v>
      </c>
      <c r="AA25" s="19">
        <v>-5</v>
      </c>
      <c r="AB25" s="19">
        <v>-5</v>
      </c>
      <c r="AC25" s="19">
        <v>-9</v>
      </c>
      <c r="AD25" s="19">
        <v>-9</v>
      </c>
      <c r="AE25" s="19">
        <v>-10</v>
      </c>
      <c r="AF25" s="19">
        <v>-10</v>
      </c>
    </row>
    <row r="26" spans="1:32" x14ac:dyDescent="0.25">
      <c r="A26" s="10">
        <v>8</v>
      </c>
      <c r="B26" s="19">
        <v>-2</v>
      </c>
      <c r="C26" s="19">
        <v>6</v>
      </c>
      <c r="D26" s="19">
        <v>9</v>
      </c>
      <c r="E26" s="19">
        <v>6</v>
      </c>
      <c r="F26" s="19">
        <v>7</v>
      </c>
      <c r="G26" s="19">
        <v>8</v>
      </c>
      <c r="H26" s="19">
        <v>3</v>
      </c>
      <c r="I26" s="19">
        <v>8</v>
      </c>
      <c r="J26" s="19">
        <v>9</v>
      </c>
      <c r="K26" s="19">
        <v>6</v>
      </c>
      <c r="L26" s="19">
        <v>2</v>
      </c>
      <c r="M26" s="19">
        <v>3</v>
      </c>
      <c r="N26" s="19">
        <v>-1</v>
      </c>
      <c r="O26" s="19">
        <v>4</v>
      </c>
      <c r="P26" s="19">
        <v>3</v>
      </c>
      <c r="Q26" s="19">
        <v>2</v>
      </c>
      <c r="R26" s="19">
        <v>4</v>
      </c>
      <c r="S26" s="19">
        <v>6</v>
      </c>
      <c r="T26" s="19">
        <v>5</v>
      </c>
      <c r="U26" s="19">
        <v>2</v>
      </c>
      <c r="V26" s="19">
        <v>-1</v>
      </c>
      <c r="W26" s="19">
        <v>-2</v>
      </c>
      <c r="X26" s="19">
        <v>-2</v>
      </c>
      <c r="Y26" s="19">
        <v>-1</v>
      </c>
      <c r="Z26" s="19">
        <v>-6</v>
      </c>
      <c r="AA26" s="19">
        <v>-4</v>
      </c>
      <c r="AB26" s="19">
        <v>-3</v>
      </c>
      <c r="AC26" s="19">
        <v>-9</v>
      </c>
      <c r="AD26" s="19">
        <v>-9</v>
      </c>
      <c r="AE26" s="19">
        <v>-10</v>
      </c>
      <c r="AF26" s="19">
        <v>-10</v>
      </c>
    </row>
    <row r="27" spans="1:32" x14ac:dyDescent="0.25">
      <c r="A27" s="10">
        <v>10</v>
      </c>
      <c r="B27" s="19">
        <v>0</v>
      </c>
      <c r="C27" s="19">
        <v>7</v>
      </c>
      <c r="D27" s="19">
        <v>11</v>
      </c>
      <c r="E27" s="19">
        <v>6</v>
      </c>
      <c r="F27" s="19">
        <v>8</v>
      </c>
      <c r="G27" s="19">
        <v>9</v>
      </c>
      <c r="H27" s="19">
        <v>7</v>
      </c>
      <c r="I27" s="19">
        <v>9</v>
      </c>
      <c r="J27" s="19">
        <v>9</v>
      </c>
      <c r="K27" s="19">
        <v>6</v>
      </c>
      <c r="L27" s="19">
        <v>4</v>
      </c>
      <c r="M27" s="19">
        <v>3</v>
      </c>
      <c r="N27" s="19">
        <v>2</v>
      </c>
      <c r="O27" s="19">
        <v>5</v>
      </c>
      <c r="P27" s="19">
        <v>1</v>
      </c>
      <c r="Q27" s="19">
        <v>3</v>
      </c>
      <c r="R27" s="19">
        <v>5</v>
      </c>
      <c r="S27" s="19">
        <v>8</v>
      </c>
      <c r="T27" s="19">
        <v>7</v>
      </c>
      <c r="U27" s="19">
        <v>2</v>
      </c>
      <c r="V27" s="19">
        <v>0</v>
      </c>
      <c r="W27" s="19">
        <v>-1</v>
      </c>
      <c r="X27" s="19">
        <v>-1</v>
      </c>
      <c r="Y27" s="19">
        <v>0</v>
      </c>
      <c r="Z27" s="19">
        <v>-5</v>
      </c>
      <c r="AA27" s="19">
        <v>-3</v>
      </c>
      <c r="AB27" s="19">
        <v>-6</v>
      </c>
      <c r="AC27" s="19">
        <v>-7</v>
      </c>
      <c r="AD27" s="19">
        <v>-8</v>
      </c>
      <c r="AE27" s="19">
        <v>-9</v>
      </c>
      <c r="AF27" s="19">
        <v>-11</v>
      </c>
    </row>
    <row r="28" spans="1:32" x14ac:dyDescent="0.25">
      <c r="A28" s="10">
        <v>12</v>
      </c>
      <c r="B28" s="19">
        <v>2</v>
      </c>
      <c r="C28" s="19">
        <v>9</v>
      </c>
      <c r="D28" s="19">
        <v>12</v>
      </c>
      <c r="E28" s="19">
        <v>8</v>
      </c>
      <c r="F28" s="19">
        <v>8</v>
      </c>
      <c r="G28" s="19">
        <v>10</v>
      </c>
      <c r="H28" s="19">
        <v>9</v>
      </c>
      <c r="I28" s="19">
        <v>11</v>
      </c>
      <c r="J28" s="19">
        <v>8</v>
      </c>
      <c r="K28" s="19">
        <v>6</v>
      </c>
      <c r="L28" s="19">
        <v>6</v>
      </c>
      <c r="M28" s="19">
        <v>3</v>
      </c>
      <c r="N28" s="19">
        <v>3</v>
      </c>
      <c r="O28" s="19">
        <v>5</v>
      </c>
      <c r="P28" s="19">
        <v>2</v>
      </c>
      <c r="Q28" s="19">
        <v>3</v>
      </c>
      <c r="R28" s="19">
        <v>6</v>
      </c>
      <c r="S28" s="19">
        <v>10</v>
      </c>
      <c r="T28" s="19">
        <v>7</v>
      </c>
      <c r="U28" s="19">
        <v>2</v>
      </c>
      <c r="V28" s="19">
        <v>2</v>
      </c>
      <c r="W28" s="19">
        <v>-1</v>
      </c>
      <c r="X28" s="19">
        <v>0</v>
      </c>
      <c r="Y28" s="19">
        <v>0</v>
      </c>
      <c r="Z28" s="19">
        <v>-4</v>
      </c>
      <c r="AA28" s="19">
        <v>-2</v>
      </c>
      <c r="AB28" s="19">
        <v>-6</v>
      </c>
      <c r="AC28" s="19">
        <v>-6</v>
      </c>
      <c r="AD28" s="19">
        <v>-6</v>
      </c>
      <c r="AE28" s="19">
        <v>-6</v>
      </c>
      <c r="AF28" s="19">
        <v>-9</v>
      </c>
    </row>
    <row r="29" spans="1:32" x14ac:dyDescent="0.25">
      <c r="A29" s="10">
        <v>14</v>
      </c>
      <c r="B29" s="19">
        <v>4</v>
      </c>
      <c r="C29" s="19">
        <v>11</v>
      </c>
      <c r="D29" s="19">
        <v>11</v>
      </c>
      <c r="E29" s="19">
        <v>9</v>
      </c>
      <c r="F29" s="19">
        <v>8</v>
      </c>
      <c r="G29" s="19">
        <v>10</v>
      </c>
      <c r="H29" s="19">
        <v>10</v>
      </c>
      <c r="I29" s="19">
        <v>12</v>
      </c>
      <c r="J29" s="19">
        <v>9</v>
      </c>
      <c r="K29" s="19">
        <v>7</v>
      </c>
      <c r="L29" s="19">
        <v>6</v>
      </c>
      <c r="M29" s="19">
        <v>3</v>
      </c>
      <c r="N29" s="19">
        <v>2</v>
      </c>
      <c r="O29" s="19">
        <v>6</v>
      </c>
      <c r="P29" s="19">
        <v>-1</v>
      </c>
      <c r="Q29" s="19">
        <v>3</v>
      </c>
      <c r="R29" s="19">
        <v>7</v>
      </c>
      <c r="S29" s="19">
        <v>11</v>
      </c>
      <c r="T29" s="19">
        <v>7</v>
      </c>
      <c r="U29" s="19">
        <v>1</v>
      </c>
      <c r="V29" s="19">
        <v>2</v>
      </c>
      <c r="W29" s="19">
        <v>-1</v>
      </c>
      <c r="X29" s="19">
        <v>1</v>
      </c>
      <c r="Y29" s="19">
        <v>0</v>
      </c>
      <c r="Z29" s="19">
        <v>-2</v>
      </c>
      <c r="AA29" s="19">
        <v>-2</v>
      </c>
      <c r="AB29" s="19">
        <v>-6</v>
      </c>
      <c r="AC29" s="19">
        <v>-6</v>
      </c>
      <c r="AD29" s="19">
        <v>-6</v>
      </c>
      <c r="AE29" s="19">
        <v>-6</v>
      </c>
      <c r="AF29" s="19">
        <v>-9</v>
      </c>
    </row>
    <row r="30" spans="1:32" x14ac:dyDescent="0.25">
      <c r="A30" s="10">
        <v>16</v>
      </c>
      <c r="B30" s="19">
        <v>5</v>
      </c>
      <c r="C30" s="19">
        <v>12</v>
      </c>
      <c r="D30" s="19">
        <v>11</v>
      </c>
      <c r="E30" s="19">
        <v>11</v>
      </c>
      <c r="F30" s="19">
        <v>9</v>
      </c>
      <c r="G30" s="19">
        <v>10</v>
      </c>
      <c r="H30" s="19">
        <v>10</v>
      </c>
      <c r="I30" s="19">
        <v>11</v>
      </c>
      <c r="J30" s="19">
        <v>9</v>
      </c>
      <c r="K30" s="19">
        <v>7</v>
      </c>
      <c r="L30" s="19">
        <v>6</v>
      </c>
      <c r="M30" s="19">
        <v>3</v>
      </c>
      <c r="N30" s="19">
        <v>2</v>
      </c>
      <c r="O30" s="19">
        <v>6</v>
      </c>
      <c r="P30" s="19">
        <v>-1</v>
      </c>
      <c r="Q30" s="19">
        <v>5</v>
      </c>
      <c r="R30" s="19">
        <v>8</v>
      </c>
      <c r="S30" s="19">
        <v>11</v>
      </c>
      <c r="T30" s="19">
        <v>6</v>
      </c>
      <c r="U30" s="19">
        <v>1</v>
      </c>
      <c r="V30" s="19">
        <v>1</v>
      </c>
      <c r="W30" s="19">
        <v>-1</v>
      </c>
      <c r="X30" s="19">
        <v>0</v>
      </c>
      <c r="Y30" s="19">
        <v>0</v>
      </c>
      <c r="Z30" s="19">
        <v>-2</v>
      </c>
      <c r="AA30" s="19">
        <v>-3</v>
      </c>
      <c r="AB30" s="19">
        <v>-7</v>
      </c>
      <c r="AC30" s="19">
        <v>-7</v>
      </c>
      <c r="AD30" s="19">
        <v>-6</v>
      </c>
      <c r="AE30" s="19">
        <v>-6</v>
      </c>
      <c r="AF30" s="19">
        <v>-10.5</v>
      </c>
    </row>
    <row r="31" spans="1:32" x14ac:dyDescent="0.25">
      <c r="A31" s="10">
        <v>18</v>
      </c>
      <c r="B31" s="19">
        <v>5</v>
      </c>
      <c r="C31" s="19">
        <v>11</v>
      </c>
      <c r="D31" s="19">
        <v>8</v>
      </c>
      <c r="E31" s="19">
        <v>11</v>
      </c>
      <c r="F31" s="19">
        <v>9</v>
      </c>
      <c r="G31" s="19">
        <v>9</v>
      </c>
      <c r="H31" s="19">
        <v>8</v>
      </c>
      <c r="I31" s="19">
        <v>11</v>
      </c>
      <c r="J31" s="19">
        <v>9</v>
      </c>
      <c r="K31" s="19">
        <v>6</v>
      </c>
      <c r="L31" s="19">
        <v>6</v>
      </c>
      <c r="M31" s="19">
        <v>2</v>
      </c>
      <c r="N31" s="19">
        <v>1.7</v>
      </c>
      <c r="O31" s="19">
        <v>6</v>
      </c>
      <c r="P31" s="19">
        <v>-1</v>
      </c>
      <c r="Q31" s="19">
        <v>6</v>
      </c>
      <c r="R31" s="19">
        <v>9</v>
      </c>
      <c r="S31" s="19">
        <v>10</v>
      </c>
      <c r="T31" s="19">
        <v>4</v>
      </c>
      <c r="U31" s="19">
        <v>2</v>
      </c>
      <c r="V31" s="19">
        <v>0.5</v>
      </c>
      <c r="W31" s="19">
        <v>-2</v>
      </c>
      <c r="X31" s="19">
        <v>0</v>
      </c>
      <c r="Y31" s="19">
        <v>-1</v>
      </c>
      <c r="Z31" s="19">
        <v>-3</v>
      </c>
      <c r="AA31" s="19">
        <v>-3</v>
      </c>
      <c r="AB31" s="19">
        <v>-7</v>
      </c>
      <c r="AC31" s="19">
        <v>-8</v>
      </c>
      <c r="AD31" s="19">
        <v>-7</v>
      </c>
      <c r="AE31" s="19">
        <v>-7</v>
      </c>
      <c r="AF31" s="19">
        <v>-12.7</v>
      </c>
    </row>
    <row r="32" spans="1:32" x14ac:dyDescent="0.25">
      <c r="A32" s="10">
        <v>20</v>
      </c>
      <c r="B32" s="19">
        <v>6</v>
      </c>
      <c r="C32" s="19">
        <v>10</v>
      </c>
      <c r="D32" s="19">
        <v>7</v>
      </c>
      <c r="E32" s="19">
        <v>8</v>
      </c>
      <c r="F32" s="19">
        <v>7</v>
      </c>
      <c r="G32" s="19">
        <v>7</v>
      </c>
      <c r="H32" s="19">
        <v>8</v>
      </c>
      <c r="I32" s="19">
        <v>9</v>
      </c>
      <c r="J32" s="19">
        <v>10</v>
      </c>
      <c r="K32" s="19">
        <v>5</v>
      </c>
      <c r="L32" s="19">
        <v>4</v>
      </c>
      <c r="M32" s="19">
        <v>2</v>
      </c>
      <c r="N32" s="19">
        <v>2</v>
      </c>
      <c r="O32" s="19">
        <v>5</v>
      </c>
      <c r="P32" s="19">
        <v>1</v>
      </c>
      <c r="Q32" s="19">
        <v>7</v>
      </c>
      <c r="R32" s="19">
        <v>10</v>
      </c>
      <c r="S32" s="19">
        <v>8</v>
      </c>
      <c r="T32" s="19">
        <v>3</v>
      </c>
      <c r="U32" s="19">
        <v>2</v>
      </c>
      <c r="V32" s="19">
        <v>-4</v>
      </c>
      <c r="W32" s="19">
        <v>-2</v>
      </c>
      <c r="X32" s="19">
        <v>-1</v>
      </c>
      <c r="Y32" s="19">
        <v>-2</v>
      </c>
      <c r="Z32" s="19">
        <v>-3</v>
      </c>
      <c r="AA32" s="19">
        <v>-3</v>
      </c>
      <c r="AB32" s="19">
        <v>-8</v>
      </c>
      <c r="AC32" s="19">
        <v>-8</v>
      </c>
      <c r="AD32" s="19">
        <v>-7</v>
      </c>
      <c r="AE32" s="19">
        <v>-7</v>
      </c>
      <c r="AF32" s="19">
        <v>-9</v>
      </c>
    </row>
    <row r="33" spans="1:32" x14ac:dyDescent="0.25">
      <c r="A33" s="10">
        <v>22</v>
      </c>
      <c r="B33" s="19">
        <v>6</v>
      </c>
      <c r="C33" s="19">
        <v>9</v>
      </c>
      <c r="D33" s="19">
        <v>6</v>
      </c>
      <c r="E33" s="19">
        <v>8</v>
      </c>
      <c r="F33" s="19">
        <v>11</v>
      </c>
      <c r="G33" s="19">
        <v>4</v>
      </c>
      <c r="H33" s="19">
        <v>9</v>
      </c>
      <c r="I33" s="19">
        <v>9</v>
      </c>
      <c r="J33" s="19">
        <v>9</v>
      </c>
      <c r="K33" s="19">
        <v>4</v>
      </c>
      <c r="L33" s="19">
        <v>3</v>
      </c>
      <c r="M33" s="19">
        <v>1</v>
      </c>
      <c r="N33" s="19">
        <v>3</v>
      </c>
      <c r="O33" s="19">
        <v>4</v>
      </c>
      <c r="P33" s="19">
        <v>1</v>
      </c>
      <c r="Q33" s="19">
        <v>5</v>
      </c>
      <c r="R33" s="19">
        <v>10</v>
      </c>
      <c r="S33" s="19">
        <v>8</v>
      </c>
      <c r="T33" s="19">
        <v>3</v>
      </c>
      <c r="U33" s="19">
        <v>1</v>
      </c>
      <c r="V33" s="19">
        <v>-4</v>
      </c>
      <c r="W33" s="19">
        <v>-2</v>
      </c>
      <c r="X33" s="19">
        <v>-2</v>
      </c>
      <c r="Y33" s="19">
        <v>-2</v>
      </c>
      <c r="Z33" s="19">
        <v>-4</v>
      </c>
      <c r="AA33" s="19">
        <v>-4</v>
      </c>
      <c r="AB33" s="19">
        <v>-7</v>
      </c>
      <c r="AC33" s="19">
        <v>-9</v>
      </c>
      <c r="AD33" s="19">
        <v>-8</v>
      </c>
      <c r="AE33" s="19">
        <v>-8</v>
      </c>
      <c r="AF33" s="19">
        <v>-9</v>
      </c>
    </row>
    <row r="34" spans="1:32" x14ac:dyDescent="0.25">
      <c r="A34" s="10">
        <v>24</v>
      </c>
      <c r="B34" s="19">
        <v>7</v>
      </c>
      <c r="C34" s="19">
        <v>9</v>
      </c>
      <c r="D34" s="19">
        <v>4</v>
      </c>
      <c r="E34" s="19">
        <v>8</v>
      </c>
      <c r="F34" s="19">
        <v>10</v>
      </c>
      <c r="G34" s="19">
        <v>3</v>
      </c>
      <c r="H34" s="19">
        <v>9</v>
      </c>
      <c r="I34" s="19">
        <v>9</v>
      </c>
      <c r="J34" s="19">
        <v>8</v>
      </c>
      <c r="K34" s="19">
        <v>3</v>
      </c>
      <c r="L34" s="19">
        <v>3</v>
      </c>
      <c r="M34" s="19">
        <v>0</v>
      </c>
      <c r="N34" s="19">
        <v>3</v>
      </c>
      <c r="O34" s="19">
        <v>3</v>
      </c>
      <c r="P34" s="19">
        <v>0</v>
      </c>
      <c r="Q34" s="19">
        <v>4</v>
      </c>
      <c r="R34" s="19">
        <v>8</v>
      </c>
      <c r="S34" s="19">
        <v>8</v>
      </c>
      <c r="T34" s="19">
        <v>3</v>
      </c>
      <c r="U34" s="19">
        <v>1</v>
      </c>
      <c r="V34" s="19">
        <v>-4</v>
      </c>
      <c r="W34" s="19">
        <v>-3</v>
      </c>
      <c r="X34" s="19">
        <v>-2</v>
      </c>
      <c r="Y34" s="19">
        <v>-3</v>
      </c>
      <c r="Z34" s="19">
        <v>-5</v>
      </c>
      <c r="AA34" s="19">
        <v>-5</v>
      </c>
      <c r="AB34" s="19">
        <v>-7</v>
      </c>
      <c r="AC34" s="19">
        <v>-10</v>
      </c>
      <c r="AD34" s="19">
        <v>-8</v>
      </c>
      <c r="AE34" s="19">
        <v>-9</v>
      </c>
      <c r="AF34" s="19">
        <v>-11</v>
      </c>
    </row>
    <row r="35" spans="1:32" x14ac:dyDescent="0.25">
      <c r="A35" s="10">
        <v>2</v>
      </c>
      <c r="B35" s="19">
        <v>7</v>
      </c>
      <c r="C35" s="19">
        <v>9</v>
      </c>
      <c r="D35" s="19">
        <v>4</v>
      </c>
      <c r="E35" s="19">
        <v>8</v>
      </c>
      <c r="F35" s="19">
        <v>9</v>
      </c>
      <c r="G35" s="19">
        <v>4</v>
      </c>
      <c r="H35" s="19">
        <v>9</v>
      </c>
      <c r="I35" s="19">
        <v>8</v>
      </c>
      <c r="J35" s="19">
        <v>7</v>
      </c>
      <c r="K35" s="19">
        <v>3</v>
      </c>
      <c r="L35" s="19">
        <v>3</v>
      </c>
      <c r="M35" s="19">
        <v>-1</v>
      </c>
      <c r="N35" s="19">
        <v>3</v>
      </c>
      <c r="O35" s="19">
        <v>2</v>
      </c>
      <c r="P35" s="19">
        <v>0</v>
      </c>
      <c r="Q35" s="19">
        <v>4</v>
      </c>
      <c r="R35" s="19">
        <v>7</v>
      </c>
      <c r="S35" s="19">
        <v>8</v>
      </c>
      <c r="T35" s="19">
        <v>3</v>
      </c>
      <c r="U35" s="19">
        <v>1</v>
      </c>
      <c r="V35" s="19">
        <v>-3</v>
      </c>
      <c r="W35" s="19">
        <v>-3</v>
      </c>
      <c r="X35" s="19">
        <v>-2</v>
      </c>
      <c r="Y35" s="19">
        <v>-3</v>
      </c>
      <c r="Z35" s="19">
        <v>-5</v>
      </c>
      <c r="AA35" s="19">
        <v>-5</v>
      </c>
      <c r="AB35" s="19">
        <v>-8</v>
      </c>
      <c r="AC35" s="19">
        <v>-9</v>
      </c>
      <c r="AD35" s="19">
        <v>-9</v>
      </c>
      <c r="AE35" s="19">
        <v>-9</v>
      </c>
      <c r="AF35" s="19">
        <v>-11</v>
      </c>
    </row>
    <row r="36" spans="1:32" ht="30" x14ac:dyDescent="0.25">
      <c r="A36" s="11" t="s">
        <v>2</v>
      </c>
      <c r="B36" s="15">
        <f>(B24+B25+B26+B27+B28+B29+B30+B31+B32+B33+B34+B35)/12</f>
        <v>3.1666666666666665</v>
      </c>
      <c r="C36" s="15">
        <f t="shared" ref="C36:J36" si="2">(C24+C25+C26+C27+C28+C29+C30+C31+C32+C33+C34+C35)/12</f>
        <v>8.8333333333333339</v>
      </c>
      <c r="D36" s="15">
        <f t="shared" si="2"/>
        <v>8.4166666666666661</v>
      </c>
      <c r="E36" s="15">
        <f t="shared" si="2"/>
        <v>7.5</v>
      </c>
      <c r="F36" s="15">
        <f t="shared" si="2"/>
        <v>8.3333333333333339</v>
      </c>
      <c r="G36" s="15">
        <f t="shared" si="2"/>
        <v>7.5</v>
      </c>
      <c r="H36" s="15">
        <f t="shared" si="2"/>
        <v>7.666666666666667</v>
      </c>
      <c r="I36" s="15">
        <f t="shared" si="2"/>
        <v>9.4166666666666661</v>
      </c>
      <c r="J36" s="15">
        <f t="shared" si="2"/>
        <v>8.6666666666666661</v>
      </c>
      <c r="K36" s="15">
        <f>(K24+K25+K26+K27+K28+K29+K30+K31+K32+K33+K34+K35)/12</f>
        <v>5.333333333333333</v>
      </c>
      <c r="L36" s="15">
        <f t="shared" ref="L36:AF36" si="3">(L24+L25+L26+L27+L28+L29+L30+L31+L32+L33+L34+L35)/12</f>
        <v>3.8333333333333335</v>
      </c>
      <c r="M36" s="15">
        <f t="shared" si="3"/>
        <v>2.25</v>
      </c>
      <c r="N36" s="15">
        <f t="shared" si="3"/>
        <v>1.4749999999999999</v>
      </c>
      <c r="O36" s="15">
        <f t="shared" si="3"/>
        <v>4.416666666666667</v>
      </c>
      <c r="P36" s="15">
        <f t="shared" si="3"/>
        <v>0.75</v>
      </c>
      <c r="Q36" s="15">
        <f t="shared" si="3"/>
        <v>3.6666666666666665</v>
      </c>
      <c r="R36" s="15">
        <f t="shared" si="3"/>
        <v>6.666666666666667</v>
      </c>
      <c r="S36" s="15">
        <f t="shared" si="3"/>
        <v>8.3333333333333339</v>
      </c>
      <c r="T36" s="15">
        <f t="shared" si="3"/>
        <v>5.166666666666667</v>
      </c>
      <c r="U36" s="15">
        <f t="shared" si="3"/>
        <v>1.6666666666666667</v>
      </c>
      <c r="V36" s="15">
        <f t="shared" si="3"/>
        <v>-1.0416666666666667</v>
      </c>
      <c r="W36" s="15">
        <f t="shared" si="3"/>
        <v>-1.9166666666666667</v>
      </c>
      <c r="X36" s="15">
        <f t="shared" si="3"/>
        <v>-1.25</v>
      </c>
      <c r="Y36" s="15">
        <f t="shared" si="3"/>
        <v>-1.3333333333333333</v>
      </c>
      <c r="Z36" s="15">
        <f t="shared" si="3"/>
        <v>-3.9166666666666665</v>
      </c>
      <c r="AA36" s="15">
        <f t="shared" si="3"/>
        <v>-3.6666666666666665</v>
      </c>
      <c r="AB36" s="15">
        <f t="shared" si="3"/>
        <v>-6.333333333333333</v>
      </c>
      <c r="AC36" s="15">
        <f t="shared" si="3"/>
        <v>-8.0833333333333339</v>
      </c>
      <c r="AD36" s="15">
        <f>(AD24+AD25+AD26+AD27+AD28+AD29+AD30+AD31+AD32+AD33+AD34+AD35)/12</f>
        <v>-7.666666666666667</v>
      </c>
      <c r="AE36" s="15">
        <f>(AE24+AE25+AE26+AE27+AE28+AE29+AE30+AE31+AE32+AE33+AE34+AE35)/12</f>
        <v>-8</v>
      </c>
      <c r="AF36" s="15">
        <f t="shared" si="3"/>
        <v>-10.1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E10" sqref="AE10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-10</v>
      </c>
      <c r="C4" s="19">
        <v>-11</v>
      </c>
      <c r="D4" s="19">
        <v>-13</v>
      </c>
      <c r="E4" s="19">
        <v>-2</v>
      </c>
      <c r="F4" s="19">
        <v>-4</v>
      </c>
      <c r="G4" s="19">
        <v>-7</v>
      </c>
      <c r="H4" s="19">
        <v>-5</v>
      </c>
      <c r="I4" s="19">
        <v>-1</v>
      </c>
      <c r="J4" s="19">
        <v>-3</v>
      </c>
      <c r="K4" s="19">
        <v>-4</v>
      </c>
      <c r="L4" s="19">
        <v>-3.5</v>
      </c>
      <c r="M4" s="19">
        <v>-0.7</v>
      </c>
      <c r="N4" s="19">
        <v>-1</v>
      </c>
      <c r="O4" s="19">
        <v>-14</v>
      </c>
      <c r="P4" s="19">
        <v>1.3</v>
      </c>
      <c r="Q4" s="19">
        <v>1</v>
      </c>
      <c r="R4" s="19">
        <v>-3</v>
      </c>
      <c r="S4" s="19">
        <v>-21</v>
      </c>
      <c r="T4" s="19">
        <v>-18.600000000000001</v>
      </c>
      <c r="U4" s="19">
        <v>-25</v>
      </c>
      <c r="V4" s="19">
        <v>-17.2</v>
      </c>
      <c r="W4" s="19">
        <v>-12</v>
      </c>
      <c r="X4" s="19">
        <v>-11</v>
      </c>
      <c r="Y4" s="19">
        <v>-10</v>
      </c>
      <c r="Z4" s="19">
        <v>-10</v>
      </c>
      <c r="AA4" s="19">
        <v>-10</v>
      </c>
      <c r="AB4" s="26">
        <v>-8</v>
      </c>
      <c r="AC4" s="28">
        <v>-4.7</v>
      </c>
      <c r="AD4" s="30">
        <v>-5.3</v>
      </c>
      <c r="AE4" s="19">
        <v>-13.2</v>
      </c>
      <c r="AF4" s="19"/>
    </row>
    <row r="5" spans="1:33" x14ac:dyDescent="0.25">
      <c r="A5" s="10">
        <v>6</v>
      </c>
      <c r="B5" s="19">
        <v>-11</v>
      </c>
      <c r="C5" s="19">
        <v>-11</v>
      </c>
      <c r="D5" s="19">
        <v>-13</v>
      </c>
      <c r="E5" s="19">
        <v>-2</v>
      </c>
      <c r="F5" s="19">
        <v>-4</v>
      </c>
      <c r="G5" s="19">
        <v>-7</v>
      </c>
      <c r="H5" s="19">
        <v>-5</v>
      </c>
      <c r="I5" s="19">
        <v>-1</v>
      </c>
      <c r="J5" s="19">
        <v>-3</v>
      </c>
      <c r="K5" s="19">
        <v>-4</v>
      </c>
      <c r="L5" s="19">
        <v>-3.7</v>
      </c>
      <c r="M5" s="19">
        <v>-0.8</v>
      </c>
      <c r="N5" s="19">
        <v>-1</v>
      </c>
      <c r="O5" s="19">
        <v>-14</v>
      </c>
      <c r="P5" s="19">
        <v>1.4</v>
      </c>
      <c r="Q5" s="19">
        <v>-0.5</v>
      </c>
      <c r="R5" s="19">
        <v>-4</v>
      </c>
      <c r="S5" s="19">
        <v>-21</v>
      </c>
      <c r="T5" s="19">
        <v>-19.600000000000001</v>
      </c>
      <c r="U5" s="19">
        <v>-26</v>
      </c>
      <c r="V5" s="19">
        <v>-16.8</v>
      </c>
      <c r="W5" s="19">
        <v>-12</v>
      </c>
      <c r="X5" s="19">
        <v>-11.7</v>
      </c>
      <c r="Y5" s="19">
        <v>-10</v>
      </c>
      <c r="Z5" s="19">
        <v>-10.4</v>
      </c>
      <c r="AA5" s="19">
        <v>-10.5</v>
      </c>
      <c r="AB5" s="26">
        <v>-8</v>
      </c>
      <c r="AC5" s="28">
        <v>-4.7</v>
      </c>
      <c r="AD5" s="30">
        <v>-5.0999999999999996</v>
      </c>
      <c r="AE5" s="19">
        <v>-13.6</v>
      </c>
      <c r="AF5" s="19"/>
    </row>
    <row r="6" spans="1:33" x14ac:dyDescent="0.25">
      <c r="A6" s="10">
        <v>8</v>
      </c>
      <c r="B6" s="19">
        <v>-11</v>
      </c>
      <c r="C6" s="19">
        <v>-11</v>
      </c>
      <c r="D6" s="19">
        <v>-11</v>
      </c>
      <c r="E6" s="19">
        <v>-1</v>
      </c>
      <c r="F6" s="19">
        <v>-4</v>
      </c>
      <c r="G6" s="19">
        <v>-7</v>
      </c>
      <c r="H6" s="19">
        <v>-5</v>
      </c>
      <c r="I6" s="19">
        <v>-2</v>
      </c>
      <c r="J6" s="19">
        <v>-4</v>
      </c>
      <c r="K6" s="19">
        <v>-4.7</v>
      </c>
      <c r="L6" s="19">
        <v>-3.8</v>
      </c>
      <c r="M6" s="19">
        <v>-0.8</v>
      </c>
      <c r="N6" s="19">
        <v>-3</v>
      </c>
      <c r="O6" s="19">
        <v>-13</v>
      </c>
      <c r="P6" s="19">
        <v>1.8</v>
      </c>
      <c r="Q6" s="19">
        <v>-0.1</v>
      </c>
      <c r="R6" s="19">
        <v>-5</v>
      </c>
      <c r="S6" s="19">
        <v>-22</v>
      </c>
      <c r="T6" s="19">
        <v>-20.399999999999999</v>
      </c>
      <c r="U6" s="19">
        <v>-26.7</v>
      </c>
      <c r="V6" s="19">
        <v>-15</v>
      </c>
      <c r="W6" s="19">
        <v>-10</v>
      </c>
      <c r="X6" s="19">
        <v>-11.1</v>
      </c>
      <c r="Y6" s="19">
        <v>-10.6</v>
      </c>
      <c r="Z6" s="19">
        <v>-10.3</v>
      </c>
      <c r="AA6" s="19">
        <v>-10</v>
      </c>
      <c r="AB6" s="26">
        <v>-7.5</v>
      </c>
      <c r="AC6" s="28">
        <v>-4.5999999999999996</v>
      </c>
      <c r="AD6" s="30">
        <v>-6.7</v>
      </c>
      <c r="AE6" s="19">
        <v>-14.3</v>
      </c>
      <c r="AF6" s="19"/>
    </row>
    <row r="7" spans="1:33" x14ac:dyDescent="0.25">
      <c r="A7" s="10">
        <v>10</v>
      </c>
      <c r="B7" s="19">
        <v>-11</v>
      </c>
      <c r="C7" s="19">
        <v>-11</v>
      </c>
      <c r="D7" s="19">
        <v>-10</v>
      </c>
      <c r="E7" s="19">
        <v>-1</v>
      </c>
      <c r="F7" s="19">
        <v>-5</v>
      </c>
      <c r="G7" s="19">
        <v>-6</v>
      </c>
      <c r="H7" s="19">
        <v>-5</v>
      </c>
      <c r="I7" s="19">
        <v>-2</v>
      </c>
      <c r="J7" s="19">
        <v>-3</v>
      </c>
      <c r="K7" s="19">
        <v>-4.5</v>
      </c>
      <c r="L7" s="19">
        <v>-3.8</v>
      </c>
      <c r="M7" s="19">
        <v>-0.2</v>
      </c>
      <c r="N7" s="19">
        <v>-4.5</v>
      </c>
      <c r="O7" s="19">
        <v>-11</v>
      </c>
      <c r="P7" s="19">
        <v>1.7</v>
      </c>
      <c r="Q7" s="19">
        <v>-0.1</v>
      </c>
      <c r="R7" s="19">
        <v>-6</v>
      </c>
      <c r="S7" s="19">
        <v>-20</v>
      </c>
      <c r="T7" s="19">
        <v>-21</v>
      </c>
      <c r="U7" s="19">
        <v>-25.9</v>
      </c>
      <c r="V7" s="19">
        <v>-15</v>
      </c>
      <c r="W7" s="19">
        <v>-9</v>
      </c>
      <c r="X7" s="19">
        <v>-10.5</v>
      </c>
      <c r="Y7" s="19">
        <v>-10.5</v>
      </c>
      <c r="Z7" s="19">
        <v>-10.5</v>
      </c>
      <c r="AA7" s="19">
        <v>-9</v>
      </c>
      <c r="AB7" s="26">
        <v>-7.2</v>
      </c>
      <c r="AC7" s="28">
        <v>-4.5</v>
      </c>
      <c r="AD7" s="30">
        <v>-6.9</v>
      </c>
      <c r="AE7" s="19">
        <v>-14.1</v>
      </c>
      <c r="AF7" s="19"/>
    </row>
    <row r="8" spans="1:33" x14ac:dyDescent="0.25">
      <c r="A8" s="10">
        <v>12</v>
      </c>
      <c r="B8" s="19">
        <v>-10</v>
      </c>
      <c r="C8" s="19">
        <v>-10</v>
      </c>
      <c r="D8" s="19">
        <v>-10</v>
      </c>
      <c r="E8" s="19">
        <v>-2</v>
      </c>
      <c r="F8" s="19">
        <v>-4</v>
      </c>
      <c r="G8" s="19">
        <v>-5</v>
      </c>
      <c r="H8" s="19">
        <v>-5</v>
      </c>
      <c r="I8" s="19">
        <v>-1</v>
      </c>
      <c r="J8" s="19">
        <v>-3</v>
      </c>
      <c r="K8" s="19">
        <v>-4</v>
      </c>
      <c r="L8" s="19">
        <v>-3.3</v>
      </c>
      <c r="M8" s="19">
        <v>-0.1</v>
      </c>
      <c r="N8" s="19">
        <v>-5.8</v>
      </c>
      <c r="O8" s="19">
        <v>-10</v>
      </c>
      <c r="P8" s="19">
        <v>1.6</v>
      </c>
      <c r="Q8" s="19">
        <v>-0.2</v>
      </c>
      <c r="R8" s="19">
        <v>-6</v>
      </c>
      <c r="S8" s="19">
        <v>19</v>
      </c>
      <c r="T8" s="19">
        <v>-19</v>
      </c>
      <c r="U8" s="19">
        <v>-22.9</v>
      </c>
      <c r="V8" s="19">
        <v>-15</v>
      </c>
      <c r="W8" s="19">
        <v>-9.4</v>
      </c>
      <c r="X8" s="19">
        <v>-9.6</v>
      </c>
      <c r="Y8" s="19">
        <v>-10.33</v>
      </c>
      <c r="Z8" s="19">
        <v>-11</v>
      </c>
      <c r="AA8" s="19">
        <v>-8</v>
      </c>
      <c r="AB8" s="26">
        <v>-6</v>
      </c>
      <c r="AC8" s="28">
        <v>-3.8</v>
      </c>
      <c r="AD8" s="30">
        <v>-7.2</v>
      </c>
      <c r="AE8" s="19">
        <v>-11</v>
      </c>
      <c r="AF8" s="19"/>
    </row>
    <row r="9" spans="1:33" x14ac:dyDescent="0.25">
      <c r="A9" s="10">
        <v>14</v>
      </c>
      <c r="B9" s="19">
        <v>-10</v>
      </c>
      <c r="C9" s="19">
        <v>-9</v>
      </c>
      <c r="D9" s="19">
        <v>-9</v>
      </c>
      <c r="E9" s="19">
        <v>-2</v>
      </c>
      <c r="F9" s="19">
        <v>-4</v>
      </c>
      <c r="G9" s="19">
        <v>-5</v>
      </c>
      <c r="H9" s="19">
        <v>-3</v>
      </c>
      <c r="I9" s="19">
        <v>-1</v>
      </c>
      <c r="J9" s="19">
        <v>-2</v>
      </c>
      <c r="K9" s="19">
        <v>-3.5</v>
      </c>
      <c r="L9" s="19">
        <v>-2.2000000000000002</v>
      </c>
      <c r="M9" s="19">
        <v>-0.2</v>
      </c>
      <c r="N9" s="19">
        <v>-6.5</v>
      </c>
      <c r="O9" s="19">
        <v>-8</v>
      </c>
      <c r="P9" s="19">
        <v>1.5</v>
      </c>
      <c r="Q9" s="19">
        <v>-0.1</v>
      </c>
      <c r="R9" s="19">
        <v>-6</v>
      </c>
      <c r="S9" s="19">
        <v>-15</v>
      </c>
      <c r="T9" s="19">
        <v>-18</v>
      </c>
      <c r="U9" s="19">
        <v>-22.4</v>
      </c>
      <c r="V9" s="19">
        <v>-15.3</v>
      </c>
      <c r="W9" s="19">
        <v>-9.8000000000000007</v>
      </c>
      <c r="X9" s="19">
        <v>-8</v>
      </c>
      <c r="Y9" s="19">
        <v>-10.5</v>
      </c>
      <c r="Z9" s="19">
        <v>-10.5</v>
      </c>
      <c r="AA9" s="19">
        <v>-8</v>
      </c>
      <c r="AB9" s="26">
        <v>-5.4</v>
      </c>
      <c r="AC9" s="28">
        <v>-3.6</v>
      </c>
      <c r="AD9" s="30">
        <v>-6.7</v>
      </c>
      <c r="AE9" s="19">
        <v>-12.5</v>
      </c>
      <c r="AF9" s="19"/>
    </row>
    <row r="10" spans="1:33" x14ac:dyDescent="0.25">
      <c r="A10" s="10">
        <v>16</v>
      </c>
      <c r="B10" s="19">
        <v>-10</v>
      </c>
      <c r="C10" s="19">
        <v>-10</v>
      </c>
      <c r="D10" s="19">
        <v>-9</v>
      </c>
      <c r="E10" s="19">
        <v>-2</v>
      </c>
      <c r="F10" s="19">
        <v>-4</v>
      </c>
      <c r="G10" s="19">
        <v>-7</v>
      </c>
      <c r="H10" s="19">
        <v>-2</v>
      </c>
      <c r="I10" s="19">
        <v>-2</v>
      </c>
      <c r="J10" s="19">
        <v>-2</v>
      </c>
      <c r="K10" s="19">
        <v>-3.4</v>
      </c>
      <c r="L10" s="19">
        <v>-1.2</v>
      </c>
      <c r="M10" s="19">
        <v>-0.2</v>
      </c>
      <c r="N10" s="19">
        <v>-8.1999999999999993</v>
      </c>
      <c r="O10" s="19">
        <v>-7</v>
      </c>
      <c r="P10" s="19">
        <v>0.3</v>
      </c>
      <c r="Q10" s="19">
        <v>-0.1</v>
      </c>
      <c r="R10" s="19">
        <v>-9</v>
      </c>
      <c r="S10" s="19">
        <v>-13</v>
      </c>
      <c r="T10" s="19">
        <v>-17</v>
      </c>
      <c r="U10" s="19">
        <v>-26</v>
      </c>
      <c r="V10" s="19">
        <v>-17.399999999999999</v>
      </c>
      <c r="W10" s="19">
        <v>-9.8000000000000007</v>
      </c>
      <c r="X10" s="19">
        <v>-8.3000000000000007</v>
      </c>
      <c r="Y10" s="19">
        <v>-10.7</v>
      </c>
      <c r="Z10" s="19">
        <v>-11</v>
      </c>
      <c r="AA10" s="19">
        <v>-8</v>
      </c>
      <c r="AB10" s="26">
        <v>-4.5</v>
      </c>
      <c r="AC10" s="28">
        <v>-3.5</v>
      </c>
      <c r="AD10" s="30">
        <v>-7</v>
      </c>
      <c r="AE10" s="19">
        <v>-13.7</v>
      </c>
      <c r="AF10" s="19"/>
    </row>
    <row r="11" spans="1:33" x14ac:dyDescent="0.25">
      <c r="A11" s="10">
        <v>18</v>
      </c>
      <c r="B11" s="19">
        <v>-10</v>
      </c>
      <c r="C11" s="19">
        <v>-10</v>
      </c>
      <c r="D11" s="19">
        <v>-9</v>
      </c>
      <c r="E11" s="19">
        <v>-2</v>
      </c>
      <c r="F11" s="19">
        <v>-4</v>
      </c>
      <c r="G11" s="19">
        <v>-7</v>
      </c>
      <c r="H11" s="19">
        <v>-1</v>
      </c>
      <c r="I11" s="19">
        <v>-2</v>
      </c>
      <c r="J11" s="19">
        <v>-2</v>
      </c>
      <c r="K11" s="19">
        <v>-3.8</v>
      </c>
      <c r="L11" s="19">
        <v>-0.1</v>
      </c>
      <c r="M11" s="19">
        <v>-0.2</v>
      </c>
      <c r="N11" s="19">
        <v>-10</v>
      </c>
      <c r="O11" s="19">
        <v>-6</v>
      </c>
      <c r="P11" s="19">
        <v>0.1</v>
      </c>
      <c r="Q11" s="19">
        <v>-1</v>
      </c>
      <c r="R11" s="19">
        <v>-10</v>
      </c>
      <c r="S11" s="19">
        <v>-13</v>
      </c>
      <c r="T11" s="19">
        <v>-18</v>
      </c>
      <c r="U11" s="19">
        <v>-26.8</v>
      </c>
      <c r="V11" s="19">
        <v>-17.3</v>
      </c>
      <c r="W11" s="19">
        <v>-10</v>
      </c>
      <c r="X11" s="19">
        <v>-8.5</v>
      </c>
      <c r="Y11" s="19">
        <v>-10</v>
      </c>
      <c r="Z11" s="19">
        <v>-11.8</v>
      </c>
      <c r="AA11" s="19">
        <v>-8.1999999999999993</v>
      </c>
      <c r="AB11" s="26">
        <v>-4.5</v>
      </c>
      <c r="AC11" s="28">
        <v>-3.4</v>
      </c>
      <c r="AD11" s="30">
        <v>-9.5</v>
      </c>
      <c r="AE11" s="19">
        <v>-14.5</v>
      </c>
      <c r="AF11" s="19"/>
    </row>
    <row r="12" spans="1:33" x14ac:dyDescent="0.25">
      <c r="A12" s="10">
        <v>20</v>
      </c>
      <c r="B12" s="19">
        <v>-11</v>
      </c>
      <c r="C12" s="19">
        <v>-13</v>
      </c>
      <c r="D12" s="19">
        <v>-5</v>
      </c>
      <c r="E12" s="19">
        <v>-3</v>
      </c>
      <c r="F12" s="19">
        <v>-6</v>
      </c>
      <c r="G12" s="19">
        <v>-7</v>
      </c>
      <c r="H12" s="19">
        <v>-1</v>
      </c>
      <c r="I12" s="19">
        <v>-2</v>
      </c>
      <c r="J12" s="19">
        <v>-2</v>
      </c>
      <c r="K12" s="19">
        <v>-3.5</v>
      </c>
      <c r="L12" s="19">
        <v>-0.1</v>
      </c>
      <c r="M12" s="19">
        <v>-0.2</v>
      </c>
      <c r="N12" s="19">
        <v>-11.8</v>
      </c>
      <c r="O12" s="19">
        <v>-3</v>
      </c>
      <c r="P12" s="19">
        <v>0.2</v>
      </c>
      <c r="Q12" s="19">
        <v>0.03</v>
      </c>
      <c r="R12" s="19">
        <v>-11</v>
      </c>
      <c r="S12" s="19">
        <v>-13</v>
      </c>
      <c r="T12" s="19">
        <v>-20</v>
      </c>
      <c r="U12" s="19">
        <v>-24.5</v>
      </c>
      <c r="V12" s="19">
        <v>-15.9</v>
      </c>
      <c r="W12" s="19">
        <v>-10.7</v>
      </c>
      <c r="X12" s="19">
        <v>-8</v>
      </c>
      <c r="Y12" s="19">
        <v>-11</v>
      </c>
      <c r="Z12" s="19">
        <v>-11.8</v>
      </c>
      <c r="AA12" s="19">
        <v>-8.6999999999999993</v>
      </c>
      <c r="AB12" s="26">
        <v>-4.5</v>
      </c>
      <c r="AC12" s="28">
        <v>-3.4</v>
      </c>
      <c r="AD12" s="30">
        <v>-10.3</v>
      </c>
      <c r="AE12" s="19">
        <v>-16</v>
      </c>
      <c r="AF12" s="19"/>
    </row>
    <row r="13" spans="1:33" x14ac:dyDescent="0.25">
      <c r="A13" s="10">
        <v>22</v>
      </c>
      <c r="B13" s="19">
        <v>-11</v>
      </c>
      <c r="C13" s="19">
        <v>-13</v>
      </c>
      <c r="D13" s="19">
        <v>-5</v>
      </c>
      <c r="E13" s="19">
        <v>-4</v>
      </c>
      <c r="F13" s="19">
        <v>-6</v>
      </c>
      <c r="G13" s="19">
        <v>-7</v>
      </c>
      <c r="H13" s="19">
        <v>-1</v>
      </c>
      <c r="I13" s="19">
        <v>-2</v>
      </c>
      <c r="J13" s="19">
        <v>-2</v>
      </c>
      <c r="K13" s="19">
        <v>-3.4</v>
      </c>
      <c r="L13" s="19">
        <v>-0.2</v>
      </c>
      <c r="M13" s="19">
        <v>-0.1</v>
      </c>
      <c r="N13" s="19">
        <v>-12.9</v>
      </c>
      <c r="O13" s="19">
        <v>-1</v>
      </c>
      <c r="P13" s="19">
        <v>1</v>
      </c>
      <c r="Q13" s="19">
        <v>0.01</v>
      </c>
      <c r="R13" s="19">
        <v>-11.5</v>
      </c>
      <c r="S13" s="19">
        <v>-13</v>
      </c>
      <c r="T13" s="19">
        <v>-22</v>
      </c>
      <c r="U13" s="19">
        <v>-20.5</v>
      </c>
      <c r="V13" s="19">
        <v>-15.2</v>
      </c>
      <c r="W13" s="19">
        <v>-11</v>
      </c>
      <c r="X13" s="19">
        <v>-8</v>
      </c>
      <c r="Y13" s="19">
        <v>-10.7</v>
      </c>
      <c r="Z13" s="19">
        <v>-11</v>
      </c>
      <c r="AA13" s="19">
        <v>-8.9</v>
      </c>
      <c r="AB13" s="26">
        <v>-4.5999999999999996</v>
      </c>
      <c r="AC13" s="28">
        <v>-3.6</v>
      </c>
      <c r="AD13" s="30">
        <v>-11.3</v>
      </c>
      <c r="AE13" s="19">
        <v>-15.5</v>
      </c>
      <c r="AF13" s="19"/>
    </row>
    <row r="14" spans="1:33" x14ac:dyDescent="0.25">
      <c r="A14" s="10">
        <v>24</v>
      </c>
      <c r="B14" s="19">
        <v>-11</v>
      </c>
      <c r="C14" s="19">
        <v>-14</v>
      </c>
      <c r="D14" s="19">
        <v>-4</v>
      </c>
      <c r="E14" s="19">
        <v>-4</v>
      </c>
      <c r="F14" s="19">
        <v>-6</v>
      </c>
      <c r="G14" s="19">
        <v>-6</v>
      </c>
      <c r="H14" s="19">
        <v>-1</v>
      </c>
      <c r="I14" s="19">
        <v>-3</v>
      </c>
      <c r="J14" s="19">
        <v>-2</v>
      </c>
      <c r="K14" s="19">
        <v>-3.2</v>
      </c>
      <c r="L14" s="19">
        <v>-0.3</v>
      </c>
      <c r="M14" s="19">
        <v>-1</v>
      </c>
      <c r="N14" s="19">
        <v>-13.7</v>
      </c>
      <c r="O14" s="19">
        <v>0.3</v>
      </c>
      <c r="P14" s="19">
        <v>0.7</v>
      </c>
      <c r="Q14" s="19">
        <v>0.2</v>
      </c>
      <c r="R14" s="19">
        <v>-12</v>
      </c>
      <c r="S14" s="19">
        <v>-15</v>
      </c>
      <c r="T14" s="19">
        <v>-24</v>
      </c>
      <c r="U14" s="19">
        <v>-18.7</v>
      </c>
      <c r="V14" s="19">
        <v>-14.6</v>
      </c>
      <c r="W14" s="19">
        <v>-10.7</v>
      </c>
      <c r="X14" s="19">
        <v>-8</v>
      </c>
      <c r="Y14" s="19">
        <v>-10.7</v>
      </c>
      <c r="Z14" s="19">
        <v>-10.7</v>
      </c>
      <c r="AA14" s="19">
        <v>-8.5</v>
      </c>
      <c r="AB14" s="26">
        <v>-4.8</v>
      </c>
      <c r="AC14" s="28">
        <v>-3.6</v>
      </c>
      <c r="AD14" s="30">
        <v>-11.8</v>
      </c>
      <c r="AE14" s="19">
        <v>-16</v>
      </c>
      <c r="AF14" s="19"/>
    </row>
    <row r="15" spans="1:33" x14ac:dyDescent="0.25">
      <c r="A15" s="10">
        <v>2</v>
      </c>
      <c r="B15" s="19">
        <v>-10</v>
      </c>
      <c r="C15" s="19">
        <v>-14</v>
      </c>
      <c r="D15" s="19" t="s">
        <v>249</v>
      </c>
      <c r="E15" s="19">
        <v>-5</v>
      </c>
      <c r="F15" s="19">
        <v>-8</v>
      </c>
      <c r="G15" s="19">
        <v>-4</v>
      </c>
      <c r="H15" s="19">
        <v>-1</v>
      </c>
      <c r="I15" s="19">
        <v>-2</v>
      </c>
      <c r="J15" s="19">
        <v>-1</v>
      </c>
      <c r="K15" s="19">
        <v>-3.1</v>
      </c>
      <c r="L15" s="19">
        <v>-0.9</v>
      </c>
      <c r="M15" s="19">
        <v>-1</v>
      </c>
      <c r="N15" s="19">
        <v>-15.1</v>
      </c>
      <c r="O15" s="19">
        <v>1</v>
      </c>
      <c r="P15" s="19">
        <v>-0.2</v>
      </c>
      <c r="Q15" s="19">
        <v>0.3</v>
      </c>
      <c r="R15" s="19">
        <v>-15.4</v>
      </c>
      <c r="S15" s="19">
        <v>-17.399999999999999</v>
      </c>
      <c r="T15" s="19">
        <v>-25</v>
      </c>
      <c r="U15" s="19">
        <v>-17</v>
      </c>
      <c r="V15" s="19">
        <v>-12.7</v>
      </c>
      <c r="W15" s="19">
        <v>-10.5</v>
      </c>
      <c r="X15" s="19">
        <v>-8.9</v>
      </c>
      <c r="Y15" s="19">
        <v>-10.5</v>
      </c>
      <c r="Z15" s="19">
        <v>-10.5</v>
      </c>
      <c r="AA15" s="19">
        <v>-8.6999999999999993</v>
      </c>
      <c r="AB15" s="26">
        <v>-4.8</v>
      </c>
      <c r="AC15" s="28">
        <v>-3.5</v>
      </c>
      <c r="AD15" s="30">
        <v>-12.3</v>
      </c>
      <c r="AE15" s="19">
        <v>-11.5</v>
      </c>
      <c r="AF15" s="19"/>
    </row>
    <row r="16" spans="1:33" ht="30" x14ac:dyDescent="0.25">
      <c r="A16" s="11" t="s">
        <v>2</v>
      </c>
      <c r="B16" s="15">
        <f>(B4+B5+B6+B7+B8+B9+B10+B11+B12+B13+B14+B15)/12</f>
        <v>-10.5</v>
      </c>
      <c r="C16" s="15">
        <f t="shared" ref="C16:O16" si="0">(C4+C5+C6+C7+C8+C9+C10+C11+C12+C13+C14+C15)/12</f>
        <v>-11.416666666666666</v>
      </c>
      <c r="D16" s="15">
        <f t="shared" si="0"/>
        <v>-8.1666666666666661</v>
      </c>
      <c r="E16" s="15">
        <f t="shared" si="0"/>
        <v>-2.5</v>
      </c>
      <c r="F16" s="15">
        <f t="shared" si="0"/>
        <v>-4.916666666666667</v>
      </c>
      <c r="G16" s="15">
        <f t="shared" si="0"/>
        <v>-6.25</v>
      </c>
      <c r="H16" s="15">
        <f t="shared" si="0"/>
        <v>-2.9166666666666665</v>
      </c>
      <c r="I16" s="15">
        <f t="shared" si="0"/>
        <v>-1.75</v>
      </c>
      <c r="J16" s="15">
        <f t="shared" si="0"/>
        <v>-2.4166666666666665</v>
      </c>
      <c r="K16" s="15">
        <f t="shared" si="0"/>
        <v>-3.7583333333333333</v>
      </c>
      <c r="L16" s="15">
        <f t="shared" si="0"/>
        <v>-1.925</v>
      </c>
      <c r="M16" s="15">
        <f t="shared" si="0"/>
        <v>-0.45833333333333343</v>
      </c>
      <c r="N16" s="15">
        <f t="shared" si="0"/>
        <v>-7.791666666666667</v>
      </c>
      <c r="O16" s="15">
        <f t="shared" si="0"/>
        <v>-7.1416666666666666</v>
      </c>
      <c r="P16" s="15">
        <f>(P4+P5+P6+P7+P8+P9+P10+P11+P12+P13+P14+P15)/12</f>
        <v>0.95000000000000007</v>
      </c>
      <c r="Q16" s="15">
        <f>(Q4+Q5+Q6+Q7+Q8+Q9+Q10+Q11+Q12+Q13+Q14+Q15)/12</f>
        <v>-4.6666666666666669E-2</v>
      </c>
      <c r="R16" s="15">
        <f>(R4+R5+R6+R7+R8+R9+R10+R11+R12+R13+R14+R15)/12</f>
        <v>-8.2416666666666671</v>
      </c>
      <c r="S16" s="15">
        <f t="shared" ref="S16:AF16" si="1">(S4+S5+S6+S7+S8+S9+S10+S11+S12+S13+S14+S15)/12</f>
        <v>-13.700000000000001</v>
      </c>
      <c r="T16" s="15">
        <f t="shared" si="1"/>
        <v>-20.216666666666665</v>
      </c>
      <c r="U16" s="15">
        <f t="shared" si="1"/>
        <v>-23.533333333333335</v>
      </c>
      <c r="V16" s="15">
        <f t="shared" si="1"/>
        <v>-15.616666666666665</v>
      </c>
      <c r="W16" s="15">
        <f t="shared" si="1"/>
        <v>-10.408333333333333</v>
      </c>
      <c r="X16" s="15">
        <f t="shared" si="1"/>
        <v>-9.3000000000000007</v>
      </c>
      <c r="Y16" s="15">
        <f t="shared" si="1"/>
        <v>-10.460833333333333</v>
      </c>
      <c r="Z16" s="15">
        <f t="shared" si="1"/>
        <v>-10.791666666666666</v>
      </c>
      <c r="AA16" s="15">
        <f t="shared" si="1"/>
        <v>-8.8750000000000018</v>
      </c>
      <c r="AB16" s="15">
        <f t="shared" si="1"/>
        <v>-5.8166666666666664</v>
      </c>
      <c r="AC16" s="15">
        <f t="shared" si="1"/>
        <v>-3.9083333333333337</v>
      </c>
      <c r="AD16" s="15">
        <f t="shared" si="1"/>
        <v>-8.3416666666666668</v>
      </c>
      <c r="AE16" s="15">
        <f t="shared" si="1"/>
        <v>-13.824999999999998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65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-11</v>
      </c>
      <c r="C24" s="19">
        <v>-12.7</v>
      </c>
      <c r="D24" s="19">
        <v>-14</v>
      </c>
      <c r="E24" s="19">
        <v>-5.4</v>
      </c>
      <c r="F24" s="19">
        <v>-4</v>
      </c>
      <c r="G24" s="19">
        <v>-6</v>
      </c>
      <c r="H24" s="19">
        <v>-8.1999999999999993</v>
      </c>
      <c r="I24" s="19">
        <v>-2.2000000000000002</v>
      </c>
      <c r="J24" s="19">
        <v>-0.8</v>
      </c>
      <c r="K24" s="19">
        <v>-3.4</v>
      </c>
      <c r="L24" s="19">
        <v>-3.8</v>
      </c>
      <c r="M24" s="19">
        <v>-0.8</v>
      </c>
      <c r="N24" s="19">
        <v>-1</v>
      </c>
      <c r="O24" s="19">
        <v>-16.399999999999999</v>
      </c>
      <c r="P24" s="19">
        <v>1.1000000000000001</v>
      </c>
      <c r="Q24" s="19">
        <v>-0.2</v>
      </c>
      <c r="R24" s="19">
        <v>-4.0999999999999996</v>
      </c>
      <c r="S24" s="19">
        <v>-16.100000000000001</v>
      </c>
      <c r="T24" s="19">
        <v>-17.5</v>
      </c>
      <c r="U24" s="13">
        <v>-25.8</v>
      </c>
      <c r="V24" s="19">
        <v>-16.600000000000001</v>
      </c>
      <c r="W24" s="19">
        <v>-12</v>
      </c>
      <c r="X24" s="19">
        <v>-11</v>
      </c>
      <c r="Y24" s="19">
        <v>-10</v>
      </c>
      <c r="Z24" s="19">
        <v>-10.8</v>
      </c>
      <c r="AA24" s="19">
        <v>-10.9</v>
      </c>
      <c r="AB24" s="27">
        <v>-8.3000000000000007</v>
      </c>
      <c r="AC24" s="29">
        <v>-5.2</v>
      </c>
      <c r="AD24" s="31">
        <v>-4.5999999999999996</v>
      </c>
      <c r="AE24" s="19">
        <v>-12.7</v>
      </c>
      <c r="AF24" s="19"/>
    </row>
    <row r="25" spans="1:32" x14ac:dyDescent="0.25">
      <c r="A25" s="10">
        <v>6</v>
      </c>
      <c r="B25" s="19">
        <v>-10</v>
      </c>
      <c r="C25" s="19">
        <v>-13.6</v>
      </c>
      <c r="D25" s="19">
        <v>-14.8</v>
      </c>
      <c r="E25" s="19">
        <v>-3.9</v>
      </c>
      <c r="F25" s="19">
        <v>-3.6</v>
      </c>
      <c r="G25" s="19">
        <v>-6.8</v>
      </c>
      <c r="H25" s="19">
        <v>-7.6</v>
      </c>
      <c r="I25" s="19">
        <v>-1.9</v>
      </c>
      <c r="J25" s="19">
        <v>-2</v>
      </c>
      <c r="K25" s="19">
        <v>-4.5999999999999996</v>
      </c>
      <c r="L25" s="19">
        <v>-4.7</v>
      </c>
      <c r="M25" s="19">
        <v>-0.7</v>
      </c>
      <c r="N25" s="19">
        <v>-2</v>
      </c>
      <c r="O25" s="19">
        <v>-16.2</v>
      </c>
      <c r="P25" s="19">
        <v>1.5</v>
      </c>
      <c r="Q25" s="19">
        <v>-0.4</v>
      </c>
      <c r="R25" s="19">
        <v>-4.9000000000000004</v>
      </c>
      <c r="S25" s="19">
        <v>-18.5</v>
      </c>
      <c r="T25" s="19">
        <v>-18.2</v>
      </c>
      <c r="U25" s="13">
        <v>-25.3</v>
      </c>
      <c r="V25" s="19">
        <v>-16.399999999999999</v>
      </c>
      <c r="W25" s="19">
        <v>-10.5</v>
      </c>
      <c r="X25" s="19">
        <v>-11.4</v>
      </c>
      <c r="Y25" s="19">
        <v>-10.5</v>
      </c>
      <c r="Z25" s="19">
        <v>-10.7</v>
      </c>
      <c r="AA25" s="19">
        <v>-11</v>
      </c>
      <c r="AB25" s="27">
        <v>-8</v>
      </c>
      <c r="AC25" s="29">
        <v>-5</v>
      </c>
      <c r="AD25" s="31">
        <v>-5.2</v>
      </c>
      <c r="AE25" s="19">
        <v>-14</v>
      </c>
      <c r="AF25" s="19"/>
    </row>
    <row r="26" spans="1:32" x14ac:dyDescent="0.25">
      <c r="A26" s="10">
        <v>8</v>
      </c>
      <c r="B26" s="19">
        <v>-10</v>
      </c>
      <c r="C26" s="19">
        <v>-13.2</v>
      </c>
      <c r="D26" s="19">
        <v>-14.1</v>
      </c>
      <c r="E26" s="19">
        <v>-2.7</v>
      </c>
      <c r="F26" s="19">
        <v>-3.5</v>
      </c>
      <c r="G26" s="19">
        <v>-10.9</v>
      </c>
      <c r="H26" s="19">
        <v>-7</v>
      </c>
      <c r="I26" s="19">
        <v>-1.7</v>
      </c>
      <c r="J26" s="19">
        <v>-2</v>
      </c>
      <c r="K26" s="19">
        <v>-5.2</v>
      </c>
      <c r="L26" s="19">
        <v>-5.2</v>
      </c>
      <c r="M26" s="19">
        <v>-0.6</v>
      </c>
      <c r="N26" s="19">
        <v>-1.8</v>
      </c>
      <c r="O26" s="19">
        <v>-14.3</v>
      </c>
      <c r="P26" s="19">
        <v>1.8</v>
      </c>
      <c r="Q26" s="19">
        <v>-0.3</v>
      </c>
      <c r="R26" s="19">
        <v>-5.3</v>
      </c>
      <c r="S26" s="19">
        <v>-20.9</v>
      </c>
      <c r="T26" s="19">
        <v>-21</v>
      </c>
      <c r="U26" s="13">
        <v>-26.1</v>
      </c>
      <c r="V26" s="19">
        <v>-15.8</v>
      </c>
      <c r="W26" s="19">
        <v>-9.8000000000000007</v>
      </c>
      <c r="X26" s="19">
        <v>-11.4</v>
      </c>
      <c r="Y26" s="19">
        <v>-10.9</v>
      </c>
      <c r="Z26" s="19">
        <v>-10.8</v>
      </c>
      <c r="AA26" s="19">
        <v>-10</v>
      </c>
      <c r="AB26" s="27">
        <v>-7.5</v>
      </c>
      <c r="AC26" s="29">
        <v>-5</v>
      </c>
      <c r="AD26" s="31">
        <v>-5.7</v>
      </c>
      <c r="AE26" s="19">
        <v>-14</v>
      </c>
      <c r="AF26" s="19"/>
    </row>
    <row r="27" spans="1:32" x14ac:dyDescent="0.25">
      <c r="A27" s="10">
        <v>10</v>
      </c>
      <c r="B27" s="19">
        <v>-10</v>
      </c>
      <c r="C27" s="19">
        <v>-13.5</v>
      </c>
      <c r="D27" s="19">
        <v>-10</v>
      </c>
      <c r="E27" s="19">
        <v>-1</v>
      </c>
      <c r="F27" s="19">
        <v>-3.9</v>
      </c>
      <c r="G27" s="19">
        <v>-9.3000000000000007</v>
      </c>
      <c r="H27" s="19">
        <v>-6.4</v>
      </c>
      <c r="I27" s="19">
        <v>-1.3</v>
      </c>
      <c r="J27" s="19">
        <v>-2.4</v>
      </c>
      <c r="K27" s="19">
        <v>-5.5</v>
      </c>
      <c r="L27" s="19">
        <v>-4</v>
      </c>
      <c r="M27" s="19">
        <v>-0.3</v>
      </c>
      <c r="N27" s="19">
        <v>-4</v>
      </c>
      <c r="O27" s="19">
        <v>-11.9</v>
      </c>
      <c r="P27" s="19">
        <v>1.7</v>
      </c>
      <c r="Q27" s="19">
        <v>1</v>
      </c>
      <c r="R27" s="19">
        <v>-5.8</v>
      </c>
      <c r="S27" s="19">
        <v>-19.8</v>
      </c>
      <c r="T27" s="19">
        <v>-21.2</v>
      </c>
      <c r="U27" s="13">
        <v>-26.4</v>
      </c>
      <c r="V27" s="19">
        <v>-15.1</v>
      </c>
      <c r="W27" s="19">
        <v>-9.3000000000000007</v>
      </c>
      <c r="X27" s="19">
        <v>-10.8</v>
      </c>
      <c r="Y27" s="19">
        <v>-10.7</v>
      </c>
      <c r="Z27" s="19">
        <v>-11.2</v>
      </c>
      <c r="AA27" s="19">
        <v>-10.1</v>
      </c>
      <c r="AB27" s="27">
        <v>-7.2</v>
      </c>
      <c r="AC27" s="29">
        <v>-4.8</v>
      </c>
      <c r="AD27" s="31">
        <v>-6.4</v>
      </c>
      <c r="AE27" s="19">
        <v>-14</v>
      </c>
      <c r="AF27" s="19"/>
    </row>
    <row r="28" spans="1:32" x14ac:dyDescent="0.25">
      <c r="A28" s="10">
        <v>12</v>
      </c>
      <c r="B28" s="19">
        <v>-9</v>
      </c>
      <c r="C28" s="19">
        <v>-11.3</v>
      </c>
      <c r="D28" s="19">
        <v>-9</v>
      </c>
      <c r="E28" s="19">
        <v>-0.6</v>
      </c>
      <c r="F28" s="19">
        <v>-4.0999999999999996</v>
      </c>
      <c r="G28" s="19">
        <v>-7.3</v>
      </c>
      <c r="H28" s="19">
        <v>-5.0999999999999996</v>
      </c>
      <c r="I28" s="19">
        <v>-1.2</v>
      </c>
      <c r="J28" s="19">
        <v>-2.7</v>
      </c>
      <c r="K28" s="19">
        <v>-4</v>
      </c>
      <c r="L28" s="19">
        <v>-2</v>
      </c>
      <c r="M28" s="19">
        <v>0</v>
      </c>
      <c r="N28" s="19">
        <v>-5</v>
      </c>
      <c r="O28" s="19">
        <v>-9.9</v>
      </c>
      <c r="P28" s="19">
        <v>1.8</v>
      </c>
      <c r="Q28" s="19">
        <v>0.2</v>
      </c>
      <c r="R28" s="19">
        <v>-6.1</v>
      </c>
      <c r="S28" s="19">
        <v>-16.7</v>
      </c>
      <c r="T28" s="19">
        <v>-19.600000000000001</v>
      </c>
      <c r="U28" s="13">
        <v>-24.3</v>
      </c>
      <c r="V28" s="19">
        <v>-13.9</v>
      </c>
      <c r="W28" s="19">
        <v>-9.5</v>
      </c>
      <c r="X28" s="19">
        <v>-10</v>
      </c>
      <c r="Y28" s="19">
        <v>-10.4</v>
      </c>
      <c r="Z28" s="19">
        <v>-10.9</v>
      </c>
      <c r="AA28" s="19">
        <v>-9.1999999999999993</v>
      </c>
      <c r="AB28" s="27">
        <v>-6.6</v>
      </c>
      <c r="AC28" s="29">
        <v>-4.2</v>
      </c>
      <c r="AD28" s="31">
        <v>-6.6</v>
      </c>
      <c r="AE28" s="19">
        <v>-10.5</v>
      </c>
      <c r="AF28" s="19"/>
    </row>
    <row r="29" spans="1:32" x14ac:dyDescent="0.25">
      <c r="A29" s="10">
        <v>14</v>
      </c>
      <c r="B29" s="19">
        <v>-8</v>
      </c>
      <c r="C29" s="19">
        <v>-11.7</v>
      </c>
      <c r="D29" s="19">
        <v>-8</v>
      </c>
      <c r="E29" s="19">
        <v>-3.2</v>
      </c>
      <c r="F29" s="19">
        <v>-4.0999999999999996</v>
      </c>
      <c r="G29" s="19">
        <v>-6.4</v>
      </c>
      <c r="H29" s="19">
        <v>0</v>
      </c>
      <c r="I29" s="19">
        <v>-1.3</v>
      </c>
      <c r="J29" s="19">
        <v>-2.5</v>
      </c>
      <c r="K29" s="19">
        <v>-3.9</v>
      </c>
      <c r="L29" s="19">
        <v>-1</v>
      </c>
      <c r="M29" s="19">
        <v>0.1</v>
      </c>
      <c r="N29" s="19">
        <v>-6</v>
      </c>
      <c r="O29" s="19">
        <v>-8.6</v>
      </c>
      <c r="P29" s="19">
        <v>1.9</v>
      </c>
      <c r="Q29" s="19">
        <v>0.3</v>
      </c>
      <c r="R29" s="19">
        <v>-7</v>
      </c>
      <c r="S29" s="19">
        <v>-18.100000000000001</v>
      </c>
      <c r="T29" s="19">
        <v>-17.5</v>
      </c>
      <c r="U29" s="13">
        <v>-23.7</v>
      </c>
      <c r="V29" s="19">
        <v>-13.9</v>
      </c>
      <c r="W29" s="19">
        <v>-9.6999999999999993</v>
      </c>
      <c r="X29" s="19">
        <v>-9.1999999999999993</v>
      </c>
      <c r="Y29" s="19">
        <v>-10.6</v>
      </c>
      <c r="Z29" s="19">
        <v>-11.4</v>
      </c>
      <c r="AA29" s="19">
        <v>-8.9</v>
      </c>
      <c r="AB29" s="27">
        <v>-5.8</v>
      </c>
      <c r="AC29" s="29">
        <v>-3.7</v>
      </c>
      <c r="AD29" s="31">
        <v>-7.3</v>
      </c>
      <c r="AE29" s="19">
        <v>-12.1</v>
      </c>
      <c r="AF29" s="19"/>
    </row>
    <row r="30" spans="1:32" x14ac:dyDescent="0.25">
      <c r="A30" s="10">
        <v>16</v>
      </c>
      <c r="B30" s="19">
        <v>-8</v>
      </c>
      <c r="C30" s="19">
        <v>-12.2</v>
      </c>
      <c r="D30" s="19">
        <v>-8</v>
      </c>
      <c r="E30" s="19">
        <v>-5</v>
      </c>
      <c r="F30" s="19">
        <v>-4.2</v>
      </c>
      <c r="G30" s="19">
        <v>-9.6</v>
      </c>
      <c r="H30" s="19">
        <v>0</v>
      </c>
      <c r="I30" s="19">
        <v>-1.1000000000000001</v>
      </c>
      <c r="J30" s="19">
        <v>-2.6</v>
      </c>
      <c r="K30" s="19">
        <v>-3.7</v>
      </c>
      <c r="L30" s="19">
        <v>1</v>
      </c>
      <c r="M30" s="19">
        <v>0.1</v>
      </c>
      <c r="N30" s="19">
        <v>-7.2</v>
      </c>
      <c r="O30" s="19">
        <v>-7.5</v>
      </c>
      <c r="P30" s="19">
        <v>0.8</v>
      </c>
      <c r="Q30" s="19">
        <v>0.1</v>
      </c>
      <c r="R30" s="19">
        <v>-8.8000000000000007</v>
      </c>
      <c r="S30" s="19">
        <v>-15.9</v>
      </c>
      <c r="T30" s="19">
        <v>-19.3</v>
      </c>
      <c r="U30" s="13">
        <v>-25.9</v>
      </c>
      <c r="V30" s="19">
        <v>-15.5</v>
      </c>
      <c r="W30" s="19">
        <v>-10.3</v>
      </c>
      <c r="X30" s="19">
        <v>-8.6</v>
      </c>
      <c r="Y30" s="19">
        <v>-11</v>
      </c>
      <c r="Z30" s="19">
        <v>-12</v>
      </c>
      <c r="AA30" s="19">
        <v>-9.1999999999999993</v>
      </c>
      <c r="AB30" s="27">
        <v>-5.0999999999999996</v>
      </c>
      <c r="AC30" s="29">
        <v>-3.4</v>
      </c>
      <c r="AD30" s="31">
        <v>-9.4</v>
      </c>
      <c r="AE30" s="19">
        <v>-14.7</v>
      </c>
      <c r="AF30" s="19"/>
    </row>
    <row r="31" spans="1:32" x14ac:dyDescent="0.25">
      <c r="A31" s="10">
        <v>18</v>
      </c>
      <c r="B31" s="19">
        <v>-9</v>
      </c>
      <c r="C31" s="19">
        <v>-12.6</v>
      </c>
      <c r="D31" s="19">
        <v>-9</v>
      </c>
      <c r="E31" s="19">
        <v>-4.8</v>
      </c>
      <c r="F31" s="19">
        <v>-4.8</v>
      </c>
      <c r="G31" s="19">
        <v>-10.6</v>
      </c>
      <c r="H31" s="19">
        <v>-2.8</v>
      </c>
      <c r="I31" s="19">
        <v>-1</v>
      </c>
      <c r="J31" s="19">
        <v>-3.2</v>
      </c>
      <c r="K31" s="19">
        <v>-3.5</v>
      </c>
      <c r="L31" s="19">
        <v>-0.1</v>
      </c>
      <c r="M31" s="19">
        <v>0</v>
      </c>
      <c r="N31" s="19">
        <v>-9.6999999999999993</v>
      </c>
      <c r="O31" s="19">
        <v>-6.6</v>
      </c>
      <c r="P31" s="19">
        <v>0.2</v>
      </c>
      <c r="Q31" s="19">
        <v>0.1</v>
      </c>
      <c r="R31" s="19">
        <v>-10</v>
      </c>
      <c r="S31" s="19">
        <v>-15.4</v>
      </c>
      <c r="T31" s="19">
        <v>-18.7</v>
      </c>
      <c r="U31" s="13">
        <v>-27.1</v>
      </c>
      <c r="V31" s="19">
        <v>-15.7</v>
      </c>
      <c r="W31" s="19">
        <v>-10.1</v>
      </c>
      <c r="X31" s="19">
        <v>-8.6</v>
      </c>
      <c r="Y31" s="19">
        <v>-11</v>
      </c>
      <c r="Z31" s="19">
        <v>-12.5</v>
      </c>
      <c r="AA31" s="19">
        <v>-8.6</v>
      </c>
      <c r="AB31" s="27">
        <v>-5</v>
      </c>
      <c r="AC31" s="29">
        <v>-3.2</v>
      </c>
      <c r="AD31" s="31">
        <v>-9.6</v>
      </c>
      <c r="AE31" s="19">
        <v>-15.3</v>
      </c>
      <c r="AF31" s="19"/>
    </row>
    <row r="32" spans="1:32" x14ac:dyDescent="0.25">
      <c r="A32" s="10">
        <v>20</v>
      </c>
      <c r="B32" s="19">
        <v>-10</v>
      </c>
      <c r="C32" s="19">
        <v>-12.8</v>
      </c>
      <c r="D32" s="19">
        <v>-8.3000000000000007</v>
      </c>
      <c r="E32" s="19">
        <v>-4.5</v>
      </c>
      <c r="F32" s="19">
        <v>-4.9000000000000004</v>
      </c>
      <c r="G32" s="19">
        <v>-11.1</v>
      </c>
      <c r="H32" s="19">
        <v>-2.2999999999999998</v>
      </c>
      <c r="I32" s="19">
        <v>0</v>
      </c>
      <c r="J32" s="19">
        <v>-3.6</v>
      </c>
      <c r="K32" s="19">
        <v>-3.2</v>
      </c>
      <c r="L32" s="19">
        <v>-0.4</v>
      </c>
      <c r="M32" s="19">
        <v>-1</v>
      </c>
      <c r="N32" s="19">
        <v>-12.2</v>
      </c>
      <c r="O32" s="19">
        <v>-4.9000000000000004</v>
      </c>
      <c r="P32" s="19">
        <v>0.2</v>
      </c>
      <c r="Q32" s="19">
        <v>0.1</v>
      </c>
      <c r="R32" s="19">
        <v>-10.7</v>
      </c>
      <c r="S32" s="19">
        <v>-13.2</v>
      </c>
      <c r="T32" s="19">
        <v>-20.2</v>
      </c>
      <c r="U32" s="13">
        <v>-26.3</v>
      </c>
      <c r="V32" s="19">
        <v>-15.8</v>
      </c>
      <c r="W32" s="19">
        <v>-10.1</v>
      </c>
      <c r="X32" s="19">
        <v>-8.5</v>
      </c>
      <c r="Y32" s="19">
        <v>-10.8</v>
      </c>
      <c r="Z32" s="19">
        <v>-11.8</v>
      </c>
      <c r="AA32" s="19">
        <v>-8</v>
      </c>
      <c r="AB32" s="27">
        <v>-4.8</v>
      </c>
      <c r="AC32" s="29">
        <v>-2.9</v>
      </c>
      <c r="AD32" s="31">
        <v>-11</v>
      </c>
      <c r="AE32" s="19">
        <v>-16</v>
      </c>
      <c r="AF32" s="19"/>
    </row>
    <row r="33" spans="1:32" x14ac:dyDescent="0.25">
      <c r="A33" s="10">
        <v>22</v>
      </c>
      <c r="B33" s="19">
        <v>-11.7</v>
      </c>
      <c r="C33" s="19">
        <v>-13.2</v>
      </c>
      <c r="D33" s="19">
        <v>-8.1999999999999993</v>
      </c>
      <c r="E33" s="19">
        <v>-4</v>
      </c>
      <c r="F33" s="19">
        <v>-3.9</v>
      </c>
      <c r="G33" s="19">
        <v>-9.8000000000000007</v>
      </c>
      <c r="H33" s="19">
        <v>-1.6</v>
      </c>
      <c r="I33" s="19">
        <v>0</v>
      </c>
      <c r="J33" s="19">
        <v>-3.7</v>
      </c>
      <c r="K33" s="19">
        <v>-3.4</v>
      </c>
      <c r="L33" s="19">
        <v>-0.7</v>
      </c>
      <c r="M33" s="19">
        <v>-1</v>
      </c>
      <c r="N33" s="19">
        <v>-13.3</v>
      </c>
      <c r="O33" s="19">
        <v>-2.9</v>
      </c>
      <c r="P33" s="19">
        <v>0.2</v>
      </c>
      <c r="Q33" s="19">
        <v>0</v>
      </c>
      <c r="R33" s="19">
        <v>-12</v>
      </c>
      <c r="S33" s="19">
        <v>-14.2</v>
      </c>
      <c r="T33" s="19">
        <v>-22.3</v>
      </c>
      <c r="U33" s="13">
        <v>-24.1</v>
      </c>
      <c r="V33" s="19">
        <v>-15.9</v>
      </c>
      <c r="W33" s="19">
        <v>-10.6</v>
      </c>
      <c r="X33" s="19">
        <v>-8.1999999999999993</v>
      </c>
      <c r="Y33" s="19">
        <v>-10.7</v>
      </c>
      <c r="Z33" s="19">
        <v>-11.3</v>
      </c>
      <c r="AA33" s="19">
        <v>-8</v>
      </c>
      <c r="AB33" s="27">
        <v>-5.2</v>
      </c>
      <c r="AC33" s="29">
        <v>-3.3</v>
      </c>
      <c r="AD33" s="31">
        <v>-11</v>
      </c>
      <c r="AE33" s="19">
        <v>-15.2</v>
      </c>
      <c r="AF33" s="19"/>
    </row>
    <row r="34" spans="1:32" x14ac:dyDescent="0.25">
      <c r="A34" s="10">
        <v>24</v>
      </c>
      <c r="B34" s="19">
        <v>-12</v>
      </c>
      <c r="C34" s="19">
        <v>-13.5</v>
      </c>
      <c r="D34" s="19">
        <v>-6.8</v>
      </c>
      <c r="E34" s="19">
        <v>-4.5999999999999996</v>
      </c>
      <c r="F34" s="19">
        <v>-4.2</v>
      </c>
      <c r="G34" s="19">
        <v>-8.6999999999999993</v>
      </c>
      <c r="H34" s="19">
        <v>-1.7</v>
      </c>
      <c r="I34" s="19">
        <v>-1</v>
      </c>
      <c r="J34" s="19">
        <v>-3.5</v>
      </c>
      <c r="K34" s="19">
        <v>-3.2</v>
      </c>
      <c r="L34" s="19">
        <v>-1</v>
      </c>
      <c r="M34" s="19">
        <v>-1.1000000000000001</v>
      </c>
      <c r="N34" s="19">
        <v>-14.3</v>
      </c>
      <c r="O34" s="19">
        <v>-1.1000000000000001</v>
      </c>
      <c r="P34" s="19">
        <v>0.1</v>
      </c>
      <c r="Q34" s="19">
        <v>-0.1</v>
      </c>
      <c r="R34" s="19">
        <v>-11.8</v>
      </c>
      <c r="S34" s="19">
        <v>-14.2</v>
      </c>
      <c r="T34" s="19">
        <v>-24.7</v>
      </c>
      <c r="U34" s="13">
        <v>-20.7</v>
      </c>
      <c r="V34" s="19">
        <v>-15.1</v>
      </c>
      <c r="W34" s="19">
        <v>-10.3</v>
      </c>
      <c r="X34" s="19">
        <v>-8.5</v>
      </c>
      <c r="Y34" s="19">
        <v>-10.6</v>
      </c>
      <c r="Z34" s="19">
        <v>-10.9</v>
      </c>
      <c r="AA34" s="19">
        <v>-8.3000000000000007</v>
      </c>
      <c r="AB34" s="27">
        <v>-5.5</v>
      </c>
      <c r="AC34" s="29">
        <v>-3.2</v>
      </c>
      <c r="AD34" s="31">
        <v>-11.6</v>
      </c>
      <c r="AE34" s="19">
        <v>-16.2</v>
      </c>
      <c r="AF34" s="19"/>
    </row>
    <row r="35" spans="1:32" x14ac:dyDescent="0.25">
      <c r="A35" s="10">
        <v>2</v>
      </c>
      <c r="B35" s="19">
        <v>-12.2</v>
      </c>
      <c r="C35" s="19">
        <v>-13.9</v>
      </c>
      <c r="D35" s="19">
        <v>-6.2</v>
      </c>
      <c r="E35" s="19">
        <v>-3.3</v>
      </c>
      <c r="F35" s="19">
        <v>-5.5</v>
      </c>
      <c r="G35" s="19">
        <v>-8.1999999999999993</v>
      </c>
      <c r="H35" s="19">
        <v>-1.8</v>
      </c>
      <c r="I35" s="19">
        <v>-2</v>
      </c>
      <c r="J35" s="19">
        <v>-3</v>
      </c>
      <c r="K35" s="19">
        <v>-3.5</v>
      </c>
      <c r="L35" s="19">
        <v>-1</v>
      </c>
      <c r="M35" s="19">
        <v>-1.2</v>
      </c>
      <c r="N35" s="19">
        <v>-14.9</v>
      </c>
      <c r="O35" s="19">
        <v>0.6</v>
      </c>
      <c r="P35" s="19">
        <v>0.1</v>
      </c>
      <c r="Q35" s="19">
        <v>-1</v>
      </c>
      <c r="R35" s="19">
        <v>-12.9</v>
      </c>
      <c r="S35" s="19">
        <v>-16.3</v>
      </c>
      <c r="T35" s="19">
        <v>-25.7</v>
      </c>
      <c r="U35" s="13">
        <v>-17.8</v>
      </c>
      <c r="V35" s="19">
        <v>-14</v>
      </c>
      <c r="W35" s="19">
        <v>-10.4</v>
      </c>
      <c r="X35" s="19">
        <v>-9</v>
      </c>
      <c r="Y35" s="19">
        <v>-10.6</v>
      </c>
      <c r="Z35" s="19">
        <v>-10.6</v>
      </c>
      <c r="AA35" s="19">
        <v>-8.1999999999999993</v>
      </c>
      <c r="AB35" s="27">
        <v>-5.6</v>
      </c>
      <c r="AC35" s="29">
        <v>-3.5</v>
      </c>
      <c r="AD35" s="31">
        <v>-12</v>
      </c>
      <c r="AE35" s="19">
        <v>-14.8</v>
      </c>
      <c r="AF35" s="19"/>
    </row>
    <row r="36" spans="1:32" ht="30" x14ac:dyDescent="0.25">
      <c r="A36" s="11" t="s">
        <v>2</v>
      </c>
      <c r="B36" s="15">
        <f>(B24+B25+B26+B27+B28+B29+B30+B31+B32+B33+B34+B35)/12</f>
        <v>-10.075000000000001</v>
      </c>
      <c r="C36" s="15">
        <f t="shared" ref="C36:J36" si="2">(C24+C25+C26+C27+C28+C29+C30+C31+C32+C33+C34+C35)/12</f>
        <v>-12.850000000000001</v>
      </c>
      <c r="D36" s="15">
        <f t="shared" si="2"/>
        <v>-9.7000000000000011</v>
      </c>
      <c r="E36" s="15">
        <f t="shared" si="2"/>
        <v>-3.5833333333333335</v>
      </c>
      <c r="F36" s="15">
        <f t="shared" si="2"/>
        <v>-4.2250000000000005</v>
      </c>
      <c r="G36" s="15">
        <f t="shared" si="2"/>
        <v>-8.7249999999999996</v>
      </c>
      <c r="H36" s="15">
        <f t="shared" si="2"/>
        <v>-3.7083333333333326</v>
      </c>
      <c r="I36" s="15">
        <f t="shared" si="2"/>
        <v>-1.2249999999999999</v>
      </c>
      <c r="J36" s="15">
        <f t="shared" si="2"/>
        <v>-2.6666666666666665</v>
      </c>
      <c r="K36" s="15">
        <f>(K24+K25+K26+K27+K28+K29+K30+K31+K32+K33+K34+K35)/12</f>
        <v>-3.9250000000000003</v>
      </c>
      <c r="L36" s="15">
        <f t="shared" ref="L36:AF36" si="3">(L24+L25+L26+L27+L28+L29+L30+L31+L32+L33+L34+L35)/12</f>
        <v>-1.9083333333333332</v>
      </c>
      <c r="M36" s="15">
        <f t="shared" si="3"/>
        <v>-0.54166666666666663</v>
      </c>
      <c r="N36" s="15">
        <f t="shared" si="3"/>
        <v>-7.6166666666666671</v>
      </c>
      <c r="O36" s="15">
        <f t="shared" si="3"/>
        <v>-8.3083333333333318</v>
      </c>
      <c r="P36" s="15">
        <f t="shared" si="3"/>
        <v>0.94999999999999984</v>
      </c>
      <c r="Q36" s="15">
        <f t="shared" si="3"/>
        <v>-1.666666666666668E-2</v>
      </c>
      <c r="R36" s="15">
        <f t="shared" si="3"/>
        <v>-8.2833333333333332</v>
      </c>
      <c r="S36" s="15">
        <f t="shared" si="3"/>
        <v>-16.608333333333331</v>
      </c>
      <c r="T36" s="15">
        <f t="shared" si="3"/>
        <v>-20.491666666666664</v>
      </c>
      <c r="U36" s="15">
        <f t="shared" si="3"/>
        <v>-24.458333333333332</v>
      </c>
      <c r="V36" s="15">
        <f t="shared" si="3"/>
        <v>-15.308333333333335</v>
      </c>
      <c r="W36" s="15">
        <f t="shared" si="3"/>
        <v>-10.216666666666665</v>
      </c>
      <c r="X36" s="15">
        <f t="shared" si="3"/>
        <v>-9.6</v>
      </c>
      <c r="Y36" s="15">
        <f t="shared" si="3"/>
        <v>-10.649999999999999</v>
      </c>
      <c r="Z36" s="15">
        <f t="shared" si="3"/>
        <v>-11.241666666666667</v>
      </c>
      <c r="AA36" s="15">
        <f t="shared" si="3"/>
        <v>-9.1999999999999993</v>
      </c>
      <c r="AB36" s="15">
        <f t="shared" si="3"/>
        <v>-6.2166666666666659</v>
      </c>
      <c r="AC36" s="15">
        <f t="shared" si="3"/>
        <v>-3.9499999999999997</v>
      </c>
      <c r="AD36" s="15">
        <f>(AD24+AD25+AD26+AD27+AD28+AD29+AD30+AD31+AD32+AD33+AD34+AD35)/12</f>
        <v>-8.3666666666666654</v>
      </c>
      <c r="AE36" s="15">
        <f>(AE24+AE25+AE26+AE27+AE28+AE29+AE30+AE31+AE32+AE33+AE34+AE35)/12</f>
        <v>-14.125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P42" sqref="P42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67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31">
        <v>-16.3</v>
      </c>
      <c r="C4" s="31">
        <v>-17.100000000000001</v>
      </c>
      <c r="D4" s="31">
        <v>-17</v>
      </c>
      <c r="E4" s="31">
        <v>-29.1</v>
      </c>
      <c r="F4" s="31">
        <v>-34</v>
      </c>
      <c r="G4" s="32">
        <v>-37.700000000000003</v>
      </c>
      <c r="H4" s="34">
        <v>-37.4</v>
      </c>
      <c r="I4" s="35">
        <v>-29</v>
      </c>
      <c r="J4" s="35">
        <v>-32.4</v>
      </c>
      <c r="K4" s="35">
        <v>-40.200000000000003</v>
      </c>
      <c r="L4" s="35">
        <v>-40.5</v>
      </c>
      <c r="M4" s="35">
        <v>-35.799999999999997</v>
      </c>
      <c r="N4" s="35">
        <v>-23</v>
      </c>
      <c r="O4" s="35">
        <v>-18.899999999999999</v>
      </c>
      <c r="P4" s="35">
        <v>-21.9</v>
      </c>
      <c r="Q4" s="35">
        <v>-28</v>
      </c>
      <c r="R4" s="35">
        <v>-26.3</v>
      </c>
      <c r="S4" s="35">
        <v>-15.6</v>
      </c>
      <c r="T4" s="35">
        <v>-14.9</v>
      </c>
      <c r="U4" s="35">
        <v>-12.7</v>
      </c>
      <c r="V4" s="35">
        <v>-6.7</v>
      </c>
      <c r="W4" s="35">
        <v>-1.5</v>
      </c>
      <c r="X4" s="35">
        <v>0.3</v>
      </c>
      <c r="Y4" s="35">
        <v>-0.5</v>
      </c>
      <c r="Z4" s="35">
        <v>0.3</v>
      </c>
      <c r="AA4" s="35">
        <v>-3</v>
      </c>
      <c r="AB4" s="35">
        <v>-3.1</v>
      </c>
      <c r="AC4" s="35">
        <v>-3.5</v>
      </c>
      <c r="AD4" s="35">
        <v>-4.5</v>
      </c>
      <c r="AE4" s="35">
        <v>-2</v>
      </c>
      <c r="AF4" s="35">
        <v>-17.5</v>
      </c>
    </row>
    <row r="5" spans="1:33" x14ac:dyDescent="0.25">
      <c r="A5" s="10">
        <v>6</v>
      </c>
      <c r="B5" s="31">
        <v>-17</v>
      </c>
      <c r="C5" s="31">
        <v>-16.7</v>
      </c>
      <c r="D5" s="31">
        <v>-20</v>
      </c>
      <c r="E5" s="31">
        <v>-28.9</v>
      </c>
      <c r="F5" s="31">
        <v>-35.1</v>
      </c>
      <c r="G5" s="32">
        <v>-37.700000000000003</v>
      </c>
      <c r="H5" s="34">
        <v>-37.6</v>
      </c>
      <c r="I5" s="35">
        <v>-28.4</v>
      </c>
      <c r="J5" s="35">
        <v>-33.6</v>
      </c>
      <c r="K5" s="35">
        <v>-39.5</v>
      </c>
      <c r="L5" s="35">
        <v>-39.6</v>
      </c>
      <c r="M5" s="35">
        <v>-34.799999999999997</v>
      </c>
      <c r="N5" s="35">
        <v>-23</v>
      </c>
      <c r="O5" s="35">
        <v>-17.8</v>
      </c>
      <c r="P5" s="35">
        <v>-21.3</v>
      </c>
      <c r="Q5" s="35">
        <v>-28</v>
      </c>
      <c r="R5" s="35">
        <v>-23</v>
      </c>
      <c r="S5" s="35">
        <v>-15.6</v>
      </c>
      <c r="T5" s="35">
        <v>-14.5</v>
      </c>
      <c r="U5" s="35">
        <v>-12.5</v>
      </c>
      <c r="V5" s="35">
        <v>-6.7</v>
      </c>
      <c r="W5" s="35">
        <v>-2</v>
      </c>
      <c r="X5" s="35">
        <v>0.3</v>
      </c>
      <c r="Y5" s="35">
        <v>-0.5</v>
      </c>
      <c r="Z5" s="35">
        <v>0.2</v>
      </c>
      <c r="AA5" s="35">
        <v>-3.1</v>
      </c>
      <c r="AB5" s="35">
        <v>-3.1</v>
      </c>
      <c r="AC5" s="35">
        <v>-3.5</v>
      </c>
      <c r="AD5" s="35">
        <v>-4.7</v>
      </c>
      <c r="AE5" s="35">
        <v>-1.8</v>
      </c>
      <c r="AF5" s="35">
        <v>-18.7</v>
      </c>
    </row>
    <row r="6" spans="1:33" x14ac:dyDescent="0.25">
      <c r="A6" s="10">
        <v>8</v>
      </c>
      <c r="B6" s="31">
        <v>-16</v>
      </c>
      <c r="C6" s="31">
        <v>-16.100000000000001</v>
      </c>
      <c r="D6" s="31">
        <v>-23.9</v>
      </c>
      <c r="E6" s="31">
        <v>-28.8</v>
      </c>
      <c r="F6" s="31">
        <v>-34.4</v>
      </c>
      <c r="G6" s="32">
        <v>-37.700000000000003</v>
      </c>
      <c r="H6" s="34">
        <v>-37.01</v>
      </c>
      <c r="I6" s="35">
        <v>-26.7</v>
      </c>
      <c r="J6" s="35">
        <v>-35.6</v>
      </c>
      <c r="K6" s="35">
        <v>-40.299999999999997</v>
      </c>
      <c r="L6" s="35">
        <v>-40</v>
      </c>
      <c r="M6" s="35">
        <v>-34.6</v>
      </c>
      <c r="N6" s="35">
        <v>-22.7</v>
      </c>
      <c r="O6" s="35">
        <v>-15.8</v>
      </c>
      <c r="P6" s="35">
        <v>-20.3</v>
      </c>
      <c r="Q6" s="35">
        <v>-30</v>
      </c>
      <c r="R6" s="35">
        <v>-22.1</v>
      </c>
      <c r="S6" s="35">
        <v>-14.9</v>
      </c>
      <c r="T6" s="35">
        <v>-14.2</v>
      </c>
      <c r="U6" s="35">
        <v>-11.8</v>
      </c>
      <c r="V6" s="35">
        <v>-6.8</v>
      </c>
      <c r="W6" s="35">
        <v>-1.9</v>
      </c>
      <c r="X6" s="35">
        <v>0.4</v>
      </c>
      <c r="Y6" s="35">
        <v>-0.6</v>
      </c>
      <c r="Z6" s="35">
        <v>0.6</v>
      </c>
      <c r="AA6" s="35">
        <v>-3.4</v>
      </c>
      <c r="AB6" s="35">
        <v>-3.1</v>
      </c>
      <c r="AC6" s="35">
        <v>-4</v>
      </c>
      <c r="AD6" s="35">
        <v>-5</v>
      </c>
      <c r="AE6" s="35">
        <v>-6.5</v>
      </c>
      <c r="AF6" s="35">
        <v>-21.8</v>
      </c>
    </row>
    <row r="7" spans="1:33" x14ac:dyDescent="0.25">
      <c r="A7" s="10">
        <v>10</v>
      </c>
      <c r="B7" s="31">
        <v>-15</v>
      </c>
      <c r="C7" s="31">
        <v>-16.3</v>
      </c>
      <c r="D7" s="31">
        <v>-26</v>
      </c>
      <c r="E7" s="31">
        <v>-29.4</v>
      </c>
      <c r="F7" s="31">
        <v>-34.4</v>
      </c>
      <c r="G7" s="32">
        <v>-37</v>
      </c>
      <c r="H7" s="34">
        <v>-37.19</v>
      </c>
      <c r="I7" s="35">
        <v>-26.1</v>
      </c>
      <c r="J7" s="35">
        <v>-36.4</v>
      </c>
      <c r="K7" s="35">
        <v>-40</v>
      </c>
      <c r="L7" s="35">
        <v>-41</v>
      </c>
      <c r="M7" s="35">
        <v>-34.4</v>
      </c>
      <c r="N7" s="35">
        <v>-22.1</v>
      </c>
      <c r="O7" s="35">
        <v>-14.6</v>
      </c>
      <c r="P7" s="35">
        <v>-18.3</v>
      </c>
      <c r="Q7" s="35">
        <v>-28</v>
      </c>
      <c r="R7" s="35">
        <v>-22.3</v>
      </c>
      <c r="S7" s="35">
        <v>-14.3</v>
      </c>
      <c r="T7" s="35">
        <v>-13.9</v>
      </c>
      <c r="U7" s="35">
        <v>-11.4</v>
      </c>
      <c r="V7" s="35">
        <v>-6.5</v>
      </c>
      <c r="W7" s="35">
        <v>-1.4</v>
      </c>
      <c r="X7" s="35">
        <v>0.5</v>
      </c>
      <c r="Y7" s="35">
        <v>-0.6</v>
      </c>
      <c r="Z7" s="35">
        <v>-1.3</v>
      </c>
      <c r="AA7" s="35">
        <v>-3.6</v>
      </c>
      <c r="AB7" s="35">
        <v>-2.8</v>
      </c>
      <c r="AC7" s="35">
        <v>-4.0999999999999996</v>
      </c>
      <c r="AD7" s="35">
        <v>-4.9000000000000004</v>
      </c>
      <c r="AE7" s="35">
        <v>-9.3000000000000007</v>
      </c>
      <c r="AF7" s="35">
        <v>-20.7</v>
      </c>
    </row>
    <row r="8" spans="1:33" x14ac:dyDescent="0.25">
      <c r="A8" s="10">
        <v>12</v>
      </c>
      <c r="B8" s="31">
        <v>-15</v>
      </c>
      <c r="C8" s="31">
        <v>-15.8</v>
      </c>
      <c r="D8" s="31">
        <v>-25.6</v>
      </c>
      <c r="E8" s="31">
        <v>-29.5</v>
      </c>
      <c r="F8" s="31">
        <v>-33.799999999999997</v>
      </c>
      <c r="G8" s="32">
        <v>-36.799999999999997</v>
      </c>
      <c r="H8" s="34">
        <v>-34.94</v>
      </c>
      <c r="I8" s="35">
        <v>-23.3</v>
      </c>
      <c r="J8" s="35">
        <v>-35.6</v>
      </c>
      <c r="K8" s="35">
        <v>-38</v>
      </c>
      <c r="L8" s="35">
        <v>-40</v>
      </c>
      <c r="M8" s="35">
        <v>-33.5</v>
      </c>
      <c r="N8" s="35">
        <v>-21.4</v>
      </c>
      <c r="O8" s="35">
        <v>-14.2</v>
      </c>
      <c r="P8" s="35">
        <v>-20.5</v>
      </c>
      <c r="Q8" s="35">
        <v>-28.8</v>
      </c>
      <c r="R8" s="35">
        <v>-21.1</v>
      </c>
      <c r="S8" s="35">
        <v>-13.7</v>
      </c>
      <c r="T8" s="35">
        <v>-12.9</v>
      </c>
      <c r="U8" s="35">
        <v>-10.4</v>
      </c>
      <c r="V8" s="35">
        <v>-5.7</v>
      </c>
      <c r="W8" s="35">
        <v>-1</v>
      </c>
      <c r="X8" s="35">
        <v>0.6</v>
      </c>
      <c r="Y8" s="35">
        <v>-0.2</v>
      </c>
      <c r="Z8" s="35">
        <v>-2</v>
      </c>
      <c r="AA8" s="35">
        <v>-3.6</v>
      </c>
      <c r="AB8" s="35">
        <v>-3.6</v>
      </c>
      <c r="AC8" s="35">
        <v>-4.0999999999999996</v>
      </c>
      <c r="AD8" s="35">
        <v>-4.3</v>
      </c>
      <c r="AE8" s="35">
        <v>-11.2</v>
      </c>
      <c r="AF8" s="35">
        <v>-22.2</v>
      </c>
    </row>
    <row r="9" spans="1:33" x14ac:dyDescent="0.25">
      <c r="A9" s="10">
        <v>14</v>
      </c>
      <c r="B9" s="31">
        <v>-16</v>
      </c>
      <c r="C9" s="31">
        <v>-16.7</v>
      </c>
      <c r="D9" s="31">
        <v>-24</v>
      </c>
      <c r="E9" s="31">
        <v>-27.8</v>
      </c>
      <c r="F9" s="31">
        <v>-34.200000000000003</v>
      </c>
      <c r="G9" s="32">
        <v>-37.299999999999997</v>
      </c>
      <c r="H9" s="34">
        <v>-34.299999999999997</v>
      </c>
      <c r="I9" s="35">
        <v>-21.9</v>
      </c>
      <c r="J9" s="35">
        <v>-36.6</v>
      </c>
      <c r="K9" s="35">
        <v>-38</v>
      </c>
      <c r="L9" s="35">
        <v>-38</v>
      </c>
      <c r="M9" s="35">
        <v>-32.9</v>
      </c>
      <c r="N9" s="35">
        <v>-21.1</v>
      </c>
      <c r="O9" s="35">
        <v>-13.4</v>
      </c>
      <c r="P9" s="35">
        <v>-20.8</v>
      </c>
      <c r="Q9" s="35">
        <v>-30</v>
      </c>
      <c r="R9" s="35">
        <v>-20.2</v>
      </c>
      <c r="S9" s="35">
        <v>-13.6</v>
      </c>
      <c r="T9" s="35">
        <v>-13.3</v>
      </c>
      <c r="U9" s="35">
        <v>-11.3</v>
      </c>
      <c r="V9" s="35">
        <v>-4.9000000000000004</v>
      </c>
      <c r="W9" s="35">
        <v>-0.2</v>
      </c>
      <c r="X9" s="35">
        <v>0.4</v>
      </c>
      <c r="Y9" s="35">
        <v>-0.2</v>
      </c>
      <c r="Z9" s="35">
        <v>-2</v>
      </c>
      <c r="AA9" s="35">
        <v>-3.4</v>
      </c>
      <c r="AB9" s="35">
        <v>-3.4</v>
      </c>
      <c r="AC9" s="35">
        <v>-4</v>
      </c>
      <c r="AD9" s="35">
        <v>-3.9</v>
      </c>
      <c r="AE9" s="35">
        <v>-11.2</v>
      </c>
      <c r="AF9" s="35">
        <v>-23.3</v>
      </c>
    </row>
    <row r="10" spans="1:33" x14ac:dyDescent="0.25">
      <c r="A10" s="10">
        <v>16</v>
      </c>
      <c r="B10" s="31">
        <v>-17</v>
      </c>
      <c r="C10" s="31">
        <v>-15.7</v>
      </c>
      <c r="D10" s="31">
        <v>-24</v>
      </c>
      <c r="E10" s="31">
        <v>-29.7</v>
      </c>
      <c r="F10" s="31">
        <v>-35.4</v>
      </c>
      <c r="G10" s="32">
        <v>-37.4</v>
      </c>
      <c r="H10" s="34">
        <v>-33.799999999999997</v>
      </c>
      <c r="I10" s="35">
        <v>-20.100000000000001</v>
      </c>
      <c r="J10" s="35">
        <v>-37.200000000000003</v>
      </c>
      <c r="K10" s="35">
        <v>-38.9</v>
      </c>
      <c r="L10" s="35">
        <v>-38</v>
      </c>
      <c r="M10" s="35">
        <v>-31.52</v>
      </c>
      <c r="N10" s="35">
        <v>-20.6</v>
      </c>
      <c r="O10" s="35">
        <v>-14.8</v>
      </c>
      <c r="P10" s="35">
        <v>-20</v>
      </c>
      <c r="Q10" s="35">
        <v>-31</v>
      </c>
      <c r="R10" s="35">
        <v>-19.399999999999999</v>
      </c>
      <c r="S10" s="35">
        <v>-13</v>
      </c>
      <c r="T10" s="35">
        <v>-13.4</v>
      </c>
      <c r="U10" s="35">
        <v>-9.75</v>
      </c>
      <c r="V10" s="35">
        <v>-3.9</v>
      </c>
      <c r="W10" s="35">
        <v>0.3</v>
      </c>
      <c r="X10" s="35">
        <v>0.3</v>
      </c>
      <c r="Y10" s="35">
        <v>-0.4</v>
      </c>
      <c r="Z10" s="35">
        <v>-1.4</v>
      </c>
      <c r="AA10" s="35">
        <v>-3</v>
      </c>
      <c r="AB10" s="35">
        <v>-3.8</v>
      </c>
      <c r="AC10" s="35">
        <v>-4.8</v>
      </c>
      <c r="AD10" s="35">
        <v>-3.4</v>
      </c>
      <c r="AE10" s="35">
        <v>-11.7</v>
      </c>
      <c r="AF10" s="35">
        <v>-25.4</v>
      </c>
    </row>
    <row r="11" spans="1:33" x14ac:dyDescent="0.25">
      <c r="A11" s="10">
        <v>18</v>
      </c>
      <c r="B11" s="31">
        <v>-18.5</v>
      </c>
      <c r="C11" s="31">
        <v>-15.6</v>
      </c>
      <c r="D11" s="31">
        <v>-27</v>
      </c>
      <c r="E11" s="31">
        <v>-31.5</v>
      </c>
      <c r="F11" s="31">
        <v>-35.6</v>
      </c>
      <c r="G11" s="32">
        <v>-36.1</v>
      </c>
      <c r="H11" s="34">
        <v>-34</v>
      </c>
      <c r="I11" s="35">
        <v>-24</v>
      </c>
      <c r="J11" s="35">
        <v>-38.14</v>
      </c>
      <c r="K11" s="35">
        <v>-39.979999999999997</v>
      </c>
      <c r="L11" s="35">
        <v>-37</v>
      </c>
      <c r="M11" s="35">
        <v>-29.8</v>
      </c>
      <c r="N11" s="35">
        <v>-19.5</v>
      </c>
      <c r="O11" s="35">
        <v>-16.5</v>
      </c>
      <c r="P11" s="35">
        <v>-21.4</v>
      </c>
      <c r="Q11" s="35">
        <v>-31</v>
      </c>
      <c r="R11" s="35">
        <v>-18.5</v>
      </c>
      <c r="S11" s="35">
        <v>-13.3</v>
      </c>
      <c r="T11" s="35">
        <v>-13.1</v>
      </c>
      <c r="U11" s="35">
        <v>-9.3000000000000007</v>
      </c>
      <c r="V11" s="35">
        <v>-3.38</v>
      </c>
      <c r="W11" s="35">
        <v>0.4</v>
      </c>
      <c r="X11" s="35">
        <v>0.22</v>
      </c>
      <c r="Y11" s="35">
        <v>-0.5</v>
      </c>
      <c r="Z11" s="35">
        <v>-1.2</v>
      </c>
      <c r="AA11" s="35">
        <v>-3.3</v>
      </c>
      <c r="AB11" s="35">
        <v>-3.7</v>
      </c>
      <c r="AC11" s="35">
        <v>-4.9000000000000004</v>
      </c>
      <c r="AD11" s="35">
        <v>-2.6</v>
      </c>
      <c r="AE11" s="35">
        <v>-12.7</v>
      </c>
      <c r="AF11" s="35">
        <v>-26.9</v>
      </c>
    </row>
    <row r="12" spans="1:33" x14ac:dyDescent="0.25">
      <c r="A12" s="10">
        <v>20</v>
      </c>
      <c r="B12" s="31">
        <v>-17.2</v>
      </c>
      <c r="C12" s="31">
        <v>-16</v>
      </c>
      <c r="D12" s="31">
        <v>-28</v>
      </c>
      <c r="E12" s="31">
        <v>-32.799999999999997</v>
      </c>
      <c r="F12" s="31">
        <v>-35.6</v>
      </c>
      <c r="G12" s="32">
        <v>-33.799999999999997</v>
      </c>
      <c r="H12" s="34">
        <v>-34</v>
      </c>
      <c r="I12" s="35">
        <v>-25.3</v>
      </c>
      <c r="J12" s="35">
        <v>-38.799999999999997</v>
      </c>
      <c r="K12" s="35">
        <v>-39.9</v>
      </c>
      <c r="L12" s="35">
        <v>-36.700000000000003</v>
      </c>
      <c r="M12" s="35">
        <v>-28</v>
      </c>
      <c r="N12" s="35">
        <v>-18.8</v>
      </c>
      <c r="O12" s="35">
        <v>-18.100000000000001</v>
      </c>
      <c r="P12" s="35">
        <v>-23.2</v>
      </c>
      <c r="Q12" s="35">
        <v>-30.8</v>
      </c>
      <c r="R12" s="35">
        <v>-18.399999999999999</v>
      </c>
      <c r="S12" s="35">
        <v>-13.9</v>
      </c>
      <c r="T12" s="35">
        <v>-13</v>
      </c>
      <c r="U12" s="35">
        <v>-9.1</v>
      </c>
      <c r="V12" s="35">
        <v>-2.5</v>
      </c>
      <c r="W12" s="35">
        <v>0.4</v>
      </c>
      <c r="X12" s="35">
        <v>0.2</v>
      </c>
      <c r="Y12" s="35">
        <v>-0.5</v>
      </c>
      <c r="Z12" s="35">
        <v>-2.1</v>
      </c>
      <c r="AA12" s="35">
        <v>-3.1</v>
      </c>
      <c r="AB12" s="35">
        <v>-4.0999999999999996</v>
      </c>
      <c r="AC12" s="35">
        <v>-4.4000000000000004</v>
      </c>
      <c r="AD12" s="35">
        <v>-2.2999999999999998</v>
      </c>
      <c r="AE12" s="35">
        <v>-15</v>
      </c>
      <c r="AF12" s="35">
        <v>-29</v>
      </c>
    </row>
    <row r="13" spans="1:33" x14ac:dyDescent="0.25">
      <c r="A13" s="10">
        <v>22</v>
      </c>
      <c r="B13" s="31">
        <v>-16.600000000000001</v>
      </c>
      <c r="C13" s="31">
        <v>-16</v>
      </c>
      <c r="D13" s="31">
        <v>-28.3</v>
      </c>
      <c r="E13" s="31">
        <v>-33.1</v>
      </c>
      <c r="F13" s="31">
        <v>-35.9</v>
      </c>
      <c r="G13" s="32">
        <v>-34.1</v>
      </c>
      <c r="H13" s="34">
        <v>-34</v>
      </c>
      <c r="I13" s="35">
        <v>-25.9</v>
      </c>
      <c r="J13" s="35">
        <v>-39.4</v>
      </c>
      <c r="K13" s="35">
        <v>-40.1</v>
      </c>
      <c r="L13" s="35">
        <v>-35.9</v>
      </c>
      <c r="M13" s="35">
        <v>-26</v>
      </c>
      <c r="N13" s="35">
        <v>-20.3</v>
      </c>
      <c r="O13" s="35">
        <v>-19.399999999999999</v>
      </c>
      <c r="P13" s="35">
        <v>-23.9</v>
      </c>
      <c r="Q13" s="35">
        <v>-29.8</v>
      </c>
      <c r="R13" s="35">
        <v>-17.8</v>
      </c>
      <c r="S13" s="35">
        <v>-14.8</v>
      </c>
      <c r="T13" s="35">
        <v>-12.9</v>
      </c>
      <c r="U13" s="35">
        <v>-8.6</v>
      </c>
      <c r="V13" s="35">
        <v>-1.7</v>
      </c>
      <c r="W13" s="35">
        <v>0.8</v>
      </c>
      <c r="X13" s="35">
        <v>0.1</v>
      </c>
      <c r="Y13" s="35">
        <v>-0.5</v>
      </c>
      <c r="Z13" s="35">
        <v>-2.9</v>
      </c>
      <c r="AA13" s="35">
        <v>-3</v>
      </c>
      <c r="AB13" s="35">
        <v>-4.3</v>
      </c>
      <c r="AC13" s="35">
        <v>-4</v>
      </c>
      <c r="AD13" s="35">
        <v>-2</v>
      </c>
      <c r="AE13" s="35">
        <v>-16.600000000000001</v>
      </c>
      <c r="AF13" s="35">
        <v>-29.5</v>
      </c>
    </row>
    <row r="14" spans="1:33" x14ac:dyDescent="0.25">
      <c r="A14" s="10">
        <v>24</v>
      </c>
      <c r="B14" s="31">
        <v>-17.8</v>
      </c>
      <c r="C14" s="31">
        <v>-16</v>
      </c>
      <c r="D14" s="31">
        <v>-29.4</v>
      </c>
      <c r="E14" s="31">
        <v>-33.6</v>
      </c>
      <c r="F14" s="31">
        <v>-36.4</v>
      </c>
      <c r="G14" s="32">
        <v>-34</v>
      </c>
      <c r="H14" s="34">
        <v>-33</v>
      </c>
      <c r="I14" s="35">
        <v>-27.2</v>
      </c>
      <c r="J14" s="35">
        <v>-39.1</v>
      </c>
      <c r="K14" s="35">
        <v>-39.9</v>
      </c>
      <c r="L14" s="35">
        <v>-36.1</v>
      </c>
      <c r="M14" s="35">
        <v>-25</v>
      </c>
      <c r="N14" s="35">
        <v>-20.37</v>
      </c>
      <c r="O14" s="35">
        <v>-21.4</v>
      </c>
      <c r="P14" s="35">
        <v>-25.1</v>
      </c>
      <c r="Q14" s="35">
        <v>-28.7</v>
      </c>
      <c r="R14" s="35">
        <v>-17.8</v>
      </c>
      <c r="S14" s="35">
        <v>-14.2</v>
      </c>
      <c r="T14" s="35">
        <v>-12.7</v>
      </c>
      <c r="U14" s="35">
        <v>-8.4</v>
      </c>
      <c r="V14" s="35">
        <v>-1.2</v>
      </c>
      <c r="W14" s="35">
        <v>0.5</v>
      </c>
      <c r="X14" s="35">
        <v>0.1</v>
      </c>
      <c r="Y14" s="35">
        <v>-0.2</v>
      </c>
      <c r="Z14" s="35">
        <v>-3.4</v>
      </c>
      <c r="AA14" s="35">
        <v>-3.2</v>
      </c>
      <c r="AB14" s="35">
        <v>-4.2</v>
      </c>
      <c r="AC14" s="35">
        <v>-4.4000000000000004</v>
      </c>
      <c r="AD14" s="35">
        <v>-2</v>
      </c>
      <c r="AE14" s="35">
        <v>-17.5</v>
      </c>
      <c r="AF14" s="35">
        <v>-30.4</v>
      </c>
    </row>
    <row r="15" spans="1:33" x14ac:dyDescent="0.25">
      <c r="A15" s="10">
        <v>2</v>
      </c>
      <c r="B15" s="31">
        <v>-18.899999999999999</v>
      </c>
      <c r="C15" s="31">
        <v>-16.579999999999998</v>
      </c>
      <c r="D15" s="31">
        <v>-29.3</v>
      </c>
      <c r="E15" s="31">
        <v>-32.4</v>
      </c>
      <c r="F15" s="31">
        <v>-36.9</v>
      </c>
      <c r="G15" s="32">
        <v>-35.200000000000003</v>
      </c>
      <c r="H15" s="34">
        <v>-32.4</v>
      </c>
      <c r="I15" s="35">
        <v>-28.2</v>
      </c>
      <c r="J15" s="35">
        <v>-40</v>
      </c>
      <c r="K15" s="35">
        <v>-39.5</v>
      </c>
      <c r="L15" s="35">
        <v>-35.5</v>
      </c>
      <c r="M15" s="35">
        <v>-24.08</v>
      </c>
      <c r="N15" s="35">
        <v>-20.3</v>
      </c>
      <c r="O15" s="35">
        <v>-22.1</v>
      </c>
      <c r="P15" s="35">
        <v>-26.5</v>
      </c>
      <c r="Q15" s="35">
        <v>-27.3</v>
      </c>
      <c r="R15" s="35">
        <v>-17.100000000000001</v>
      </c>
      <c r="S15" s="35">
        <v>-14.1</v>
      </c>
      <c r="T15" s="35">
        <v>-12.5</v>
      </c>
      <c r="U15" s="35">
        <v>-7</v>
      </c>
      <c r="V15" s="35">
        <v>-1</v>
      </c>
      <c r="W15" s="35">
        <v>0.3</v>
      </c>
      <c r="X15" s="35">
        <v>-0.02</v>
      </c>
      <c r="Y15" s="35">
        <v>-0.3</v>
      </c>
      <c r="Z15" s="35">
        <v>-3.4</v>
      </c>
      <c r="AA15" s="35">
        <v>-3.2</v>
      </c>
      <c r="AB15" s="35">
        <v>-4.0999999999999996</v>
      </c>
      <c r="AC15" s="35">
        <v>-4.5</v>
      </c>
      <c r="AD15" s="35">
        <v>-2</v>
      </c>
      <c r="AE15" s="35">
        <v>-17.100000000000001</v>
      </c>
      <c r="AF15" s="35">
        <v>-31.2</v>
      </c>
    </row>
    <row r="16" spans="1:33" ht="30" x14ac:dyDescent="0.25">
      <c r="A16" s="11" t="s">
        <v>2</v>
      </c>
      <c r="B16" s="15">
        <f>(B4+B5+B6+B7+B8+B9+B10+B11+B12+B13+B14+B15)/12</f>
        <v>-16.775000000000002</v>
      </c>
      <c r="C16" s="15">
        <f t="shared" ref="C16:O16" si="0">(C4+C5+C6+C7+C8+C9+C10+C11+C12+C13+C14+C15)/12</f>
        <v>-16.215</v>
      </c>
      <c r="D16" s="15">
        <f t="shared" si="0"/>
        <v>-25.208333333333332</v>
      </c>
      <c r="E16" s="15">
        <f t="shared" si="0"/>
        <v>-30.55</v>
      </c>
      <c r="F16" s="15">
        <f t="shared" si="0"/>
        <v>-35.141666666666659</v>
      </c>
      <c r="G16" s="15">
        <f t="shared" si="0"/>
        <v>-36.233333333333341</v>
      </c>
      <c r="H16" s="15">
        <f t="shared" si="0"/>
        <v>-34.97</v>
      </c>
      <c r="I16" s="15">
        <f t="shared" si="0"/>
        <v>-25.508333333333336</v>
      </c>
      <c r="J16" s="15">
        <f t="shared" si="0"/>
        <v>-36.903333333333329</v>
      </c>
      <c r="K16" s="15">
        <f t="shared" si="0"/>
        <v>-39.523333333333333</v>
      </c>
      <c r="L16" s="15">
        <f t="shared" si="0"/>
        <v>-38.19166666666667</v>
      </c>
      <c r="M16" s="15">
        <f t="shared" si="0"/>
        <v>-30.866666666666664</v>
      </c>
      <c r="N16" s="15">
        <f t="shared" si="0"/>
        <v>-21.097500000000004</v>
      </c>
      <c r="O16" s="15">
        <f t="shared" si="0"/>
        <v>-17.25</v>
      </c>
      <c r="P16" s="15">
        <f>(P4+P5+P6+P7+P8+P9+P10+P11+P12+P13+P14+P15)/12</f>
        <v>-21.933333333333334</v>
      </c>
      <c r="Q16" s="15">
        <f>(Q4+Q5+Q6+Q7+Q8+Q9+Q10+Q11+Q12+Q13+Q14+Q15)/12</f>
        <v>-29.283333333333335</v>
      </c>
      <c r="R16" s="15">
        <f>(R4+R5+R6+R7+R8+R9+R10+R11+R12+R13+R14+R15)/12</f>
        <v>-20.333333333333336</v>
      </c>
      <c r="S16" s="15">
        <f t="shared" ref="S16:AF16" si="1">(S4+S5+S6+S7+S8+S9+S10+S11+S12+S13+S14+S15)/12</f>
        <v>-14.25</v>
      </c>
      <c r="T16" s="15">
        <f t="shared" si="1"/>
        <v>-13.441666666666665</v>
      </c>
      <c r="U16" s="15">
        <f t="shared" si="1"/>
        <v>-10.187499999999998</v>
      </c>
      <c r="V16" s="15">
        <f t="shared" si="1"/>
        <v>-4.248333333333334</v>
      </c>
      <c r="W16" s="15">
        <f t="shared" si="1"/>
        <v>-0.44166666666666665</v>
      </c>
      <c r="X16" s="15">
        <f t="shared" si="1"/>
        <v>0.28333333333333338</v>
      </c>
      <c r="Y16" s="15">
        <f t="shared" si="1"/>
        <v>-0.41666666666666669</v>
      </c>
      <c r="Z16" s="15">
        <f t="shared" si="1"/>
        <v>-1.55</v>
      </c>
      <c r="AA16" s="15">
        <f t="shared" si="1"/>
        <v>-3.2416666666666671</v>
      </c>
      <c r="AB16" s="15">
        <f t="shared" si="1"/>
        <v>-3.6083333333333338</v>
      </c>
      <c r="AC16" s="15">
        <f t="shared" si="1"/>
        <v>-4.1833333333333327</v>
      </c>
      <c r="AD16" s="15">
        <f t="shared" si="1"/>
        <v>-3.4666666666666663</v>
      </c>
      <c r="AE16" s="15">
        <f t="shared" si="1"/>
        <v>-11.049999999999999</v>
      </c>
      <c r="AF16" s="15">
        <f t="shared" si="1"/>
        <v>-24.716666666666665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67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1">
        <v>-10.1</v>
      </c>
      <c r="C24" s="31">
        <v>-16</v>
      </c>
      <c r="D24" s="31">
        <v>-16.2</v>
      </c>
      <c r="E24" s="31">
        <v>-29.1</v>
      </c>
      <c r="F24" s="31">
        <v>-34.6</v>
      </c>
      <c r="G24" s="33">
        <v>-38.4</v>
      </c>
      <c r="H24" s="35">
        <v>-37.299999999999997</v>
      </c>
      <c r="I24" s="35">
        <v>-31.4</v>
      </c>
      <c r="J24" s="35">
        <v>-33.4</v>
      </c>
      <c r="K24" s="35">
        <v>-40.799999999999997</v>
      </c>
      <c r="L24" s="35">
        <v>-41.5</v>
      </c>
      <c r="M24" s="35">
        <v>-35.5</v>
      </c>
      <c r="N24" s="35">
        <v>-23.6</v>
      </c>
      <c r="O24" s="35">
        <v>-20.9</v>
      </c>
      <c r="P24" s="35">
        <v>-21.1</v>
      </c>
      <c r="Q24" s="35">
        <v>-28.1</v>
      </c>
      <c r="R24" s="35">
        <v>-25.9</v>
      </c>
      <c r="S24" s="35">
        <v>-15.8</v>
      </c>
      <c r="T24" s="35">
        <v>-15</v>
      </c>
      <c r="U24" s="35">
        <v>-12.1</v>
      </c>
      <c r="V24" s="35">
        <v>-6.8</v>
      </c>
      <c r="W24" s="35">
        <v>-1.1000000000000001</v>
      </c>
      <c r="X24" s="35">
        <v>0.4</v>
      </c>
      <c r="Y24" s="35">
        <v>-0.3</v>
      </c>
      <c r="Z24" s="35">
        <v>-0.6</v>
      </c>
      <c r="AA24" s="35">
        <v>-3.4</v>
      </c>
      <c r="AB24" s="35">
        <v>-3.1</v>
      </c>
      <c r="AC24" s="35">
        <v>-3.5</v>
      </c>
      <c r="AD24" s="35">
        <v>-4.8</v>
      </c>
      <c r="AE24" s="35">
        <v>-1.4</v>
      </c>
      <c r="AF24" s="35">
        <v>-19.5</v>
      </c>
    </row>
    <row r="25" spans="1:32" x14ac:dyDescent="0.25">
      <c r="A25" s="10">
        <v>6</v>
      </c>
      <c r="B25" s="31">
        <v>-14.4</v>
      </c>
      <c r="C25" s="31">
        <v>-16.3</v>
      </c>
      <c r="D25" s="31">
        <v>-21.5</v>
      </c>
      <c r="E25" s="31">
        <v>-29.5</v>
      </c>
      <c r="F25" s="31">
        <v>-34.6</v>
      </c>
      <c r="G25" s="33">
        <v>-38.5</v>
      </c>
      <c r="H25" s="35">
        <v>-37.9</v>
      </c>
      <c r="I25" s="35">
        <v>-29.4</v>
      </c>
      <c r="J25" s="35">
        <v>-35.1</v>
      </c>
      <c r="K25" s="35">
        <v>-40.700000000000003</v>
      </c>
      <c r="L25" s="35">
        <v>-41.2</v>
      </c>
      <c r="M25" s="35">
        <v>-35.5</v>
      </c>
      <c r="N25" s="35">
        <v>-23</v>
      </c>
      <c r="O25" s="35">
        <v>-20.2</v>
      </c>
      <c r="P25" s="35">
        <v>-21.2</v>
      </c>
      <c r="Q25" s="35">
        <v>-30.3</v>
      </c>
      <c r="R25" s="35">
        <v>-23.8</v>
      </c>
      <c r="S25" s="35">
        <v>-15.9</v>
      </c>
      <c r="T25" s="35">
        <v>-14.8</v>
      </c>
      <c r="U25" s="35">
        <v>-12.6</v>
      </c>
      <c r="V25" s="35">
        <v>-6.6</v>
      </c>
      <c r="W25" s="35">
        <v>-1.7</v>
      </c>
      <c r="X25" s="35">
        <v>0.4</v>
      </c>
      <c r="Y25" s="35">
        <v>-0.7</v>
      </c>
      <c r="Z25" s="35">
        <v>-0.3</v>
      </c>
      <c r="AA25" s="35">
        <v>-3.6</v>
      </c>
      <c r="AB25" s="35">
        <v>-3.3</v>
      </c>
      <c r="AC25" s="35">
        <v>-3.8</v>
      </c>
      <c r="AD25" s="35">
        <v>-4.5999999999999996</v>
      </c>
      <c r="AE25" s="35">
        <v>-1.5</v>
      </c>
      <c r="AF25" s="35">
        <v>-21.5</v>
      </c>
    </row>
    <row r="26" spans="1:32" x14ac:dyDescent="0.25">
      <c r="A26" s="10">
        <v>8</v>
      </c>
      <c r="B26" s="31">
        <v>-16.7</v>
      </c>
      <c r="C26" s="31">
        <v>-16</v>
      </c>
      <c r="D26" s="31">
        <v>-25</v>
      </c>
      <c r="E26" s="31">
        <v>-29</v>
      </c>
      <c r="F26" s="31">
        <v>-34.299999999999997</v>
      </c>
      <c r="G26" s="33">
        <v>-38.6</v>
      </c>
      <c r="H26" s="35">
        <v>-37.700000000000003</v>
      </c>
      <c r="I26" s="35">
        <v>-27</v>
      </c>
      <c r="J26" s="35">
        <v>-36.200000000000003</v>
      </c>
      <c r="K26" s="35">
        <v>-40.5</v>
      </c>
      <c r="L26" s="35">
        <v>-41.8</v>
      </c>
      <c r="M26" s="35">
        <v>-34.9</v>
      </c>
      <c r="N26" s="35">
        <v>-22.8</v>
      </c>
      <c r="O26" s="35">
        <v>-19.2</v>
      </c>
      <c r="P26" s="35">
        <v>-21</v>
      </c>
      <c r="Q26" s="35">
        <v>-30.7</v>
      </c>
      <c r="R26" s="35">
        <v>-23.1</v>
      </c>
      <c r="S26" s="35">
        <v>-14.8</v>
      </c>
      <c r="T26" s="35">
        <v>-14.4</v>
      </c>
      <c r="U26" s="35">
        <v>-12.7</v>
      </c>
      <c r="V26" s="35">
        <v>-6.8</v>
      </c>
      <c r="W26" s="35">
        <v>-1.7</v>
      </c>
      <c r="X26" s="35">
        <v>0.5</v>
      </c>
      <c r="Y26" s="35">
        <v>-0.6</v>
      </c>
      <c r="Z26" s="35">
        <v>-0.4</v>
      </c>
      <c r="AA26" s="35">
        <v>-3.6</v>
      </c>
      <c r="AB26" s="35">
        <v>-3</v>
      </c>
      <c r="AC26" s="35">
        <v>-4.5</v>
      </c>
      <c r="AD26" s="35">
        <v>-4.7</v>
      </c>
      <c r="AE26" s="35">
        <v>-1.6</v>
      </c>
      <c r="AF26" s="35">
        <v>-21.8</v>
      </c>
    </row>
    <row r="27" spans="1:32" x14ac:dyDescent="0.25">
      <c r="A27" s="10">
        <v>10</v>
      </c>
      <c r="B27" s="31">
        <v>-11</v>
      </c>
      <c r="C27" s="31">
        <v>-15.7</v>
      </c>
      <c r="D27" s="31">
        <v>-27.5</v>
      </c>
      <c r="E27" s="31">
        <v>-29.3</v>
      </c>
      <c r="F27" s="31">
        <v>-35.299999999999997</v>
      </c>
      <c r="G27" s="33">
        <v>-38.1</v>
      </c>
      <c r="H27" s="35">
        <v>-37.299999999999997</v>
      </c>
      <c r="I27" s="35">
        <v>-25.5</v>
      </c>
      <c r="J27" s="35">
        <v>-36.5</v>
      </c>
      <c r="K27" s="35">
        <v>-40.5</v>
      </c>
      <c r="L27" s="35">
        <v>-41.1</v>
      </c>
      <c r="M27" s="35">
        <v>-34</v>
      </c>
      <c r="N27" s="35">
        <v>-22.2</v>
      </c>
      <c r="O27" s="35">
        <v>-17.100000000000001</v>
      </c>
      <c r="P27" s="35">
        <v>-20.5</v>
      </c>
      <c r="Q27" s="35">
        <v>-31.4</v>
      </c>
      <c r="R27" s="35">
        <v>-22</v>
      </c>
      <c r="S27" s="35">
        <v>-14.5</v>
      </c>
      <c r="T27" s="35">
        <v>-13.6</v>
      </c>
      <c r="U27" s="35">
        <v>-12</v>
      </c>
      <c r="V27" s="35">
        <v>-6.5</v>
      </c>
      <c r="W27" s="35">
        <v>-1.5</v>
      </c>
      <c r="X27" s="35">
        <v>0.5</v>
      </c>
      <c r="Y27" s="35">
        <v>-0.4</v>
      </c>
      <c r="Z27" s="35">
        <v>-0.6</v>
      </c>
      <c r="AA27" s="35">
        <v>-3.6</v>
      </c>
      <c r="AB27" s="35">
        <v>-2</v>
      </c>
      <c r="AC27" s="35">
        <v>-4.9000000000000004</v>
      </c>
      <c r="AD27" s="35">
        <v>-4.8</v>
      </c>
      <c r="AE27" s="35">
        <v>-8.3000000000000007</v>
      </c>
      <c r="AF27" s="35">
        <v>-22</v>
      </c>
    </row>
    <row r="28" spans="1:32" x14ac:dyDescent="0.25">
      <c r="A28" s="10">
        <v>12</v>
      </c>
      <c r="B28" s="31">
        <v>-14.4</v>
      </c>
      <c r="C28" s="31">
        <v>-14.3</v>
      </c>
      <c r="D28" s="31">
        <v>-26.4</v>
      </c>
      <c r="E28" s="31">
        <v>-27.9</v>
      </c>
      <c r="F28" s="31">
        <v>-35.299999999999997</v>
      </c>
      <c r="G28" s="33">
        <v>-36.299999999999997</v>
      </c>
      <c r="H28" s="35">
        <v>-35</v>
      </c>
      <c r="I28" s="35">
        <v>-24</v>
      </c>
      <c r="J28" s="35">
        <v>-35.4</v>
      </c>
      <c r="K28" s="35">
        <v>-38.799999999999997</v>
      </c>
      <c r="L28" s="35">
        <v>-38.4</v>
      </c>
      <c r="M28" s="35">
        <v>-33.200000000000003</v>
      </c>
      <c r="N28" s="35">
        <v>-21.7</v>
      </c>
      <c r="O28" s="35">
        <v>-14.6</v>
      </c>
      <c r="P28" s="35">
        <v>-20.5</v>
      </c>
      <c r="Q28" s="35">
        <v>-28.7</v>
      </c>
      <c r="R28" s="35">
        <v>-21.3</v>
      </c>
      <c r="S28" s="35">
        <v>-13.7</v>
      </c>
      <c r="T28" s="35">
        <v>-13.1</v>
      </c>
      <c r="U28" s="35">
        <v>-10.6</v>
      </c>
      <c r="V28" s="35">
        <v>-6</v>
      </c>
      <c r="W28" s="35">
        <v>-1</v>
      </c>
      <c r="X28" s="35">
        <v>0.6</v>
      </c>
      <c r="Y28" s="35">
        <v>-0.3</v>
      </c>
      <c r="Z28" s="35">
        <v>-0.7</v>
      </c>
      <c r="AA28" s="35">
        <v>-3.5</v>
      </c>
      <c r="AB28" s="35">
        <v>-3.1</v>
      </c>
      <c r="AC28" s="35">
        <v>-4.8</v>
      </c>
      <c r="AD28" s="35">
        <v>-4</v>
      </c>
      <c r="AE28" s="35">
        <v>-10.4</v>
      </c>
      <c r="AF28" s="35">
        <v>-22.8</v>
      </c>
    </row>
    <row r="29" spans="1:32" x14ac:dyDescent="0.25">
      <c r="A29" s="10">
        <v>14</v>
      </c>
      <c r="B29" s="31">
        <v>-16.8</v>
      </c>
      <c r="C29" s="31">
        <v>-14.3</v>
      </c>
      <c r="D29" s="31">
        <v>-27.5</v>
      </c>
      <c r="E29" s="31">
        <v>-28.8</v>
      </c>
      <c r="F29" s="31">
        <v>-35.5</v>
      </c>
      <c r="G29" s="33">
        <v>-36.700000000000003</v>
      </c>
      <c r="H29" s="35">
        <v>-33.799999999999997</v>
      </c>
      <c r="I29" s="35">
        <v>-22.1</v>
      </c>
      <c r="J29" s="35">
        <v>-36.700000000000003</v>
      </c>
      <c r="K29" s="35">
        <v>-38.9</v>
      </c>
      <c r="L29" s="35">
        <v>-36.799999999999997</v>
      </c>
      <c r="M29" s="35">
        <v>-32.5</v>
      </c>
      <c r="N29" s="35">
        <v>-21.3</v>
      </c>
      <c r="O29" s="35">
        <v>-14.1</v>
      </c>
      <c r="P29" s="35">
        <v>-20.9</v>
      </c>
      <c r="Q29" s="35">
        <v>-29.4</v>
      </c>
      <c r="R29" s="35">
        <v>-21.4</v>
      </c>
      <c r="S29" s="35">
        <v>-13.6</v>
      </c>
      <c r="T29" s="35">
        <v>-13.2</v>
      </c>
      <c r="U29" s="35">
        <v>-10.9</v>
      </c>
      <c r="V29" s="35">
        <v>-5.3</v>
      </c>
      <c r="W29" s="35">
        <v>-0.6</v>
      </c>
      <c r="X29" s="35">
        <v>0.6</v>
      </c>
      <c r="Y29" s="35">
        <v>-0.3</v>
      </c>
      <c r="Z29" s="35">
        <v>-0.6</v>
      </c>
      <c r="AA29" s="35">
        <v>-3.2</v>
      </c>
      <c r="AB29" s="35">
        <v>-4</v>
      </c>
      <c r="AC29" s="35">
        <v>-4.8</v>
      </c>
      <c r="AD29" s="35">
        <v>-3.9</v>
      </c>
      <c r="AE29" s="35">
        <v>-10.8</v>
      </c>
      <c r="AF29" s="35">
        <v>-23.2</v>
      </c>
    </row>
    <row r="30" spans="1:32" x14ac:dyDescent="0.25">
      <c r="A30" s="10">
        <v>16</v>
      </c>
      <c r="B30" s="31">
        <v>-16.7</v>
      </c>
      <c r="C30" s="31">
        <v>-15.7</v>
      </c>
      <c r="D30" s="31">
        <v>-28.7</v>
      </c>
      <c r="E30" s="31">
        <v>-30.1</v>
      </c>
      <c r="F30" s="31">
        <v>-35.9</v>
      </c>
      <c r="G30" s="33">
        <v>-36.5</v>
      </c>
      <c r="H30" s="35">
        <v>-33.5</v>
      </c>
      <c r="I30" s="35">
        <v>-22.2</v>
      </c>
      <c r="J30" s="35">
        <v>-37.799999999999997</v>
      </c>
      <c r="K30" s="35">
        <v>-39.700000000000003</v>
      </c>
      <c r="L30" s="35">
        <v>-37.4</v>
      </c>
      <c r="M30" s="35">
        <v>-31.4</v>
      </c>
      <c r="N30" s="35">
        <v>-20.8</v>
      </c>
      <c r="O30" s="35">
        <v>-14.1</v>
      </c>
      <c r="P30" s="35">
        <v>-21.2</v>
      </c>
      <c r="Q30" s="35">
        <v>-31.3</v>
      </c>
      <c r="R30" s="35">
        <v>-20.6</v>
      </c>
      <c r="S30" s="35">
        <v>-13.3</v>
      </c>
      <c r="T30" s="35">
        <v>-13.3</v>
      </c>
      <c r="U30" s="35">
        <v>-10.8</v>
      </c>
      <c r="V30" s="35">
        <v>-4.4000000000000004</v>
      </c>
      <c r="W30" s="35">
        <v>-0.1</v>
      </c>
      <c r="X30" s="35">
        <v>0.4</v>
      </c>
      <c r="Y30" s="35">
        <v>-0.7</v>
      </c>
      <c r="Z30" s="35">
        <v>-0.6</v>
      </c>
      <c r="AA30" s="35">
        <v>-3.4</v>
      </c>
      <c r="AB30" s="35">
        <v>-3.7</v>
      </c>
      <c r="AC30" s="35">
        <v>-5.2</v>
      </c>
      <c r="AD30" s="35">
        <v>-3.5</v>
      </c>
      <c r="AE30" s="35">
        <v>-11.4</v>
      </c>
      <c r="AF30" s="35">
        <v>-23.9</v>
      </c>
    </row>
    <row r="31" spans="1:32" x14ac:dyDescent="0.25">
      <c r="A31" s="10">
        <v>18</v>
      </c>
      <c r="B31" s="31">
        <v>-18</v>
      </c>
      <c r="C31" s="31">
        <v>-15.6</v>
      </c>
      <c r="D31" s="31">
        <v>-29.5</v>
      </c>
      <c r="E31" s="31">
        <v>-31.4</v>
      </c>
      <c r="F31" s="31">
        <v>-35.9</v>
      </c>
      <c r="G31" s="33">
        <v>-35.299999999999997</v>
      </c>
      <c r="H31" s="35">
        <v>-33.799999999999997</v>
      </c>
      <c r="I31" s="35">
        <v>-25.5</v>
      </c>
      <c r="J31" s="35">
        <v>-38.700000000000003</v>
      </c>
      <c r="K31" s="35">
        <v>-39.9</v>
      </c>
      <c r="L31" s="35">
        <v>-36.5</v>
      </c>
      <c r="M31" s="35">
        <v>-30.4</v>
      </c>
      <c r="N31" s="35">
        <v>-20</v>
      </c>
      <c r="O31" s="35">
        <v>-15.4</v>
      </c>
      <c r="P31" s="35">
        <v>-21.8</v>
      </c>
      <c r="Q31" s="35">
        <v>-31.2</v>
      </c>
      <c r="R31" s="35">
        <v>-19.899999999999999</v>
      </c>
      <c r="S31" s="35">
        <v>-13.3</v>
      </c>
      <c r="T31" s="35">
        <v>-13.2</v>
      </c>
      <c r="U31" s="35">
        <v>-9.8000000000000007</v>
      </c>
      <c r="V31" s="35">
        <v>-3.7</v>
      </c>
      <c r="W31" s="35">
        <v>0.2</v>
      </c>
      <c r="X31" s="35">
        <v>0.2</v>
      </c>
      <c r="Y31" s="35">
        <v>-1.2</v>
      </c>
      <c r="Z31" s="35">
        <v>-1.2</v>
      </c>
      <c r="AA31" s="35">
        <v>-3.6</v>
      </c>
      <c r="AB31" s="35">
        <v>-3.6</v>
      </c>
      <c r="AC31" s="35">
        <v>-5.0999999999999996</v>
      </c>
      <c r="AD31" s="35">
        <v>-3</v>
      </c>
      <c r="AE31" s="35">
        <v>-12.9</v>
      </c>
      <c r="AF31" s="35">
        <v>-25.5</v>
      </c>
    </row>
    <row r="32" spans="1:32" x14ac:dyDescent="0.25">
      <c r="A32" s="10">
        <v>20</v>
      </c>
      <c r="B32" s="31">
        <v>-17.5</v>
      </c>
      <c r="C32" s="31">
        <v>-15.3</v>
      </c>
      <c r="D32" s="31">
        <v>-30.7</v>
      </c>
      <c r="E32" s="31">
        <v>-32.9</v>
      </c>
      <c r="F32" s="31">
        <v>-36.299999999999997</v>
      </c>
      <c r="G32" s="33">
        <v>-33.700000000000003</v>
      </c>
      <c r="H32" s="35">
        <v>-33.799999999999997</v>
      </c>
      <c r="I32" s="35">
        <v>-25.9</v>
      </c>
      <c r="J32" s="35">
        <v>-39.200000000000003</v>
      </c>
      <c r="K32" s="35">
        <v>-39.799999999999997</v>
      </c>
      <c r="L32" s="35">
        <v>-36.6</v>
      </c>
      <c r="M32" s="35">
        <v>-28.3</v>
      </c>
      <c r="N32" s="35">
        <v>-20.6</v>
      </c>
      <c r="O32" s="35">
        <v>-16.600000000000001</v>
      </c>
      <c r="P32" s="35">
        <v>-24</v>
      </c>
      <c r="Q32" s="35">
        <v>-30.6</v>
      </c>
      <c r="R32" s="35">
        <v>-20.2</v>
      </c>
      <c r="S32" s="35">
        <v>-13.6</v>
      </c>
      <c r="T32" s="35">
        <v>-13.2</v>
      </c>
      <c r="U32" s="35">
        <v>-9.3000000000000007</v>
      </c>
      <c r="V32" s="35">
        <v>-2.8</v>
      </c>
      <c r="W32" s="35">
        <v>0.4</v>
      </c>
      <c r="X32" s="35">
        <v>0.2</v>
      </c>
      <c r="Y32" s="35">
        <v>-1</v>
      </c>
      <c r="Z32" s="35">
        <v>-1.6</v>
      </c>
      <c r="AA32" s="35">
        <v>-4</v>
      </c>
      <c r="AB32" s="35">
        <v>-4.0999999999999996</v>
      </c>
      <c r="AC32" s="35">
        <v>-4.9000000000000004</v>
      </c>
      <c r="AD32" s="35">
        <v>-2.5</v>
      </c>
      <c r="AE32" s="35">
        <v>-16</v>
      </c>
      <c r="AF32" s="35">
        <v>-27</v>
      </c>
    </row>
    <row r="33" spans="1:32" x14ac:dyDescent="0.25">
      <c r="A33" s="10">
        <v>22</v>
      </c>
      <c r="B33" s="31">
        <v>-16.2</v>
      </c>
      <c r="C33" s="31">
        <v>-15.6</v>
      </c>
      <c r="D33" s="31">
        <v>-30.6</v>
      </c>
      <c r="E33" s="31">
        <v>-33.5</v>
      </c>
      <c r="F33" s="31">
        <v>-37.1</v>
      </c>
      <c r="G33" s="33">
        <v>-33.9</v>
      </c>
      <c r="H33" s="35">
        <v>-34</v>
      </c>
      <c r="I33" s="35">
        <v>-27.7</v>
      </c>
      <c r="J33" s="35">
        <v>-39.9</v>
      </c>
      <c r="K33" s="35">
        <v>-40.1</v>
      </c>
      <c r="L33" s="35">
        <v>-34.9</v>
      </c>
      <c r="M33" s="35">
        <v>-26.7</v>
      </c>
      <c r="N33" s="35">
        <v>-21.5</v>
      </c>
      <c r="O33" s="35">
        <v>-18.600000000000001</v>
      </c>
      <c r="P33" s="35">
        <v>-25</v>
      </c>
      <c r="Q33" s="35">
        <v>-30.2</v>
      </c>
      <c r="R33" s="35">
        <v>-19.7</v>
      </c>
      <c r="S33" s="35">
        <v>-14.2</v>
      </c>
      <c r="T33" s="35">
        <v>-13.2</v>
      </c>
      <c r="U33" s="35">
        <v>-8.6999999999999993</v>
      </c>
      <c r="V33" s="35">
        <v>-1.9</v>
      </c>
      <c r="W33" s="35">
        <v>0.6</v>
      </c>
      <c r="X33" s="35">
        <v>0.1</v>
      </c>
      <c r="Y33" s="35">
        <v>-0.7</v>
      </c>
      <c r="Z33" s="35">
        <v>-2.7</v>
      </c>
      <c r="AA33" s="35">
        <v>-3.7</v>
      </c>
      <c r="AB33" s="35">
        <v>-4.3</v>
      </c>
      <c r="AC33" s="35">
        <v>-4.4000000000000004</v>
      </c>
      <c r="AD33" s="35">
        <v>-2.5</v>
      </c>
      <c r="AE33" s="35">
        <v>-16.399999999999999</v>
      </c>
      <c r="AF33" s="35">
        <v>-28.8</v>
      </c>
    </row>
    <row r="34" spans="1:32" x14ac:dyDescent="0.25">
      <c r="A34" s="10">
        <v>24</v>
      </c>
      <c r="B34" s="31">
        <v>-17.2</v>
      </c>
      <c r="C34" s="31">
        <v>-16.2</v>
      </c>
      <c r="D34" s="31">
        <v>-30.1</v>
      </c>
      <c r="E34" s="31">
        <v>-34.200000000000003</v>
      </c>
      <c r="F34" s="31">
        <v>-37.9</v>
      </c>
      <c r="G34" s="33">
        <v>-35</v>
      </c>
      <c r="H34" s="35">
        <v>-34</v>
      </c>
      <c r="I34" s="35">
        <v>-29.5</v>
      </c>
      <c r="J34" s="35">
        <v>-40.200000000000003</v>
      </c>
      <c r="K34" s="35">
        <v>-40.6</v>
      </c>
      <c r="L34" s="35">
        <v>-32.4</v>
      </c>
      <c r="M34" s="35">
        <v>-25.3</v>
      </c>
      <c r="N34" s="35">
        <v>-21.3</v>
      </c>
      <c r="O34" s="35">
        <v>-19.8</v>
      </c>
      <c r="P34" s="35">
        <v>-26.5</v>
      </c>
      <c r="Q34" s="35">
        <v>-28.4</v>
      </c>
      <c r="R34" s="35">
        <v>-18.3</v>
      </c>
      <c r="S34" s="35">
        <v>-14.4</v>
      </c>
      <c r="T34" s="35">
        <v>-12.9</v>
      </c>
      <c r="U34" s="35">
        <v>-8.8000000000000007</v>
      </c>
      <c r="V34" s="35">
        <v>-1.2</v>
      </c>
      <c r="W34" s="35">
        <v>0.7</v>
      </c>
      <c r="X34" s="35">
        <v>0</v>
      </c>
      <c r="Y34" s="35">
        <v>-0.7</v>
      </c>
      <c r="Z34" s="35">
        <v>-3.3</v>
      </c>
      <c r="AA34" s="35">
        <v>-3.7</v>
      </c>
      <c r="AB34" s="35">
        <v>-4.7</v>
      </c>
      <c r="AC34" s="35">
        <v>-4.5</v>
      </c>
      <c r="AD34" s="35">
        <v>-2</v>
      </c>
      <c r="AE34" s="35">
        <v>-16.8</v>
      </c>
      <c r="AF34" s="35">
        <v>-30.2</v>
      </c>
    </row>
    <row r="35" spans="1:32" x14ac:dyDescent="0.25">
      <c r="A35" s="10">
        <v>2</v>
      </c>
      <c r="B35" s="31">
        <v>-16.899999999999999</v>
      </c>
      <c r="C35" s="31">
        <v>-16.7</v>
      </c>
      <c r="D35" s="31">
        <v>-28.5</v>
      </c>
      <c r="E35" s="31">
        <v>-34.4</v>
      </c>
      <c r="F35" s="31">
        <v>-38.4</v>
      </c>
      <c r="G35" s="33">
        <v>-36.200000000000003</v>
      </c>
      <c r="H35" s="35">
        <v>-33.6</v>
      </c>
      <c r="I35" s="35">
        <v>-31.4</v>
      </c>
      <c r="J35" s="35">
        <v>-40.4</v>
      </c>
      <c r="K35" s="35">
        <v>-41.4</v>
      </c>
      <c r="L35" s="35">
        <v>-34.200000000000003</v>
      </c>
      <c r="M35" s="35">
        <v>-24.5</v>
      </c>
      <c r="N35" s="35">
        <v>-21.3</v>
      </c>
      <c r="O35" s="35">
        <v>-20.9</v>
      </c>
      <c r="P35" s="35">
        <v>-27.8</v>
      </c>
      <c r="Q35" s="35">
        <v>-27</v>
      </c>
      <c r="R35" s="35">
        <v>-17.399999999999999</v>
      </c>
      <c r="S35" s="35">
        <v>-14.5</v>
      </c>
      <c r="T35" s="35">
        <v>-12.6</v>
      </c>
      <c r="U35" s="35">
        <v>-7.6</v>
      </c>
      <c r="V35" s="35">
        <v>-1</v>
      </c>
      <c r="W35" s="35">
        <v>0.7</v>
      </c>
      <c r="X35" s="35">
        <v>0</v>
      </c>
      <c r="Y35" s="35">
        <v>-0.6</v>
      </c>
      <c r="Z35" s="35">
        <v>-4</v>
      </c>
      <c r="AA35" s="35">
        <v>-3.5</v>
      </c>
      <c r="AB35" s="35">
        <v>-4.2</v>
      </c>
      <c r="AC35" s="35">
        <v>-5</v>
      </c>
      <c r="AD35" s="35">
        <v>-1.6</v>
      </c>
      <c r="AE35" s="35">
        <v>-17.399999999999999</v>
      </c>
      <c r="AF35" s="35">
        <v>-31.1</v>
      </c>
    </row>
    <row r="36" spans="1:32" ht="30" x14ac:dyDescent="0.25">
      <c r="A36" s="11" t="s">
        <v>2</v>
      </c>
      <c r="B36" s="15">
        <f>(B24+B25+B26+B27+B28+B29+B30+B31+B32+B33+B34+B35)/12</f>
        <v>-15.491666666666667</v>
      </c>
      <c r="C36" s="15">
        <f t="shared" ref="C36:J36" si="2">(C24+C25+C26+C27+C28+C29+C30+C31+C32+C33+C34+C35)/12</f>
        <v>-15.641666666666664</v>
      </c>
      <c r="D36" s="15">
        <f t="shared" si="2"/>
        <v>-26.849999999999998</v>
      </c>
      <c r="E36" s="15">
        <f t="shared" si="2"/>
        <v>-30.841666666666665</v>
      </c>
      <c r="F36" s="15">
        <f t="shared" si="2"/>
        <v>-35.925000000000004</v>
      </c>
      <c r="G36" s="15">
        <f t="shared" si="2"/>
        <v>-36.43333333333333</v>
      </c>
      <c r="H36" s="15">
        <f t="shared" si="2"/>
        <v>-35.141666666666673</v>
      </c>
      <c r="I36" s="15">
        <f t="shared" si="2"/>
        <v>-26.799999999999997</v>
      </c>
      <c r="J36" s="15">
        <f t="shared" si="2"/>
        <v>-37.458333333333329</v>
      </c>
      <c r="K36" s="15">
        <f>(K24+K25+K26+K27+K28+K29+K30+K31+K32+K33+K34+K35)/12</f>
        <v>-40.141666666666673</v>
      </c>
      <c r="L36" s="15">
        <f t="shared" ref="L36:AF36" si="3">(L24+L25+L26+L27+L28+L29+L30+L31+L32+L33+L34+L35)/12</f>
        <v>-37.733333333333327</v>
      </c>
      <c r="M36" s="15">
        <f t="shared" si="3"/>
        <v>-31.016666666666669</v>
      </c>
      <c r="N36" s="15">
        <f t="shared" si="3"/>
        <v>-21.675000000000001</v>
      </c>
      <c r="O36" s="15">
        <f t="shared" si="3"/>
        <v>-17.625</v>
      </c>
      <c r="P36" s="15">
        <f t="shared" si="3"/>
        <v>-22.625</v>
      </c>
      <c r="Q36" s="15">
        <f t="shared" si="3"/>
        <v>-29.774999999999995</v>
      </c>
      <c r="R36" s="15">
        <f t="shared" si="3"/>
        <v>-21.133333333333333</v>
      </c>
      <c r="S36" s="15">
        <f t="shared" si="3"/>
        <v>-14.299999999999999</v>
      </c>
      <c r="T36" s="15">
        <f t="shared" si="3"/>
        <v>-13.541666666666666</v>
      </c>
      <c r="U36" s="15">
        <f t="shared" si="3"/>
        <v>-10.491666666666665</v>
      </c>
      <c r="V36" s="15">
        <f t="shared" si="3"/>
        <v>-4.416666666666667</v>
      </c>
      <c r="W36" s="15">
        <f t="shared" si="3"/>
        <v>-0.42499999999999988</v>
      </c>
      <c r="X36" s="15">
        <f t="shared" si="3"/>
        <v>0.32500000000000001</v>
      </c>
      <c r="Y36" s="15">
        <f t="shared" si="3"/>
        <v>-0.625</v>
      </c>
      <c r="Z36" s="15">
        <f t="shared" si="3"/>
        <v>-1.3833333333333335</v>
      </c>
      <c r="AA36" s="15">
        <f t="shared" si="3"/>
        <v>-3.5666666666666669</v>
      </c>
      <c r="AB36" s="15">
        <f t="shared" si="3"/>
        <v>-3.5916666666666668</v>
      </c>
      <c r="AC36" s="15">
        <f t="shared" si="3"/>
        <v>-4.6166666666666663</v>
      </c>
      <c r="AD36" s="15">
        <f>(AD24+AD25+AD26+AD27+AD28+AD29+AD30+AD31+AD32+AD33+AD34+AD35)/12</f>
        <v>-3.4916666666666667</v>
      </c>
      <c r="AE36" s="15">
        <f>(AE24+AE25+AE26+AE27+AE28+AE29+AE30+AE31+AE32+AE33+AE34+AE35)/12</f>
        <v>-10.408333333333331</v>
      </c>
      <c r="AF36" s="15">
        <f t="shared" si="3"/>
        <v>-24.775000000000002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24" sqref="AF24:AF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65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35">
        <v>-32.1</v>
      </c>
      <c r="C4" s="35">
        <v>-26.4</v>
      </c>
      <c r="D4" s="35">
        <v>-37.299999999999997</v>
      </c>
      <c r="E4" s="35">
        <v>-33.799999999999997</v>
      </c>
      <c r="F4" s="35">
        <v>-23.2</v>
      </c>
      <c r="G4" s="35">
        <v>-27</v>
      </c>
      <c r="H4" s="35">
        <v>-28.5</v>
      </c>
      <c r="I4" s="35">
        <v>-24</v>
      </c>
      <c r="J4" s="35">
        <v>-21</v>
      </c>
      <c r="K4" s="35">
        <v>-21</v>
      </c>
      <c r="L4" s="35">
        <v>-15.6</v>
      </c>
      <c r="M4" s="35">
        <v>-25.2</v>
      </c>
      <c r="N4" s="35">
        <v>-30.6</v>
      </c>
      <c r="O4" s="35">
        <v>-27.2</v>
      </c>
      <c r="P4" s="35">
        <v>-31.1</v>
      </c>
      <c r="Q4" s="35">
        <v>-24.3</v>
      </c>
      <c r="R4" s="35">
        <v>-20.9</v>
      </c>
      <c r="S4" s="35">
        <v>-18.5</v>
      </c>
      <c r="T4" s="35">
        <v>-14</v>
      </c>
      <c r="U4" s="35">
        <v>-22.1</v>
      </c>
      <c r="V4" s="35">
        <v>-8.6</v>
      </c>
      <c r="W4" s="35">
        <v>-7.5</v>
      </c>
      <c r="X4" s="35">
        <v>-10.9</v>
      </c>
      <c r="Y4" s="35">
        <v>-12.9</v>
      </c>
      <c r="Z4" s="35">
        <v>-10.6</v>
      </c>
      <c r="AA4" s="35">
        <v>-12.2</v>
      </c>
      <c r="AB4" s="35">
        <v>-11.7</v>
      </c>
      <c r="AC4" s="35">
        <v>-10.5</v>
      </c>
      <c r="AD4" s="35">
        <v>-18.2</v>
      </c>
      <c r="AE4" s="35">
        <v>-21</v>
      </c>
      <c r="AF4" s="35">
        <v>-25.6</v>
      </c>
    </row>
    <row r="5" spans="1:33" x14ac:dyDescent="0.25">
      <c r="A5" s="10">
        <v>6</v>
      </c>
      <c r="B5" s="35">
        <v>-31.7</v>
      </c>
      <c r="C5" s="35">
        <v>-26.4</v>
      </c>
      <c r="D5" s="35">
        <v>-37.299999999999997</v>
      </c>
      <c r="E5" s="35">
        <v>-33.700000000000003</v>
      </c>
      <c r="F5" s="35">
        <v>-22.1</v>
      </c>
      <c r="G5" s="35">
        <v>-27</v>
      </c>
      <c r="H5" s="35">
        <v>-28.5</v>
      </c>
      <c r="I5" s="35">
        <v>-21.7</v>
      </c>
      <c r="J5" s="35">
        <v>-23.2</v>
      </c>
      <c r="K5" s="35">
        <v>-19.899999999999999</v>
      </c>
      <c r="L5" s="35">
        <v>-15.5</v>
      </c>
      <c r="M5" s="35">
        <v>-24.1</v>
      </c>
      <c r="N5" s="35">
        <v>-30.6</v>
      </c>
      <c r="O5" s="35">
        <v>-25.8</v>
      </c>
      <c r="P5" s="35">
        <v>-32.5</v>
      </c>
      <c r="Q5" s="35">
        <v>-24.3</v>
      </c>
      <c r="R5" s="35">
        <v>-20.9</v>
      </c>
      <c r="S5" s="35">
        <v>-17.600000000000001</v>
      </c>
      <c r="T5" s="35">
        <v>-14.2</v>
      </c>
      <c r="U5" s="35">
        <v>-21.8</v>
      </c>
      <c r="V5" s="35">
        <v>-8.1</v>
      </c>
      <c r="W5" s="35">
        <v>-7.1</v>
      </c>
      <c r="X5" s="35">
        <v>-12.4</v>
      </c>
      <c r="Y5" s="35">
        <v>-13.7</v>
      </c>
      <c r="Z5" s="35">
        <v>-10.6</v>
      </c>
      <c r="AA5" s="35">
        <v>-12.2</v>
      </c>
      <c r="AB5" s="35">
        <v>-12.5</v>
      </c>
      <c r="AC5" s="35">
        <v>-11.8</v>
      </c>
      <c r="AD5" s="35">
        <v>-17.7</v>
      </c>
      <c r="AE5" s="35">
        <v>-23.6</v>
      </c>
      <c r="AF5" s="35">
        <v>-25.6</v>
      </c>
    </row>
    <row r="6" spans="1:33" x14ac:dyDescent="0.25">
      <c r="A6" s="10">
        <v>8</v>
      </c>
      <c r="B6" s="35">
        <v>-33.299999999999997</v>
      </c>
      <c r="C6" s="35">
        <v>-29.1</v>
      </c>
      <c r="D6" s="35">
        <v>-37.4</v>
      </c>
      <c r="E6" s="35">
        <v>-33.700000000000003</v>
      </c>
      <c r="F6" s="35">
        <v>-21.3</v>
      </c>
      <c r="G6" s="35">
        <v>-30</v>
      </c>
      <c r="H6" s="35">
        <v>-27.9</v>
      </c>
      <c r="I6" s="35">
        <v>-20.5</v>
      </c>
      <c r="J6" s="35">
        <v>-23.4</v>
      </c>
      <c r="K6" s="35">
        <v>-19.66</v>
      </c>
      <c r="L6" s="35">
        <v>-17.399999999999999</v>
      </c>
      <c r="M6" s="35">
        <v>-24.9</v>
      </c>
      <c r="N6" s="35">
        <v>-30.9</v>
      </c>
      <c r="O6" s="35">
        <v>-22.9</v>
      </c>
      <c r="P6" s="35">
        <v>-33.9</v>
      </c>
      <c r="Q6" s="35">
        <v>-23.6</v>
      </c>
      <c r="R6" s="35">
        <v>-21.5</v>
      </c>
      <c r="S6" s="35">
        <v>-15.8</v>
      </c>
      <c r="T6" s="35">
        <v>-14.58</v>
      </c>
      <c r="U6" s="35">
        <v>-17.5</v>
      </c>
      <c r="V6" s="35">
        <v>-7.9</v>
      </c>
      <c r="W6" s="35">
        <v>-7.9</v>
      </c>
      <c r="X6" s="35">
        <v>-15.05</v>
      </c>
      <c r="Y6" s="35">
        <v>-12.9</v>
      </c>
      <c r="Z6" s="35">
        <v>-10.8</v>
      </c>
      <c r="AA6" s="35">
        <v>-12</v>
      </c>
      <c r="AB6" s="35">
        <v>-13.1</v>
      </c>
      <c r="AC6" s="35">
        <v>-13.4</v>
      </c>
      <c r="AD6" s="35">
        <v>-17.8</v>
      </c>
      <c r="AE6" s="35">
        <v>-23</v>
      </c>
      <c r="AF6" s="35">
        <v>-27.1</v>
      </c>
    </row>
    <row r="7" spans="1:33" x14ac:dyDescent="0.25">
      <c r="A7" s="10">
        <v>10</v>
      </c>
      <c r="B7" s="35">
        <v>-33</v>
      </c>
      <c r="C7" s="35">
        <v>-30.8</v>
      </c>
      <c r="D7" s="35">
        <v>-37.6</v>
      </c>
      <c r="E7" s="35">
        <v>-34.1</v>
      </c>
      <c r="F7" s="35">
        <v>-20.6</v>
      </c>
      <c r="G7" s="35">
        <v>-31.5</v>
      </c>
      <c r="H7" s="35">
        <v>-27.6</v>
      </c>
      <c r="I7" s="35">
        <v>-19.399999999999999</v>
      </c>
      <c r="J7" s="35">
        <v>-23.5</v>
      </c>
      <c r="K7" s="35">
        <v>-20.8</v>
      </c>
      <c r="L7" s="35">
        <v>-23.1</v>
      </c>
      <c r="M7" s="35">
        <v>-24.8</v>
      </c>
      <c r="N7" s="35">
        <v>-29.8</v>
      </c>
      <c r="O7" s="35">
        <v>-21.2</v>
      </c>
      <c r="P7" s="35">
        <v>-33.4</v>
      </c>
      <c r="Q7" s="35">
        <v>-24</v>
      </c>
      <c r="R7" s="35">
        <v>-21.3</v>
      </c>
      <c r="S7" s="35">
        <v>-14.6</v>
      </c>
      <c r="T7" s="35">
        <v>-15.6</v>
      </c>
      <c r="U7" s="35">
        <v>-15</v>
      </c>
      <c r="V7" s="35">
        <v>-7.8</v>
      </c>
      <c r="W7" s="35">
        <v>-8.1</v>
      </c>
      <c r="X7" s="35">
        <v>-16.2</v>
      </c>
      <c r="Y7" s="35">
        <v>-11.8</v>
      </c>
      <c r="Z7" s="35">
        <v>-11.8</v>
      </c>
      <c r="AA7" s="35">
        <v>-11.8</v>
      </c>
      <c r="AB7" s="35">
        <v>-12.5</v>
      </c>
      <c r="AC7" s="35">
        <v>-17.899999999999999</v>
      </c>
      <c r="AD7" s="35">
        <v>-16.3</v>
      </c>
      <c r="AE7" s="35">
        <v>-21.7</v>
      </c>
      <c r="AF7" s="35">
        <v>-26.7</v>
      </c>
    </row>
    <row r="8" spans="1:33" x14ac:dyDescent="0.25">
      <c r="A8" s="10">
        <v>12</v>
      </c>
      <c r="B8" s="35">
        <v>-31</v>
      </c>
      <c r="C8" s="35">
        <v>-33.4</v>
      </c>
      <c r="D8" s="35">
        <v>-36.4</v>
      </c>
      <c r="E8" s="35">
        <v>-32.9</v>
      </c>
      <c r="F8" s="35">
        <v>-19.5</v>
      </c>
      <c r="G8" s="35">
        <v>-31</v>
      </c>
      <c r="H8" s="35">
        <v>-27.22</v>
      </c>
      <c r="I8" s="35">
        <v>-18.399999999999999</v>
      </c>
      <c r="J8" s="35">
        <v>-22.3</v>
      </c>
      <c r="K8" s="35">
        <v>-20.62</v>
      </c>
      <c r="L8" s="35">
        <v>-24.5</v>
      </c>
      <c r="M8" s="35">
        <v>-23.4</v>
      </c>
      <c r="N8" s="35">
        <v>-30.6</v>
      </c>
      <c r="O8" s="35">
        <v>-20.8</v>
      </c>
      <c r="P8" s="35">
        <v>-31.5</v>
      </c>
      <c r="Q8" s="35">
        <v>-21.3</v>
      </c>
      <c r="R8" s="35">
        <v>-18.97</v>
      </c>
      <c r="S8" s="35">
        <v>-13.74</v>
      </c>
      <c r="T8" s="35">
        <v>-15.32</v>
      </c>
      <c r="U8" s="35">
        <v>-11.8</v>
      </c>
      <c r="V8" s="35">
        <v>-7.3</v>
      </c>
      <c r="W8" s="35">
        <v>-8.1</v>
      </c>
      <c r="X8" s="35">
        <v>-16.2</v>
      </c>
      <c r="Y8" s="35">
        <v>-10.6</v>
      </c>
      <c r="Z8" s="35">
        <v>-12.1</v>
      </c>
      <c r="AA8" s="35">
        <v>-11.3</v>
      </c>
      <c r="AB8" s="35">
        <v>-11.1</v>
      </c>
      <c r="AC8" s="35">
        <v>-16.5</v>
      </c>
      <c r="AD8" s="35">
        <v>-15.4</v>
      </c>
      <c r="AE8" s="35">
        <v>-19.100000000000001</v>
      </c>
      <c r="AF8" s="35">
        <v>-24.6</v>
      </c>
    </row>
    <row r="9" spans="1:33" x14ac:dyDescent="0.25">
      <c r="A9" s="10">
        <v>14</v>
      </c>
      <c r="B9" s="35">
        <v>-31.4</v>
      </c>
      <c r="C9" s="35">
        <v>-34.4</v>
      </c>
      <c r="D9" s="35">
        <v>-35.6</v>
      </c>
      <c r="E9" s="35">
        <v>-32.4</v>
      </c>
      <c r="F9" s="35">
        <v>-19.100000000000001</v>
      </c>
      <c r="G9" s="35">
        <v>-29.3</v>
      </c>
      <c r="H9" s="35">
        <v>-26.3</v>
      </c>
      <c r="I9" s="35">
        <v>-17.899999999999999</v>
      </c>
      <c r="J9" s="35">
        <v>-21.8</v>
      </c>
      <c r="K9" s="35">
        <v>-20.100000000000001</v>
      </c>
      <c r="L9" s="35">
        <v>-26.3</v>
      </c>
      <c r="M9" s="35">
        <v>-22.2</v>
      </c>
      <c r="N9" s="35">
        <v>-29.12</v>
      </c>
      <c r="O9" s="35">
        <v>-22.3</v>
      </c>
      <c r="P9" s="35">
        <v>-29.2</v>
      </c>
      <c r="Q9" s="35">
        <v>-20.399999999999999</v>
      </c>
      <c r="R9" s="35">
        <v>-18</v>
      </c>
      <c r="S9" s="35">
        <v>-13.4</v>
      </c>
      <c r="T9" s="35">
        <v>-15.7</v>
      </c>
      <c r="U9" s="35">
        <v>-11.3</v>
      </c>
      <c r="V9" s="35">
        <v>-6.8</v>
      </c>
      <c r="W9" s="35">
        <v>-7.7</v>
      </c>
      <c r="X9" s="35">
        <v>-16.899999999999999</v>
      </c>
      <c r="Y9" s="35">
        <v>-10.8</v>
      </c>
      <c r="Z9" s="35">
        <v>-13.8</v>
      </c>
      <c r="AA9" s="35">
        <v>-11</v>
      </c>
      <c r="AB9" s="35">
        <v>-10.5</v>
      </c>
      <c r="AC9" s="35">
        <v>-16.3</v>
      </c>
      <c r="AD9" s="35">
        <v>-15.6</v>
      </c>
      <c r="AE9" s="35">
        <v>-19.399999999999999</v>
      </c>
      <c r="AF9" s="35">
        <v>-23.9</v>
      </c>
    </row>
    <row r="10" spans="1:33" x14ac:dyDescent="0.25">
      <c r="A10" s="10">
        <v>16</v>
      </c>
      <c r="B10" s="35">
        <v>-33.6</v>
      </c>
      <c r="C10" s="35">
        <v>-36.700000000000003</v>
      </c>
      <c r="D10" s="35">
        <v>-35.9</v>
      </c>
      <c r="E10" s="35">
        <v>-33.799999999999997</v>
      </c>
      <c r="F10" s="35">
        <v>-18.600000000000001</v>
      </c>
      <c r="G10" s="35">
        <v>-31</v>
      </c>
      <c r="H10" s="35">
        <v>-26.2</v>
      </c>
      <c r="I10" s="35">
        <v>-18.3</v>
      </c>
      <c r="J10" s="35">
        <v>-23.8</v>
      </c>
      <c r="K10" s="35">
        <v>-19.829999999999998</v>
      </c>
      <c r="L10" s="35">
        <v>-27.6</v>
      </c>
      <c r="M10" s="35">
        <v>-23</v>
      </c>
      <c r="N10" s="35">
        <v>-29.7</v>
      </c>
      <c r="O10" s="35">
        <v>-22.02</v>
      </c>
      <c r="P10" s="35">
        <v>-27.8</v>
      </c>
      <c r="Q10" s="35">
        <v>-20.6</v>
      </c>
      <c r="R10" s="35">
        <v>-20.6</v>
      </c>
      <c r="S10" s="35">
        <v>-13.1</v>
      </c>
      <c r="T10" s="35">
        <v>-17.600000000000001</v>
      </c>
      <c r="U10" s="35">
        <v>-10.8</v>
      </c>
      <c r="V10" s="35">
        <v>-7.52</v>
      </c>
      <c r="W10" s="35">
        <v>-8.5</v>
      </c>
      <c r="X10" s="35">
        <v>-18.399999999999999</v>
      </c>
      <c r="Y10" s="35">
        <v>-10.5</v>
      </c>
      <c r="Z10" s="35">
        <v>-16.399999999999999</v>
      </c>
      <c r="AA10" s="35">
        <v>-12</v>
      </c>
      <c r="AB10" s="35">
        <v>-11.3</v>
      </c>
      <c r="AC10" s="35">
        <v>-17.2</v>
      </c>
      <c r="AD10" s="35">
        <v>-18</v>
      </c>
      <c r="AE10" s="35">
        <v>-21.4</v>
      </c>
      <c r="AF10" s="35">
        <v>-23.8</v>
      </c>
    </row>
    <row r="11" spans="1:33" x14ac:dyDescent="0.25">
      <c r="A11" s="10">
        <v>18</v>
      </c>
      <c r="B11" s="35">
        <v>-33.5</v>
      </c>
      <c r="C11" s="35">
        <v>-35.799999999999997</v>
      </c>
      <c r="D11" s="35">
        <v>-36.700000000000003</v>
      </c>
      <c r="E11" s="35">
        <v>-33.9</v>
      </c>
      <c r="F11" s="35">
        <v>-18.5</v>
      </c>
      <c r="G11" s="35">
        <v>-30.4</v>
      </c>
      <c r="H11" s="35">
        <v>-26.7</v>
      </c>
      <c r="I11" s="35">
        <v>-18.52</v>
      </c>
      <c r="J11" s="35">
        <v>-25.1</v>
      </c>
      <c r="K11" s="35">
        <v>-18.86</v>
      </c>
      <c r="L11" s="35">
        <v>-28</v>
      </c>
      <c r="M11" s="35">
        <v>-23.5</v>
      </c>
      <c r="N11" s="35">
        <v>-28.8</v>
      </c>
      <c r="O11" s="35">
        <v>-24.67</v>
      </c>
      <c r="P11" s="35">
        <v>-28.6</v>
      </c>
      <c r="Q11" s="35">
        <v>-21.1</v>
      </c>
      <c r="R11" s="35">
        <v>-22.2</v>
      </c>
      <c r="S11" s="35">
        <v>-12.3</v>
      </c>
      <c r="T11" s="35">
        <v>-19.2</v>
      </c>
      <c r="U11" s="35">
        <v>-10.5</v>
      </c>
      <c r="V11" s="35">
        <v>-7.43</v>
      </c>
      <c r="W11" s="35">
        <v>-8.3000000000000007</v>
      </c>
      <c r="X11" s="35">
        <v>-16.59</v>
      </c>
      <c r="Y11" s="35">
        <v>-10</v>
      </c>
      <c r="Z11" s="35">
        <v>-17.62</v>
      </c>
      <c r="AA11" s="35">
        <v>-13.2</v>
      </c>
      <c r="AB11" s="35">
        <v>-11</v>
      </c>
      <c r="AC11" s="35">
        <v>-18</v>
      </c>
      <c r="AD11" s="35">
        <v>-20.7</v>
      </c>
      <c r="AE11" s="35">
        <v>-22.5</v>
      </c>
      <c r="AF11" s="35">
        <v>-21.7</v>
      </c>
    </row>
    <row r="12" spans="1:33" x14ac:dyDescent="0.25">
      <c r="A12" s="10">
        <v>20</v>
      </c>
      <c r="B12" s="35">
        <v>-33.299999999999997</v>
      </c>
      <c r="C12" s="35">
        <v>-35.799999999999997</v>
      </c>
      <c r="D12" s="35">
        <v>-37.090000000000003</v>
      </c>
      <c r="E12" s="35">
        <v>-32.4</v>
      </c>
      <c r="F12" s="35">
        <v>-18.8</v>
      </c>
      <c r="G12" s="35">
        <v>-28.9</v>
      </c>
      <c r="H12" s="35">
        <v>-26.5</v>
      </c>
      <c r="I12" s="35">
        <v>-19</v>
      </c>
      <c r="J12" s="35">
        <v>-27.9</v>
      </c>
      <c r="K12" s="35">
        <v>-16.649999999999999</v>
      </c>
      <c r="L12" s="35">
        <v>-27.5</v>
      </c>
      <c r="M12" s="35">
        <v>-25.1</v>
      </c>
      <c r="N12" s="35">
        <v>-28.5</v>
      </c>
      <c r="O12" s="35">
        <v>-24.4</v>
      </c>
      <c r="P12" s="35">
        <v>-28</v>
      </c>
      <c r="Q12" s="35">
        <v>-22.6</v>
      </c>
      <c r="R12" s="35">
        <v>-22.3</v>
      </c>
      <c r="S12" s="35">
        <v>-12.3</v>
      </c>
      <c r="T12" s="35">
        <v>-19.7</v>
      </c>
      <c r="U12" s="35">
        <v>-10.199999999999999</v>
      </c>
      <c r="V12" s="35">
        <v>-8</v>
      </c>
      <c r="W12" s="35">
        <v>-8.1999999999999993</v>
      </c>
      <c r="X12" s="35">
        <v>-16.5</v>
      </c>
      <c r="Y12" s="35">
        <v>-9</v>
      </c>
      <c r="Z12" s="35">
        <v>-18.100000000000001</v>
      </c>
      <c r="AA12" s="35">
        <v>-14.1</v>
      </c>
      <c r="AB12" s="35">
        <v>-10.199999999999999</v>
      </c>
      <c r="AC12" s="35">
        <v>-17.600000000000001</v>
      </c>
      <c r="AD12" s="35">
        <v>-22.1</v>
      </c>
      <c r="AE12" s="35">
        <v>-22.8</v>
      </c>
      <c r="AF12" s="35">
        <v>-19.100000000000001</v>
      </c>
    </row>
    <row r="13" spans="1:33" x14ac:dyDescent="0.25">
      <c r="A13" s="10">
        <v>22</v>
      </c>
      <c r="B13" s="35">
        <v>-30.8</v>
      </c>
      <c r="C13" s="35">
        <v>-36.4</v>
      </c>
      <c r="D13" s="35">
        <v>-36.5</v>
      </c>
      <c r="E13" s="35">
        <v>-30.9</v>
      </c>
      <c r="F13" s="35">
        <v>-19.7</v>
      </c>
      <c r="G13" s="35">
        <v>-27.9</v>
      </c>
      <c r="H13" s="35">
        <v>-26.5</v>
      </c>
      <c r="I13" s="35">
        <v>-19.2</v>
      </c>
      <c r="J13" s="35">
        <v>-27.9</v>
      </c>
      <c r="K13" s="35">
        <v>-16.5</v>
      </c>
      <c r="L13" s="35">
        <v>-27</v>
      </c>
      <c r="M13" s="35">
        <v>-25.1</v>
      </c>
      <c r="N13" s="35">
        <v>-28.6</v>
      </c>
      <c r="O13" s="35">
        <v>-25.1</v>
      </c>
      <c r="P13" s="35">
        <v>-28.7</v>
      </c>
      <c r="Q13" s="35">
        <v>-21.7</v>
      </c>
      <c r="R13" s="35">
        <v>-22</v>
      </c>
      <c r="S13" s="35">
        <v>-13</v>
      </c>
      <c r="T13" s="35">
        <v>-20.6</v>
      </c>
      <c r="U13" s="35">
        <v>-9.5</v>
      </c>
      <c r="V13" s="35">
        <v>-7.5</v>
      </c>
      <c r="W13" s="35">
        <v>-8.1999999999999993</v>
      </c>
      <c r="X13" s="35">
        <v>-14</v>
      </c>
      <c r="Y13" s="35">
        <v>-9.5</v>
      </c>
      <c r="Z13" s="35">
        <v>-15.6</v>
      </c>
      <c r="AA13" s="35">
        <v>-11.9</v>
      </c>
      <c r="AB13" s="35">
        <v>-10.199999999999999</v>
      </c>
      <c r="AC13" s="35">
        <v>-18.05</v>
      </c>
      <c r="AD13" s="35">
        <v>-23.4</v>
      </c>
      <c r="AE13" s="35">
        <v>-22.8</v>
      </c>
      <c r="AF13" s="35">
        <v>-17.3</v>
      </c>
    </row>
    <row r="14" spans="1:33" x14ac:dyDescent="0.25">
      <c r="A14" s="10">
        <v>24</v>
      </c>
      <c r="B14" s="35">
        <v>-30.2</v>
      </c>
      <c r="C14" s="35">
        <v>-36.4</v>
      </c>
      <c r="D14" s="35">
        <v>-34.799999999999997</v>
      </c>
      <c r="E14" s="35">
        <v>-29.8</v>
      </c>
      <c r="F14" s="35">
        <v>-20.7</v>
      </c>
      <c r="G14" s="35">
        <v>-27.1</v>
      </c>
      <c r="H14" s="35">
        <v>-26</v>
      </c>
      <c r="I14" s="35">
        <v>-19.5</v>
      </c>
      <c r="J14" s="35">
        <v>-26.7</v>
      </c>
      <c r="K14" s="35">
        <v>-15.8</v>
      </c>
      <c r="L14" s="35">
        <v>-26.4</v>
      </c>
      <c r="M14" s="35">
        <v>-25.8</v>
      </c>
      <c r="N14" s="35">
        <v>-29.4</v>
      </c>
      <c r="O14" s="35">
        <v>-24.5</v>
      </c>
      <c r="P14" s="35">
        <v>-26.4</v>
      </c>
      <c r="Q14" s="35">
        <v>-20.9</v>
      </c>
      <c r="R14" s="35">
        <v>-21.5</v>
      </c>
      <c r="S14" s="35">
        <v>-13.1</v>
      </c>
      <c r="T14" s="35">
        <v>-21.9</v>
      </c>
      <c r="U14" s="35">
        <v>-9.8000000000000007</v>
      </c>
      <c r="V14" s="35">
        <v>-7</v>
      </c>
      <c r="W14" s="35">
        <v>-8.8000000000000007</v>
      </c>
      <c r="X14" s="35">
        <v>-11.8</v>
      </c>
      <c r="Y14" s="35">
        <v>-9.6999999999999993</v>
      </c>
      <c r="Z14" s="35">
        <v>-14.7</v>
      </c>
      <c r="AA14" s="35">
        <v>-12.3</v>
      </c>
      <c r="AB14" s="35">
        <v>-10.4</v>
      </c>
      <c r="AC14" s="35">
        <v>-19.899999999999999</v>
      </c>
      <c r="AD14" s="35">
        <v>-22.9</v>
      </c>
      <c r="AE14" s="35">
        <v>-24.8</v>
      </c>
      <c r="AF14" s="35">
        <v>-15.6</v>
      </c>
    </row>
    <row r="15" spans="1:33" x14ac:dyDescent="0.25">
      <c r="A15" s="10">
        <v>2</v>
      </c>
      <c r="B15" s="35">
        <v>-27.5</v>
      </c>
      <c r="C15" s="35">
        <v>-36.06</v>
      </c>
      <c r="D15" s="35">
        <v>-34.299999999999997</v>
      </c>
      <c r="E15" s="35">
        <v>-28.7</v>
      </c>
      <c r="F15" s="35">
        <v>-20.8</v>
      </c>
      <c r="G15" s="35">
        <v>-28.4</v>
      </c>
      <c r="H15" s="35">
        <v>-24.5</v>
      </c>
      <c r="I15" s="35">
        <v>-20.100000000000001</v>
      </c>
      <c r="J15" s="35">
        <v>-24.1</v>
      </c>
      <c r="K15" s="35">
        <v>-15.7</v>
      </c>
      <c r="L15" s="35">
        <v>-25.6</v>
      </c>
      <c r="M15" s="35">
        <v>-28.35</v>
      </c>
      <c r="N15" s="35">
        <v>-28.55</v>
      </c>
      <c r="O15" s="35">
        <v>-29.9</v>
      </c>
      <c r="P15" s="35">
        <v>-27.1</v>
      </c>
      <c r="Q15" s="35">
        <v>-22</v>
      </c>
      <c r="R15" s="35">
        <v>-19.059999999999999</v>
      </c>
      <c r="S15" s="35">
        <v>-13.5</v>
      </c>
      <c r="T15" s="35">
        <v>-22.1</v>
      </c>
      <c r="U15" s="35">
        <v>-9.4</v>
      </c>
      <c r="V15" s="35">
        <v>-6.65</v>
      </c>
      <c r="W15" s="35">
        <v>-9.1999999999999993</v>
      </c>
      <c r="X15" s="35">
        <v>-12.1</v>
      </c>
      <c r="Y15" s="35">
        <v>-10.3</v>
      </c>
      <c r="Z15" s="35">
        <v>-13.47</v>
      </c>
      <c r="AA15" s="35">
        <v>-12.1</v>
      </c>
      <c r="AB15" s="35">
        <v>-10.55</v>
      </c>
      <c r="AC15" s="35">
        <v>-20.100000000000001</v>
      </c>
      <c r="AD15" s="35">
        <v>-21.7</v>
      </c>
      <c r="AE15" s="35">
        <v>-24.9</v>
      </c>
      <c r="AF15" s="35">
        <v>-13</v>
      </c>
    </row>
    <row r="16" spans="1:33" ht="30" x14ac:dyDescent="0.25">
      <c r="A16" s="11" t="s">
        <v>2</v>
      </c>
      <c r="B16" s="15">
        <f>(B4+B5+B6+B7+B8+B9+B10+B11+B12+B13+B14+B15)/12</f>
        <v>-31.783333333333335</v>
      </c>
      <c r="C16" s="15">
        <f t="shared" ref="C16:O16" si="0">(C4+C5+C6+C7+C8+C9+C10+C11+C12+C13+C14+C15)/12</f>
        <v>-33.138333333333328</v>
      </c>
      <c r="D16" s="15">
        <f t="shared" si="0"/>
        <v>-36.407499999999999</v>
      </c>
      <c r="E16" s="15">
        <f t="shared" si="0"/>
        <v>-32.508333333333333</v>
      </c>
      <c r="F16" s="15">
        <f t="shared" si="0"/>
        <v>-20.241666666666664</v>
      </c>
      <c r="G16" s="15">
        <f t="shared" si="0"/>
        <v>-29.125</v>
      </c>
      <c r="H16" s="15">
        <f t="shared" si="0"/>
        <v>-26.868333333333329</v>
      </c>
      <c r="I16" s="15">
        <f t="shared" si="0"/>
        <v>-19.71</v>
      </c>
      <c r="J16" s="15">
        <f t="shared" si="0"/>
        <v>-24.225000000000005</v>
      </c>
      <c r="K16" s="15">
        <f t="shared" si="0"/>
        <v>-18.785000000000004</v>
      </c>
      <c r="L16" s="15">
        <f t="shared" si="0"/>
        <v>-23.708333333333332</v>
      </c>
      <c r="M16" s="15">
        <f t="shared" si="0"/>
        <v>-24.620833333333334</v>
      </c>
      <c r="N16" s="15">
        <f t="shared" si="0"/>
        <v>-29.5975</v>
      </c>
      <c r="O16" s="15">
        <f t="shared" si="0"/>
        <v>-24.232500000000002</v>
      </c>
      <c r="P16" s="15">
        <f>(P4+P5+P6+P7+P8+P9+P10+P11+P12+P13+P14+P15)/12</f>
        <v>-29.849999999999998</v>
      </c>
      <c r="Q16" s="15">
        <f>(Q4+Q5+Q6+Q7+Q8+Q9+Q10+Q11+Q12+Q13+Q14+Q15)/12</f>
        <v>-22.233333333333331</v>
      </c>
      <c r="R16" s="15">
        <f>(R4+R5+R6+R7+R8+R9+R10+R11+R12+R13+R14+R15)/12</f>
        <v>-20.769166666666667</v>
      </c>
      <c r="S16" s="15">
        <f t="shared" ref="S16:AF16" si="1">(S4+S5+S6+S7+S8+S9+S10+S11+S12+S13+S14+S15)/12</f>
        <v>-14.244999999999999</v>
      </c>
      <c r="T16" s="15">
        <f t="shared" si="1"/>
        <v>-17.541666666666668</v>
      </c>
      <c r="U16" s="15">
        <f t="shared" si="1"/>
        <v>-13.308333333333335</v>
      </c>
      <c r="V16" s="15">
        <f t="shared" si="1"/>
        <v>-7.55</v>
      </c>
      <c r="W16" s="15">
        <f t="shared" si="1"/>
        <v>-8.1333333333333346</v>
      </c>
      <c r="X16" s="15">
        <f>(X4+X5+X6+X7+X8+X9+X10+X11+X12+X13+X14+X15)/12</f>
        <v>-14.753333333333336</v>
      </c>
      <c r="Y16" s="15">
        <f t="shared" si="1"/>
        <v>-10.975000000000001</v>
      </c>
      <c r="Z16" s="15">
        <f t="shared" si="1"/>
        <v>-13.799166666666665</v>
      </c>
      <c r="AA16" s="15">
        <f t="shared" si="1"/>
        <v>-12.174999999999999</v>
      </c>
      <c r="AB16" s="15">
        <f t="shared" si="1"/>
        <v>-11.254166666666668</v>
      </c>
      <c r="AC16" s="15">
        <f t="shared" si="1"/>
        <v>-16.4375</v>
      </c>
      <c r="AD16" s="15">
        <f t="shared" si="1"/>
        <v>-19.149999999999999</v>
      </c>
      <c r="AE16" s="15">
        <f t="shared" si="1"/>
        <v>-22.250000000000004</v>
      </c>
      <c r="AF16" s="15">
        <f t="shared" si="1"/>
        <v>-22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65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-32.299999999999997</v>
      </c>
      <c r="C24" s="35">
        <v>-26.3</v>
      </c>
      <c r="D24" s="35">
        <v>-37.1</v>
      </c>
      <c r="E24" s="35">
        <v>-34.5</v>
      </c>
      <c r="F24" s="35">
        <v>-24.9</v>
      </c>
      <c r="G24" s="35">
        <v>-22.3</v>
      </c>
      <c r="H24" s="35">
        <v>-28</v>
      </c>
      <c r="I24" s="35">
        <v>-23.3</v>
      </c>
      <c r="J24" s="35">
        <v>-20</v>
      </c>
      <c r="K24" s="35">
        <v>-21</v>
      </c>
      <c r="L24" s="35">
        <v>-14.9</v>
      </c>
      <c r="M24" s="35">
        <v>-26.8</v>
      </c>
      <c r="N24" s="35">
        <v>-28.9</v>
      </c>
      <c r="O24" s="35">
        <v>-27.3</v>
      </c>
      <c r="P24" s="35">
        <v>-30</v>
      </c>
      <c r="Q24" s="35">
        <v>-25.9</v>
      </c>
      <c r="R24" s="35">
        <v>-21.3</v>
      </c>
      <c r="S24" s="35">
        <v>-18</v>
      </c>
      <c r="T24" s="35">
        <v>-13.8</v>
      </c>
      <c r="U24" s="35">
        <v>-24</v>
      </c>
      <c r="V24" s="35">
        <v>-8.6999999999999993</v>
      </c>
      <c r="W24" s="35">
        <v>-6.9</v>
      </c>
      <c r="X24" s="35">
        <v>-9.6</v>
      </c>
      <c r="Y24" s="35">
        <v>-13.2</v>
      </c>
      <c r="Z24" s="35">
        <v>-10.4</v>
      </c>
      <c r="AA24" s="35">
        <v>-12.6</v>
      </c>
      <c r="AB24" s="35">
        <v>-11.5</v>
      </c>
      <c r="AC24" s="35">
        <v>-11.4</v>
      </c>
      <c r="AD24" s="35">
        <v>-21</v>
      </c>
      <c r="AE24" s="35">
        <v>-23</v>
      </c>
      <c r="AF24" s="35">
        <v>-24.9</v>
      </c>
    </row>
    <row r="25" spans="1:32" x14ac:dyDescent="0.25">
      <c r="A25" s="10">
        <v>6</v>
      </c>
      <c r="B25" s="35">
        <v>-33.6</v>
      </c>
      <c r="C25" s="35">
        <v>-27.2</v>
      </c>
      <c r="D25" s="35">
        <v>-38</v>
      </c>
      <c r="E25" s="35">
        <v>-32.9</v>
      </c>
      <c r="F25" s="35">
        <v>-22.9</v>
      </c>
      <c r="G25" s="35">
        <v>-25.9</v>
      </c>
      <c r="H25" s="35">
        <v>-28.9</v>
      </c>
      <c r="I25" s="35">
        <v>-22.1</v>
      </c>
      <c r="J25" s="35">
        <v>-21</v>
      </c>
      <c r="K25" s="35">
        <v>-21</v>
      </c>
      <c r="L25" s="35">
        <v>-14.9</v>
      </c>
      <c r="M25" s="35">
        <v>-24.4</v>
      </c>
      <c r="N25" s="35">
        <v>-29.6</v>
      </c>
      <c r="O25" s="35">
        <v>-25.4</v>
      </c>
      <c r="P25" s="35">
        <v>-32</v>
      </c>
      <c r="Q25" s="35">
        <v>-22.9</v>
      </c>
      <c r="R25" s="35">
        <v>-20.6</v>
      </c>
      <c r="S25" s="35">
        <v>-18.600000000000001</v>
      </c>
      <c r="T25" s="35">
        <v>-14.6</v>
      </c>
      <c r="U25" s="35">
        <v>-21.7</v>
      </c>
      <c r="V25" s="35">
        <v>-8</v>
      </c>
      <c r="W25" s="35">
        <v>-7.3</v>
      </c>
      <c r="X25" s="35">
        <v>-11.3</v>
      </c>
      <c r="Y25" s="35">
        <v>-13.2</v>
      </c>
      <c r="Z25" s="35">
        <v>-10.4</v>
      </c>
      <c r="AA25" s="35">
        <v>-12.1</v>
      </c>
      <c r="AB25" s="35">
        <v>-11.8</v>
      </c>
      <c r="AC25" s="35">
        <v>-11</v>
      </c>
      <c r="AD25" s="35">
        <v>-19.5</v>
      </c>
      <c r="AE25" s="35">
        <v>-24.5</v>
      </c>
      <c r="AF25" s="35">
        <v>-26</v>
      </c>
    </row>
    <row r="26" spans="1:32" x14ac:dyDescent="0.25">
      <c r="A26" s="10">
        <v>8</v>
      </c>
      <c r="B26" s="35">
        <v>-31.9</v>
      </c>
      <c r="C26" s="35">
        <v>-28</v>
      </c>
      <c r="D26" s="35">
        <v>-38.200000000000003</v>
      </c>
      <c r="E26" s="35">
        <v>-33.1</v>
      </c>
      <c r="F26" s="35">
        <v>-21.7</v>
      </c>
      <c r="G26" s="35">
        <v>-28.4</v>
      </c>
      <c r="H26" s="35">
        <v>-28</v>
      </c>
      <c r="I26" s="35">
        <v>-20.6</v>
      </c>
      <c r="J26" s="35">
        <v>-22</v>
      </c>
      <c r="K26" s="35">
        <v>-22</v>
      </c>
      <c r="L26" s="35">
        <v>-15.8</v>
      </c>
      <c r="M26" s="35">
        <v>-24.6</v>
      </c>
      <c r="N26" s="35">
        <v>-30.3</v>
      </c>
      <c r="O26" s="35">
        <v>-22.5</v>
      </c>
      <c r="P26" s="35">
        <v>-33.4</v>
      </c>
      <c r="Q26" s="35">
        <v>-22.4</v>
      </c>
      <c r="R26" s="35">
        <v>-21.1</v>
      </c>
      <c r="S26" s="35">
        <v>-18.2</v>
      </c>
      <c r="T26" s="35">
        <v>-15.1</v>
      </c>
      <c r="U26" s="35">
        <v>-19.100000000000001</v>
      </c>
      <c r="V26" s="35">
        <v>-8.1999999999999993</v>
      </c>
      <c r="W26" s="35">
        <v>-7.4</v>
      </c>
      <c r="X26" s="35">
        <v>-13.3</v>
      </c>
      <c r="Y26" s="35">
        <v>-11.9</v>
      </c>
      <c r="Z26" s="35">
        <v>-10.5</v>
      </c>
      <c r="AA26" s="35">
        <v>-11.7</v>
      </c>
      <c r="AB26" s="35">
        <v>-12.7</v>
      </c>
      <c r="AC26" s="35">
        <v>-15.1</v>
      </c>
      <c r="AD26" s="35">
        <v>-17.2</v>
      </c>
      <c r="AE26" s="35">
        <v>-23.2</v>
      </c>
      <c r="AF26" s="35">
        <v>-26.3</v>
      </c>
    </row>
    <row r="27" spans="1:32" x14ac:dyDescent="0.25">
      <c r="A27" s="10">
        <v>10</v>
      </c>
      <c r="B27" s="35">
        <v>-32</v>
      </c>
      <c r="C27" s="35">
        <v>-29.6</v>
      </c>
      <c r="D27" s="35">
        <v>-38</v>
      </c>
      <c r="E27" s="35">
        <v>-33.799999999999997</v>
      </c>
      <c r="F27" s="35">
        <v>-20.5</v>
      </c>
      <c r="G27" s="35">
        <v>-30.8</v>
      </c>
      <c r="H27" s="35">
        <v>-27.1</v>
      </c>
      <c r="I27" s="35">
        <v>-19.7</v>
      </c>
      <c r="J27" s="35">
        <v>-22</v>
      </c>
      <c r="K27" s="35">
        <v>-22</v>
      </c>
      <c r="L27" s="35">
        <v>-21.8</v>
      </c>
      <c r="M27" s="35">
        <v>-24.5</v>
      </c>
      <c r="N27" s="35">
        <v>-32.200000000000003</v>
      </c>
      <c r="O27" s="35">
        <v>-20.6</v>
      </c>
      <c r="P27" s="35">
        <v>-33.9</v>
      </c>
      <c r="Q27" s="35">
        <v>-23.9</v>
      </c>
      <c r="R27" s="35">
        <v>-21.1</v>
      </c>
      <c r="S27" s="35">
        <v>-15.1</v>
      </c>
      <c r="T27" s="35">
        <v>-15.6</v>
      </c>
      <c r="U27" s="35">
        <v>-17</v>
      </c>
      <c r="V27" s="35">
        <v>-7.7</v>
      </c>
      <c r="W27" s="35">
        <v>-8.6</v>
      </c>
      <c r="X27" s="35">
        <v>-15.6</v>
      </c>
      <c r="Y27" s="35">
        <v>-11.5</v>
      </c>
      <c r="Z27" s="35">
        <v>-11.1</v>
      </c>
      <c r="AA27" s="35">
        <v>-11.7</v>
      </c>
      <c r="AB27" s="35">
        <v>-12.9</v>
      </c>
      <c r="AC27" s="35">
        <v>-18</v>
      </c>
      <c r="AD27" s="35">
        <v>-16.5</v>
      </c>
      <c r="AE27" s="35">
        <v>-20.399999999999999</v>
      </c>
      <c r="AF27" s="35">
        <v>-26.4</v>
      </c>
    </row>
    <row r="28" spans="1:32" x14ac:dyDescent="0.25">
      <c r="A28" s="10">
        <v>12</v>
      </c>
      <c r="B28" s="35">
        <v>-30.5</v>
      </c>
      <c r="C28" s="35">
        <v>-32</v>
      </c>
      <c r="D28" s="35">
        <v>-37.6</v>
      </c>
      <c r="E28" s="35">
        <v>-32.5</v>
      </c>
      <c r="F28" s="35">
        <v>-19.5</v>
      </c>
      <c r="G28" s="35">
        <v>-30.5</v>
      </c>
      <c r="H28" s="35">
        <v>-27.2</v>
      </c>
      <c r="I28" s="35">
        <v>-18.2</v>
      </c>
      <c r="J28" s="35">
        <v>-21</v>
      </c>
      <c r="K28" s="35">
        <v>-19</v>
      </c>
      <c r="L28" s="35">
        <v>-23.1</v>
      </c>
      <c r="M28" s="35">
        <v>-23.8</v>
      </c>
      <c r="N28" s="35">
        <v>-29.8</v>
      </c>
      <c r="O28" s="35">
        <v>-19.7</v>
      </c>
      <c r="P28" s="35">
        <v>-31.1</v>
      </c>
      <c r="Q28" s="35">
        <v>-22.5</v>
      </c>
      <c r="R28" s="35">
        <v>-19.899999999999999</v>
      </c>
      <c r="S28" s="35">
        <v>-14.4</v>
      </c>
      <c r="T28" s="35">
        <v>-15.4</v>
      </c>
      <c r="U28" s="35">
        <v>-14.6</v>
      </c>
      <c r="V28" s="35">
        <v>-7.2</v>
      </c>
      <c r="W28" s="35">
        <v>-7.8</v>
      </c>
      <c r="X28" s="35">
        <v>-16</v>
      </c>
      <c r="Y28" s="35">
        <v>-10.4</v>
      </c>
      <c r="Z28" s="35">
        <v>-11.3</v>
      </c>
      <c r="AA28" s="35">
        <v>-11.4</v>
      </c>
      <c r="AB28" s="35">
        <v>-11.8</v>
      </c>
      <c r="AC28" s="35">
        <v>-17</v>
      </c>
      <c r="AD28" s="35">
        <v>-15.7</v>
      </c>
      <c r="AE28" s="35">
        <v>-19.399999999999999</v>
      </c>
      <c r="AF28" s="35">
        <v>-24.4</v>
      </c>
    </row>
    <row r="29" spans="1:32" x14ac:dyDescent="0.25">
      <c r="A29" s="10">
        <v>14</v>
      </c>
      <c r="B29" s="35">
        <v>-31</v>
      </c>
      <c r="C29" s="35">
        <v>-34.4</v>
      </c>
      <c r="D29" s="35">
        <v>-36.5</v>
      </c>
      <c r="E29" s="35">
        <v>-32.799999999999997</v>
      </c>
      <c r="F29" s="35">
        <v>-18.600000000000001</v>
      </c>
      <c r="G29" s="35">
        <v>-30.2</v>
      </c>
      <c r="H29" s="35">
        <v>-26.7</v>
      </c>
      <c r="I29" s="35">
        <v>-18.2</v>
      </c>
      <c r="J29" s="35">
        <v>-19</v>
      </c>
      <c r="K29" s="35">
        <v>-20</v>
      </c>
      <c r="L29" s="35">
        <v>-25.3</v>
      </c>
      <c r="M29" s="35">
        <v>-22.2</v>
      </c>
      <c r="N29" s="35">
        <v>-29.8</v>
      </c>
      <c r="O29" s="35">
        <v>-20.8</v>
      </c>
      <c r="P29" s="35">
        <v>-29.8</v>
      </c>
      <c r="Q29" s="35">
        <v>-21.5</v>
      </c>
      <c r="R29" s="35">
        <v>-18.5</v>
      </c>
      <c r="S29" s="35">
        <v>-13.8</v>
      </c>
      <c r="T29" s="35">
        <v>-15.1</v>
      </c>
      <c r="U29" s="35">
        <v>-11.5</v>
      </c>
      <c r="V29" s="35">
        <v>-6.2</v>
      </c>
      <c r="W29" s="35">
        <v>-7.4</v>
      </c>
      <c r="X29" s="35">
        <v>-16.7</v>
      </c>
      <c r="Y29" s="35">
        <v>-10.6</v>
      </c>
      <c r="Z29" s="35">
        <v>-10.9</v>
      </c>
      <c r="AA29" s="35">
        <v>-12.2</v>
      </c>
      <c r="AB29" s="35">
        <v>-10.4</v>
      </c>
      <c r="AC29" s="35">
        <v>-17</v>
      </c>
      <c r="AD29" s="35">
        <v>-15.6</v>
      </c>
      <c r="AE29" s="35">
        <v>-19.3</v>
      </c>
      <c r="AF29" s="35">
        <v>-23.3</v>
      </c>
    </row>
    <row r="30" spans="1:32" x14ac:dyDescent="0.25">
      <c r="A30" s="10">
        <v>16</v>
      </c>
      <c r="B30" s="35">
        <v>-32.299999999999997</v>
      </c>
      <c r="C30" s="35">
        <v>-35.9</v>
      </c>
      <c r="D30" s="35">
        <v>-38</v>
      </c>
      <c r="E30" s="35">
        <v>-33.200000000000003</v>
      </c>
      <c r="F30" s="35">
        <v>-18.5</v>
      </c>
      <c r="G30" s="35">
        <v>-32.4</v>
      </c>
      <c r="H30" s="35">
        <v>-26.1</v>
      </c>
      <c r="I30" s="35">
        <v>-19</v>
      </c>
      <c r="J30" s="35">
        <v>-21</v>
      </c>
      <c r="K30" s="35">
        <v>-19.600000000000001</v>
      </c>
      <c r="L30" s="35">
        <v>-26.9</v>
      </c>
      <c r="M30" s="35">
        <v>-21.9</v>
      </c>
      <c r="N30" s="35">
        <v>-30.7</v>
      </c>
      <c r="O30" s="35">
        <v>-21.5</v>
      </c>
      <c r="P30" s="35">
        <v>-29</v>
      </c>
      <c r="Q30" s="35">
        <v>-21.5</v>
      </c>
      <c r="R30" s="35">
        <v>-20.9</v>
      </c>
      <c r="S30" s="35">
        <v>-12.7</v>
      </c>
      <c r="T30" s="35">
        <v>-16.3</v>
      </c>
      <c r="U30" s="35">
        <v>-11.3</v>
      </c>
      <c r="V30" s="35">
        <v>-6.7</v>
      </c>
      <c r="W30" s="35">
        <v>-7.9</v>
      </c>
      <c r="X30" s="35">
        <v>-17.899999999999999</v>
      </c>
      <c r="Y30" s="35">
        <v>-10.7</v>
      </c>
      <c r="Z30" s="35">
        <v>-14.7</v>
      </c>
      <c r="AA30" s="35">
        <v>-12.3</v>
      </c>
      <c r="AB30" s="35">
        <v>-11.1</v>
      </c>
      <c r="AC30" s="35">
        <v>-18.100000000000001</v>
      </c>
      <c r="AD30" s="35">
        <v>-19</v>
      </c>
      <c r="AE30" s="35">
        <v>-21.7</v>
      </c>
      <c r="AF30" s="35">
        <v>-23.1</v>
      </c>
    </row>
    <row r="31" spans="1:32" x14ac:dyDescent="0.25">
      <c r="A31" s="10">
        <v>18</v>
      </c>
      <c r="B31" s="35">
        <v>-32.5</v>
      </c>
      <c r="C31" s="35">
        <v>-35.9</v>
      </c>
      <c r="D31" s="35">
        <v>-38.6</v>
      </c>
      <c r="E31" s="35">
        <v>-33.200000000000003</v>
      </c>
      <c r="F31" s="35">
        <v>-18.899999999999999</v>
      </c>
      <c r="G31" s="35">
        <v>-31.2</v>
      </c>
      <c r="H31" s="35">
        <v>-26.5</v>
      </c>
      <c r="I31" s="35">
        <v>-19.600000000000001</v>
      </c>
      <c r="J31" s="35">
        <v>-22</v>
      </c>
      <c r="K31" s="35">
        <v>-18</v>
      </c>
      <c r="L31" s="35">
        <v>-27.9</v>
      </c>
      <c r="M31" s="35">
        <v>-22.6</v>
      </c>
      <c r="N31" s="35">
        <v>-29.6</v>
      </c>
      <c r="O31" s="35">
        <v>-24</v>
      </c>
      <c r="P31" s="35">
        <v>-29.9</v>
      </c>
      <c r="Q31" s="35">
        <v>-20.6</v>
      </c>
      <c r="R31" s="35">
        <v>-22.6</v>
      </c>
      <c r="S31" s="35">
        <v>-12.1</v>
      </c>
      <c r="T31" s="35">
        <v>-19.5</v>
      </c>
      <c r="U31" s="35">
        <v>-10.8</v>
      </c>
      <c r="V31" s="35">
        <v>-8.1</v>
      </c>
      <c r="W31" s="35">
        <v>-7.9</v>
      </c>
      <c r="X31" s="35">
        <v>-18.5</v>
      </c>
      <c r="Y31" s="35">
        <v>-10.3</v>
      </c>
      <c r="Z31" s="35">
        <v>-16.7</v>
      </c>
      <c r="AA31" s="35">
        <v>-12.6</v>
      </c>
      <c r="AB31" s="35">
        <v>-10.5</v>
      </c>
      <c r="AC31" s="35">
        <v>-18</v>
      </c>
      <c r="AD31" s="35">
        <v>-20.9</v>
      </c>
      <c r="AE31" s="35">
        <v>-22.5</v>
      </c>
      <c r="AF31" s="35">
        <v>-22.6</v>
      </c>
    </row>
    <row r="32" spans="1:32" x14ac:dyDescent="0.25">
      <c r="A32" s="10">
        <v>20</v>
      </c>
      <c r="B32" s="35">
        <v>-33.299999999999997</v>
      </c>
      <c r="C32" s="35">
        <v>-36.200000000000003</v>
      </c>
      <c r="D32" s="35">
        <v>-38.299999999999997</v>
      </c>
      <c r="E32" s="35">
        <v>-31.8</v>
      </c>
      <c r="F32" s="35">
        <v>-18.899999999999999</v>
      </c>
      <c r="G32" s="35">
        <v>-29.5</v>
      </c>
      <c r="H32" s="35">
        <v>-26.8</v>
      </c>
      <c r="I32" s="35">
        <v>-19.8</v>
      </c>
      <c r="J32" s="35">
        <v>-24</v>
      </c>
      <c r="K32" s="35">
        <v>-16.899999999999999</v>
      </c>
      <c r="L32" s="35">
        <v>-28.2</v>
      </c>
      <c r="M32" s="35">
        <v>-23.2</v>
      </c>
      <c r="N32" s="35">
        <v>-29.1</v>
      </c>
      <c r="O32" s="35">
        <v>-24.7</v>
      </c>
      <c r="P32" s="35">
        <v>-29.1</v>
      </c>
      <c r="Q32" s="35">
        <v>-21</v>
      </c>
      <c r="R32" s="35">
        <v>-23.8</v>
      </c>
      <c r="S32" s="35">
        <v>-12.1</v>
      </c>
      <c r="T32" s="35">
        <v>-20.8</v>
      </c>
      <c r="U32" s="35">
        <v>-9.8000000000000007</v>
      </c>
      <c r="V32" s="35">
        <v>-8.3000000000000007</v>
      </c>
      <c r="W32" s="35">
        <v>-8</v>
      </c>
      <c r="X32" s="35">
        <v>-18.3</v>
      </c>
      <c r="Y32" s="35">
        <v>-9.3000000000000007</v>
      </c>
      <c r="Z32" s="35">
        <v>-17</v>
      </c>
      <c r="AA32" s="35">
        <v>-14.1</v>
      </c>
      <c r="AB32" s="35">
        <v>-10</v>
      </c>
      <c r="AC32" s="35">
        <v>-19.3</v>
      </c>
      <c r="AD32" s="35">
        <v>-22.3</v>
      </c>
      <c r="AE32" s="35">
        <v>-23.5</v>
      </c>
      <c r="AF32" s="35">
        <v>-20.3</v>
      </c>
    </row>
    <row r="33" spans="1:32" x14ac:dyDescent="0.25">
      <c r="A33" s="10">
        <v>22</v>
      </c>
      <c r="B33" s="35">
        <v>-32.299999999999997</v>
      </c>
      <c r="C33" s="35">
        <v>-36.4</v>
      </c>
      <c r="D33" s="35">
        <v>-37.1</v>
      </c>
      <c r="E33" s="35">
        <v>-31.3</v>
      </c>
      <c r="F33" s="35">
        <v>-19.899999999999999</v>
      </c>
      <c r="G33" s="35">
        <v>-28.7</v>
      </c>
      <c r="H33" s="35">
        <v>-26.6</v>
      </c>
      <c r="I33" s="35">
        <v>-19.899999999999999</v>
      </c>
      <c r="J33" s="35">
        <v>-26</v>
      </c>
      <c r="K33" s="35">
        <v>-16.399999999999999</v>
      </c>
      <c r="L33" s="35">
        <v>-28</v>
      </c>
      <c r="M33" s="35">
        <v>-24.2</v>
      </c>
      <c r="N33" s="35">
        <v>-30</v>
      </c>
      <c r="O33" s="35">
        <v>-24</v>
      </c>
      <c r="P33" s="35">
        <v>-26.9</v>
      </c>
      <c r="Q33" s="35">
        <v>-23.1</v>
      </c>
      <c r="R33" s="35">
        <v>-23.6</v>
      </c>
      <c r="S33" s="35">
        <v>-12.1</v>
      </c>
      <c r="T33" s="35">
        <v>-21.7</v>
      </c>
      <c r="U33" s="35">
        <v>-9.6</v>
      </c>
      <c r="V33" s="35">
        <v>-9.8000000000000007</v>
      </c>
      <c r="W33" s="35">
        <v>-8.4</v>
      </c>
      <c r="X33" s="35">
        <v>-15.6</v>
      </c>
      <c r="Y33" s="35">
        <v>-8.8000000000000007</v>
      </c>
      <c r="Z33" s="35">
        <v>-16.600000000000001</v>
      </c>
      <c r="AA33" s="35">
        <v>-13.6</v>
      </c>
      <c r="AB33" s="35">
        <v>-10.7</v>
      </c>
      <c r="AC33" s="35">
        <v>-20.8</v>
      </c>
      <c r="AD33" s="35">
        <v>-23.3</v>
      </c>
      <c r="AE33" s="35">
        <v>-23.8</v>
      </c>
      <c r="AF33" s="35">
        <v>-17.7</v>
      </c>
    </row>
    <row r="34" spans="1:32" x14ac:dyDescent="0.25">
      <c r="A34" s="10">
        <v>24</v>
      </c>
      <c r="B34" s="35">
        <v>-30.5</v>
      </c>
      <c r="C34" s="35">
        <v>-36.9</v>
      </c>
      <c r="D34" s="35">
        <v>-35.9</v>
      </c>
      <c r="E34" s="35">
        <v>-30.2</v>
      </c>
      <c r="F34" s="35">
        <v>-19.600000000000001</v>
      </c>
      <c r="G34" s="35">
        <v>-27.7</v>
      </c>
      <c r="H34" s="35">
        <v>-26</v>
      </c>
      <c r="I34" s="35">
        <v>-19.7</v>
      </c>
      <c r="J34" s="35">
        <v>-24</v>
      </c>
      <c r="K34" s="35">
        <v>-15.8</v>
      </c>
      <c r="L34" s="35">
        <v>-26.8</v>
      </c>
      <c r="M34" s="35">
        <v>-25.3</v>
      </c>
      <c r="N34" s="35">
        <v>-29.1</v>
      </c>
      <c r="O34" s="35">
        <v>-24.9</v>
      </c>
      <c r="P34" s="35">
        <v>-27.5</v>
      </c>
      <c r="Q34" s="35">
        <v>-23</v>
      </c>
      <c r="R34" s="35">
        <v>-23.3</v>
      </c>
      <c r="S34" s="35">
        <v>-13.5</v>
      </c>
      <c r="T34" s="35">
        <v>-22.6</v>
      </c>
      <c r="U34" s="35">
        <v>-9.8000000000000007</v>
      </c>
      <c r="V34" s="35">
        <v>-6.9</v>
      </c>
      <c r="W34" s="35">
        <v>-8.5</v>
      </c>
      <c r="X34" s="35">
        <v>-13.2</v>
      </c>
      <c r="Y34" s="35">
        <v>-9.4</v>
      </c>
      <c r="Z34" s="35">
        <v>-14.8</v>
      </c>
      <c r="AA34" s="35">
        <v>-12.9</v>
      </c>
      <c r="AB34" s="35">
        <v>-10.4</v>
      </c>
      <c r="AC34" s="35">
        <v>-20.3</v>
      </c>
      <c r="AD34" s="35">
        <v>-22.2</v>
      </c>
      <c r="AE34" s="35">
        <v>-25</v>
      </c>
      <c r="AF34" s="35">
        <v>-15.2</v>
      </c>
    </row>
    <row r="35" spans="1:32" x14ac:dyDescent="0.25">
      <c r="A35" s="10">
        <v>2</v>
      </c>
      <c r="B35" s="35">
        <v>-28.4</v>
      </c>
      <c r="C35" s="35">
        <v>-36.700000000000003</v>
      </c>
      <c r="D35" s="35">
        <v>-34.1</v>
      </c>
      <c r="E35" s="35">
        <v>-27.7</v>
      </c>
      <c r="F35" s="35">
        <v>-20.3</v>
      </c>
      <c r="G35" s="35">
        <v>-27.5</v>
      </c>
      <c r="H35" s="35">
        <v>-24.8</v>
      </c>
      <c r="I35" s="35">
        <v>-18</v>
      </c>
      <c r="J35" s="35">
        <v>-24</v>
      </c>
      <c r="K35" s="35">
        <v>-15</v>
      </c>
      <c r="L35" s="35">
        <v>-26.8</v>
      </c>
      <c r="M35" s="35">
        <v>-26.6</v>
      </c>
      <c r="N35" s="35">
        <v>-28.6</v>
      </c>
      <c r="O35" s="35">
        <v>-24.4</v>
      </c>
      <c r="P35" s="35">
        <v>-26.9</v>
      </c>
      <c r="Q35" s="35">
        <v>-21.7</v>
      </c>
      <c r="R35" s="35">
        <v>-22.4</v>
      </c>
      <c r="S35" s="35">
        <v>-13.8</v>
      </c>
      <c r="T35" s="35">
        <v>-23.2</v>
      </c>
      <c r="U35" s="35">
        <v>-9.5</v>
      </c>
      <c r="V35" s="35">
        <v>-7</v>
      </c>
      <c r="W35" s="35">
        <v>-9.1</v>
      </c>
      <c r="X35" s="35">
        <v>-12</v>
      </c>
      <c r="Y35" s="35">
        <v>-9.9</v>
      </c>
      <c r="Z35" s="35">
        <v>-13.7</v>
      </c>
      <c r="AA35" s="35">
        <v>-12.1</v>
      </c>
      <c r="AB35" s="35">
        <v>-10.6</v>
      </c>
      <c r="AC35" s="35">
        <v>-20.399999999999999</v>
      </c>
      <c r="AD35" s="35">
        <v>-21.4</v>
      </c>
      <c r="AE35" s="35">
        <v>-24.3</v>
      </c>
      <c r="AF35" s="35">
        <v>-14.5</v>
      </c>
    </row>
    <row r="36" spans="1:32" ht="30" x14ac:dyDescent="0.25">
      <c r="A36" s="11" t="s">
        <v>2</v>
      </c>
      <c r="B36" s="15">
        <f>(B24+B25+B26+B27+B28+B29+B30+B31+B32+B33+B34+B35)/12</f>
        <v>-31.716666666666669</v>
      </c>
      <c r="C36" s="15">
        <f t="shared" ref="C36:J36" si="2">(C24+C25+C26+C27+C28+C29+C30+C31+C32+C33+C34+C35)/12</f>
        <v>-32.958333333333329</v>
      </c>
      <c r="D36" s="15">
        <f t="shared" si="2"/>
        <v>-37.283333333333339</v>
      </c>
      <c r="E36" s="15">
        <f t="shared" si="2"/>
        <v>-32.25</v>
      </c>
      <c r="F36" s="15">
        <f t="shared" si="2"/>
        <v>-20.350000000000001</v>
      </c>
      <c r="G36" s="15">
        <f t="shared" si="2"/>
        <v>-28.758333333333326</v>
      </c>
      <c r="H36" s="15">
        <f t="shared" si="2"/>
        <v>-26.891666666666666</v>
      </c>
      <c r="I36" s="15">
        <f t="shared" si="2"/>
        <v>-19.841666666666669</v>
      </c>
      <c r="J36" s="15">
        <f t="shared" si="2"/>
        <v>-22.166666666666668</v>
      </c>
      <c r="K36" s="15">
        <f>(K24+K25+K26+K27+K28+K29+K30+K31+K32+K33+K34+K35)/12</f>
        <v>-18.891666666666669</v>
      </c>
      <c r="L36" s="15">
        <f t="shared" ref="L36:AF36" si="3">(L24+L25+L26+L27+L28+L29+L30+L31+L32+L33+L34+L35)/12</f>
        <v>-23.366666666666664</v>
      </c>
      <c r="M36" s="15">
        <f t="shared" si="3"/>
        <v>-24.175000000000001</v>
      </c>
      <c r="N36" s="15">
        <f t="shared" si="3"/>
        <v>-29.808333333333337</v>
      </c>
      <c r="O36" s="15">
        <f t="shared" si="3"/>
        <v>-23.316666666666666</v>
      </c>
      <c r="P36" s="15">
        <f t="shared" si="3"/>
        <v>-29.958333333333332</v>
      </c>
      <c r="Q36" s="15">
        <f t="shared" si="3"/>
        <v>-22.5</v>
      </c>
      <c r="R36" s="15">
        <f t="shared" si="3"/>
        <v>-21.591666666666669</v>
      </c>
      <c r="S36" s="15">
        <f t="shared" si="3"/>
        <v>-14.533333333333333</v>
      </c>
      <c r="T36" s="15">
        <f t="shared" si="3"/>
        <v>-17.80833333333333</v>
      </c>
      <c r="U36" s="15">
        <f t="shared" si="3"/>
        <v>-14.058333333333335</v>
      </c>
      <c r="V36" s="15">
        <f t="shared" si="3"/>
        <v>-7.7333333333333343</v>
      </c>
      <c r="W36" s="15">
        <f t="shared" si="3"/>
        <v>-7.9333333333333327</v>
      </c>
      <c r="X36" s="15">
        <f t="shared" si="3"/>
        <v>-14.833333333333334</v>
      </c>
      <c r="Y36" s="15">
        <f t="shared" si="3"/>
        <v>-10.766666666666666</v>
      </c>
      <c r="Z36" s="15">
        <f t="shared" si="3"/>
        <v>-13.175000000000002</v>
      </c>
      <c r="AA36" s="15">
        <f t="shared" si="3"/>
        <v>-12.441666666666663</v>
      </c>
      <c r="AB36" s="15">
        <f t="shared" si="3"/>
        <v>-11.200000000000001</v>
      </c>
      <c r="AC36" s="15">
        <f t="shared" si="3"/>
        <v>-17.200000000000003</v>
      </c>
      <c r="AD36" s="15">
        <f>(AD24+AD25+AD26+AD27+AD28+AD29+AD30+AD31+AD32+AD33+AD34+AD35)/12</f>
        <v>-19.55</v>
      </c>
      <c r="AE36" s="15">
        <f>(AE24+AE25+AE26+AE27+AE28+AE29+AE30+AE31+AE32+AE33+AE34+AE35)/12</f>
        <v>-22.55</v>
      </c>
      <c r="AF36" s="15">
        <f t="shared" si="3"/>
        <v>-22.058333333333334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E4" sqref="AE4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35">
        <v>-12.2</v>
      </c>
      <c r="C4" s="35">
        <v>-21.8</v>
      </c>
      <c r="D4" s="35">
        <v>-17.899999999999999</v>
      </c>
      <c r="E4" s="35">
        <v>-23.9</v>
      </c>
      <c r="F4" s="35">
        <v>-19.2</v>
      </c>
      <c r="G4" s="35">
        <v>-9.1</v>
      </c>
      <c r="H4" s="35">
        <v>-1.9</v>
      </c>
      <c r="I4" s="35">
        <v>-7.5</v>
      </c>
      <c r="J4" s="35">
        <v>-7</v>
      </c>
      <c r="K4" s="35">
        <v>-9.8000000000000007</v>
      </c>
      <c r="L4" s="35">
        <v>-24.8</v>
      </c>
      <c r="M4" s="35">
        <v>-27.8</v>
      </c>
      <c r="N4" s="35">
        <v>-32</v>
      </c>
      <c r="O4" s="35">
        <v>-35.299999999999997</v>
      </c>
      <c r="P4" s="35">
        <v>-27.5</v>
      </c>
      <c r="Q4" s="35">
        <v>-18.7</v>
      </c>
      <c r="R4" s="35">
        <v>-23</v>
      </c>
      <c r="S4" s="35">
        <v>-26.5</v>
      </c>
      <c r="T4" s="35">
        <v>-24.6</v>
      </c>
      <c r="U4" s="35">
        <v>-17.7</v>
      </c>
      <c r="V4" s="35">
        <v>-19.2</v>
      </c>
      <c r="W4" s="35">
        <v>-20.3</v>
      </c>
      <c r="X4" s="35">
        <v>-18.7</v>
      </c>
      <c r="Y4" s="35">
        <v>-17</v>
      </c>
      <c r="Z4" s="35">
        <v>-21.5</v>
      </c>
      <c r="AA4" s="35">
        <v>-13.6</v>
      </c>
      <c r="AB4" s="35">
        <v>-6</v>
      </c>
      <c r="AC4" s="35">
        <v>-4</v>
      </c>
      <c r="AD4" s="35">
        <v>-3.2</v>
      </c>
      <c r="AE4" s="35"/>
      <c r="AF4" s="35"/>
    </row>
    <row r="5" spans="1:33" x14ac:dyDescent="0.25">
      <c r="A5" s="10">
        <v>6</v>
      </c>
      <c r="B5" s="35">
        <v>-12.2</v>
      </c>
      <c r="C5" s="35">
        <v>-21.9</v>
      </c>
      <c r="D5" s="35">
        <v>-17.2</v>
      </c>
      <c r="E5" s="35">
        <v>-24.1</v>
      </c>
      <c r="F5" s="35">
        <v>-18.899999999999999</v>
      </c>
      <c r="G5" s="35">
        <v>-8.9</v>
      </c>
      <c r="H5" s="35">
        <v>-1.3</v>
      </c>
      <c r="I5" s="35">
        <v>-8</v>
      </c>
      <c r="J5" s="35">
        <v>-6.9</v>
      </c>
      <c r="K5" s="35">
        <v>-10.199999999999999</v>
      </c>
      <c r="L5" s="35">
        <v>-24.8</v>
      </c>
      <c r="M5" s="35">
        <v>-28.7</v>
      </c>
      <c r="N5" s="35">
        <v>-34.700000000000003</v>
      </c>
      <c r="O5" s="35">
        <v>-34.700000000000003</v>
      </c>
      <c r="P5" s="35">
        <v>-26.3</v>
      </c>
      <c r="Q5" s="35">
        <v>-18.7</v>
      </c>
      <c r="R5" s="35">
        <v>-24.1</v>
      </c>
      <c r="S5" s="35">
        <v>-28.8</v>
      </c>
      <c r="T5" s="35">
        <v>-23.9</v>
      </c>
      <c r="U5" s="35">
        <v>-18.2</v>
      </c>
      <c r="V5" s="35">
        <v>-19.2</v>
      </c>
      <c r="W5" s="35">
        <v>-21</v>
      </c>
      <c r="X5" s="35">
        <v>-18.7</v>
      </c>
      <c r="Y5" s="35">
        <v>-16.8</v>
      </c>
      <c r="Z5" s="35">
        <v>-22.3</v>
      </c>
      <c r="AA5" s="35">
        <v>-13.6</v>
      </c>
      <c r="AB5" s="35">
        <v>-6</v>
      </c>
      <c r="AC5" s="35">
        <v>-3.9</v>
      </c>
      <c r="AD5" s="35">
        <v>-4.0999999999999996</v>
      </c>
      <c r="AE5" s="35"/>
      <c r="AF5" s="35"/>
    </row>
    <row r="6" spans="1:33" x14ac:dyDescent="0.25">
      <c r="A6" s="10">
        <v>8</v>
      </c>
      <c r="B6" s="35">
        <v>-12.3</v>
      </c>
      <c r="C6" s="35">
        <v>-19.7</v>
      </c>
      <c r="D6" s="35">
        <v>-15.1</v>
      </c>
      <c r="E6" s="35">
        <v>-23.5</v>
      </c>
      <c r="F6" s="35">
        <v>-19.2</v>
      </c>
      <c r="G6" s="35">
        <v>-6.8</v>
      </c>
      <c r="H6" s="35">
        <v>-1.3</v>
      </c>
      <c r="I6" s="35">
        <v>-8.6</v>
      </c>
      <c r="J6" s="35">
        <v>-7.2</v>
      </c>
      <c r="K6" s="35">
        <v>-11.5</v>
      </c>
      <c r="L6" s="35">
        <v>-26.7</v>
      </c>
      <c r="M6" s="35">
        <v>-29.6</v>
      </c>
      <c r="N6" s="35">
        <v>-36</v>
      </c>
      <c r="O6" s="35">
        <v>-34.5</v>
      </c>
      <c r="P6" s="35">
        <v>-25.3</v>
      </c>
      <c r="Q6" s="35">
        <v>-17.5</v>
      </c>
      <c r="R6" s="35">
        <v>-24.4</v>
      </c>
      <c r="S6" s="35">
        <v>-29.6</v>
      </c>
      <c r="T6" s="35">
        <v>-22.8</v>
      </c>
      <c r="U6" s="35">
        <v>-18.600000000000001</v>
      </c>
      <c r="V6" s="35">
        <v>-20.5</v>
      </c>
      <c r="W6" s="35">
        <v>-21.6</v>
      </c>
      <c r="X6" s="35">
        <v>-18.600000000000001</v>
      </c>
      <c r="Y6" s="35">
        <v>-17.100000000000001</v>
      </c>
      <c r="Z6" s="35">
        <v>-22.9</v>
      </c>
      <c r="AA6" s="35">
        <v>-12.9</v>
      </c>
      <c r="AB6" s="35">
        <v>-6.6</v>
      </c>
      <c r="AC6" s="35">
        <v>-3.6</v>
      </c>
      <c r="AD6" s="35">
        <v>-4.5999999999999996</v>
      </c>
      <c r="AE6" s="35"/>
      <c r="AF6" s="35"/>
    </row>
    <row r="7" spans="1:33" x14ac:dyDescent="0.25">
      <c r="A7" s="10">
        <v>10</v>
      </c>
      <c r="B7" s="35">
        <v>-13.1</v>
      </c>
      <c r="C7" s="35">
        <v>-18.399999999999999</v>
      </c>
      <c r="D7" s="35">
        <v>-14.6</v>
      </c>
      <c r="E7" s="35">
        <v>-23.5</v>
      </c>
      <c r="F7" s="35">
        <v>-18.7</v>
      </c>
      <c r="G7" s="35">
        <v>-3.3</v>
      </c>
      <c r="H7" s="35">
        <v>-1.3</v>
      </c>
      <c r="I7" s="35">
        <v>-7.4</v>
      </c>
      <c r="J7" s="35">
        <v>-7.5</v>
      </c>
      <c r="K7" s="35">
        <v>-11.9</v>
      </c>
      <c r="L7" s="35">
        <v>-25.6</v>
      </c>
      <c r="M7" s="35">
        <v>-26.3</v>
      </c>
      <c r="N7" s="35">
        <v>-33</v>
      </c>
      <c r="O7" s="35">
        <v>-32.700000000000003</v>
      </c>
      <c r="P7" s="35">
        <v>-24.3</v>
      </c>
      <c r="Q7" s="35">
        <v>-16.5</v>
      </c>
      <c r="R7" s="35">
        <v>-22.8</v>
      </c>
      <c r="S7" s="35">
        <v>-27</v>
      </c>
      <c r="T7" s="35">
        <v>-21.5</v>
      </c>
      <c r="U7" s="35">
        <v>-18</v>
      </c>
      <c r="V7" s="35">
        <v>-19.899999999999999</v>
      </c>
      <c r="W7" s="35">
        <v>-21.1</v>
      </c>
      <c r="X7" s="35">
        <v>-17.8</v>
      </c>
      <c r="Y7" s="35">
        <v>-16.899999999999999</v>
      </c>
      <c r="Z7" s="35">
        <v>-18.899999999999999</v>
      </c>
      <c r="AA7" s="35">
        <v>-11.4</v>
      </c>
      <c r="AB7" s="35">
        <v>-6</v>
      </c>
      <c r="AC7" s="35">
        <v>-2.9</v>
      </c>
      <c r="AD7" s="35">
        <v>-3.9</v>
      </c>
      <c r="AE7" s="35"/>
      <c r="AF7" s="35"/>
    </row>
    <row r="8" spans="1:33" x14ac:dyDescent="0.25">
      <c r="A8" s="10">
        <v>12</v>
      </c>
      <c r="B8" s="35">
        <v>-13.5</v>
      </c>
      <c r="C8" s="35">
        <v>-16.899999999999999</v>
      </c>
      <c r="D8" s="35">
        <v>-12.3</v>
      </c>
      <c r="E8" s="35">
        <v>-21.2</v>
      </c>
      <c r="F8" s="35">
        <v>-15</v>
      </c>
      <c r="G8" s="35">
        <v>-2</v>
      </c>
      <c r="H8" s="35">
        <v>-0.8</v>
      </c>
      <c r="I8" s="35">
        <v>-7.1</v>
      </c>
      <c r="J8" s="35">
        <v>-7.6</v>
      </c>
      <c r="K8" s="35">
        <v>-10.199999999999999</v>
      </c>
      <c r="L8" s="35">
        <v>-24.87</v>
      </c>
      <c r="M8" s="35">
        <v>-23.4</v>
      </c>
      <c r="N8" s="35">
        <v>-30.6</v>
      </c>
      <c r="O8" s="35">
        <v>-30.3</v>
      </c>
      <c r="P8" s="35">
        <v>-24.4</v>
      </c>
      <c r="Q8" s="35">
        <v>-16.100000000000001</v>
      </c>
      <c r="R8" s="35">
        <v>-20.6</v>
      </c>
      <c r="S8" s="35">
        <v>-24.1</v>
      </c>
      <c r="T8" s="35">
        <v>-18.899999999999999</v>
      </c>
      <c r="U8" s="35">
        <v>-16.8</v>
      </c>
      <c r="V8" s="35">
        <v>-17.7</v>
      </c>
      <c r="W8" s="35">
        <v>-20.100000000000001</v>
      </c>
      <c r="X8" s="35">
        <v>-16.3</v>
      </c>
      <c r="Y8" s="35">
        <v>-13.8</v>
      </c>
      <c r="Z8" s="35">
        <v>-15.7</v>
      </c>
      <c r="AA8" s="35">
        <v>-9.6</v>
      </c>
      <c r="AB8" s="35">
        <v>-5.0999999999999996</v>
      </c>
      <c r="AC8" s="35">
        <v>-2.4</v>
      </c>
      <c r="AD8" s="35">
        <v>-2.2999999999999998</v>
      </c>
      <c r="AE8" s="35"/>
      <c r="AF8" s="35"/>
    </row>
    <row r="9" spans="1:33" x14ac:dyDescent="0.25">
      <c r="A9" s="10">
        <v>14</v>
      </c>
      <c r="B9" s="35">
        <v>-14.7</v>
      </c>
      <c r="C9" s="35">
        <v>-16.5</v>
      </c>
      <c r="D9" s="35">
        <v>-10.9</v>
      </c>
      <c r="E9" s="35">
        <v>-21</v>
      </c>
      <c r="F9" s="35">
        <v>-18.8</v>
      </c>
      <c r="G9" s="35">
        <v>-1.6</v>
      </c>
      <c r="H9" s="35">
        <v>-0.5</v>
      </c>
      <c r="I9" s="35">
        <v>-7.05</v>
      </c>
      <c r="J9" s="35">
        <v>-7.3</v>
      </c>
      <c r="K9" s="35">
        <v>-10.9</v>
      </c>
      <c r="L9" s="35">
        <v>-23.6</v>
      </c>
      <c r="M9" s="35">
        <v>-22.2</v>
      </c>
      <c r="N9" s="35">
        <v>-28.4</v>
      </c>
      <c r="O9" s="35">
        <v>-28.4</v>
      </c>
      <c r="P9" s="35">
        <v>-24.5</v>
      </c>
      <c r="Q9" s="35">
        <v>-16.399999999999999</v>
      </c>
      <c r="R9" s="35">
        <v>-19.100000000000001</v>
      </c>
      <c r="S9" s="35">
        <v>-23.1</v>
      </c>
      <c r="T9" s="35">
        <v>-15.3</v>
      </c>
      <c r="U9" s="35">
        <v>-15.9</v>
      </c>
      <c r="V9" s="35">
        <v>-16.3</v>
      </c>
      <c r="W9" s="35">
        <v>-19.8</v>
      </c>
      <c r="X9" s="35">
        <v>-16.100000000000001</v>
      </c>
      <c r="Y9" s="35">
        <v>-13.4</v>
      </c>
      <c r="Z9" s="35">
        <v>-14.6</v>
      </c>
      <c r="AA9" s="35">
        <v>-9</v>
      </c>
      <c r="AB9" s="35">
        <v>-5.0999999999999996</v>
      </c>
      <c r="AC9" s="35">
        <v>-1.9</v>
      </c>
      <c r="AD9" s="35">
        <v>-2.6</v>
      </c>
      <c r="AE9" s="35"/>
      <c r="AF9" s="35"/>
    </row>
    <row r="10" spans="1:33" x14ac:dyDescent="0.25">
      <c r="A10" s="10">
        <v>16</v>
      </c>
      <c r="B10" s="35">
        <v>-16.7</v>
      </c>
      <c r="C10" s="35">
        <v>-17.600000000000001</v>
      </c>
      <c r="D10" s="35">
        <v>-13.1</v>
      </c>
      <c r="E10" s="35">
        <v>-22</v>
      </c>
      <c r="F10" s="35">
        <v>-19.7</v>
      </c>
      <c r="G10" s="35">
        <v>-2.2999999999999998</v>
      </c>
      <c r="H10" s="35">
        <v>-2.2999999999999998</v>
      </c>
      <c r="I10" s="35">
        <v>-7.4</v>
      </c>
      <c r="J10" s="35">
        <v>-7</v>
      </c>
      <c r="K10" s="35">
        <v>-12.1</v>
      </c>
      <c r="L10" s="35">
        <v>-24.8</v>
      </c>
      <c r="M10" s="35">
        <v>-23.6</v>
      </c>
      <c r="N10" s="35">
        <v>-28.1</v>
      </c>
      <c r="O10" s="35">
        <v>-29.3</v>
      </c>
      <c r="P10" s="35">
        <v>-25.8</v>
      </c>
      <c r="Q10" s="35">
        <v>-16.600000000000001</v>
      </c>
      <c r="R10" s="35">
        <v>-19.7</v>
      </c>
      <c r="S10" s="35">
        <v>-23.9</v>
      </c>
      <c r="T10" s="35">
        <v>-13.5</v>
      </c>
      <c r="U10" s="35">
        <v>-15.8</v>
      </c>
      <c r="V10" s="35">
        <v>-16</v>
      </c>
      <c r="W10" s="35">
        <v>-19.399999999999999</v>
      </c>
      <c r="X10" s="35">
        <v>-16.8</v>
      </c>
      <c r="Y10" s="35">
        <v>-14.6</v>
      </c>
      <c r="Z10" s="35">
        <v>-14.5</v>
      </c>
      <c r="AA10" s="35">
        <v>-8.6999999999999993</v>
      </c>
      <c r="AB10" s="35">
        <v>-5.5</v>
      </c>
      <c r="AC10" s="35">
        <v>-1.7</v>
      </c>
      <c r="AD10" s="35">
        <v>-3.2</v>
      </c>
      <c r="AE10" s="35"/>
      <c r="AF10" s="35"/>
    </row>
    <row r="11" spans="1:33" x14ac:dyDescent="0.25">
      <c r="A11" s="10">
        <v>18</v>
      </c>
      <c r="B11" s="35">
        <v>-18.16</v>
      </c>
      <c r="C11" s="35">
        <v>-19.010000000000002</v>
      </c>
      <c r="D11" s="35">
        <v>-15.91</v>
      </c>
      <c r="E11" s="35">
        <v>-21.26</v>
      </c>
      <c r="F11" s="35">
        <v>-21.6</v>
      </c>
      <c r="G11" s="35">
        <v>-1.44</v>
      </c>
      <c r="H11" s="35">
        <v>-3.56</v>
      </c>
      <c r="I11" s="35">
        <v>-7.33</v>
      </c>
      <c r="J11" s="35">
        <v>-8.0399999999999991</v>
      </c>
      <c r="K11" s="35">
        <v>-14.8</v>
      </c>
      <c r="L11" s="35">
        <v>-25.6</v>
      </c>
      <c r="M11" s="35">
        <v>-24.3</v>
      </c>
      <c r="N11" s="35">
        <v>-30.78</v>
      </c>
      <c r="O11" s="35">
        <v>-28.8</v>
      </c>
      <c r="P11" s="35">
        <v>-26.6</v>
      </c>
      <c r="Q11" s="35">
        <v>-16.3</v>
      </c>
      <c r="R11" s="35">
        <v>-23</v>
      </c>
      <c r="S11" s="35">
        <v>-25.2</v>
      </c>
      <c r="T11" s="35">
        <v>-13.6</v>
      </c>
      <c r="U11" s="35">
        <v>-15.8</v>
      </c>
      <c r="V11" s="35">
        <v>-16.399999999999999</v>
      </c>
      <c r="W11" s="35">
        <v>-18.5</v>
      </c>
      <c r="X11" s="35">
        <v>-18.8</v>
      </c>
      <c r="Y11" s="35">
        <v>-17.100000000000001</v>
      </c>
      <c r="Z11" s="35">
        <v>-14.2</v>
      </c>
      <c r="AA11" s="35">
        <v>-8.6999999999999993</v>
      </c>
      <c r="AB11" s="35">
        <v>-5.3</v>
      </c>
      <c r="AC11" s="35">
        <v>-2.1</v>
      </c>
      <c r="AD11" s="35">
        <v>-4</v>
      </c>
      <c r="AE11" s="35"/>
      <c r="AF11" s="35"/>
    </row>
    <row r="12" spans="1:33" x14ac:dyDescent="0.25">
      <c r="A12" s="10">
        <v>20</v>
      </c>
      <c r="B12" s="35">
        <v>-19.3</v>
      </c>
      <c r="C12" s="35">
        <v>-19.600000000000001</v>
      </c>
      <c r="D12" s="35">
        <v>-16.399999999999999</v>
      </c>
      <c r="E12" s="35">
        <v>-20</v>
      </c>
      <c r="F12" s="35">
        <v>-22.6</v>
      </c>
      <c r="G12" s="35">
        <v>-1.1000000000000001</v>
      </c>
      <c r="H12" s="35">
        <v>-4.5</v>
      </c>
      <c r="I12" s="35">
        <v>-7.33</v>
      </c>
      <c r="J12" s="35">
        <v>-7.8</v>
      </c>
      <c r="K12" s="35">
        <v>-17.3</v>
      </c>
      <c r="L12" s="35">
        <v>-24.79</v>
      </c>
      <c r="M12" s="35">
        <v>-24.7</v>
      </c>
      <c r="N12" s="35">
        <v>-33.01</v>
      </c>
      <c r="O12" s="35">
        <v>-29.1</v>
      </c>
      <c r="P12" s="35">
        <v>-26.5</v>
      </c>
      <c r="Q12" s="35">
        <v>-16.5</v>
      </c>
      <c r="R12" s="35">
        <v>-23.6</v>
      </c>
      <c r="S12" s="35">
        <v>-25.4</v>
      </c>
      <c r="T12" s="35">
        <v>-15</v>
      </c>
      <c r="U12" s="35">
        <v>-15.3</v>
      </c>
      <c r="V12" s="35">
        <v>-17.3</v>
      </c>
      <c r="W12" s="35">
        <v>-17.8</v>
      </c>
      <c r="X12" s="35">
        <v>-19.8</v>
      </c>
      <c r="Y12" s="35">
        <v>-18.899999999999999</v>
      </c>
      <c r="Z12" s="35">
        <v>-13.3</v>
      </c>
      <c r="AA12" s="35">
        <v>-8.1999999999999993</v>
      </c>
      <c r="AB12" s="35">
        <v>-5</v>
      </c>
      <c r="AC12" s="35">
        <v>-2.2000000000000002</v>
      </c>
      <c r="AD12" s="35">
        <v>-4.8</v>
      </c>
      <c r="AE12" s="35"/>
      <c r="AF12" s="35"/>
    </row>
    <row r="13" spans="1:33" x14ac:dyDescent="0.25">
      <c r="A13" s="10">
        <v>22</v>
      </c>
      <c r="B13" s="35">
        <v>-20.2</v>
      </c>
      <c r="C13" s="35">
        <v>-20.3</v>
      </c>
      <c r="D13" s="35">
        <v>-17.8</v>
      </c>
      <c r="E13" s="35">
        <v>-20.3</v>
      </c>
      <c r="F13" s="35">
        <v>-22.5</v>
      </c>
      <c r="G13" s="35">
        <v>-2.2000000000000002</v>
      </c>
      <c r="H13" s="35">
        <v>-6.5</v>
      </c>
      <c r="I13" s="35">
        <v>-6.9</v>
      </c>
      <c r="J13" s="35">
        <v>-8.3000000000000007</v>
      </c>
      <c r="K13" s="35">
        <v>-19.100000000000001</v>
      </c>
      <c r="L13" s="35">
        <v>-23.4</v>
      </c>
      <c r="M13" s="35">
        <v>-25.2</v>
      </c>
      <c r="N13" s="35">
        <v>-34.700000000000003</v>
      </c>
      <c r="O13" s="35">
        <v>-28.6</v>
      </c>
      <c r="P13" s="35">
        <v>-27.6</v>
      </c>
      <c r="Q13" s="35">
        <v>-17.100000000000001</v>
      </c>
      <c r="R13" s="35">
        <v>-25.6</v>
      </c>
      <c r="S13" s="35">
        <v>-25.8</v>
      </c>
      <c r="T13" s="35">
        <v>-16.2</v>
      </c>
      <c r="U13" s="35">
        <v>-15.4</v>
      </c>
      <c r="V13" s="35">
        <v>-18.2</v>
      </c>
      <c r="W13" s="35">
        <v>-18</v>
      </c>
      <c r="X13" s="13">
        <v>-19</v>
      </c>
      <c r="Y13" s="35">
        <v>-19.2</v>
      </c>
      <c r="Z13" s="35">
        <v>-13.5</v>
      </c>
      <c r="AA13" s="35">
        <v>-7.6</v>
      </c>
      <c r="AB13" s="35">
        <v>-2.6</v>
      </c>
      <c r="AC13" s="35">
        <v>-2.2999999999999998</v>
      </c>
      <c r="AD13" s="35">
        <v>-5.4</v>
      </c>
      <c r="AE13" s="35"/>
      <c r="AF13" s="35"/>
    </row>
    <row r="14" spans="1:33" x14ac:dyDescent="0.25">
      <c r="A14" s="10">
        <v>24</v>
      </c>
      <c r="B14" s="35">
        <v>-20.7</v>
      </c>
      <c r="C14" s="35">
        <v>-20.7</v>
      </c>
      <c r="D14" s="35">
        <v>-20.6</v>
      </c>
      <c r="E14" s="35">
        <v>-19.399999999999999</v>
      </c>
      <c r="F14" s="35">
        <v>-18.5</v>
      </c>
      <c r="G14" s="35">
        <v>-2.5</v>
      </c>
      <c r="H14" s="35">
        <v>-6.8</v>
      </c>
      <c r="I14" s="35">
        <v>-6.7</v>
      </c>
      <c r="J14" s="35">
        <v>-8.9</v>
      </c>
      <c r="K14" s="35">
        <v>-21.8</v>
      </c>
      <c r="L14" s="35">
        <v>-23.7</v>
      </c>
      <c r="M14" s="35">
        <v>-28</v>
      </c>
      <c r="N14" s="35">
        <v>-36.200000000000003</v>
      </c>
      <c r="O14" s="35">
        <v>-28.9</v>
      </c>
      <c r="P14" s="35">
        <v>-26.8</v>
      </c>
      <c r="Q14" s="35">
        <v>-17.3</v>
      </c>
      <c r="R14" s="35">
        <v>-25.1</v>
      </c>
      <c r="S14" s="35">
        <v>-25.6</v>
      </c>
      <c r="T14" s="35">
        <v>-16.8</v>
      </c>
      <c r="U14" s="35">
        <v>-16.5</v>
      </c>
      <c r="V14" s="35">
        <v>-19</v>
      </c>
      <c r="W14" s="35">
        <v>-18.2</v>
      </c>
      <c r="X14" s="13">
        <v>-18.7</v>
      </c>
      <c r="Y14" s="35">
        <v>-19.100000000000001</v>
      </c>
      <c r="Z14" s="35">
        <v>-13.4</v>
      </c>
      <c r="AA14" s="35">
        <v>-7</v>
      </c>
      <c r="AB14" s="35">
        <v>-2</v>
      </c>
      <c r="AC14" s="35">
        <v>-2.2999999999999998</v>
      </c>
      <c r="AD14" s="35">
        <v>-5.6</v>
      </c>
      <c r="AE14" s="35"/>
      <c r="AF14" s="35"/>
    </row>
    <row r="15" spans="1:33" x14ac:dyDescent="0.25">
      <c r="A15" s="10">
        <v>2</v>
      </c>
      <c r="B15" s="35">
        <v>-21.77</v>
      </c>
      <c r="C15" s="35">
        <v>-20.7</v>
      </c>
      <c r="D15" s="35">
        <v>-23.2</v>
      </c>
      <c r="E15" s="35">
        <v>-19.8</v>
      </c>
      <c r="F15" s="35">
        <v>-15.2</v>
      </c>
      <c r="G15" s="35">
        <v>-1.28</v>
      </c>
      <c r="H15" s="35">
        <v>-7.69</v>
      </c>
      <c r="I15" s="35">
        <v>-6.65</v>
      </c>
      <c r="J15" s="35">
        <v>-9.1</v>
      </c>
      <c r="K15" s="35">
        <v>-24</v>
      </c>
      <c r="L15" s="35">
        <v>-27.26</v>
      </c>
      <c r="M15" s="35">
        <v>-31</v>
      </c>
      <c r="N15" s="35">
        <v>-36.4</v>
      </c>
      <c r="O15" s="35">
        <v>-28.7</v>
      </c>
      <c r="P15" s="35">
        <v>-25.1</v>
      </c>
      <c r="Q15" s="35">
        <v>-19.5</v>
      </c>
      <c r="R15" s="35">
        <v>-25.1</v>
      </c>
      <c r="S15" s="35">
        <v>-25</v>
      </c>
      <c r="T15" s="35">
        <v>-17.3</v>
      </c>
      <c r="U15" s="35">
        <v>-17.7</v>
      </c>
      <c r="V15" s="35">
        <v>-19.600000000000001</v>
      </c>
      <c r="W15" s="35">
        <v>-18.7</v>
      </c>
      <c r="X15" s="13">
        <v>-17.399999999999999</v>
      </c>
      <c r="Y15" s="35">
        <v>-19.3</v>
      </c>
      <c r="Z15" s="35">
        <v>-13.8</v>
      </c>
      <c r="AA15" s="35">
        <v>-7</v>
      </c>
      <c r="AB15" s="35">
        <v>-3</v>
      </c>
      <c r="AC15" s="35">
        <v>-2.8</v>
      </c>
      <c r="AD15" s="35">
        <v>-5.8</v>
      </c>
      <c r="AE15" s="35"/>
      <c r="AF15" s="35"/>
    </row>
    <row r="16" spans="1:33" ht="30" x14ac:dyDescent="0.25">
      <c r="A16" s="11" t="s">
        <v>2</v>
      </c>
      <c r="B16" s="15">
        <f>(B4+B5+B6+B7+B8+B9+B10+B11+B12+B13+B14+B15)/12</f>
        <v>-16.235833333333332</v>
      </c>
      <c r="C16" s="15">
        <f t="shared" ref="C16:O16" si="0">(C4+C5+C6+C7+C8+C9+C10+C11+C12+C13+C14+C15)/12</f>
        <v>-19.425833333333333</v>
      </c>
      <c r="D16" s="15">
        <f t="shared" si="0"/>
        <v>-16.250833333333333</v>
      </c>
      <c r="E16" s="15">
        <f t="shared" si="0"/>
        <v>-21.66333333333333</v>
      </c>
      <c r="F16" s="15">
        <f t="shared" si="0"/>
        <v>-19.158333333333331</v>
      </c>
      <c r="G16" s="15">
        <f t="shared" si="0"/>
        <v>-3.5433333333333334</v>
      </c>
      <c r="H16" s="15">
        <f t="shared" si="0"/>
        <v>-3.2041666666666671</v>
      </c>
      <c r="I16" s="15">
        <f t="shared" si="0"/>
        <v>-7.330000000000001</v>
      </c>
      <c r="J16" s="15">
        <f t="shared" si="0"/>
        <v>-7.72</v>
      </c>
      <c r="K16" s="15">
        <f t="shared" si="0"/>
        <v>-14.466666666666667</v>
      </c>
      <c r="L16" s="15">
        <f t="shared" si="0"/>
        <v>-24.993333333333336</v>
      </c>
      <c r="M16" s="15">
        <f t="shared" si="0"/>
        <v>-26.233333333333331</v>
      </c>
      <c r="N16" s="15">
        <f t="shared" si="0"/>
        <v>-32.824166666666663</v>
      </c>
      <c r="O16" s="15">
        <f t="shared" si="0"/>
        <v>-30.775000000000002</v>
      </c>
      <c r="P16" s="15">
        <f>(P4+P5+P6+P7+P8+P9+P10+P11+P12+P13+P14+P15)/12</f>
        <v>-25.891666666666669</v>
      </c>
      <c r="Q16" s="15">
        <f>(Q4+Q5+Q6+Q7+Q8+Q9+Q10+Q11+Q12+Q13+Q14+Q15)/12</f>
        <v>-17.266666666666669</v>
      </c>
      <c r="R16" s="15">
        <f>(R4+R5+R6+R7+R8+R9+R10+R11+R12+R13+R14+R15)/12</f>
        <v>-23.008333333333329</v>
      </c>
      <c r="S16" s="15">
        <f t="shared" ref="S16:AF16" si="1">(S4+S5+S6+S7+S8+S9+S10+S11+S12+S13+S14+S15)/12</f>
        <v>-25.833333333333332</v>
      </c>
      <c r="T16" s="15">
        <f t="shared" si="1"/>
        <v>-18.283333333333335</v>
      </c>
      <c r="U16" s="15">
        <f t="shared" si="1"/>
        <v>-16.808333333333334</v>
      </c>
      <c r="V16" s="15">
        <f>(V4+V5+V6+V7+V8+V9+V10+V11+V12+V13+V14+V15)/12</f>
        <v>-18.275000000000002</v>
      </c>
      <c r="W16" s="15">
        <f>(W4+W5+W6+W7+W8+W9+W10+W11+W12+W13+W14+W15)/12</f>
        <v>-19.541666666666664</v>
      </c>
      <c r="X16" s="15">
        <f>(X4+X5+X6+X7+X8+X9+X10+X11+X12+X13+X14+X15)/12</f>
        <v>-18.058333333333334</v>
      </c>
      <c r="Y16" s="15">
        <f t="shared" si="1"/>
        <v>-16.933333333333334</v>
      </c>
      <c r="Z16" s="15">
        <f t="shared" si="1"/>
        <v>-16.55</v>
      </c>
      <c r="AA16" s="15">
        <f t="shared" si="1"/>
        <v>-9.7750000000000004</v>
      </c>
      <c r="AB16" s="15">
        <f t="shared" si="1"/>
        <v>-4.8500000000000005</v>
      </c>
      <c r="AC16" s="15">
        <f t="shared" si="1"/>
        <v>-2.6750000000000003</v>
      </c>
      <c r="AD16" s="15">
        <f t="shared" si="1"/>
        <v>-4.1249999999999991</v>
      </c>
      <c r="AE16" s="15">
        <f t="shared" si="1"/>
        <v>0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5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-12.7</v>
      </c>
      <c r="C24" s="35">
        <v>-23.4</v>
      </c>
      <c r="D24" s="35">
        <v>-19.600000000000001</v>
      </c>
      <c r="E24" s="35">
        <v>-24.5</v>
      </c>
      <c r="F24" s="35">
        <v>-19.3</v>
      </c>
      <c r="G24" s="35">
        <v>-11</v>
      </c>
      <c r="H24" s="35">
        <v>-1.3</v>
      </c>
      <c r="I24" s="35">
        <v>-7.8</v>
      </c>
      <c r="J24" s="35">
        <v>-6.8</v>
      </c>
      <c r="K24" s="35">
        <v>-9.6</v>
      </c>
      <c r="L24" s="35">
        <v>-24.2</v>
      </c>
      <c r="M24" s="35">
        <v>-28.5</v>
      </c>
      <c r="N24" s="35">
        <v>-32.4</v>
      </c>
      <c r="O24" s="35">
        <v>-37.299999999999997</v>
      </c>
      <c r="P24" s="35">
        <v>-27.9</v>
      </c>
      <c r="Q24" s="35">
        <v>-21.1</v>
      </c>
      <c r="R24" s="35">
        <v>-21.9</v>
      </c>
      <c r="S24" s="35">
        <v>-31.5</v>
      </c>
      <c r="T24" s="35">
        <v>-25.6</v>
      </c>
      <c r="U24" s="35">
        <v>-17.3</v>
      </c>
      <c r="V24" s="35">
        <v>-18.3</v>
      </c>
      <c r="W24" s="35">
        <v>-19.399999999999999</v>
      </c>
      <c r="X24" s="13">
        <v>-17.899999999999999</v>
      </c>
      <c r="Y24" s="35">
        <v>-18.2</v>
      </c>
      <c r="Z24" s="35">
        <v>-23.3</v>
      </c>
      <c r="AA24" s="35">
        <v>-15.3</v>
      </c>
      <c r="AB24" s="35">
        <v>-8.4</v>
      </c>
      <c r="AC24" s="35">
        <v>-3.5</v>
      </c>
      <c r="AD24" s="35">
        <v>-2.7</v>
      </c>
      <c r="AE24" s="35"/>
      <c r="AF24" s="35"/>
    </row>
    <row r="25" spans="1:32" x14ac:dyDescent="0.25">
      <c r="A25" s="10">
        <v>6</v>
      </c>
      <c r="B25" s="35">
        <v>-12.7</v>
      </c>
      <c r="C25" s="35">
        <v>-23.1</v>
      </c>
      <c r="D25" s="35">
        <v>-18</v>
      </c>
      <c r="E25" s="35">
        <v>-23.3</v>
      </c>
      <c r="F25" s="35">
        <v>-19</v>
      </c>
      <c r="G25" s="35">
        <v>-9.4</v>
      </c>
      <c r="H25" s="35">
        <v>-1.4</v>
      </c>
      <c r="I25" s="35">
        <v>-8.1999999999999993</v>
      </c>
      <c r="J25" s="35">
        <v>-6.7</v>
      </c>
      <c r="K25" s="35">
        <v>-10.7</v>
      </c>
      <c r="L25" s="35">
        <v>-24.1</v>
      </c>
      <c r="M25" s="35">
        <v>-30.5</v>
      </c>
      <c r="N25" s="35">
        <v>-34.799999999999997</v>
      </c>
      <c r="O25" s="35">
        <v>-36.6</v>
      </c>
      <c r="P25" s="35">
        <v>-26.6</v>
      </c>
      <c r="Q25" s="35">
        <v>-19.2</v>
      </c>
      <c r="R25" s="35">
        <v>-23.7</v>
      </c>
      <c r="S25" s="35">
        <v>-31.5</v>
      </c>
      <c r="T25" s="35">
        <v>-25.6</v>
      </c>
      <c r="U25" s="35">
        <v>-17.899999999999999</v>
      </c>
      <c r="V25" s="35">
        <v>-19</v>
      </c>
      <c r="W25" s="35">
        <v>-20.6</v>
      </c>
      <c r="X25" s="13">
        <v>-18.399999999999999</v>
      </c>
      <c r="Y25" s="35">
        <v>-17.899999999999999</v>
      </c>
      <c r="Z25" s="35">
        <v>-24.1</v>
      </c>
      <c r="AA25" s="35">
        <v>-16.8</v>
      </c>
      <c r="AB25" s="35">
        <v>-8.3000000000000007</v>
      </c>
      <c r="AC25" s="35">
        <v>-4</v>
      </c>
      <c r="AD25" s="35">
        <v>-3.5</v>
      </c>
      <c r="AE25" s="35"/>
      <c r="AF25" s="35"/>
    </row>
    <row r="26" spans="1:32" x14ac:dyDescent="0.25">
      <c r="A26" s="10">
        <v>8</v>
      </c>
      <c r="B26" s="35">
        <v>-12.6</v>
      </c>
      <c r="C26" s="35">
        <v>-22.5</v>
      </c>
      <c r="D26" s="35">
        <v>-14.7</v>
      </c>
      <c r="E26" s="35">
        <v>-24</v>
      </c>
      <c r="F26" s="35">
        <v>-19.8</v>
      </c>
      <c r="G26" s="35">
        <v>-7.6</v>
      </c>
      <c r="H26" s="35">
        <v>-1.5</v>
      </c>
      <c r="I26" s="35">
        <v>-8.5</v>
      </c>
      <c r="J26" s="35">
        <v>-7.3</v>
      </c>
      <c r="K26" s="35">
        <v>-11.1</v>
      </c>
      <c r="L26" s="35">
        <v>-25.9</v>
      </c>
      <c r="M26" s="35">
        <v>-30.4</v>
      </c>
      <c r="N26" s="35">
        <v>-36</v>
      </c>
      <c r="O26" s="35">
        <v>-35.700000000000003</v>
      </c>
      <c r="P26" s="35">
        <v>-25.8</v>
      </c>
      <c r="Q26" s="35">
        <v>-17.7</v>
      </c>
      <c r="R26" s="35">
        <v>-25.2</v>
      </c>
      <c r="S26" s="35">
        <v>-32.6</v>
      </c>
      <c r="T26" s="35">
        <v>-24.8</v>
      </c>
      <c r="U26" s="35">
        <v>-18.600000000000001</v>
      </c>
      <c r="V26" s="35">
        <v>-20.3</v>
      </c>
      <c r="W26" s="35">
        <v>-21.1</v>
      </c>
      <c r="X26" s="13">
        <v>-19.899999999999999</v>
      </c>
      <c r="Y26" s="35">
        <v>-18.7</v>
      </c>
      <c r="Z26" s="35">
        <v>-24</v>
      </c>
      <c r="AA26" s="35">
        <v>-16.100000000000001</v>
      </c>
      <c r="AB26" s="35">
        <v>-8.1</v>
      </c>
      <c r="AC26" s="35">
        <v>-3.7</v>
      </c>
      <c r="AD26" s="35">
        <v>-4.2</v>
      </c>
      <c r="AE26" s="35"/>
      <c r="AF26" s="35"/>
    </row>
    <row r="27" spans="1:32" x14ac:dyDescent="0.25">
      <c r="A27" s="10">
        <v>10</v>
      </c>
      <c r="B27" s="35">
        <v>-13.6</v>
      </c>
      <c r="C27" s="35">
        <v>-20.5</v>
      </c>
      <c r="D27" s="35">
        <v>-13.6</v>
      </c>
      <c r="E27" s="35">
        <v>-23.3</v>
      </c>
      <c r="F27" s="35">
        <v>-19.600000000000001</v>
      </c>
      <c r="G27" s="35">
        <v>-3.7</v>
      </c>
      <c r="H27" s="35">
        <v>-1.2</v>
      </c>
      <c r="I27" s="35">
        <v>-8.6</v>
      </c>
      <c r="J27" s="35">
        <v>-7</v>
      </c>
      <c r="K27" s="35">
        <v>-10.4</v>
      </c>
      <c r="L27" s="35">
        <v>-25.7</v>
      </c>
      <c r="M27" s="35">
        <v>-27.4</v>
      </c>
      <c r="N27" s="35">
        <v>-33</v>
      </c>
      <c r="O27" s="35">
        <v>-33.5</v>
      </c>
      <c r="P27" s="35">
        <v>-25.5</v>
      </c>
      <c r="Q27" s="35">
        <v>-16.3</v>
      </c>
      <c r="R27" s="35">
        <v>-21.6</v>
      </c>
      <c r="S27" s="35">
        <v>-29</v>
      </c>
      <c r="T27" s="35">
        <v>-22.5</v>
      </c>
      <c r="U27" s="35">
        <v>-16.899999999999999</v>
      </c>
      <c r="V27" s="35">
        <v>-19</v>
      </c>
      <c r="W27" s="35">
        <v>-20</v>
      </c>
      <c r="X27" s="13">
        <v>-16.899999999999999</v>
      </c>
      <c r="Y27" s="35">
        <v>-17.8</v>
      </c>
      <c r="Z27" s="35">
        <v>-20.9</v>
      </c>
      <c r="AA27" s="35">
        <v>-14.6</v>
      </c>
      <c r="AB27" s="35">
        <v>-7.2</v>
      </c>
      <c r="AC27" s="35">
        <v>-3.2</v>
      </c>
      <c r="AD27" s="35">
        <v>-2.9</v>
      </c>
      <c r="AE27" s="35"/>
      <c r="AF27" s="35"/>
    </row>
    <row r="28" spans="1:32" x14ac:dyDescent="0.25">
      <c r="A28" s="10">
        <v>12</v>
      </c>
      <c r="B28" s="35">
        <v>-13.9</v>
      </c>
      <c r="C28" s="35">
        <v>-18.100000000000001</v>
      </c>
      <c r="D28" s="35">
        <v>-11.3</v>
      </c>
      <c r="E28" s="35">
        <v>-19.8</v>
      </c>
      <c r="F28" s="35">
        <v>-17.2</v>
      </c>
      <c r="G28" s="35">
        <v>-1.7</v>
      </c>
      <c r="H28" s="35">
        <v>-1</v>
      </c>
      <c r="I28" s="35">
        <v>-8.1</v>
      </c>
      <c r="J28" s="35">
        <v>-6.5</v>
      </c>
      <c r="K28" s="35">
        <v>-10</v>
      </c>
      <c r="L28" s="35">
        <v>-24.2</v>
      </c>
      <c r="M28" s="35">
        <v>-24.5</v>
      </c>
      <c r="N28" s="35">
        <v>-29.3</v>
      </c>
      <c r="O28" s="35">
        <v>-30.5</v>
      </c>
      <c r="P28" s="35">
        <v>-24.5</v>
      </c>
      <c r="Q28" s="35">
        <v>-15.8</v>
      </c>
      <c r="R28" s="35">
        <v>-20.2</v>
      </c>
      <c r="S28" s="35">
        <v>-26.8</v>
      </c>
      <c r="T28" s="35">
        <v>-19</v>
      </c>
      <c r="U28" s="35">
        <v>-15</v>
      </c>
      <c r="V28" s="35">
        <v>-17</v>
      </c>
      <c r="W28" s="35">
        <v>-19.100000000000001</v>
      </c>
      <c r="X28" s="13">
        <v>-15.8</v>
      </c>
      <c r="Y28" s="35">
        <v>-16.399999999999999</v>
      </c>
      <c r="Z28" s="35">
        <v>-18</v>
      </c>
      <c r="AA28" s="35">
        <v>-11.6</v>
      </c>
      <c r="AB28" s="35">
        <v>-6.4</v>
      </c>
      <c r="AC28" s="35">
        <v>-2.2999999999999998</v>
      </c>
      <c r="AD28" s="35">
        <v>-2</v>
      </c>
      <c r="AE28" s="35"/>
      <c r="AF28" s="35"/>
    </row>
    <row r="29" spans="1:32" x14ac:dyDescent="0.25">
      <c r="A29" s="10">
        <v>14</v>
      </c>
      <c r="B29" s="35">
        <v>-14.9</v>
      </c>
      <c r="C29" s="35">
        <v>-17.3</v>
      </c>
      <c r="D29" s="35">
        <v>-9.8000000000000007</v>
      </c>
      <c r="E29" s="35">
        <v>-19.7</v>
      </c>
      <c r="F29" s="35">
        <v>-17.8</v>
      </c>
      <c r="G29" s="35">
        <v>-0.6</v>
      </c>
      <c r="H29" s="35">
        <v>-0.6</v>
      </c>
      <c r="I29" s="35">
        <v>-6.8</v>
      </c>
      <c r="J29" s="35">
        <v>-6.7</v>
      </c>
      <c r="K29" s="35">
        <v>-9.3000000000000007</v>
      </c>
      <c r="L29" s="35">
        <v>-24.2</v>
      </c>
      <c r="M29" s="35">
        <v>-23</v>
      </c>
      <c r="N29" s="35">
        <v>-27.1</v>
      </c>
      <c r="O29" s="35">
        <v>-29.4</v>
      </c>
      <c r="P29" s="35">
        <v>-24.4</v>
      </c>
      <c r="Q29" s="35">
        <v>-16.2</v>
      </c>
      <c r="R29" s="35">
        <v>-19.3</v>
      </c>
      <c r="S29" s="35">
        <v>-25</v>
      </c>
      <c r="T29" s="35">
        <v>-15.6</v>
      </c>
      <c r="U29" s="35">
        <v>-15</v>
      </c>
      <c r="V29" s="35">
        <v>-15.8</v>
      </c>
      <c r="W29" s="35">
        <v>-19</v>
      </c>
      <c r="X29" s="13">
        <v>-14.8</v>
      </c>
      <c r="Y29" s="35">
        <v>-15.4</v>
      </c>
      <c r="Z29" s="35">
        <v>-16.399999999999999</v>
      </c>
      <c r="AA29" s="35">
        <v>-8.6</v>
      </c>
      <c r="AB29" s="35">
        <v>-6.4</v>
      </c>
      <c r="AC29" s="35">
        <v>-2.2000000000000002</v>
      </c>
      <c r="AD29" s="35">
        <v>-0.7</v>
      </c>
      <c r="AE29" s="35"/>
      <c r="AF29" s="35"/>
    </row>
    <row r="30" spans="1:32" x14ac:dyDescent="0.25">
      <c r="A30" s="10">
        <v>16</v>
      </c>
      <c r="B30" s="35">
        <v>-17.2</v>
      </c>
      <c r="C30" s="35">
        <v>-18.600000000000001</v>
      </c>
      <c r="D30" s="35">
        <v>-13.5</v>
      </c>
      <c r="E30" s="35">
        <v>-20.5</v>
      </c>
      <c r="F30" s="35">
        <v>-19.600000000000001</v>
      </c>
      <c r="G30" s="35">
        <v>-1</v>
      </c>
      <c r="H30" s="35">
        <v>-1.4</v>
      </c>
      <c r="I30" s="35">
        <v>-6.9</v>
      </c>
      <c r="J30" s="35">
        <v>-7.1</v>
      </c>
      <c r="K30" s="35">
        <v>-10.8</v>
      </c>
      <c r="L30" s="35">
        <v>-24.8</v>
      </c>
      <c r="M30" s="35">
        <v>-24.6</v>
      </c>
      <c r="N30" s="35">
        <v>-28.7</v>
      </c>
      <c r="O30" s="35">
        <v>-29.7</v>
      </c>
      <c r="P30" s="35">
        <v>-26</v>
      </c>
      <c r="Q30" s="35">
        <v>-16.600000000000001</v>
      </c>
      <c r="R30" s="35">
        <v>-19.7</v>
      </c>
      <c r="S30" s="35">
        <v>-25.1</v>
      </c>
      <c r="T30" s="35">
        <v>-14.3</v>
      </c>
      <c r="U30" s="35">
        <v>-14.9</v>
      </c>
      <c r="V30" s="35">
        <v>-14.9</v>
      </c>
      <c r="W30" s="35">
        <v>-18.7</v>
      </c>
      <c r="X30" s="13">
        <v>-16.100000000000001</v>
      </c>
      <c r="Y30" s="35">
        <v>-15.4</v>
      </c>
      <c r="Z30" s="35">
        <v>-15.6</v>
      </c>
      <c r="AA30" s="35">
        <v>-8.9</v>
      </c>
      <c r="AB30" s="35">
        <v>-6.5</v>
      </c>
      <c r="AC30" s="35">
        <v>-1.8</v>
      </c>
      <c r="AD30" s="35">
        <v>-2.5</v>
      </c>
      <c r="AE30" s="35"/>
      <c r="AF30" s="35"/>
    </row>
    <row r="31" spans="1:32" x14ac:dyDescent="0.25">
      <c r="A31" s="10">
        <v>18</v>
      </c>
      <c r="B31" s="35">
        <v>-18.100000000000001</v>
      </c>
      <c r="C31" s="35">
        <v>-19.399999999999999</v>
      </c>
      <c r="D31" s="35">
        <v>-16.3</v>
      </c>
      <c r="E31" s="35">
        <v>-22.1</v>
      </c>
      <c r="F31" s="35">
        <v>-23</v>
      </c>
      <c r="G31" s="35">
        <v>-0.9</v>
      </c>
      <c r="H31" s="35">
        <v>-3.9</v>
      </c>
      <c r="I31" s="35">
        <v>-7</v>
      </c>
      <c r="J31" s="35">
        <v>-7.5</v>
      </c>
      <c r="K31" s="35">
        <v>-13</v>
      </c>
      <c r="L31" s="35">
        <v>-25</v>
      </c>
      <c r="M31" s="35">
        <v>-24.3</v>
      </c>
      <c r="N31" s="35">
        <v>-33.299999999999997</v>
      </c>
      <c r="O31" s="35">
        <v>-29</v>
      </c>
      <c r="P31" s="35">
        <v>-26.9</v>
      </c>
      <c r="Q31" s="35">
        <v>-16.5</v>
      </c>
      <c r="R31" s="35">
        <v>-24.1</v>
      </c>
      <c r="S31" s="35">
        <v>-26.8</v>
      </c>
      <c r="T31" s="35">
        <v>-15.3</v>
      </c>
      <c r="U31" s="35">
        <v>-15.7</v>
      </c>
      <c r="V31" s="35">
        <v>-16.100000000000001</v>
      </c>
      <c r="W31" s="35">
        <v>-18.399999999999999</v>
      </c>
      <c r="X31" s="13">
        <v>-17.600000000000001</v>
      </c>
      <c r="Y31" s="35">
        <v>-18.7</v>
      </c>
      <c r="Z31" s="35">
        <v>-15.4</v>
      </c>
      <c r="AA31" s="35">
        <v>-8.9</v>
      </c>
      <c r="AB31" s="35">
        <v>-6.7</v>
      </c>
      <c r="AC31" s="35">
        <v>-2.2999999999999998</v>
      </c>
      <c r="AD31" s="35">
        <v>-3.9</v>
      </c>
      <c r="AE31" s="35"/>
      <c r="AF31" s="35"/>
    </row>
    <row r="32" spans="1:32" x14ac:dyDescent="0.25">
      <c r="A32" s="10">
        <v>20</v>
      </c>
      <c r="B32" s="35">
        <v>-19.3</v>
      </c>
      <c r="C32" s="35">
        <v>-19.399999999999999</v>
      </c>
      <c r="D32" s="35">
        <v>-16.3</v>
      </c>
      <c r="E32" s="35">
        <v>-20.6</v>
      </c>
      <c r="F32" s="35">
        <v>-23.4</v>
      </c>
      <c r="G32" s="35">
        <v>0</v>
      </c>
      <c r="H32" s="35">
        <v>-4.3</v>
      </c>
      <c r="I32" s="35">
        <v>-7.1</v>
      </c>
      <c r="J32" s="35">
        <v>-7.8</v>
      </c>
      <c r="K32" s="35">
        <v>-15.2</v>
      </c>
      <c r="L32" s="35">
        <v>-25</v>
      </c>
      <c r="M32" s="35">
        <v>-24.3</v>
      </c>
      <c r="N32" s="35">
        <v>-34.799999999999997</v>
      </c>
      <c r="O32" s="35">
        <v>-28.5</v>
      </c>
      <c r="P32" s="35">
        <v>-26.1</v>
      </c>
      <c r="Q32" s="35">
        <v>-16.5</v>
      </c>
      <c r="R32" s="35">
        <v>-25.5</v>
      </c>
      <c r="S32" s="35">
        <v>-26.2</v>
      </c>
      <c r="T32" s="35">
        <v>-15.6</v>
      </c>
      <c r="U32" s="35">
        <v>-15.1</v>
      </c>
      <c r="V32" s="35">
        <v>-16.600000000000001</v>
      </c>
      <c r="W32" s="35">
        <v>-17.5</v>
      </c>
      <c r="X32" s="13">
        <v>-18.3</v>
      </c>
      <c r="Y32" s="35">
        <v>-19.600000000000001</v>
      </c>
      <c r="Z32" s="35">
        <v>-15.2</v>
      </c>
      <c r="AA32" s="35">
        <v>-8.8000000000000007</v>
      </c>
      <c r="AB32" s="35">
        <v>-6.2</v>
      </c>
      <c r="AC32" s="35">
        <v>-2.2000000000000002</v>
      </c>
      <c r="AD32" s="35">
        <v>-4.5</v>
      </c>
      <c r="AE32" s="35"/>
      <c r="AF32" s="35"/>
    </row>
    <row r="33" spans="1:32" x14ac:dyDescent="0.25">
      <c r="A33" s="10">
        <v>22</v>
      </c>
      <c r="B33" s="35">
        <v>-20.3</v>
      </c>
      <c r="C33" s="35">
        <v>-20.6</v>
      </c>
      <c r="D33" s="35">
        <v>-19.5</v>
      </c>
      <c r="E33" s="35">
        <v>-21.4</v>
      </c>
      <c r="F33" s="35">
        <v>-21.3</v>
      </c>
      <c r="G33" s="35">
        <v>-1.4</v>
      </c>
      <c r="H33" s="35">
        <v>-5.6</v>
      </c>
      <c r="I33" s="35">
        <v>-7</v>
      </c>
      <c r="J33" s="35">
        <v>-8.4</v>
      </c>
      <c r="K33" s="35">
        <v>-18.100000000000001</v>
      </c>
      <c r="L33" s="35">
        <v>-23</v>
      </c>
      <c r="M33" s="35">
        <v>-25</v>
      </c>
      <c r="N33" s="35">
        <v>-36</v>
      </c>
      <c r="O33" s="35">
        <v>-28.5</v>
      </c>
      <c r="P33" s="35">
        <v>-26.4</v>
      </c>
      <c r="Q33" s="35">
        <v>-16.899999999999999</v>
      </c>
      <c r="R33" s="35">
        <v>-27.3</v>
      </c>
      <c r="S33" s="35">
        <v>-27</v>
      </c>
      <c r="T33" s="35">
        <v>-16.2</v>
      </c>
      <c r="U33" s="35">
        <v>-15.3</v>
      </c>
      <c r="V33" s="35">
        <v>-17</v>
      </c>
      <c r="W33" s="35">
        <v>-17.8</v>
      </c>
      <c r="X33" s="13">
        <v>-20</v>
      </c>
      <c r="Y33" s="35">
        <v>-21</v>
      </c>
      <c r="Z33" s="35">
        <v>-15.4</v>
      </c>
      <c r="AA33" s="35">
        <v>-8.8000000000000007</v>
      </c>
      <c r="AB33" s="35">
        <v>-5.7</v>
      </c>
      <c r="AC33" s="35">
        <v>-2.2999999999999998</v>
      </c>
      <c r="AD33" s="35">
        <v>-5.7</v>
      </c>
      <c r="AE33" s="35"/>
      <c r="AF33" s="35"/>
    </row>
    <row r="34" spans="1:32" x14ac:dyDescent="0.25">
      <c r="A34" s="10">
        <v>24</v>
      </c>
      <c r="B34" s="35">
        <v>-22.5</v>
      </c>
      <c r="C34" s="35">
        <v>-21.5</v>
      </c>
      <c r="D34" s="35">
        <v>-21.4</v>
      </c>
      <c r="E34" s="35">
        <v>-20.7</v>
      </c>
      <c r="F34" s="35">
        <v>-17.3</v>
      </c>
      <c r="G34" s="35">
        <v>-2.4</v>
      </c>
      <c r="H34" s="35">
        <v>-6.8</v>
      </c>
      <c r="I34" s="35">
        <v>-6.5</v>
      </c>
      <c r="J34" s="35">
        <v>-8.9</v>
      </c>
      <c r="K34" s="35">
        <v>-20.3</v>
      </c>
      <c r="L34" s="35">
        <v>-21.9</v>
      </c>
      <c r="M34" s="35">
        <v>-27.3</v>
      </c>
      <c r="N34" s="35">
        <v>-37.4</v>
      </c>
      <c r="O34" s="35">
        <v>-29.1</v>
      </c>
      <c r="P34" s="35">
        <v>-25.2</v>
      </c>
      <c r="Q34" s="35">
        <v>-17.7</v>
      </c>
      <c r="R34" s="35">
        <v>-28.1</v>
      </c>
      <c r="S34" s="35">
        <v>-26.9</v>
      </c>
      <c r="T34" s="35">
        <v>-16.5</v>
      </c>
      <c r="U34" s="35">
        <v>-15.9</v>
      </c>
      <c r="V34" s="35">
        <v>-17.899999999999999</v>
      </c>
      <c r="W34" s="35">
        <v>-18.100000000000001</v>
      </c>
      <c r="X34" s="13">
        <v>-19.5</v>
      </c>
      <c r="Y34" s="35">
        <v>-22</v>
      </c>
      <c r="Z34" s="35">
        <v>-15.7</v>
      </c>
      <c r="AA34" s="35">
        <v>-8.6999999999999993</v>
      </c>
      <c r="AB34" s="35">
        <v>-3.8</v>
      </c>
      <c r="AC34" s="35">
        <v>-2.2999999999999998</v>
      </c>
      <c r="AD34" s="35">
        <v>-7</v>
      </c>
      <c r="AE34" s="35"/>
      <c r="AF34" s="35"/>
    </row>
    <row r="35" spans="1:32" x14ac:dyDescent="0.25">
      <c r="A35" s="10">
        <v>2</v>
      </c>
      <c r="B35" s="35">
        <v>-22.8</v>
      </c>
      <c r="C35" s="35">
        <v>-20.2</v>
      </c>
      <c r="D35" s="35">
        <v>-23.1</v>
      </c>
      <c r="E35" s="35">
        <v>-20.100000000000001</v>
      </c>
      <c r="F35" s="35">
        <v>-14.6</v>
      </c>
      <c r="G35" s="35">
        <v>-1.3</v>
      </c>
      <c r="H35" s="35">
        <v>-7.5</v>
      </c>
      <c r="I35" s="35">
        <v>-6.3</v>
      </c>
      <c r="J35" s="35">
        <v>-9.3000000000000007</v>
      </c>
      <c r="K35" s="35">
        <v>-21.5</v>
      </c>
      <c r="L35" s="35">
        <v>-26.7</v>
      </c>
      <c r="M35" s="35">
        <v>-30.3</v>
      </c>
      <c r="N35" s="35">
        <v>-38</v>
      </c>
      <c r="O35" s="35">
        <v>-29.8</v>
      </c>
      <c r="P35" s="35">
        <v>-25.5</v>
      </c>
      <c r="Q35" s="35">
        <v>-19.100000000000001</v>
      </c>
      <c r="R35" s="35">
        <v>-29.4</v>
      </c>
      <c r="S35" s="35">
        <v>-26.3</v>
      </c>
      <c r="T35" s="35">
        <v>-16.8</v>
      </c>
      <c r="U35" s="35">
        <v>-16</v>
      </c>
      <c r="V35" s="35">
        <v>-19</v>
      </c>
      <c r="W35" s="35">
        <v>-18</v>
      </c>
      <c r="X35" s="13">
        <v>-19.3</v>
      </c>
      <c r="Y35" s="35">
        <v>-23</v>
      </c>
      <c r="Z35" s="35">
        <v>-16.399999999999999</v>
      </c>
      <c r="AA35" s="35">
        <v>-8.6</v>
      </c>
      <c r="AB35" s="35">
        <v>-2.6</v>
      </c>
      <c r="AC35" s="35">
        <v>-2.2999999999999998</v>
      </c>
      <c r="AD35" s="35">
        <v>-8.1999999999999993</v>
      </c>
      <c r="AE35" s="35"/>
      <c r="AF35" s="35"/>
    </row>
    <row r="36" spans="1:32" ht="30" x14ac:dyDescent="0.25">
      <c r="A36" s="11" t="s">
        <v>2</v>
      </c>
      <c r="B36" s="15">
        <f>(B24+B25+B26+B27+B28+B29+B30+B31+B32+B33+B34+B35)/12</f>
        <v>-16.716666666666672</v>
      </c>
      <c r="C36" s="15">
        <f t="shared" ref="C36:J36" si="2">(C24+C25+C26+C27+C28+C29+C30+C31+C32+C33+C34+C35)/12</f>
        <v>-20.383333333333333</v>
      </c>
      <c r="D36" s="15">
        <f t="shared" si="2"/>
        <v>-16.425000000000001</v>
      </c>
      <c r="E36" s="15">
        <f t="shared" si="2"/>
        <v>-21.666666666666668</v>
      </c>
      <c r="F36" s="15">
        <f t="shared" si="2"/>
        <v>-19.324999999999999</v>
      </c>
      <c r="G36" s="15">
        <f t="shared" si="2"/>
        <v>-3.4166666666666661</v>
      </c>
      <c r="H36" s="15">
        <f t="shared" si="2"/>
        <v>-3.0416666666666665</v>
      </c>
      <c r="I36" s="15">
        <f t="shared" si="2"/>
        <v>-7.3999999999999995</v>
      </c>
      <c r="J36" s="15">
        <f t="shared" si="2"/>
        <v>-7.5</v>
      </c>
      <c r="K36" s="15">
        <f>(K24+K25+K26+K27+K28+K29+K30+K31+K32+K33+K34+K35)/12</f>
        <v>-13.333333333333334</v>
      </c>
      <c r="L36" s="15">
        <f t="shared" ref="L36:AF36" si="3">(L24+L25+L26+L27+L28+L29+L30+L31+L32+L33+L34+L35)/12</f>
        <v>-24.558333333333334</v>
      </c>
      <c r="M36" s="15">
        <f t="shared" si="3"/>
        <v>-26.675000000000001</v>
      </c>
      <c r="N36" s="15">
        <f t="shared" si="3"/>
        <v>-33.4</v>
      </c>
      <c r="O36" s="15">
        <f t="shared" si="3"/>
        <v>-31.466666666666672</v>
      </c>
      <c r="P36" s="15">
        <f t="shared" si="3"/>
        <v>-25.900000000000002</v>
      </c>
      <c r="Q36" s="15">
        <f t="shared" si="3"/>
        <v>-17.466666666666665</v>
      </c>
      <c r="R36" s="15">
        <f t="shared" si="3"/>
        <v>-23.833333333333332</v>
      </c>
      <c r="S36" s="15">
        <f t="shared" si="3"/>
        <v>-27.891666666666666</v>
      </c>
      <c r="T36" s="15">
        <f t="shared" si="3"/>
        <v>-18.983333333333334</v>
      </c>
      <c r="U36" s="15">
        <f t="shared" si="3"/>
        <v>-16.133333333333336</v>
      </c>
      <c r="V36" s="15">
        <f t="shared" si="3"/>
        <v>-17.574999999999999</v>
      </c>
      <c r="W36" s="15">
        <f t="shared" si="3"/>
        <v>-18.974999999999998</v>
      </c>
      <c r="X36" s="15">
        <f t="shared" si="3"/>
        <v>-17.875</v>
      </c>
      <c r="Y36" s="15">
        <f t="shared" si="3"/>
        <v>-18.675000000000001</v>
      </c>
      <c r="Z36" s="15">
        <f t="shared" si="3"/>
        <v>-18.366666666666667</v>
      </c>
      <c r="AA36" s="15">
        <f t="shared" si="3"/>
        <v>-11.308333333333335</v>
      </c>
      <c r="AB36" s="15">
        <f t="shared" si="3"/>
        <v>-6.3583333333333334</v>
      </c>
      <c r="AC36" s="15">
        <f t="shared" si="3"/>
        <v>-2.6750000000000003</v>
      </c>
      <c r="AD36" s="15">
        <f>(AD24+AD25+AD26+AD27+AD28+AD29+AD30+AD31+AD32+AD33+AD34+AD35)/12</f>
        <v>-3.9833333333333329</v>
      </c>
      <c r="AE36" s="15">
        <f>(AE24+AE25+AE26+AE27+AE28+AE29+AE30+AE31+AE32+AE33+AE34+AE35)/12</f>
        <v>0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T46" sqref="T46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1" t="s">
        <v>9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3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35">
        <v>-8.3000000000000007</v>
      </c>
      <c r="C4" s="35">
        <v>-10</v>
      </c>
      <c r="D4" s="35">
        <v>-8.5</v>
      </c>
      <c r="E4" s="35">
        <v>-6.5</v>
      </c>
      <c r="F4" s="35">
        <v>-8.5</v>
      </c>
      <c r="G4" s="35">
        <v>-23.3</v>
      </c>
      <c r="H4" s="35">
        <v>-21.2</v>
      </c>
      <c r="I4" s="35">
        <v>-15.6</v>
      </c>
      <c r="J4" s="35">
        <v>-10.5</v>
      </c>
      <c r="K4" s="35">
        <v>-23.5</v>
      </c>
      <c r="L4" s="35">
        <v>-24.2</v>
      </c>
      <c r="M4" s="35">
        <v>-27</v>
      </c>
      <c r="N4" s="35">
        <v>-22.1</v>
      </c>
      <c r="O4" s="35">
        <v>-13.1</v>
      </c>
      <c r="P4" s="35">
        <v>-20.5</v>
      </c>
      <c r="Q4" s="35">
        <v>-3</v>
      </c>
      <c r="R4" s="35">
        <v>-5.4</v>
      </c>
      <c r="S4" s="35">
        <v>0.1</v>
      </c>
      <c r="T4" s="35">
        <v>-18.3</v>
      </c>
      <c r="U4" s="35">
        <v>-19.600000000000001</v>
      </c>
      <c r="V4" s="35">
        <v>-24.7</v>
      </c>
      <c r="W4" s="35">
        <v>-24.5</v>
      </c>
      <c r="X4" s="35">
        <v>-16.5</v>
      </c>
      <c r="Y4" s="35">
        <v>-6.3</v>
      </c>
      <c r="Z4" s="35">
        <v>-17.3</v>
      </c>
      <c r="AA4" s="35">
        <v>-24.1</v>
      </c>
      <c r="AB4" s="35">
        <v>-12.5</v>
      </c>
      <c r="AC4" s="35">
        <v>-14.6</v>
      </c>
      <c r="AD4" s="35">
        <v>-4.5</v>
      </c>
      <c r="AE4" s="35">
        <v>-11</v>
      </c>
      <c r="AF4" s="35">
        <v>-12.4</v>
      </c>
    </row>
    <row r="5" spans="1:33" x14ac:dyDescent="0.25">
      <c r="A5" s="10">
        <v>6</v>
      </c>
      <c r="B5" s="35">
        <v>-9.5</v>
      </c>
      <c r="C5" s="35">
        <v>-10</v>
      </c>
      <c r="D5" s="35">
        <v>-7.2</v>
      </c>
      <c r="E5" s="35">
        <v>-7.2</v>
      </c>
      <c r="F5" s="35">
        <v>-7.6</v>
      </c>
      <c r="G5" s="35">
        <v>-23.3</v>
      </c>
      <c r="H5" s="35">
        <v>-21</v>
      </c>
      <c r="I5" s="35">
        <v>-14.3</v>
      </c>
      <c r="J5" s="35">
        <v>-10.7</v>
      </c>
      <c r="K5" s="35">
        <v>-24.8</v>
      </c>
      <c r="L5" s="35">
        <v>-24.2</v>
      </c>
      <c r="M5" s="35">
        <v>-27.3</v>
      </c>
      <c r="N5" s="35">
        <v>-25.8</v>
      </c>
      <c r="O5" s="35">
        <v>-14.6</v>
      </c>
      <c r="P5" s="35">
        <v>-20.5</v>
      </c>
      <c r="Q5" s="35">
        <v>-2</v>
      </c>
      <c r="R5" s="35">
        <v>-5.5</v>
      </c>
      <c r="S5" s="35">
        <v>0.1</v>
      </c>
      <c r="T5" s="35">
        <v>-18.3</v>
      </c>
      <c r="U5" s="35">
        <v>-20.3</v>
      </c>
      <c r="V5" s="35">
        <v>-25.2</v>
      </c>
      <c r="W5" s="35">
        <v>-24.2</v>
      </c>
      <c r="X5" s="35">
        <v>-16.5</v>
      </c>
      <c r="Y5" s="35">
        <v>-5.0999999999999996</v>
      </c>
      <c r="Z5" s="35">
        <v>-17.3</v>
      </c>
      <c r="AA5" s="35">
        <v>-23.6</v>
      </c>
      <c r="AB5" s="35">
        <v>-13.6</v>
      </c>
      <c r="AC5" s="35">
        <v>-14.6</v>
      </c>
      <c r="AD5" s="35">
        <v>-3.5</v>
      </c>
      <c r="AE5" s="35">
        <v>-11.6</v>
      </c>
      <c r="AF5" s="35">
        <v>-14.4</v>
      </c>
    </row>
    <row r="6" spans="1:33" x14ac:dyDescent="0.25">
      <c r="A6" s="10">
        <v>8</v>
      </c>
      <c r="B6" s="35">
        <v>-8.9</v>
      </c>
      <c r="C6" s="35">
        <v>-11.2</v>
      </c>
      <c r="D6" s="35">
        <v>-6.3</v>
      </c>
      <c r="E6" s="35">
        <v>-11.1</v>
      </c>
      <c r="F6" s="35">
        <v>-5.5</v>
      </c>
      <c r="G6" s="35">
        <v>-22.1</v>
      </c>
      <c r="H6" s="35">
        <v>-20.399999999999999</v>
      </c>
      <c r="I6" s="35">
        <v>-13.9</v>
      </c>
      <c r="J6" s="35">
        <v>-10.3</v>
      </c>
      <c r="K6" s="35">
        <v>-24.3</v>
      </c>
      <c r="L6" s="35">
        <v>-23.7</v>
      </c>
      <c r="M6" s="35">
        <v>-26</v>
      </c>
      <c r="N6" s="35">
        <v>-23.4</v>
      </c>
      <c r="O6" s="35">
        <v>-15</v>
      </c>
      <c r="P6" s="35">
        <v>-19.5</v>
      </c>
      <c r="Q6" s="35">
        <v>-1.1000000000000001</v>
      </c>
      <c r="R6" s="35">
        <v>-6</v>
      </c>
      <c r="S6" s="35">
        <v>-1.8</v>
      </c>
      <c r="T6" s="35">
        <v>-14.5</v>
      </c>
      <c r="U6" s="35">
        <v>-18.5</v>
      </c>
      <c r="V6" s="35">
        <v>-20.2</v>
      </c>
      <c r="W6" s="35">
        <v>-21.3</v>
      </c>
      <c r="X6" s="35">
        <v>-14</v>
      </c>
      <c r="Y6" s="35">
        <v>-1.5</v>
      </c>
      <c r="Z6" s="35">
        <v>-17.100000000000001</v>
      </c>
      <c r="AA6" s="35">
        <v>-22.5</v>
      </c>
      <c r="AB6" s="35">
        <v>-12.6</v>
      </c>
      <c r="AC6" s="35">
        <v>-12.2</v>
      </c>
      <c r="AD6" s="35">
        <v>-2.1</v>
      </c>
      <c r="AE6" s="35">
        <v>-11.4</v>
      </c>
      <c r="AF6" s="35">
        <v>-14</v>
      </c>
    </row>
    <row r="7" spans="1:33" x14ac:dyDescent="0.25">
      <c r="A7" s="10">
        <v>10</v>
      </c>
      <c r="B7" s="35">
        <v>-7.66</v>
      </c>
      <c r="C7" s="35">
        <v>-11.1</v>
      </c>
      <c r="D7" s="35">
        <v>-5.0999999999999996</v>
      </c>
      <c r="E7" s="35">
        <v>-13.8</v>
      </c>
      <c r="F7" s="35">
        <v>-4.2</v>
      </c>
      <c r="G7" s="35">
        <v>-19.8</v>
      </c>
      <c r="H7" s="35">
        <v>-18.5</v>
      </c>
      <c r="I7" s="35">
        <v>-13.2</v>
      </c>
      <c r="J7" s="35">
        <v>-7.9</v>
      </c>
      <c r="K7" s="35">
        <v>-20.2</v>
      </c>
      <c r="L7" s="35">
        <v>-19.3</v>
      </c>
      <c r="M7" s="35">
        <v>-17.899999999999999</v>
      </c>
      <c r="N7" s="35">
        <v>-17.7</v>
      </c>
      <c r="O7" s="35">
        <v>-11.3</v>
      </c>
      <c r="P7" s="35">
        <v>-14.5</v>
      </c>
      <c r="Q7" s="35">
        <v>0.3</v>
      </c>
      <c r="R7" s="35">
        <v>0.4</v>
      </c>
      <c r="S7" s="35">
        <v>-2.1</v>
      </c>
      <c r="T7" s="35">
        <v>-9.1999999999999993</v>
      </c>
      <c r="U7" s="35">
        <v>-15.3</v>
      </c>
      <c r="V7" s="35">
        <v>-19.899999999999999</v>
      </c>
      <c r="W7" s="35">
        <v>-16.7</v>
      </c>
      <c r="X7" s="35">
        <v>-12.1</v>
      </c>
      <c r="Y7" s="35">
        <v>-0.5</v>
      </c>
      <c r="Z7" s="35">
        <v>-16.8</v>
      </c>
      <c r="AA7" s="35">
        <v>-17.899999999999999</v>
      </c>
      <c r="AB7" s="35">
        <v>-10.4</v>
      </c>
      <c r="AC7" s="35">
        <v>-10.4</v>
      </c>
      <c r="AD7" s="35">
        <v>-0.1</v>
      </c>
      <c r="AE7" s="35">
        <v>-8.9</v>
      </c>
      <c r="AF7" s="35">
        <v>-12.6</v>
      </c>
    </row>
    <row r="8" spans="1:33" x14ac:dyDescent="0.25">
      <c r="A8" s="10">
        <v>12</v>
      </c>
      <c r="B8" s="35">
        <v>-7.4</v>
      </c>
      <c r="C8" s="35">
        <v>-9.6</v>
      </c>
      <c r="D8" s="35">
        <v>-3.3</v>
      </c>
      <c r="E8" s="35">
        <v>-14.9</v>
      </c>
      <c r="F8" s="35">
        <v>-10.7</v>
      </c>
      <c r="G8" s="35">
        <v>-17.7</v>
      </c>
      <c r="H8" s="35">
        <v>-18.600000000000001</v>
      </c>
      <c r="I8" s="35">
        <v>-12.3</v>
      </c>
      <c r="J8" s="35">
        <v>-7.1</v>
      </c>
      <c r="K8" s="35">
        <v>-18.600000000000001</v>
      </c>
      <c r="L8" s="35">
        <v>-16.899999999999999</v>
      </c>
      <c r="M8" s="35">
        <v>-14.2</v>
      </c>
      <c r="N8" s="35">
        <v>-16.2</v>
      </c>
      <c r="O8" s="35">
        <v>-10</v>
      </c>
      <c r="P8" s="35">
        <v>-10.8</v>
      </c>
      <c r="Q8" s="35">
        <v>0.9</v>
      </c>
      <c r="R8" s="35">
        <v>0.4</v>
      </c>
      <c r="S8" s="35">
        <v>-4.2</v>
      </c>
      <c r="T8" s="35">
        <v>-7.7</v>
      </c>
      <c r="U8" s="35">
        <v>-13.7</v>
      </c>
      <c r="V8" s="35">
        <v>-16.399999999999999</v>
      </c>
      <c r="W8" s="35">
        <v>-13.7</v>
      </c>
      <c r="X8" s="35">
        <v>-10.199999999999999</v>
      </c>
      <c r="Y8" s="35">
        <v>-3.4</v>
      </c>
      <c r="Z8" s="35">
        <v>-16.399999999999999</v>
      </c>
      <c r="AA8" s="35">
        <v>-13.7</v>
      </c>
      <c r="AB8" s="35">
        <v>-9.4</v>
      </c>
      <c r="AC8" s="35">
        <v>-9.3000000000000007</v>
      </c>
      <c r="AD8" s="35">
        <v>1.8</v>
      </c>
      <c r="AE8" s="35">
        <v>-7.3</v>
      </c>
      <c r="AF8" s="35">
        <v>-11</v>
      </c>
    </row>
    <row r="9" spans="1:33" x14ac:dyDescent="0.25">
      <c r="A9" s="10">
        <v>14</v>
      </c>
      <c r="B9" s="35">
        <v>-7</v>
      </c>
      <c r="C9" s="35">
        <v>-10.199999999999999</v>
      </c>
      <c r="D9" s="35">
        <v>-2.9</v>
      </c>
      <c r="E9" s="35">
        <v>-15.3</v>
      </c>
      <c r="F9" s="35">
        <v>-11.6</v>
      </c>
      <c r="G9" s="35">
        <v>-17.7</v>
      </c>
      <c r="H9" s="35">
        <v>-16.600000000000001</v>
      </c>
      <c r="I9" s="35">
        <v>-11.6</v>
      </c>
      <c r="J9" s="35">
        <v>-6.8</v>
      </c>
      <c r="K9" s="35">
        <v>-17.3</v>
      </c>
      <c r="L9" s="35">
        <v>-17.899999999999999</v>
      </c>
      <c r="M9" s="35">
        <v>-14.4</v>
      </c>
      <c r="N9" s="35">
        <v>-13.6</v>
      </c>
      <c r="O9" s="35">
        <v>-10.4</v>
      </c>
      <c r="P9" s="35">
        <v>-8.4</v>
      </c>
      <c r="Q9" s="35">
        <v>2.2999999999999998</v>
      </c>
      <c r="R9" s="35">
        <v>0.9</v>
      </c>
      <c r="S9" s="35">
        <v>-2.8</v>
      </c>
      <c r="T9" s="35">
        <v>-5.2</v>
      </c>
      <c r="U9" s="35">
        <v>-12.6</v>
      </c>
      <c r="V9" s="35">
        <v>-15</v>
      </c>
      <c r="W9" s="35">
        <v>-11.8</v>
      </c>
      <c r="X9" s="35">
        <v>-8.3000000000000007</v>
      </c>
      <c r="Y9" s="35">
        <v>-4.0999999999999996</v>
      </c>
      <c r="Z9" s="35">
        <v>-16.3</v>
      </c>
      <c r="AA9" s="35">
        <v>-10.8</v>
      </c>
      <c r="AB9" s="35">
        <v>-9.4</v>
      </c>
      <c r="AC9" s="35">
        <v>-8.6999999999999993</v>
      </c>
      <c r="AD9" s="35">
        <v>1.8</v>
      </c>
      <c r="AE9" s="35">
        <v>-7</v>
      </c>
      <c r="AF9" s="35">
        <v>-9.1999999999999993</v>
      </c>
    </row>
    <row r="10" spans="1:33" x14ac:dyDescent="0.25">
      <c r="A10" s="10">
        <v>16</v>
      </c>
      <c r="B10" s="35">
        <v>-7.7</v>
      </c>
      <c r="C10" s="35">
        <v>-11.1</v>
      </c>
      <c r="D10" s="35">
        <v>-2.7</v>
      </c>
      <c r="E10" s="35">
        <v>-17.100000000000001</v>
      </c>
      <c r="F10" s="35">
        <v>-12.8</v>
      </c>
      <c r="G10" s="35">
        <v>-17.7</v>
      </c>
      <c r="H10" s="35">
        <v>-16.8</v>
      </c>
      <c r="I10" s="35">
        <v>-10.4</v>
      </c>
      <c r="J10" s="35">
        <v>-8.6</v>
      </c>
      <c r="K10" s="35">
        <v>-17.2</v>
      </c>
      <c r="L10" s="35">
        <v>-18.2</v>
      </c>
      <c r="M10" s="35">
        <v>-16.2</v>
      </c>
      <c r="N10" s="35">
        <v>-13.5</v>
      </c>
      <c r="O10" s="35">
        <v>-10.8</v>
      </c>
      <c r="P10" s="35">
        <v>-8.6999999999999993</v>
      </c>
      <c r="Q10" s="35">
        <v>1.3</v>
      </c>
      <c r="R10" s="35">
        <v>1.51</v>
      </c>
      <c r="S10" s="35">
        <v>-4.7</v>
      </c>
      <c r="T10" s="35">
        <v>-6.5</v>
      </c>
      <c r="U10" s="35">
        <v>-11.9</v>
      </c>
      <c r="V10" s="35">
        <v>-14.1</v>
      </c>
      <c r="W10" s="35">
        <v>-12.2</v>
      </c>
      <c r="X10" s="35">
        <v>-8.6999999999999993</v>
      </c>
      <c r="Y10" s="35">
        <v>-5.9</v>
      </c>
      <c r="Z10" s="35">
        <v>-14.8</v>
      </c>
      <c r="AA10" s="35">
        <v>-11.4</v>
      </c>
      <c r="AB10" s="35">
        <v>-8.8000000000000007</v>
      </c>
      <c r="AC10" s="35">
        <v>-7.7</v>
      </c>
      <c r="AD10" s="35">
        <v>1.5</v>
      </c>
      <c r="AE10" s="35">
        <v>-5.5</v>
      </c>
      <c r="AF10" s="35">
        <v>-8.9</v>
      </c>
    </row>
    <row r="11" spans="1:33" x14ac:dyDescent="0.25">
      <c r="A11" s="10">
        <v>18</v>
      </c>
      <c r="B11" s="35">
        <v>-8</v>
      </c>
      <c r="C11" s="35">
        <v>-11.5</v>
      </c>
      <c r="D11" s="35">
        <v>-3.2</v>
      </c>
      <c r="E11" s="35">
        <v>-18.829999999999998</v>
      </c>
      <c r="F11" s="35">
        <v>-14.6</v>
      </c>
      <c r="G11" s="35">
        <v>-18.2</v>
      </c>
      <c r="H11" s="35">
        <v>-19.5</v>
      </c>
      <c r="I11" s="35">
        <v>-10.4</v>
      </c>
      <c r="J11" s="35">
        <v>-10.1</v>
      </c>
      <c r="K11" s="35">
        <v>-19.100000000000001</v>
      </c>
      <c r="L11" s="35">
        <v>-21</v>
      </c>
      <c r="M11" s="35">
        <v>-18.2</v>
      </c>
      <c r="N11" s="35">
        <v>-14.4</v>
      </c>
      <c r="O11" s="35">
        <v>-13</v>
      </c>
      <c r="P11" s="35">
        <v>-7.9</v>
      </c>
      <c r="Q11" s="35">
        <v>0.48</v>
      </c>
      <c r="R11" s="35">
        <v>2.16</v>
      </c>
      <c r="S11" s="35">
        <v>-6.4</v>
      </c>
      <c r="T11" s="35">
        <v>-9.5</v>
      </c>
      <c r="U11" s="35">
        <v>-14.2</v>
      </c>
      <c r="V11" s="35">
        <v>-13.87</v>
      </c>
      <c r="W11" s="35">
        <v>-12.4</v>
      </c>
      <c r="X11" s="35">
        <v>-8.89</v>
      </c>
      <c r="Y11" s="35">
        <v>-8.15</v>
      </c>
      <c r="Z11" s="35">
        <v>-15.8</v>
      </c>
      <c r="AA11" s="35">
        <v>-10.7</v>
      </c>
      <c r="AB11" s="35">
        <v>-10.199999999999999</v>
      </c>
      <c r="AC11" s="35">
        <v>-7</v>
      </c>
      <c r="AD11" s="35">
        <v>0.1</v>
      </c>
      <c r="AE11" s="35">
        <v>-5.4</v>
      </c>
      <c r="AF11" s="35">
        <v>-10.6</v>
      </c>
    </row>
    <row r="12" spans="1:33" x14ac:dyDescent="0.25">
      <c r="A12" s="10">
        <v>20</v>
      </c>
      <c r="B12" s="35">
        <v>-8.1</v>
      </c>
      <c r="C12" s="35">
        <v>-11</v>
      </c>
      <c r="D12" s="35">
        <v>-3.4</v>
      </c>
      <c r="E12" s="35">
        <v>-18.2</v>
      </c>
      <c r="F12" s="35">
        <v>-16.100000000000001</v>
      </c>
      <c r="G12" s="35">
        <v>-19.3</v>
      </c>
      <c r="H12" s="35">
        <v>-19.399999999999999</v>
      </c>
      <c r="I12" s="35">
        <v>-10.8</v>
      </c>
      <c r="J12" s="35">
        <v>-12.4</v>
      </c>
      <c r="K12" s="35">
        <v>-19.2</v>
      </c>
      <c r="L12" s="35">
        <v>-23</v>
      </c>
      <c r="M12" s="35">
        <v>-19.5</v>
      </c>
      <c r="N12" s="35">
        <v>-12.7</v>
      </c>
      <c r="O12" s="35">
        <v>-14.6</v>
      </c>
      <c r="P12" s="35">
        <v>-7.8</v>
      </c>
      <c r="Q12" s="35">
        <v>-1.5</v>
      </c>
      <c r="R12" s="35">
        <v>2.4500000000000002</v>
      </c>
      <c r="S12" s="35">
        <v>-7.5</v>
      </c>
      <c r="T12" s="35">
        <v>-13</v>
      </c>
      <c r="U12" s="35">
        <v>-15.5</v>
      </c>
      <c r="V12" s="35">
        <v>-18</v>
      </c>
      <c r="W12" s="35">
        <v>-12.7</v>
      </c>
      <c r="X12" s="35">
        <v>-9.1</v>
      </c>
      <c r="Y12" s="35">
        <v>-10.4</v>
      </c>
      <c r="Z12" s="35">
        <v>-20.2</v>
      </c>
      <c r="AA12" s="35">
        <v>-9.6</v>
      </c>
      <c r="AB12" s="35">
        <v>-12.5</v>
      </c>
      <c r="AC12" s="35">
        <v>-6.94</v>
      </c>
      <c r="AD12" s="35">
        <v>0.1</v>
      </c>
      <c r="AE12" s="35">
        <v>-4.4000000000000004</v>
      </c>
      <c r="AF12" s="35">
        <v>-13.1</v>
      </c>
    </row>
    <row r="13" spans="1:33" x14ac:dyDescent="0.25">
      <c r="A13" s="10">
        <v>22</v>
      </c>
      <c r="B13" s="35">
        <v>-9.9</v>
      </c>
      <c r="C13" s="35">
        <v>-10.199999999999999</v>
      </c>
      <c r="D13" s="35">
        <v>-4</v>
      </c>
      <c r="E13" s="35">
        <v>-17.399999999999999</v>
      </c>
      <c r="F13" s="35">
        <v>-18.2</v>
      </c>
      <c r="G13" s="35">
        <v>-20.100000000000001</v>
      </c>
      <c r="H13" s="35">
        <v>-18.399999999999999</v>
      </c>
      <c r="I13" s="35">
        <v>-10.7</v>
      </c>
      <c r="J13" s="35">
        <v>-16.600000000000001</v>
      </c>
      <c r="K13" s="35">
        <v>-20.5</v>
      </c>
      <c r="L13" s="35">
        <v>-24.3</v>
      </c>
      <c r="M13" s="35">
        <v>-20.9</v>
      </c>
      <c r="N13" s="35">
        <v>-12.9</v>
      </c>
      <c r="O13" s="35">
        <v>-14.3</v>
      </c>
      <c r="P13" s="35">
        <v>-6.2</v>
      </c>
      <c r="Q13" s="35">
        <v>-2.2999999999999998</v>
      </c>
      <c r="R13" s="35">
        <v>2.5</v>
      </c>
      <c r="S13" s="35">
        <v>-8.1</v>
      </c>
      <c r="T13" s="35">
        <v>-15</v>
      </c>
      <c r="U13" s="35">
        <v>-17.7</v>
      </c>
      <c r="V13" s="35">
        <v>-19.5</v>
      </c>
      <c r="W13" s="35">
        <v>-13.1</v>
      </c>
      <c r="X13" s="35">
        <v>-9.5</v>
      </c>
      <c r="Y13" s="35">
        <v>-11.8</v>
      </c>
      <c r="Z13" s="35">
        <v>-23.6</v>
      </c>
      <c r="AA13" s="35">
        <v>-7.6</v>
      </c>
      <c r="AB13" s="35">
        <v>-13.5</v>
      </c>
      <c r="AC13" s="35">
        <v>-6.3</v>
      </c>
      <c r="AD13" s="35">
        <v>-3.6</v>
      </c>
      <c r="AE13" s="35">
        <v>-5.7</v>
      </c>
      <c r="AF13" s="35">
        <v>-14.75</v>
      </c>
    </row>
    <row r="14" spans="1:33" x14ac:dyDescent="0.25">
      <c r="A14" s="10">
        <v>24</v>
      </c>
      <c r="B14" s="35">
        <v>-9.4</v>
      </c>
      <c r="C14" s="35">
        <v>-9.0299999999999994</v>
      </c>
      <c r="D14" s="35">
        <v>-4.2</v>
      </c>
      <c r="E14" s="35">
        <v>-15.5</v>
      </c>
      <c r="F14" s="35">
        <v>-19.100000000000001</v>
      </c>
      <c r="G14" s="35">
        <v>-20.8</v>
      </c>
      <c r="H14" s="35">
        <v>-16.8</v>
      </c>
      <c r="I14" s="35">
        <v>-10.3</v>
      </c>
      <c r="J14" s="35">
        <v>-19.2</v>
      </c>
      <c r="K14" s="35">
        <v>-22.9</v>
      </c>
      <c r="L14" s="35">
        <v>-26.4</v>
      </c>
      <c r="M14" s="35">
        <v>-20.399999999999999</v>
      </c>
      <c r="N14" s="35">
        <v>-12.6</v>
      </c>
      <c r="O14" s="35">
        <v>-15.6</v>
      </c>
      <c r="P14" s="35">
        <v>-5.0999999999999996</v>
      </c>
      <c r="Q14" s="35">
        <v>-5.5</v>
      </c>
      <c r="R14" s="35">
        <v>2.2000000000000002</v>
      </c>
      <c r="S14" s="35">
        <v>-11.8</v>
      </c>
      <c r="T14" s="35">
        <v>-17</v>
      </c>
      <c r="U14" s="35">
        <v>-21.7</v>
      </c>
      <c r="V14" s="35">
        <v>-21.5</v>
      </c>
      <c r="W14" s="35">
        <v>-14.5</v>
      </c>
      <c r="X14" s="35">
        <v>-9.4</v>
      </c>
      <c r="Y14" s="35">
        <v>-13.3</v>
      </c>
      <c r="Z14" s="35">
        <v>-23.8</v>
      </c>
      <c r="AA14" s="35">
        <v>-7</v>
      </c>
      <c r="AB14" s="35">
        <v>-14.6</v>
      </c>
      <c r="AC14" s="35">
        <v>-5.5</v>
      </c>
      <c r="AD14" s="35">
        <v>-5</v>
      </c>
      <c r="AE14" s="35">
        <v>-6.4</v>
      </c>
      <c r="AF14" s="35">
        <v>-14.5</v>
      </c>
    </row>
    <row r="15" spans="1:33" x14ac:dyDescent="0.25">
      <c r="A15" s="10">
        <v>2</v>
      </c>
      <c r="B15" s="35">
        <v>-10</v>
      </c>
      <c r="C15" s="35">
        <v>-8.4</v>
      </c>
      <c r="D15" s="35">
        <v>-4.7</v>
      </c>
      <c r="E15" s="35">
        <v>-13.1</v>
      </c>
      <c r="F15" s="35">
        <v>-21.4</v>
      </c>
      <c r="G15" s="35">
        <v>-21</v>
      </c>
      <c r="H15" s="35">
        <v>-15.8</v>
      </c>
      <c r="I15" s="35">
        <v>-10</v>
      </c>
      <c r="J15" s="35">
        <v>-20.100000000000001</v>
      </c>
      <c r="K15" s="35">
        <v>-25</v>
      </c>
      <c r="L15" s="35">
        <v>-26.7</v>
      </c>
      <c r="M15" s="35">
        <v>-20</v>
      </c>
      <c r="N15" s="35">
        <v>-12.5</v>
      </c>
      <c r="O15" s="35">
        <v>-18.600000000000001</v>
      </c>
      <c r="P15" s="35">
        <v>-4.2</v>
      </c>
      <c r="Q15" s="35">
        <v>-5.76</v>
      </c>
      <c r="R15" s="35">
        <v>1.9</v>
      </c>
      <c r="S15" s="35">
        <v>-15.48</v>
      </c>
      <c r="T15" s="35">
        <v>-19.399999999999999</v>
      </c>
      <c r="U15" s="35">
        <v>-23.48</v>
      </c>
      <c r="V15" s="35">
        <v>-22.1</v>
      </c>
      <c r="W15" s="35">
        <v>-16.600000000000001</v>
      </c>
      <c r="X15" s="35">
        <v>-7.6</v>
      </c>
      <c r="Y15" s="35">
        <v>-14.4</v>
      </c>
      <c r="Z15" s="35">
        <v>-25.1</v>
      </c>
      <c r="AA15" s="35">
        <v>-6.78</v>
      </c>
      <c r="AB15" s="35">
        <v>-14.9</v>
      </c>
      <c r="AC15" s="35">
        <v>-4.5</v>
      </c>
      <c r="AD15" s="35">
        <v>-6.31</v>
      </c>
      <c r="AE15" s="35">
        <v>-6.99</v>
      </c>
      <c r="AF15" s="35">
        <v>-15.1</v>
      </c>
    </row>
    <row r="16" spans="1:33" ht="30" x14ac:dyDescent="0.25">
      <c r="A16" s="11" t="s">
        <v>2</v>
      </c>
      <c r="B16" s="15">
        <f>(B4+B5+B6+B7+B8+B9+B10+B11+B12+B13+B14+B15)/12</f>
        <v>-8.4883333333333351</v>
      </c>
      <c r="C16" s="15">
        <f t="shared" ref="C16:O16" si="0">(C4+C5+C6+C7+C8+C9+C10+C11+C12+C13+C14+C15)/12</f>
        <v>-10.2775</v>
      </c>
      <c r="D16" s="15">
        <f t="shared" si="0"/>
        <v>-4.6250000000000009</v>
      </c>
      <c r="E16" s="15">
        <f t="shared" si="0"/>
        <v>-14.077500000000001</v>
      </c>
      <c r="F16" s="15">
        <f t="shared" si="0"/>
        <v>-12.525</v>
      </c>
      <c r="G16" s="15">
        <f t="shared" si="0"/>
        <v>-20.083333333333332</v>
      </c>
      <c r="H16" s="15">
        <f t="shared" si="0"/>
        <v>-18.583333333333336</v>
      </c>
      <c r="I16" s="15">
        <f t="shared" si="0"/>
        <v>-11.958333333333334</v>
      </c>
      <c r="J16" s="15">
        <f t="shared" si="0"/>
        <v>-11.691666666666668</v>
      </c>
      <c r="K16" s="15">
        <f t="shared" si="0"/>
        <v>-21.05</v>
      </c>
      <c r="L16" s="15">
        <f t="shared" si="0"/>
        <v>-22.150000000000002</v>
      </c>
      <c r="M16" s="15">
        <f t="shared" si="0"/>
        <v>-20.166666666666668</v>
      </c>
      <c r="N16" s="15">
        <f t="shared" si="0"/>
        <v>-16.45</v>
      </c>
      <c r="O16" s="15">
        <f t="shared" si="0"/>
        <v>-13.441666666666665</v>
      </c>
      <c r="P16" s="15">
        <f>(P4+P5+P6+P7+P8+P9+P10+P11+P12+P13+P14+P15)/12</f>
        <v>-11.174999999999999</v>
      </c>
      <c r="Q16" s="15">
        <f>(Q4+Q5+Q6+Q7+Q8+Q9+Q10+Q11+Q12+Q13+Q14+Q15)/12</f>
        <v>-1.3233333333333333</v>
      </c>
      <c r="R16" s="15">
        <f>(R4+R5+R6+R7+R8+R9+R10+R11+R12+R13+R14+R15)/12</f>
        <v>-0.2066666666666668</v>
      </c>
      <c r="S16" s="15">
        <f t="shared" ref="S16:AF16" si="1">(S4+S5+S6+S7+S8+S9+S10+S11+S12+S13+S14+S15)/12</f>
        <v>-5.3900000000000006</v>
      </c>
      <c r="T16" s="15">
        <f t="shared" si="1"/>
        <v>-12.799999999999999</v>
      </c>
      <c r="U16" s="15">
        <f t="shared" si="1"/>
        <v>-17.04</v>
      </c>
      <c r="V16" s="15">
        <f>(V4+V5+V6+V7+V8+V9+V10+V11+V12+V13+V14+V15)/12</f>
        <v>-19.205833333333334</v>
      </c>
      <c r="W16" s="15">
        <f>(W4+W5+W6+W7+W8+W9+W10+W11+W12+W13+W14+W15)/12</f>
        <v>-16.141666666666666</v>
      </c>
      <c r="X16" s="15">
        <f>(X4+X5+X6+X7+X8+X9+X10+X11+X12+X13+X14+X15)/12</f>
        <v>-10.899166666666666</v>
      </c>
      <c r="Y16" s="15">
        <f t="shared" si="1"/>
        <v>-7.0708333333333329</v>
      </c>
      <c r="Z16" s="15">
        <f t="shared" si="1"/>
        <v>-18.708333333333332</v>
      </c>
      <c r="AA16" s="15">
        <f t="shared" si="1"/>
        <v>-13.806666666666665</v>
      </c>
      <c r="AB16" s="15">
        <f t="shared" si="1"/>
        <v>-11.866666666666667</v>
      </c>
      <c r="AC16" s="15">
        <f t="shared" si="1"/>
        <v>-8.9783333333333335</v>
      </c>
      <c r="AD16" s="15">
        <f t="shared" si="1"/>
        <v>-1.6508333333333332</v>
      </c>
      <c r="AE16" s="15">
        <f t="shared" si="1"/>
        <v>-7.6325000000000003</v>
      </c>
      <c r="AF16" s="15">
        <f t="shared" si="1"/>
        <v>-12.545833333333333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9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3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-9.1999999999999993</v>
      </c>
      <c r="C24" s="35">
        <v>-9.6</v>
      </c>
      <c r="D24" s="35">
        <v>-8.5</v>
      </c>
      <c r="E24" s="35">
        <v>-4.7</v>
      </c>
      <c r="F24" s="35">
        <v>-10.8</v>
      </c>
      <c r="G24" s="35">
        <v>-22.2</v>
      </c>
      <c r="H24" s="35">
        <v>-21.3</v>
      </c>
      <c r="I24" s="35">
        <v>-16</v>
      </c>
      <c r="J24" s="35">
        <v>-10.5</v>
      </c>
      <c r="K24" s="35">
        <v>-21.9</v>
      </c>
      <c r="L24" s="35">
        <v>-24.8</v>
      </c>
      <c r="M24" s="35">
        <v>-29.5</v>
      </c>
      <c r="N24" s="35">
        <v>-27.6</v>
      </c>
      <c r="O24" s="35">
        <v>-12.8</v>
      </c>
      <c r="P24" s="35">
        <v>-19.399999999999999</v>
      </c>
      <c r="Q24" s="35">
        <v>-4.3</v>
      </c>
      <c r="R24" s="13">
        <v>-5.9</v>
      </c>
      <c r="S24" s="35">
        <v>2.5</v>
      </c>
      <c r="T24" s="35">
        <v>-18.3</v>
      </c>
      <c r="U24" s="35">
        <v>-21.1</v>
      </c>
      <c r="V24" s="35">
        <v>-25.4</v>
      </c>
      <c r="W24" s="35">
        <v>-24.2</v>
      </c>
      <c r="X24" s="35">
        <v>-16.5</v>
      </c>
      <c r="Y24" s="35">
        <v>-8.6999999999999993</v>
      </c>
      <c r="Z24" s="35">
        <v>-14.9</v>
      </c>
      <c r="AA24" s="35">
        <v>-26.9</v>
      </c>
      <c r="AB24" s="35">
        <v>-8.9</v>
      </c>
      <c r="AC24" s="35">
        <v>-15.7</v>
      </c>
      <c r="AD24" s="35">
        <v>-4.0999999999999996</v>
      </c>
      <c r="AE24" s="35">
        <v>-7.3</v>
      </c>
      <c r="AF24" s="35">
        <v>-12.3</v>
      </c>
    </row>
    <row r="25" spans="1:32" x14ac:dyDescent="0.25">
      <c r="A25" s="10">
        <v>6</v>
      </c>
      <c r="B25" s="35">
        <v>-9.6</v>
      </c>
      <c r="C25" s="35">
        <v>-9.3000000000000007</v>
      </c>
      <c r="D25" s="35">
        <v>-7.8</v>
      </c>
      <c r="E25" s="35">
        <v>-8.8000000000000007</v>
      </c>
      <c r="F25" s="35">
        <v>-8.5</v>
      </c>
      <c r="G25" s="35">
        <v>-23.4</v>
      </c>
      <c r="H25" s="35">
        <v>-21.6</v>
      </c>
      <c r="I25" s="35">
        <v>-15.3</v>
      </c>
      <c r="J25" s="35">
        <v>-10</v>
      </c>
      <c r="K25" s="35">
        <v>-24</v>
      </c>
      <c r="L25" s="35">
        <v>-26.5</v>
      </c>
      <c r="M25" s="35">
        <v>-30.4</v>
      </c>
      <c r="N25" s="35">
        <v>-28.5</v>
      </c>
      <c r="O25" s="35">
        <v>-14.3</v>
      </c>
      <c r="P25" s="35">
        <v>-19.899999999999999</v>
      </c>
      <c r="Q25" s="35">
        <v>-3.3</v>
      </c>
      <c r="R25" s="13">
        <v>-6.8</v>
      </c>
      <c r="S25" s="35">
        <v>0.9</v>
      </c>
      <c r="T25" s="35">
        <v>-19.100000000000001</v>
      </c>
      <c r="U25" s="35">
        <v>-21.1</v>
      </c>
      <c r="V25" s="35">
        <v>-25.5</v>
      </c>
      <c r="W25" s="35">
        <v>-24.1</v>
      </c>
      <c r="X25" s="35">
        <v>-16.399999999999999</v>
      </c>
      <c r="Y25" s="35">
        <v>-7.5</v>
      </c>
      <c r="Z25" s="35">
        <v>-16.5</v>
      </c>
      <c r="AA25" s="35">
        <v>-27.7</v>
      </c>
      <c r="AB25" s="35">
        <v>-12.6</v>
      </c>
      <c r="AC25" s="35">
        <v>-14.6</v>
      </c>
      <c r="AD25" s="35">
        <v>-3.4</v>
      </c>
      <c r="AE25" s="35">
        <v>-8.1999999999999993</v>
      </c>
      <c r="AF25" s="35">
        <v>-14.3</v>
      </c>
    </row>
    <row r="26" spans="1:32" x14ac:dyDescent="0.25">
      <c r="A26" s="10">
        <v>8</v>
      </c>
      <c r="B26" s="35">
        <v>-9.1</v>
      </c>
      <c r="C26" s="35">
        <v>-9.5</v>
      </c>
      <c r="D26" s="35">
        <v>-6.7</v>
      </c>
      <c r="E26" s="35">
        <v>-15.7</v>
      </c>
      <c r="F26" s="35">
        <v>-5.6</v>
      </c>
      <c r="G26" s="35">
        <v>-22.5</v>
      </c>
      <c r="H26" s="35">
        <v>-22.6</v>
      </c>
      <c r="I26" s="35">
        <v>-14.2</v>
      </c>
      <c r="J26" s="35">
        <v>-9.6999999999999993</v>
      </c>
      <c r="K26" s="35">
        <v>-24.3</v>
      </c>
      <c r="L26" s="35">
        <v>-24.4</v>
      </c>
      <c r="M26" s="35">
        <v>-27.2</v>
      </c>
      <c r="N26" s="35">
        <v>-24.5</v>
      </c>
      <c r="O26" s="35">
        <v>-14.8</v>
      </c>
      <c r="P26" s="35">
        <v>-17.100000000000001</v>
      </c>
      <c r="Q26" s="35">
        <v>-1.9</v>
      </c>
      <c r="R26" s="13">
        <v>-7.4</v>
      </c>
      <c r="S26" s="35">
        <v>-0.2</v>
      </c>
      <c r="T26" s="35">
        <v>-14.7</v>
      </c>
      <c r="U26" s="35">
        <v>-18.7</v>
      </c>
      <c r="V26" s="35">
        <v>-23.7</v>
      </c>
      <c r="W26" s="35">
        <v>-18.3</v>
      </c>
      <c r="X26" s="35">
        <v>-15.3</v>
      </c>
      <c r="Y26" s="35">
        <v>-4.7</v>
      </c>
      <c r="Z26" s="35">
        <v>-16.8</v>
      </c>
      <c r="AA26" s="35">
        <v>-23.6</v>
      </c>
      <c r="AB26" s="35">
        <v>-11.9</v>
      </c>
      <c r="AC26" s="35">
        <v>-12.3</v>
      </c>
      <c r="AD26" s="35">
        <v>-2.2000000000000002</v>
      </c>
      <c r="AE26" s="35">
        <v>-8.4</v>
      </c>
      <c r="AF26" s="35">
        <v>-13.7</v>
      </c>
    </row>
    <row r="27" spans="1:32" x14ac:dyDescent="0.25">
      <c r="A27" s="10">
        <v>10</v>
      </c>
      <c r="B27" s="35">
        <v>-7.1</v>
      </c>
      <c r="C27" s="35">
        <v>-9.6</v>
      </c>
      <c r="D27" s="35">
        <v>-4.7</v>
      </c>
      <c r="E27" s="35">
        <v>-17.399999999999999</v>
      </c>
      <c r="F27" s="35">
        <v>-2.1</v>
      </c>
      <c r="G27" s="35">
        <v>-19.5</v>
      </c>
      <c r="H27" s="35">
        <v>-18.399999999999999</v>
      </c>
      <c r="I27" s="35">
        <v>-13</v>
      </c>
      <c r="J27" s="35">
        <v>-7.3</v>
      </c>
      <c r="K27" s="35">
        <v>-21.4</v>
      </c>
      <c r="L27" s="35">
        <v>-20.399999999999999</v>
      </c>
      <c r="M27" s="35">
        <v>-19.8</v>
      </c>
      <c r="N27" s="35">
        <v>-18.100000000000001</v>
      </c>
      <c r="O27" s="35">
        <v>-12.2</v>
      </c>
      <c r="P27" s="35">
        <v>-12.5</v>
      </c>
      <c r="Q27" s="35">
        <v>0.1</v>
      </c>
      <c r="R27" s="13">
        <v>-5.2</v>
      </c>
      <c r="S27" s="35">
        <v>-2.1</v>
      </c>
      <c r="T27" s="35">
        <v>-9.8000000000000007</v>
      </c>
      <c r="U27" s="35">
        <v>-16</v>
      </c>
      <c r="V27" s="35">
        <v>-18.600000000000001</v>
      </c>
      <c r="W27" s="35">
        <v>-15.8</v>
      </c>
      <c r="X27" s="35">
        <v>-11.6</v>
      </c>
      <c r="Y27" s="35">
        <v>-2.8</v>
      </c>
      <c r="Z27" s="35">
        <v>-16.2</v>
      </c>
      <c r="AA27" s="35">
        <v>-18.399999999999999</v>
      </c>
      <c r="AB27" s="35">
        <v>-9.3000000000000007</v>
      </c>
      <c r="AC27" s="35">
        <v>-10.4</v>
      </c>
      <c r="AD27" s="35">
        <v>-0.8</v>
      </c>
      <c r="AE27" s="35">
        <v>-5.3</v>
      </c>
      <c r="AF27" s="35">
        <v>-11.6</v>
      </c>
    </row>
    <row r="28" spans="1:32" x14ac:dyDescent="0.25">
      <c r="A28" s="10">
        <v>12</v>
      </c>
      <c r="B28" s="35">
        <v>-6</v>
      </c>
      <c r="C28" s="35">
        <v>-9.6999999999999993</v>
      </c>
      <c r="D28" s="35">
        <v>-3.7</v>
      </c>
      <c r="E28" s="35">
        <v>-16.3</v>
      </c>
      <c r="F28" s="35">
        <v>-3</v>
      </c>
      <c r="G28" s="35">
        <v>-18.7</v>
      </c>
      <c r="H28" s="35">
        <v>-17.2</v>
      </c>
      <c r="I28" s="35">
        <v>-11.4</v>
      </c>
      <c r="J28" s="35">
        <v>-6.5</v>
      </c>
      <c r="K28" s="35">
        <v>-18.100000000000001</v>
      </c>
      <c r="L28" s="35">
        <v>-15.6</v>
      </c>
      <c r="M28" s="35">
        <v>-16.3</v>
      </c>
      <c r="N28" s="35">
        <v>-15.2</v>
      </c>
      <c r="O28" s="35">
        <v>-10.3</v>
      </c>
      <c r="P28" s="35">
        <v>-10.199999999999999</v>
      </c>
      <c r="Q28" s="35">
        <v>0.9</v>
      </c>
      <c r="R28" s="13">
        <v>-0.1</v>
      </c>
      <c r="S28" s="35">
        <v>-2.1</v>
      </c>
      <c r="T28" s="35">
        <v>-5.9</v>
      </c>
      <c r="U28" s="35">
        <v>-13.4</v>
      </c>
      <c r="V28" s="35">
        <v>-16</v>
      </c>
      <c r="W28" s="35">
        <v>-11.8</v>
      </c>
      <c r="X28" s="35">
        <v>-9.1999999999999993</v>
      </c>
      <c r="Y28" s="35">
        <v>-2.5</v>
      </c>
      <c r="Z28" s="35">
        <v>-16</v>
      </c>
      <c r="AA28" s="35">
        <v>-14.4</v>
      </c>
      <c r="AB28" s="35">
        <v>-7.2</v>
      </c>
      <c r="AC28" s="35">
        <v>-8.8000000000000007</v>
      </c>
      <c r="AD28" s="35">
        <v>1.6</v>
      </c>
      <c r="AE28" s="35">
        <v>-6.3</v>
      </c>
      <c r="AF28" s="35">
        <v>-9.9</v>
      </c>
    </row>
    <row r="29" spans="1:32" x14ac:dyDescent="0.25">
      <c r="A29" s="10">
        <v>14</v>
      </c>
      <c r="B29" s="35">
        <v>-6.2</v>
      </c>
      <c r="C29" s="35">
        <v>-8.6</v>
      </c>
      <c r="D29" s="35">
        <v>-3.3</v>
      </c>
      <c r="E29" s="35">
        <v>-15.2</v>
      </c>
      <c r="F29" s="35">
        <v>-9.1</v>
      </c>
      <c r="G29" s="35">
        <v>-17.5</v>
      </c>
      <c r="H29" s="35">
        <v>-16.2</v>
      </c>
      <c r="I29" s="35">
        <v>-10.7</v>
      </c>
      <c r="J29" s="35">
        <v>-6.4</v>
      </c>
      <c r="K29" s="35">
        <v>-15.7</v>
      </c>
      <c r="L29" s="35">
        <v>-16.7</v>
      </c>
      <c r="M29" s="35">
        <v>-12.9</v>
      </c>
      <c r="N29" s="35">
        <v>-12.4</v>
      </c>
      <c r="O29" s="35">
        <v>-9.1999999999999993</v>
      </c>
      <c r="P29" s="35">
        <v>-7.7</v>
      </c>
      <c r="Q29" s="35">
        <v>2.1</v>
      </c>
      <c r="R29" s="13">
        <v>1.1000000000000001</v>
      </c>
      <c r="S29" s="35">
        <v>-3.7</v>
      </c>
      <c r="T29" s="35">
        <v>-6.1</v>
      </c>
      <c r="U29" s="35">
        <v>-12.5</v>
      </c>
      <c r="V29" s="35">
        <v>-15</v>
      </c>
      <c r="W29" s="35">
        <v>-11.8</v>
      </c>
      <c r="X29" s="35">
        <v>-8.9</v>
      </c>
      <c r="Y29" s="35">
        <v>-3.5</v>
      </c>
      <c r="Z29" s="35">
        <v>-15.4</v>
      </c>
      <c r="AA29" s="35">
        <v>-10.6</v>
      </c>
      <c r="AB29" s="35">
        <v>-7.6</v>
      </c>
      <c r="AC29" s="35">
        <v>-8</v>
      </c>
      <c r="AD29" s="35">
        <v>1.9</v>
      </c>
      <c r="AE29" s="35">
        <v>-5.9</v>
      </c>
      <c r="AF29" s="35">
        <v>-8.1</v>
      </c>
    </row>
    <row r="30" spans="1:32" x14ac:dyDescent="0.25">
      <c r="A30" s="10">
        <v>16</v>
      </c>
      <c r="B30" s="35">
        <v>-6.8</v>
      </c>
      <c r="C30" s="35">
        <v>-9.6999999999999993</v>
      </c>
      <c r="D30" s="35">
        <v>-2.7</v>
      </c>
      <c r="E30" s="35">
        <v>-15.8</v>
      </c>
      <c r="F30" s="35">
        <v>-11.9</v>
      </c>
      <c r="G30" s="35">
        <v>-18</v>
      </c>
      <c r="H30" s="35">
        <v>-16.600000000000001</v>
      </c>
      <c r="I30" s="35">
        <v>-10.4</v>
      </c>
      <c r="J30" s="35">
        <v>-7</v>
      </c>
      <c r="K30" s="35">
        <v>-15.9</v>
      </c>
      <c r="L30" s="35">
        <v>-16.3</v>
      </c>
      <c r="M30" s="35">
        <v>-17.3</v>
      </c>
      <c r="N30" s="35">
        <v>-12.4</v>
      </c>
      <c r="O30" s="35">
        <v>-9.9</v>
      </c>
      <c r="P30" s="35">
        <v>-9</v>
      </c>
      <c r="Q30" s="35">
        <v>0.6</v>
      </c>
      <c r="R30" s="13">
        <v>1.7</v>
      </c>
      <c r="S30" s="35">
        <v>-3.8</v>
      </c>
      <c r="T30" s="35">
        <v>-7.1</v>
      </c>
      <c r="U30" s="35">
        <v>-11.8</v>
      </c>
      <c r="V30" s="35">
        <v>-14</v>
      </c>
      <c r="W30" s="35">
        <v>-11.4</v>
      </c>
      <c r="X30" s="35">
        <v>-8.6999999999999993</v>
      </c>
      <c r="Y30" s="35">
        <v>-5</v>
      </c>
      <c r="Z30" s="35">
        <v>-13.6</v>
      </c>
      <c r="AA30" s="35">
        <v>-11.5</v>
      </c>
      <c r="AB30" s="35">
        <v>-7.4</v>
      </c>
      <c r="AC30" s="35">
        <v>-7.8</v>
      </c>
      <c r="AD30" s="35">
        <v>1.3</v>
      </c>
      <c r="AE30" s="35">
        <v>-5.2</v>
      </c>
      <c r="AF30" s="35">
        <v>-8.1999999999999993</v>
      </c>
    </row>
    <row r="31" spans="1:32" x14ac:dyDescent="0.25">
      <c r="A31" s="10">
        <v>18</v>
      </c>
      <c r="B31" s="35">
        <v>-7.6</v>
      </c>
      <c r="C31" s="35">
        <v>-10.9</v>
      </c>
      <c r="D31" s="35">
        <v>-3</v>
      </c>
      <c r="E31" s="35">
        <v>-19.100000000000001</v>
      </c>
      <c r="F31" s="35">
        <v>-14.4</v>
      </c>
      <c r="G31" s="35">
        <v>-18.600000000000001</v>
      </c>
      <c r="H31" s="35">
        <v>-19</v>
      </c>
      <c r="I31" s="35">
        <v>-9.9</v>
      </c>
      <c r="J31" s="35">
        <v>-8.8000000000000007</v>
      </c>
      <c r="K31" s="35">
        <v>-18.899999999999999</v>
      </c>
      <c r="L31" s="35">
        <v>-21.4</v>
      </c>
      <c r="M31" s="35">
        <v>-19.7</v>
      </c>
      <c r="N31" s="35">
        <v>-14.5</v>
      </c>
      <c r="O31" s="35">
        <v>-12.4</v>
      </c>
      <c r="P31" s="35">
        <v>-8.8000000000000007</v>
      </c>
      <c r="Q31" s="35">
        <v>0</v>
      </c>
      <c r="R31" s="13">
        <v>1.8</v>
      </c>
      <c r="S31" s="35">
        <v>-5.6</v>
      </c>
      <c r="T31" s="35">
        <v>-9.6999999999999993</v>
      </c>
      <c r="U31" s="35">
        <v>-14.9</v>
      </c>
      <c r="V31" s="35">
        <v>-15.3</v>
      </c>
      <c r="W31" s="35">
        <v>-12.7</v>
      </c>
      <c r="X31" s="35">
        <v>-9.4</v>
      </c>
      <c r="Y31" s="35">
        <v>-8.3000000000000007</v>
      </c>
      <c r="Z31" s="35">
        <v>-15.5</v>
      </c>
      <c r="AA31" s="35">
        <v>-11.1</v>
      </c>
      <c r="AB31" s="35">
        <v>-11.1</v>
      </c>
      <c r="AC31" s="35">
        <v>-7.4</v>
      </c>
      <c r="AD31" s="35">
        <v>-0.2</v>
      </c>
      <c r="AE31" s="35">
        <v>-5.5</v>
      </c>
      <c r="AF31" s="35">
        <v>-11.1</v>
      </c>
    </row>
    <row r="32" spans="1:32" x14ac:dyDescent="0.25">
      <c r="A32" s="10">
        <v>20</v>
      </c>
      <c r="B32" s="35">
        <v>-7.5</v>
      </c>
      <c r="C32" s="35">
        <v>-11.2</v>
      </c>
      <c r="D32" s="35">
        <v>-3.4</v>
      </c>
      <c r="E32" s="35">
        <v>-17.3</v>
      </c>
      <c r="F32" s="35">
        <v>-15.5</v>
      </c>
      <c r="G32" s="35">
        <v>-19.2</v>
      </c>
      <c r="H32" s="35">
        <v>-18.7</v>
      </c>
      <c r="I32" s="35">
        <v>-10.1</v>
      </c>
      <c r="J32" s="35">
        <v>-10.5</v>
      </c>
      <c r="K32" s="35">
        <v>-19.7</v>
      </c>
      <c r="L32" s="35">
        <v>-23.9</v>
      </c>
      <c r="M32" s="35">
        <v>-20.9</v>
      </c>
      <c r="N32" s="35">
        <v>-14</v>
      </c>
      <c r="O32" s="35">
        <v>-14.6</v>
      </c>
      <c r="P32" s="35">
        <v>-8.3000000000000007</v>
      </c>
      <c r="Q32" s="35">
        <v>-1.3</v>
      </c>
      <c r="R32" s="13">
        <v>2.4</v>
      </c>
      <c r="S32" s="35">
        <v>-6.9</v>
      </c>
      <c r="T32" s="35">
        <v>-13.5</v>
      </c>
      <c r="U32" s="35">
        <v>-16.399999999999999</v>
      </c>
      <c r="V32" s="35">
        <v>-19</v>
      </c>
      <c r="W32" s="35">
        <v>-13</v>
      </c>
      <c r="X32" s="35">
        <v>-9.6</v>
      </c>
      <c r="Y32" s="35">
        <v>-9.8000000000000007</v>
      </c>
      <c r="Z32" s="35">
        <v>-18.399999999999999</v>
      </c>
      <c r="AA32" s="35">
        <v>-10.3</v>
      </c>
      <c r="AB32" s="35">
        <v>-13.3</v>
      </c>
      <c r="AC32" s="35">
        <v>-6.8</v>
      </c>
      <c r="AD32" s="35">
        <v>-0.3</v>
      </c>
      <c r="AE32" s="35">
        <v>-5</v>
      </c>
      <c r="AF32" s="35">
        <v>-14.5</v>
      </c>
    </row>
    <row r="33" spans="1:32" x14ac:dyDescent="0.25">
      <c r="A33" s="10">
        <v>22</v>
      </c>
      <c r="B33" s="35">
        <v>-8.1999999999999993</v>
      </c>
      <c r="C33" s="35">
        <v>-10.4</v>
      </c>
      <c r="D33" s="35">
        <v>-3.6</v>
      </c>
      <c r="E33" s="35">
        <v>-16.8</v>
      </c>
      <c r="F33" s="35">
        <v>-16.8</v>
      </c>
      <c r="G33" s="35">
        <v>-20</v>
      </c>
      <c r="H33" s="35">
        <v>-18.899999999999999</v>
      </c>
      <c r="I33" s="35">
        <v>-10.4</v>
      </c>
      <c r="J33" s="35">
        <v>-15.1</v>
      </c>
      <c r="K33" s="35">
        <v>-20.7</v>
      </c>
      <c r="L33" s="35">
        <v>-25.4</v>
      </c>
      <c r="M33" s="35">
        <v>-24.5</v>
      </c>
      <c r="N33" s="35">
        <v>-13</v>
      </c>
      <c r="O33" s="35">
        <v>-13.7</v>
      </c>
      <c r="P33" s="35">
        <v>-7.6</v>
      </c>
      <c r="Q33" s="35">
        <v>-2.5</v>
      </c>
      <c r="R33" s="13">
        <v>2.5</v>
      </c>
      <c r="S33" s="35">
        <v>-6.3</v>
      </c>
      <c r="T33" s="35">
        <v>-15.8</v>
      </c>
      <c r="U33" s="35">
        <v>-19.899999999999999</v>
      </c>
      <c r="V33" s="35">
        <v>-20.7</v>
      </c>
      <c r="W33" s="35">
        <v>-13.7</v>
      </c>
      <c r="X33" s="35">
        <v>-9.6999999999999993</v>
      </c>
      <c r="Y33" s="35">
        <v>-12</v>
      </c>
      <c r="Z33" s="35">
        <v>-21.8</v>
      </c>
      <c r="AA33" s="35">
        <v>-9.5</v>
      </c>
      <c r="AB33" s="35">
        <v>-14.8</v>
      </c>
      <c r="AC33" s="35">
        <v>-6.4</v>
      </c>
      <c r="AD33" s="35">
        <v>-0.3</v>
      </c>
      <c r="AE33" s="35">
        <v>-4.5</v>
      </c>
      <c r="AF33" s="35">
        <v>-15.9</v>
      </c>
    </row>
    <row r="34" spans="1:32" x14ac:dyDescent="0.25">
      <c r="A34" s="10">
        <v>24</v>
      </c>
      <c r="B34" s="35">
        <v>-9</v>
      </c>
      <c r="C34" s="35">
        <v>-9.3000000000000007</v>
      </c>
      <c r="D34" s="35">
        <v>-4.5999999999999996</v>
      </c>
      <c r="E34" s="35">
        <v>-15.4</v>
      </c>
      <c r="F34" s="35">
        <v>-18.3</v>
      </c>
      <c r="G34" s="35">
        <v>-21.2</v>
      </c>
      <c r="H34" s="35">
        <v>-18.8</v>
      </c>
      <c r="I34" s="35">
        <v>-10.7</v>
      </c>
      <c r="J34" s="35">
        <v>-18.2</v>
      </c>
      <c r="K34" s="35">
        <v>-22</v>
      </c>
      <c r="L34" s="35">
        <v>-27.1</v>
      </c>
      <c r="M34" s="35">
        <v>-24.7</v>
      </c>
      <c r="N34" s="35">
        <v>-12.6</v>
      </c>
      <c r="O34" s="35">
        <v>-15.4</v>
      </c>
      <c r="P34" s="35">
        <v>-6.2</v>
      </c>
      <c r="Q34" s="35">
        <v>-2.9</v>
      </c>
      <c r="R34" s="13">
        <v>2.6</v>
      </c>
      <c r="S34" s="35">
        <v>-11.8</v>
      </c>
      <c r="T34" s="35">
        <v>-17.7</v>
      </c>
      <c r="U34" s="35">
        <v>-21.6</v>
      </c>
      <c r="V34" s="35">
        <v>-21.8</v>
      </c>
      <c r="W34" s="35">
        <v>-15.3</v>
      </c>
      <c r="X34" s="35">
        <v>-9.8000000000000007</v>
      </c>
      <c r="Y34" s="35">
        <v>-13.2</v>
      </c>
      <c r="Z34" s="35">
        <v>-23.7</v>
      </c>
      <c r="AA34" s="35">
        <v>-8</v>
      </c>
      <c r="AB34" s="35">
        <v>-16.600000000000001</v>
      </c>
      <c r="AC34" s="35">
        <v>-5.8</v>
      </c>
      <c r="AD34" s="35">
        <v>-4.2</v>
      </c>
      <c r="AE34" s="35">
        <v>-6.1</v>
      </c>
      <c r="AF34" s="35">
        <v>-17.399999999999999</v>
      </c>
    </row>
    <row r="35" spans="1:32" x14ac:dyDescent="0.25">
      <c r="A35" s="10">
        <v>2</v>
      </c>
      <c r="B35" s="35">
        <v>-9.1</v>
      </c>
      <c r="C35" s="35">
        <v>-9</v>
      </c>
      <c r="D35" s="35">
        <v>-5.2</v>
      </c>
      <c r="E35" s="35">
        <v>-13.3</v>
      </c>
      <c r="F35" s="35">
        <v>-21</v>
      </c>
      <c r="G35" s="35">
        <v>-21.3</v>
      </c>
      <c r="H35" s="35">
        <v>-16.5</v>
      </c>
      <c r="I35" s="35">
        <v>-10.3</v>
      </c>
      <c r="J35" s="35">
        <v>-19.7</v>
      </c>
      <c r="K35" s="35">
        <v>-23.7</v>
      </c>
      <c r="L35" s="35">
        <v>-28.3</v>
      </c>
      <c r="M35" s="35">
        <v>-27.1</v>
      </c>
      <c r="N35" s="35">
        <v>-12.6</v>
      </c>
      <c r="O35" s="35">
        <v>-17.7</v>
      </c>
      <c r="P35" s="35">
        <v>-5.0999999999999996</v>
      </c>
      <c r="Q35" s="35">
        <v>-5.5</v>
      </c>
      <c r="R35" s="13">
        <v>2.1</v>
      </c>
      <c r="S35" s="35">
        <v>-15.4</v>
      </c>
      <c r="T35" s="35">
        <v>-19.100000000000001</v>
      </c>
      <c r="U35" s="35">
        <v>-22.8</v>
      </c>
      <c r="V35" s="35">
        <v>-23.8</v>
      </c>
      <c r="W35" s="35">
        <v>-16.7</v>
      </c>
      <c r="X35" s="35">
        <v>-9.6</v>
      </c>
      <c r="Y35" s="35">
        <v>-14</v>
      </c>
      <c r="Z35" s="35">
        <v>-24.8</v>
      </c>
      <c r="AA35" s="35">
        <v>-6.9</v>
      </c>
      <c r="AB35" s="35">
        <v>-16.5</v>
      </c>
      <c r="AC35" s="35">
        <v>-4.9000000000000004</v>
      </c>
      <c r="AD35" s="35">
        <v>-6</v>
      </c>
      <c r="AE35" s="35">
        <v>-7.5</v>
      </c>
      <c r="AF35" s="35">
        <v>-19.8</v>
      </c>
    </row>
    <row r="36" spans="1:32" ht="30" x14ac:dyDescent="0.25">
      <c r="A36" s="11" t="s">
        <v>2</v>
      </c>
      <c r="B36" s="15">
        <f>(B24+B25+B26+B27+B28+B29+B30+B31+B32+B33+B34+B35)/12</f>
        <v>-7.9499999999999993</v>
      </c>
      <c r="C36" s="15">
        <f t="shared" ref="C36:J36" si="2">(C24+C25+C26+C27+C28+C29+C30+C31+C32+C33+C34+C35)/12</f>
        <v>-9.7333333333333343</v>
      </c>
      <c r="D36" s="15">
        <f t="shared" si="2"/>
        <v>-4.7666666666666666</v>
      </c>
      <c r="E36" s="15">
        <f t="shared" si="2"/>
        <v>-14.650000000000004</v>
      </c>
      <c r="F36" s="15">
        <f t="shared" si="2"/>
        <v>-11.416666666666666</v>
      </c>
      <c r="G36" s="15">
        <f t="shared" si="2"/>
        <v>-20.175000000000001</v>
      </c>
      <c r="H36" s="15">
        <f t="shared" si="2"/>
        <v>-18.816666666666666</v>
      </c>
      <c r="I36" s="15">
        <f t="shared" si="2"/>
        <v>-11.866666666666669</v>
      </c>
      <c r="J36" s="15">
        <f t="shared" si="2"/>
        <v>-10.808333333333332</v>
      </c>
      <c r="K36" s="15">
        <f>(K24+K25+K26+K27+K28+K29+K30+K31+K32+K33+K34+K35)/12</f>
        <v>-20.524999999999995</v>
      </c>
      <c r="L36" s="15">
        <f t="shared" ref="L36:AF36" si="3">(L24+L25+L26+L27+L28+L29+L30+L31+L32+L33+L34+L35)/12</f>
        <v>-22.566666666666666</v>
      </c>
      <c r="M36" s="15">
        <f t="shared" si="3"/>
        <v>-22.525000000000002</v>
      </c>
      <c r="N36" s="15">
        <f t="shared" si="3"/>
        <v>-17.116666666666664</v>
      </c>
      <c r="O36" s="15">
        <f t="shared" si="3"/>
        <v>-13.108333333333334</v>
      </c>
      <c r="P36" s="15">
        <f t="shared" si="3"/>
        <v>-10.983333333333334</v>
      </c>
      <c r="Q36" s="15">
        <f t="shared" si="3"/>
        <v>-1.5</v>
      </c>
      <c r="R36" s="15">
        <f t="shared" si="3"/>
        <v>-0.93333333333333357</v>
      </c>
      <c r="S36" s="15">
        <f t="shared" si="3"/>
        <v>-4.541666666666667</v>
      </c>
      <c r="T36" s="15">
        <f t="shared" si="3"/>
        <v>-13.066666666666665</v>
      </c>
      <c r="U36" s="15">
        <f t="shared" si="3"/>
        <v>-17.516666666666669</v>
      </c>
      <c r="V36" s="15">
        <f t="shared" si="3"/>
        <v>-19.900000000000002</v>
      </c>
      <c r="W36" s="15">
        <f t="shared" si="3"/>
        <v>-15.733333333333333</v>
      </c>
      <c r="X36" s="15">
        <f t="shared" si="3"/>
        <v>-11.225000000000001</v>
      </c>
      <c r="Y36" s="15">
        <f t="shared" si="3"/>
        <v>-7.666666666666667</v>
      </c>
      <c r="Z36" s="15">
        <f t="shared" si="3"/>
        <v>-17.8</v>
      </c>
      <c r="AA36" s="15">
        <f t="shared" si="3"/>
        <v>-14.908333333333333</v>
      </c>
      <c r="AB36" s="15">
        <f t="shared" si="3"/>
        <v>-11.433333333333332</v>
      </c>
      <c r="AC36" s="15">
        <f t="shared" si="3"/>
        <v>-9.0750000000000011</v>
      </c>
      <c r="AD36" s="15">
        <f>(AD24+AD25+AD26+AD27+AD28+AD29+AD30+AD31+AD32+AD33+AD34+AD35)/12</f>
        <v>-1.3916666666666666</v>
      </c>
      <c r="AE36" s="15">
        <f>(AE24+AE25+AE26+AE27+AE28+AE29+AE30+AE31+AE32+AE33+AE34+AE35)/12</f>
        <v>-6.2666666666666666</v>
      </c>
      <c r="AF36" s="15">
        <f t="shared" si="3"/>
        <v>-13.066666666666668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0" zoomScaleNormal="80" workbookViewId="0">
      <pane xSplit="1" topLeftCell="B1" activePane="topRight" state="frozen"/>
      <selection pane="topRight" activeCell="AE10" sqref="AE10:AE15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1" t="s">
        <v>10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25"/>
    </row>
    <row r="4" spans="1:32" x14ac:dyDescent="0.25">
      <c r="A4" s="10">
        <v>4</v>
      </c>
      <c r="B4" s="35">
        <v>-17.3</v>
      </c>
      <c r="C4" s="35">
        <v>-5.6</v>
      </c>
      <c r="D4" s="35">
        <v>0.6</v>
      </c>
      <c r="E4" s="36">
        <v>-8</v>
      </c>
      <c r="F4" s="35">
        <v>-3.3</v>
      </c>
      <c r="G4" s="35">
        <v>-5.3</v>
      </c>
      <c r="H4" s="35">
        <v>-14.5</v>
      </c>
      <c r="I4" s="35">
        <v>-4.5</v>
      </c>
      <c r="J4" s="35">
        <v>-3.8</v>
      </c>
      <c r="K4" s="35">
        <v>-19.2</v>
      </c>
      <c r="L4" s="35">
        <v>-19.600000000000001</v>
      </c>
      <c r="M4" s="35">
        <v>-12.6</v>
      </c>
      <c r="N4" s="35">
        <v>0.3</v>
      </c>
      <c r="O4" s="35">
        <v>-5.4</v>
      </c>
      <c r="P4" s="35">
        <v>-16.399999999999999</v>
      </c>
      <c r="Q4" s="35">
        <v>-9.9</v>
      </c>
      <c r="R4" s="35">
        <v>-1.8</v>
      </c>
      <c r="S4" s="35">
        <v>1.6</v>
      </c>
      <c r="T4" s="35">
        <v>-10.5</v>
      </c>
      <c r="U4" s="35">
        <v>-12.8</v>
      </c>
      <c r="V4" s="35">
        <v>-3.5</v>
      </c>
      <c r="W4" s="35">
        <v>-4.2</v>
      </c>
      <c r="X4" s="35">
        <v>-12.3</v>
      </c>
      <c r="Y4" s="35">
        <v>-16.8</v>
      </c>
      <c r="Z4" s="36">
        <v>-11.1</v>
      </c>
      <c r="AA4" s="35">
        <v>-8</v>
      </c>
      <c r="AB4" s="35">
        <v>1.4</v>
      </c>
      <c r="AC4" s="35">
        <v>1.4</v>
      </c>
      <c r="AD4" s="35">
        <v>-9.6</v>
      </c>
      <c r="AE4" s="35">
        <v>-9.5</v>
      </c>
    </row>
    <row r="5" spans="1:32" x14ac:dyDescent="0.25">
      <c r="A5" s="10">
        <v>6</v>
      </c>
      <c r="B5" s="35">
        <v>-16.3</v>
      </c>
      <c r="C5" s="35">
        <v>-5.3</v>
      </c>
      <c r="D5" s="35">
        <v>1.1000000000000001</v>
      </c>
      <c r="E5" s="36">
        <v>-8</v>
      </c>
      <c r="F5" s="35">
        <v>-1.6</v>
      </c>
      <c r="G5" s="35">
        <v>-6.3</v>
      </c>
      <c r="H5" s="35">
        <v>-16.5</v>
      </c>
      <c r="I5" s="35">
        <v>-3.9</v>
      </c>
      <c r="J5" s="35">
        <v>-4.3</v>
      </c>
      <c r="K5" s="35">
        <v>-18.8</v>
      </c>
      <c r="L5" s="35">
        <v>-18.100000000000001</v>
      </c>
      <c r="M5" s="35">
        <v>-11.88</v>
      </c>
      <c r="N5" s="35">
        <v>0.25</v>
      </c>
      <c r="O5" s="35">
        <v>-6.7</v>
      </c>
      <c r="P5" s="35">
        <v>-16.600000000000001</v>
      </c>
      <c r="Q5" s="35">
        <v>-9.1999999999999993</v>
      </c>
      <c r="R5" s="35">
        <v>-1.99</v>
      </c>
      <c r="S5" s="35">
        <v>1.5</v>
      </c>
      <c r="T5" s="35">
        <v>-13.1</v>
      </c>
      <c r="U5" s="35">
        <v>-13.2</v>
      </c>
      <c r="V5" s="35">
        <v>-3.2</v>
      </c>
      <c r="W5" s="35">
        <v>-4.8</v>
      </c>
      <c r="X5" s="35">
        <v>-11.5</v>
      </c>
      <c r="Y5" s="35">
        <v>-16.5</v>
      </c>
      <c r="Z5" s="36">
        <v>-11.1</v>
      </c>
      <c r="AA5" s="35">
        <v>-5.4</v>
      </c>
      <c r="AB5" s="35">
        <v>1.7</v>
      </c>
      <c r="AC5" s="35">
        <v>1.7</v>
      </c>
      <c r="AD5" s="35">
        <v>-9.4</v>
      </c>
      <c r="AE5" s="35">
        <v>-9.4</v>
      </c>
    </row>
    <row r="6" spans="1:32" x14ac:dyDescent="0.25">
      <c r="A6" s="10">
        <v>8</v>
      </c>
      <c r="B6" s="35">
        <v>-12</v>
      </c>
      <c r="C6" s="35">
        <v>-4</v>
      </c>
      <c r="D6" s="35">
        <v>1.4</v>
      </c>
      <c r="E6" s="36">
        <v>-7.5</v>
      </c>
      <c r="F6" s="35">
        <v>2.7</v>
      </c>
      <c r="G6" s="35">
        <v>-9.4</v>
      </c>
      <c r="H6" s="35">
        <v>-9.1999999999999993</v>
      </c>
      <c r="I6" s="35">
        <v>-3.7</v>
      </c>
      <c r="J6" s="35">
        <v>-4</v>
      </c>
      <c r="K6" s="35">
        <v>-16.8</v>
      </c>
      <c r="L6" s="35">
        <v>-14.2</v>
      </c>
      <c r="M6" s="35">
        <v>-10.199999999999999</v>
      </c>
      <c r="N6" s="35">
        <v>1.3</v>
      </c>
      <c r="O6" s="35">
        <v>-6.7</v>
      </c>
      <c r="P6" s="35">
        <v>-13.8</v>
      </c>
      <c r="Q6" s="35">
        <v>-5.5</v>
      </c>
      <c r="R6" s="35">
        <v>0.3</v>
      </c>
      <c r="S6" s="35">
        <v>2.1</v>
      </c>
      <c r="T6" s="35">
        <v>-12.5</v>
      </c>
      <c r="U6" s="35">
        <v>-10.199999999999999</v>
      </c>
      <c r="V6" s="35">
        <v>-0.4</v>
      </c>
      <c r="W6" s="35">
        <v>-7.53</v>
      </c>
      <c r="X6" s="35">
        <v>-10.8</v>
      </c>
      <c r="Y6" s="35">
        <v>-14.4</v>
      </c>
      <c r="Z6" s="36">
        <v>-4.9000000000000004</v>
      </c>
      <c r="AA6" s="35">
        <v>-3.2</v>
      </c>
      <c r="AB6" s="35">
        <v>5.9</v>
      </c>
      <c r="AC6" s="35">
        <v>5.9</v>
      </c>
      <c r="AD6" s="35">
        <v>-9.4</v>
      </c>
      <c r="AE6" s="35">
        <v>-7.3</v>
      </c>
    </row>
    <row r="7" spans="1:32" x14ac:dyDescent="0.25">
      <c r="A7" s="10">
        <v>10</v>
      </c>
      <c r="B7" s="35">
        <v>-9</v>
      </c>
      <c r="C7" s="35">
        <v>-2.6</v>
      </c>
      <c r="D7" s="35">
        <v>2.2799999999999998</v>
      </c>
      <c r="E7" s="36">
        <v>-6.3</v>
      </c>
      <c r="F7" s="35">
        <v>5.8</v>
      </c>
      <c r="G7" s="35">
        <v>-10.199999999999999</v>
      </c>
      <c r="H7" s="35">
        <v>-6</v>
      </c>
      <c r="I7" s="35">
        <v>-5.3</v>
      </c>
      <c r="J7" s="35">
        <v>-1.9</v>
      </c>
      <c r="K7" s="35">
        <v>-15.1</v>
      </c>
      <c r="L7" s="35">
        <v>-12</v>
      </c>
      <c r="M7" s="35">
        <v>-8.8000000000000007</v>
      </c>
      <c r="N7" s="35">
        <v>2.2000000000000002</v>
      </c>
      <c r="O7" s="35">
        <v>-6.6</v>
      </c>
      <c r="P7" s="35">
        <v>-10.3</v>
      </c>
      <c r="Q7" s="35">
        <v>-1.6</v>
      </c>
      <c r="R7" s="35">
        <v>2.2999999999999998</v>
      </c>
      <c r="S7" s="35">
        <v>3.3</v>
      </c>
      <c r="T7" s="35">
        <v>-10.5</v>
      </c>
      <c r="U7" s="35">
        <v>-7.5</v>
      </c>
      <c r="V7" s="35">
        <v>3.1</v>
      </c>
      <c r="W7" s="35">
        <v>-10.8</v>
      </c>
      <c r="X7" s="35">
        <v>-10.5</v>
      </c>
      <c r="Y7" s="35">
        <v>-10.7</v>
      </c>
      <c r="Z7" s="36">
        <v>-4.2</v>
      </c>
      <c r="AA7" s="35">
        <v>0.3</v>
      </c>
      <c r="AB7" s="35">
        <v>5.7</v>
      </c>
      <c r="AC7" s="35">
        <v>5.7</v>
      </c>
      <c r="AD7" s="35">
        <v>-8.8000000000000007</v>
      </c>
      <c r="AE7" s="35">
        <v>-4.5999999999999996</v>
      </c>
    </row>
    <row r="8" spans="1:32" x14ac:dyDescent="0.25">
      <c r="A8" s="10">
        <v>12</v>
      </c>
      <c r="B8" s="35">
        <v>-6.3</v>
      </c>
      <c r="C8" s="35">
        <v>1</v>
      </c>
      <c r="D8" s="35">
        <v>2.9</v>
      </c>
      <c r="E8" s="36">
        <v>-4.8</v>
      </c>
      <c r="F8" s="35">
        <v>7.6</v>
      </c>
      <c r="G8" s="35">
        <v>-9.8000000000000007</v>
      </c>
      <c r="H8" s="35">
        <v>-3.2</v>
      </c>
      <c r="I8" s="35">
        <v>-4.3</v>
      </c>
      <c r="J8" s="35">
        <v>-2</v>
      </c>
      <c r="K8" s="35">
        <v>-12.3</v>
      </c>
      <c r="L8" s="35">
        <v>-8.5</v>
      </c>
      <c r="M8" s="35">
        <v>-7.4</v>
      </c>
      <c r="N8" s="35">
        <v>4.3</v>
      </c>
      <c r="O8" s="35">
        <v>-6.4</v>
      </c>
      <c r="P8" s="35">
        <v>-7.78</v>
      </c>
      <c r="Q8" s="35">
        <v>2</v>
      </c>
      <c r="R8" s="35">
        <v>0.5</v>
      </c>
      <c r="S8" s="35">
        <v>4.7</v>
      </c>
      <c r="T8" s="35">
        <v>-7.8</v>
      </c>
      <c r="U8" s="35">
        <v>-6</v>
      </c>
      <c r="V8" s="35">
        <v>3.9</v>
      </c>
      <c r="W8" s="35">
        <v>-10.199999999999999</v>
      </c>
      <c r="X8" s="35">
        <v>-11</v>
      </c>
      <c r="Y8" s="35">
        <v>-7.6</v>
      </c>
      <c r="Z8" s="36">
        <v>-1.7</v>
      </c>
      <c r="AA8" s="35">
        <v>1.9</v>
      </c>
      <c r="AB8" s="35">
        <v>5.7</v>
      </c>
      <c r="AC8" s="35">
        <v>5.7</v>
      </c>
      <c r="AD8" s="35">
        <v>-7.8</v>
      </c>
      <c r="AE8" s="35">
        <v>-3</v>
      </c>
    </row>
    <row r="9" spans="1:32" x14ac:dyDescent="0.25">
      <c r="A9" s="10">
        <v>14</v>
      </c>
      <c r="B9" s="35">
        <v>-4.8</v>
      </c>
      <c r="C9" s="35">
        <v>1</v>
      </c>
      <c r="D9" s="35">
        <v>0.4</v>
      </c>
      <c r="E9" s="36">
        <v>-3.8</v>
      </c>
      <c r="F9" s="35">
        <v>7.8</v>
      </c>
      <c r="G9" s="35">
        <v>-8.1</v>
      </c>
      <c r="H9" s="35">
        <v>-2.7</v>
      </c>
      <c r="I9" s="35">
        <v>-3.3</v>
      </c>
      <c r="J9" s="35">
        <v>-2</v>
      </c>
      <c r="K9" s="35">
        <v>-11.9</v>
      </c>
      <c r="L9" s="35">
        <v>-8.1</v>
      </c>
      <c r="M9" s="35">
        <v>-6.5</v>
      </c>
      <c r="N9" s="35">
        <v>4.5</v>
      </c>
      <c r="O9" s="35">
        <v>-5.6</v>
      </c>
      <c r="P9" s="35">
        <v>-6.1</v>
      </c>
      <c r="Q9" s="35">
        <v>3.5</v>
      </c>
      <c r="R9" s="35">
        <v>1.1000000000000001</v>
      </c>
      <c r="S9" s="35">
        <v>6</v>
      </c>
      <c r="T9" s="35">
        <v>-6.2</v>
      </c>
      <c r="U9" s="35">
        <v>-5.7</v>
      </c>
      <c r="V9" s="35">
        <v>4</v>
      </c>
      <c r="W9" s="35">
        <v>-9.5</v>
      </c>
      <c r="X9" s="35">
        <v>-9.9</v>
      </c>
      <c r="Y9" s="35">
        <v>-6.1</v>
      </c>
      <c r="Z9" s="36">
        <v>-0.5</v>
      </c>
      <c r="AA9" s="35">
        <v>3</v>
      </c>
      <c r="AB9" s="35">
        <v>3.1</v>
      </c>
      <c r="AC9" s="35">
        <v>3.1</v>
      </c>
      <c r="AD9" s="35">
        <v>-7.1</v>
      </c>
      <c r="AE9" s="35">
        <v>-1.3</v>
      </c>
    </row>
    <row r="10" spans="1:32" x14ac:dyDescent="0.25">
      <c r="A10" s="10">
        <v>16</v>
      </c>
      <c r="B10" s="35">
        <v>-4.3</v>
      </c>
      <c r="C10" s="35">
        <v>-2.2999999999999998</v>
      </c>
      <c r="D10" s="35">
        <v>-2.2999999999999998</v>
      </c>
      <c r="E10" s="36">
        <v>-3.7</v>
      </c>
      <c r="F10" s="35">
        <v>8</v>
      </c>
      <c r="G10" s="35">
        <v>-6.7</v>
      </c>
      <c r="H10" s="35">
        <v>-2.8</v>
      </c>
      <c r="I10" s="35">
        <v>-2.7</v>
      </c>
      <c r="J10" s="35">
        <v>-3.4</v>
      </c>
      <c r="K10" s="35">
        <v>-11.8</v>
      </c>
      <c r="L10" s="35">
        <v>-10.1</v>
      </c>
      <c r="M10" s="35">
        <v>-5.7</v>
      </c>
      <c r="N10" s="35">
        <v>3</v>
      </c>
      <c r="O10" s="35">
        <v>-5.7</v>
      </c>
      <c r="P10" s="35">
        <v>-3.76</v>
      </c>
      <c r="Q10" s="35">
        <v>4.4000000000000004</v>
      </c>
      <c r="R10" s="35">
        <v>1.3</v>
      </c>
      <c r="S10" s="35">
        <v>2.9</v>
      </c>
      <c r="T10" s="35">
        <v>-5.2</v>
      </c>
      <c r="U10" s="35">
        <v>-5.8</v>
      </c>
      <c r="V10" s="35">
        <v>4</v>
      </c>
      <c r="W10" s="35">
        <v>-10.3</v>
      </c>
      <c r="X10" s="35">
        <v>-8.4</v>
      </c>
      <c r="Y10" s="35">
        <v>-4.8</v>
      </c>
      <c r="Z10" s="36">
        <v>0.3</v>
      </c>
      <c r="AA10" s="35">
        <v>3.9</v>
      </c>
      <c r="AB10" s="35">
        <v>0.9</v>
      </c>
      <c r="AC10" s="35">
        <v>0.9</v>
      </c>
      <c r="AD10" s="35">
        <v>-6.3</v>
      </c>
      <c r="AE10" s="35">
        <v>-1.7</v>
      </c>
    </row>
    <row r="11" spans="1:32" x14ac:dyDescent="0.25">
      <c r="A11" s="10">
        <v>18</v>
      </c>
      <c r="B11" s="35">
        <v>-4.5</v>
      </c>
      <c r="C11" s="35">
        <v>-2.6</v>
      </c>
      <c r="D11" s="35">
        <v>-4.16</v>
      </c>
      <c r="E11" s="36">
        <v>-4.01</v>
      </c>
      <c r="F11" s="35">
        <v>7.58</v>
      </c>
      <c r="G11" s="35">
        <v>-7.44</v>
      </c>
      <c r="H11" s="35">
        <v>-2.79</v>
      </c>
      <c r="I11" s="35">
        <v>-2.44</v>
      </c>
      <c r="J11" s="35">
        <v>-5.58</v>
      </c>
      <c r="K11" s="35">
        <v>-12.31</v>
      </c>
      <c r="L11" s="35">
        <v>-12.91</v>
      </c>
      <c r="M11" s="35">
        <v>-5.18</v>
      </c>
      <c r="N11" s="35">
        <v>2.84</v>
      </c>
      <c r="O11" s="35">
        <v>-7.72</v>
      </c>
      <c r="P11" s="35">
        <v>-6.47</v>
      </c>
      <c r="Q11" s="35">
        <v>3.98</v>
      </c>
      <c r="R11" s="35">
        <v>1.1000000000000001</v>
      </c>
      <c r="S11" s="35">
        <v>2</v>
      </c>
      <c r="T11" s="35">
        <v>-5.9</v>
      </c>
      <c r="U11" s="35">
        <v>-6</v>
      </c>
      <c r="V11" s="35">
        <v>3.7</v>
      </c>
      <c r="W11" s="35">
        <v>-10.9</v>
      </c>
      <c r="X11" s="35">
        <v>-9.3000000000000007</v>
      </c>
      <c r="Y11" s="35">
        <v>-4.4000000000000004</v>
      </c>
      <c r="Z11" s="36">
        <v>0.3</v>
      </c>
      <c r="AA11" s="35">
        <v>3.1</v>
      </c>
      <c r="AB11" s="35">
        <v>1.6</v>
      </c>
      <c r="AC11" s="35">
        <v>1.6</v>
      </c>
      <c r="AD11" s="35">
        <v>-7.5</v>
      </c>
      <c r="AE11" s="35">
        <v>-1.5</v>
      </c>
    </row>
    <row r="12" spans="1:32" x14ac:dyDescent="0.25">
      <c r="A12" s="10">
        <v>20</v>
      </c>
      <c r="B12" s="35">
        <v>-4.7</v>
      </c>
      <c r="C12" s="35">
        <v>-2.7</v>
      </c>
      <c r="D12" s="35">
        <v>-5.99</v>
      </c>
      <c r="E12" s="36">
        <v>-4.3</v>
      </c>
      <c r="F12" s="35">
        <v>6.3</v>
      </c>
      <c r="G12" s="35">
        <v>-9.9</v>
      </c>
      <c r="H12" s="35">
        <v>-4.5</v>
      </c>
      <c r="I12" s="35">
        <v>-2.4</v>
      </c>
      <c r="J12" s="35">
        <v>-10.3</v>
      </c>
      <c r="K12" s="35">
        <v>-15</v>
      </c>
      <c r="L12" s="35">
        <v>-15.4</v>
      </c>
      <c r="M12" s="35">
        <v>-4.4000000000000004</v>
      </c>
      <c r="N12" s="35">
        <v>0.1</v>
      </c>
      <c r="O12" s="35">
        <v>-9.8000000000000007</v>
      </c>
      <c r="P12" s="35">
        <v>-9.1</v>
      </c>
      <c r="Q12" s="35">
        <v>1.8</v>
      </c>
      <c r="R12" s="35">
        <v>1.4</v>
      </c>
      <c r="S12" s="35">
        <v>-0.3</v>
      </c>
      <c r="T12" s="35">
        <v>-8.6</v>
      </c>
      <c r="U12" s="35">
        <v>-4.5</v>
      </c>
      <c r="V12" s="35">
        <v>1.2</v>
      </c>
      <c r="W12" s="35">
        <v>-11.2</v>
      </c>
      <c r="X12" s="35">
        <v>-11.9</v>
      </c>
      <c r="Y12" s="35">
        <v>-7.7</v>
      </c>
      <c r="Z12" s="36">
        <v>-2</v>
      </c>
      <c r="AA12" s="35">
        <v>2.2999999999999998</v>
      </c>
      <c r="AB12" s="35">
        <v>1.8</v>
      </c>
      <c r="AC12" s="35">
        <v>-1.8</v>
      </c>
      <c r="AD12" s="35">
        <v>-7.6</v>
      </c>
      <c r="AE12" s="35">
        <v>-2</v>
      </c>
    </row>
    <row r="13" spans="1:32" x14ac:dyDescent="0.25">
      <c r="A13" s="10">
        <v>22</v>
      </c>
      <c r="B13" s="35">
        <v>-4.4000000000000004</v>
      </c>
      <c r="C13" s="35">
        <v>-2.1</v>
      </c>
      <c r="D13" s="35">
        <v>-7.3</v>
      </c>
      <c r="E13" s="36">
        <v>-3.6</v>
      </c>
      <c r="F13" s="35">
        <v>6.3</v>
      </c>
      <c r="G13" s="35">
        <v>-11.5</v>
      </c>
      <c r="H13" s="35">
        <v>-4.5</v>
      </c>
      <c r="I13" s="35">
        <v>-2.4</v>
      </c>
      <c r="J13" s="35">
        <v>-12.6</v>
      </c>
      <c r="K13" s="35">
        <v>-16.3</v>
      </c>
      <c r="L13" s="35">
        <v>-16.260000000000002</v>
      </c>
      <c r="M13" s="35">
        <v>-3.8</v>
      </c>
      <c r="N13" s="35">
        <v>-0.4</v>
      </c>
      <c r="O13" s="35">
        <v>-11.6</v>
      </c>
      <c r="P13" s="35">
        <v>-10.1</v>
      </c>
      <c r="Q13" s="35">
        <v>-0.1</v>
      </c>
      <c r="R13" s="35">
        <v>1.4</v>
      </c>
      <c r="S13" s="35">
        <v>-3.9</v>
      </c>
      <c r="T13" s="35">
        <v>-10.69</v>
      </c>
      <c r="U13" s="35">
        <v>-5.2</v>
      </c>
      <c r="V13" s="35">
        <v>-0.8</v>
      </c>
      <c r="W13" s="35">
        <v>-12.9</v>
      </c>
      <c r="X13" s="35">
        <v>14.1</v>
      </c>
      <c r="Y13" s="35">
        <v>-10.4</v>
      </c>
      <c r="Z13" s="36">
        <v>-4.0999999999999996</v>
      </c>
      <c r="AA13" s="35">
        <v>2</v>
      </c>
      <c r="AB13" s="35">
        <v>1.7</v>
      </c>
      <c r="AC13" s="35">
        <v>-1.7</v>
      </c>
      <c r="AD13" s="35">
        <v>-8.4</v>
      </c>
      <c r="AE13" s="35">
        <v>-3.4</v>
      </c>
    </row>
    <row r="14" spans="1:32" x14ac:dyDescent="0.25">
      <c r="A14" s="10">
        <v>24</v>
      </c>
      <c r="B14" s="35">
        <v>-4.2</v>
      </c>
      <c r="C14" s="35">
        <v>-0.6</v>
      </c>
      <c r="D14" s="35">
        <v>-7</v>
      </c>
      <c r="E14" s="36">
        <v>-3.3</v>
      </c>
      <c r="F14" s="35">
        <v>4.75</v>
      </c>
      <c r="G14" s="35">
        <v>-12.9</v>
      </c>
      <c r="H14" s="35">
        <v>-4</v>
      </c>
      <c r="I14" s="35">
        <v>-2.4</v>
      </c>
      <c r="J14" s="35">
        <v>-15.6</v>
      </c>
      <c r="K14" s="35">
        <v>-17.399999999999999</v>
      </c>
      <c r="L14" s="35">
        <v>-16.25</v>
      </c>
      <c r="M14" s="35">
        <v>-3.1</v>
      </c>
      <c r="N14" s="35">
        <v>-4.4000000000000004</v>
      </c>
      <c r="O14" s="35">
        <v>-13.6</v>
      </c>
      <c r="P14" s="35">
        <v>-11</v>
      </c>
      <c r="Q14" s="35">
        <v>-0.6</v>
      </c>
      <c r="R14" s="35">
        <v>1.7</v>
      </c>
      <c r="S14" s="35">
        <v>-6.6</v>
      </c>
      <c r="T14" s="35">
        <v>-12.2</v>
      </c>
      <c r="U14" s="35">
        <v>-5.6</v>
      </c>
      <c r="V14" s="35">
        <v>-1.5</v>
      </c>
      <c r="W14" s="35">
        <v>-13</v>
      </c>
      <c r="X14" s="35">
        <v>-15.8</v>
      </c>
      <c r="Y14" s="35">
        <v>-12.1</v>
      </c>
      <c r="Z14" s="36">
        <v>-6.1</v>
      </c>
      <c r="AA14" s="35">
        <v>1.7</v>
      </c>
      <c r="AB14" s="35">
        <v>1.8</v>
      </c>
      <c r="AC14" s="35">
        <v>-1.8</v>
      </c>
      <c r="AD14" s="35">
        <v>-8.9</v>
      </c>
      <c r="AE14" s="35">
        <v>-3.6</v>
      </c>
    </row>
    <row r="15" spans="1:32" x14ac:dyDescent="0.25">
      <c r="A15" s="10">
        <v>2</v>
      </c>
      <c r="B15" s="35">
        <v>-4.12</v>
      </c>
      <c r="C15" s="35">
        <v>-0.27</v>
      </c>
      <c r="D15" s="35">
        <v>-8.11</v>
      </c>
      <c r="E15" s="36">
        <v>-3.61</v>
      </c>
      <c r="F15" s="35">
        <v>3.8</v>
      </c>
      <c r="G15" s="35">
        <v>-14.1</v>
      </c>
      <c r="H15" s="35">
        <v>-4.0999999999999996</v>
      </c>
      <c r="I15" s="35">
        <v>-2.5</v>
      </c>
      <c r="J15" s="35">
        <v>-16.600000000000001</v>
      </c>
      <c r="K15" s="35">
        <v>-18.600000000000001</v>
      </c>
      <c r="L15" s="35">
        <v>-16.399999999999999</v>
      </c>
      <c r="M15" s="35">
        <v>-2.9</v>
      </c>
      <c r="N15" s="35">
        <v>-6.5</v>
      </c>
      <c r="O15" s="35">
        <v>-15.3</v>
      </c>
      <c r="P15" s="35">
        <v>-12</v>
      </c>
      <c r="Q15" s="35">
        <v>-1.1000000000000001</v>
      </c>
      <c r="R15" s="35">
        <v>1.8</v>
      </c>
      <c r="S15" s="35">
        <v>-9</v>
      </c>
      <c r="T15" s="35">
        <v>-12.8</v>
      </c>
      <c r="U15" s="35">
        <v>-6.1</v>
      </c>
      <c r="V15" s="35">
        <v>-2.5</v>
      </c>
      <c r="W15" s="35">
        <v>-11.9</v>
      </c>
      <c r="X15" s="35">
        <v>-16.100000000000001</v>
      </c>
      <c r="Y15" s="35">
        <v>-12.8</v>
      </c>
      <c r="Z15" s="36">
        <v>-8.1</v>
      </c>
      <c r="AA15" s="35">
        <v>1.5</v>
      </c>
      <c r="AB15" s="35">
        <v>1.8</v>
      </c>
      <c r="AC15" s="35">
        <v>-1.8</v>
      </c>
      <c r="AD15" s="35">
        <v>-10.3</v>
      </c>
      <c r="AE15" s="35">
        <v>-5.5</v>
      </c>
    </row>
    <row r="16" spans="1:32" ht="30" x14ac:dyDescent="0.25">
      <c r="A16" s="11" t="s">
        <v>2</v>
      </c>
      <c r="B16" s="15">
        <f>(B4+B5+B6+B7+B8+B9+B10+B11+B12+B13+B14+B15)/12</f>
        <v>-7.660000000000001</v>
      </c>
      <c r="C16" s="15">
        <f t="shared" ref="C16:O16" si="0">(C4+C5+C6+C7+C8+C9+C10+C11+C12+C13+C14+C15)/12</f>
        <v>-2.1725000000000003</v>
      </c>
      <c r="D16" s="15">
        <f t="shared" si="0"/>
        <v>-2.1816666666666666</v>
      </c>
      <c r="E16" s="15">
        <v>-5.0766666666666662</v>
      </c>
      <c r="F16" s="15">
        <f t="shared" si="0"/>
        <v>4.6441666666666661</v>
      </c>
      <c r="G16" s="15">
        <f t="shared" si="0"/>
        <v>-9.3033333333333328</v>
      </c>
      <c r="H16" s="15">
        <f t="shared" si="0"/>
        <v>-6.232499999999999</v>
      </c>
      <c r="I16" s="15">
        <f t="shared" si="0"/>
        <v>-3.3200000000000003</v>
      </c>
      <c r="J16" s="15">
        <f t="shared" si="0"/>
        <v>-6.8400000000000007</v>
      </c>
      <c r="K16" s="15">
        <f t="shared" si="0"/>
        <v>-15.459166666666667</v>
      </c>
      <c r="L16" s="15">
        <f t="shared" si="0"/>
        <v>-13.984999999999999</v>
      </c>
      <c r="M16" s="15">
        <f t="shared" si="0"/>
        <v>-6.871666666666667</v>
      </c>
      <c r="N16" s="15">
        <f t="shared" si="0"/>
        <v>0.62416666666666698</v>
      </c>
      <c r="O16" s="15">
        <f t="shared" si="0"/>
        <v>-8.4266666666666659</v>
      </c>
      <c r="P16" s="15">
        <f>(P4+P5+P6+P7+P8+P9+P10+P11+P12+P13+P14+P15)/12</f>
        <v>-10.284166666666666</v>
      </c>
      <c r="Q16" s="15">
        <f>(Q4+Q5+Q6+Q7+Q8+Q9+Q10+Q11+Q12+Q13+Q14+Q15)/12</f>
        <v>-1.0266666666666668</v>
      </c>
      <c r="R16" s="15">
        <f>(R4+R5+R6+R7+R8+R9+R10+R11+R12+R13+R14+R15)/12</f>
        <v>0.75916666666666666</v>
      </c>
      <c r="S16" s="15">
        <f t="shared" ref="S16:Y16" si="1">(S4+S5+S6+S7+S8+S9+S10+S11+S12+S13+S14+S15)/12</f>
        <v>0.35833333333333323</v>
      </c>
      <c r="T16" s="15">
        <f t="shared" si="1"/>
        <v>-9.6658333333333335</v>
      </c>
      <c r="U16" s="15">
        <f t="shared" si="1"/>
        <v>-7.3833333333333329</v>
      </c>
      <c r="V16" s="15">
        <f>(V4+V5+V6+V7+V8+V9+V10+V11+V12+V13+V14+V15)/12</f>
        <v>0.66666666666666663</v>
      </c>
      <c r="W16" s="15">
        <f>(W4+W5+W6+W7+W8+W9+W10+W11+W12+W13+W14+W15)/12</f>
        <v>-9.7691666666666688</v>
      </c>
      <c r="X16" s="15">
        <f>(X4+X5+X6+X7+X8+X9+X10+X11+X12+X13+X14+X15)/12</f>
        <v>-9.4500000000000011</v>
      </c>
      <c r="Y16" s="15">
        <f t="shared" si="1"/>
        <v>-10.358333333333333</v>
      </c>
      <c r="Z16" s="15">
        <v>-4.4333333333333345</v>
      </c>
      <c r="AA16" s="15">
        <f>AVERAGE(AA4+AA5+AA6+AA7+AA8+AA9+AA10+AA11+AA12+AA13+AA14+AA15)/12</f>
        <v>0.2583333333333333</v>
      </c>
      <c r="AB16" s="15">
        <f>AVERAGE(AB4+AB5+AB6+AB7+AB8+AB9+AB10+AB11+AB12+AB13+AB14+AB15)/12</f>
        <v>2.7583333333333333</v>
      </c>
      <c r="AC16" s="15">
        <f>AVERAGE(AC4+AC5+AC6+AC7+AC8+AC9+AC10+AC11+AC12+AC13+AC14+AC15)/12</f>
        <v>1.575</v>
      </c>
      <c r="AD16" s="15">
        <f>AVERAGE(AD4+AD5+AD6+AD7+AD8+AD9+AD10+AD11+AD12+AD13+AD14+AD15)/12</f>
        <v>-8.4250000000000007</v>
      </c>
      <c r="AE16" s="15">
        <f>AVERAGE(AE4+AE5+AE6+AE7+AE8+AE9+AE10+AE11+AE12+AE13+AE14+AE15)/12</f>
        <v>-4.3999999999999995</v>
      </c>
    </row>
    <row r="21" spans="1:31" ht="15.75" x14ac:dyDescent="0.25">
      <c r="A21" s="4" t="s">
        <v>7</v>
      </c>
      <c r="B21" s="23" t="s">
        <v>1</v>
      </c>
    </row>
    <row r="22" spans="1:31" x14ac:dyDescent="0.25">
      <c r="B22" s="131" t="s">
        <v>10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</row>
    <row r="23" spans="1:31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1" x14ac:dyDescent="0.25">
      <c r="A24" s="10">
        <v>4</v>
      </c>
      <c r="B24" s="35">
        <v>-20.5</v>
      </c>
      <c r="C24" s="35">
        <v>-4.5999999999999996</v>
      </c>
      <c r="D24" s="35">
        <v>0.3</v>
      </c>
      <c r="E24" s="36">
        <v>-8.9</v>
      </c>
      <c r="F24" s="35">
        <v>-4.0999999999999996</v>
      </c>
      <c r="G24" s="35">
        <v>0.1</v>
      </c>
      <c r="H24" s="35">
        <v>-16.2</v>
      </c>
      <c r="I24" s="35">
        <v>-4.8</v>
      </c>
      <c r="J24" s="35">
        <v>-2.9</v>
      </c>
      <c r="K24" s="35">
        <v>-19.3</v>
      </c>
      <c r="L24" s="35">
        <v>-24</v>
      </c>
      <c r="M24" s="35">
        <v>-15.3</v>
      </c>
      <c r="N24" s="35">
        <v>-2</v>
      </c>
      <c r="O24" s="35">
        <v>-8.1</v>
      </c>
      <c r="P24" s="35">
        <v>-17.100000000000001</v>
      </c>
      <c r="Q24" s="35">
        <v>-13.7</v>
      </c>
      <c r="R24" s="35">
        <v>-4.2</v>
      </c>
      <c r="S24" s="35">
        <v>1.3</v>
      </c>
      <c r="T24" s="35">
        <v>-10.6</v>
      </c>
      <c r="U24" s="35">
        <v>-15.8</v>
      </c>
      <c r="V24" s="35">
        <v>-4</v>
      </c>
      <c r="W24" s="35">
        <v>-4.9000000000000004</v>
      </c>
      <c r="X24" s="35">
        <v>-11.8</v>
      </c>
      <c r="Y24" s="35">
        <v>-16.8</v>
      </c>
      <c r="Z24" s="36">
        <v>-10.3</v>
      </c>
      <c r="AA24" s="35">
        <v>-10.5</v>
      </c>
      <c r="AB24" s="35">
        <v>2.8</v>
      </c>
      <c r="AC24" s="35">
        <v>2.2999999999999998</v>
      </c>
      <c r="AD24" s="35">
        <v>-9.6</v>
      </c>
      <c r="AE24" s="35">
        <v>-10.4</v>
      </c>
    </row>
    <row r="25" spans="1:31" x14ac:dyDescent="0.25">
      <c r="A25" s="10">
        <v>6</v>
      </c>
      <c r="B25" s="35">
        <v>-17.899999999999999</v>
      </c>
      <c r="C25" s="35">
        <v>-4</v>
      </c>
      <c r="D25" s="35">
        <v>1.1000000000000001</v>
      </c>
      <c r="E25" s="36">
        <v>-8.5</v>
      </c>
      <c r="F25" s="35">
        <v>-3.6</v>
      </c>
      <c r="G25" s="35">
        <v>-5.8</v>
      </c>
      <c r="H25" s="35">
        <v>-16</v>
      </c>
      <c r="I25" s="35">
        <v>-4.5</v>
      </c>
      <c r="J25" s="35">
        <v>-3.5</v>
      </c>
      <c r="K25" s="35">
        <v>-20.5</v>
      </c>
      <c r="L25" s="35">
        <v>-23.5</v>
      </c>
      <c r="M25" s="35">
        <v>-13.6</v>
      </c>
      <c r="N25" s="35">
        <v>-0.2</v>
      </c>
      <c r="O25" s="35">
        <v>-6.9</v>
      </c>
      <c r="P25" s="35">
        <v>-16.5</v>
      </c>
      <c r="Q25" s="35">
        <v>-10.4</v>
      </c>
      <c r="R25" s="35">
        <v>-3.2</v>
      </c>
      <c r="S25" s="35">
        <v>1.3</v>
      </c>
      <c r="T25" s="35">
        <v>-11.6</v>
      </c>
      <c r="U25" s="35">
        <v>-13.6</v>
      </c>
      <c r="V25" s="35">
        <v>-2.9</v>
      </c>
      <c r="W25" s="35">
        <v>-5.2</v>
      </c>
      <c r="X25" s="35">
        <v>-11.5</v>
      </c>
      <c r="Y25" s="35">
        <v>-16</v>
      </c>
      <c r="Z25" s="36">
        <v>-8.8000000000000007</v>
      </c>
      <c r="AA25" s="35">
        <v>-8.3000000000000007</v>
      </c>
      <c r="AB25" s="35">
        <v>2.2000000000000002</v>
      </c>
      <c r="AC25" s="35">
        <v>2.4</v>
      </c>
      <c r="AD25" s="35">
        <v>-9.5</v>
      </c>
      <c r="AE25" s="35">
        <v>-9.6</v>
      </c>
    </row>
    <row r="26" spans="1:31" x14ac:dyDescent="0.25">
      <c r="A26" s="10">
        <v>8</v>
      </c>
      <c r="B26" s="35">
        <v>-13.7</v>
      </c>
      <c r="C26" s="35">
        <v>-3</v>
      </c>
      <c r="D26" s="35">
        <v>0.9</v>
      </c>
      <c r="E26" s="36">
        <v>-7.3</v>
      </c>
      <c r="F26" s="35">
        <v>1.5</v>
      </c>
      <c r="G26" s="35">
        <v>-8.4</v>
      </c>
      <c r="H26" s="35">
        <v>-11.2</v>
      </c>
      <c r="I26" s="35">
        <v>-3.7</v>
      </c>
      <c r="J26" s="35">
        <v>-4.4000000000000004</v>
      </c>
      <c r="K26" s="35">
        <v>-17.3</v>
      </c>
      <c r="L26" s="35">
        <v>-16.7</v>
      </c>
      <c r="M26" s="35">
        <v>-11</v>
      </c>
      <c r="N26" s="35">
        <v>1</v>
      </c>
      <c r="O26" s="35">
        <v>-5.8</v>
      </c>
      <c r="P26" s="35">
        <v>-13.4</v>
      </c>
      <c r="Q26" s="35">
        <v>-7.3</v>
      </c>
      <c r="R26" s="35">
        <v>-0.6</v>
      </c>
      <c r="S26" s="35">
        <v>2.2999999999999998</v>
      </c>
      <c r="T26" s="35">
        <v>-12.4</v>
      </c>
      <c r="U26" s="35">
        <v>-10.5</v>
      </c>
      <c r="V26" s="35">
        <v>-1.1000000000000001</v>
      </c>
      <c r="W26" s="35">
        <v>-6.7</v>
      </c>
      <c r="X26" s="35">
        <v>-10.9</v>
      </c>
      <c r="Y26" s="35">
        <v>-12.6</v>
      </c>
      <c r="Z26" s="36">
        <v>-4.9000000000000004</v>
      </c>
      <c r="AA26" s="35">
        <v>-4.4000000000000004</v>
      </c>
      <c r="AB26" s="35">
        <v>5</v>
      </c>
      <c r="AC26" s="35">
        <v>2.5</v>
      </c>
      <c r="AD26" s="35">
        <v>-9.1999999999999993</v>
      </c>
      <c r="AE26" s="35">
        <v>-8</v>
      </c>
    </row>
    <row r="27" spans="1:31" x14ac:dyDescent="0.25">
      <c r="A27" s="10">
        <v>10</v>
      </c>
      <c r="B27" s="35">
        <v>-10.9</v>
      </c>
      <c r="C27" s="35">
        <v>-1.7</v>
      </c>
      <c r="D27" s="35">
        <v>2</v>
      </c>
      <c r="E27" s="36">
        <v>-4.8</v>
      </c>
      <c r="F27" s="35">
        <v>6.3</v>
      </c>
      <c r="G27" s="35">
        <v>-9.6999999999999993</v>
      </c>
      <c r="H27" s="35">
        <v>-7.7</v>
      </c>
      <c r="I27" s="35">
        <v>-3.5</v>
      </c>
      <c r="J27" s="35">
        <v>-1.7</v>
      </c>
      <c r="K27" s="35">
        <v>-13.8</v>
      </c>
      <c r="L27" s="35">
        <v>-11.9</v>
      </c>
      <c r="M27" s="35">
        <v>-9.3000000000000007</v>
      </c>
      <c r="N27" s="35">
        <v>2.1</v>
      </c>
      <c r="O27" s="35">
        <v>-5.3</v>
      </c>
      <c r="P27" s="35">
        <v>-10.3</v>
      </c>
      <c r="Q27" s="35">
        <v>-2.6</v>
      </c>
      <c r="R27" s="35">
        <v>2.6</v>
      </c>
      <c r="S27" s="35">
        <v>3.5</v>
      </c>
      <c r="T27" s="35">
        <v>-10.199999999999999</v>
      </c>
      <c r="U27" s="35">
        <v>-7.3</v>
      </c>
      <c r="V27" s="35">
        <v>1</v>
      </c>
      <c r="W27" s="35">
        <v>-8.9</v>
      </c>
      <c r="X27" s="35">
        <v>-9.9</v>
      </c>
      <c r="Y27" s="35">
        <v>-8.6999999999999993</v>
      </c>
      <c r="Z27" s="36">
        <v>-2.6</v>
      </c>
      <c r="AA27" s="35">
        <v>-2.1</v>
      </c>
      <c r="AB27" s="35">
        <v>6.1</v>
      </c>
      <c r="AC27" s="35">
        <v>3.6</v>
      </c>
      <c r="AD27" s="35">
        <v>-8</v>
      </c>
      <c r="AE27" s="35">
        <v>-5.4</v>
      </c>
    </row>
    <row r="28" spans="1:31" x14ac:dyDescent="0.25">
      <c r="A28" s="10">
        <v>12</v>
      </c>
      <c r="B28" s="35">
        <v>-7.5</v>
      </c>
      <c r="C28" s="35">
        <v>1.1000000000000001</v>
      </c>
      <c r="D28" s="35">
        <v>4.3</v>
      </c>
      <c r="E28" s="36">
        <v>-3.6</v>
      </c>
      <c r="F28" s="35">
        <v>8.1999999999999993</v>
      </c>
      <c r="G28" s="35">
        <v>-8.8000000000000007</v>
      </c>
      <c r="H28" s="35">
        <v>-3.4</v>
      </c>
      <c r="I28" s="35">
        <v>-4.0999999999999996</v>
      </c>
      <c r="J28" s="35">
        <v>-1.6</v>
      </c>
      <c r="K28" s="35">
        <v>-11.6</v>
      </c>
      <c r="L28" s="35">
        <v>-11.7</v>
      </c>
      <c r="M28" s="35">
        <v>-8.6</v>
      </c>
      <c r="N28" s="35">
        <v>4.8</v>
      </c>
      <c r="O28" s="35">
        <v>-5.3</v>
      </c>
      <c r="P28" s="35">
        <v>-7.4</v>
      </c>
      <c r="Q28" s="35">
        <v>2.1</v>
      </c>
      <c r="R28" s="35">
        <v>1.8</v>
      </c>
      <c r="S28" s="35">
        <v>4.5</v>
      </c>
      <c r="T28" s="35">
        <v>-7</v>
      </c>
      <c r="U28" s="35">
        <v>-6.8</v>
      </c>
      <c r="V28" s="35">
        <v>2.7</v>
      </c>
      <c r="W28" s="35">
        <v>-9.1999999999999993</v>
      </c>
      <c r="X28" s="35">
        <v>-9.6</v>
      </c>
      <c r="Y28" s="35">
        <v>-6.7</v>
      </c>
      <c r="Z28" s="36">
        <v>-0.7</v>
      </c>
      <c r="AA28" s="35">
        <v>0.6</v>
      </c>
      <c r="AB28" s="35">
        <v>6.5</v>
      </c>
      <c r="AC28" s="35">
        <v>3.8</v>
      </c>
      <c r="AD28" s="35">
        <v>-6.8</v>
      </c>
      <c r="AE28" s="35">
        <v>-3</v>
      </c>
    </row>
    <row r="29" spans="1:31" x14ac:dyDescent="0.25">
      <c r="A29" s="10">
        <v>14</v>
      </c>
      <c r="B29" s="35">
        <v>-4.9000000000000004</v>
      </c>
      <c r="C29" s="35">
        <v>-0.7</v>
      </c>
      <c r="D29" s="35">
        <v>1.6</v>
      </c>
      <c r="E29" s="36">
        <v>-3.6</v>
      </c>
      <c r="F29" s="35">
        <v>9.1</v>
      </c>
      <c r="G29" s="35">
        <v>-8.1</v>
      </c>
      <c r="H29" s="35">
        <v>-1.3</v>
      </c>
      <c r="I29" s="35">
        <v>-3.1</v>
      </c>
      <c r="J29" s="35">
        <v>-1.9</v>
      </c>
      <c r="K29" s="35">
        <v>-10.6</v>
      </c>
      <c r="L29" s="35">
        <v>-9.5</v>
      </c>
      <c r="M29" s="35">
        <v>-8</v>
      </c>
      <c r="N29" s="35">
        <v>5.2</v>
      </c>
      <c r="O29" s="35">
        <v>-4.9000000000000004</v>
      </c>
      <c r="P29" s="35">
        <v>-6.3</v>
      </c>
      <c r="Q29" s="35">
        <v>4.4000000000000004</v>
      </c>
      <c r="R29" s="35">
        <v>1.1000000000000001</v>
      </c>
      <c r="S29" s="35">
        <v>5.9</v>
      </c>
      <c r="T29" s="35">
        <v>-5.0999999999999996</v>
      </c>
      <c r="U29" s="35">
        <v>-5.0999999999999996</v>
      </c>
      <c r="V29" s="35">
        <v>2</v>
      </c>
      <c r="W29" s="35">
        <v>-8.6</v>
      </c>
      <c r="X29" s="35">
        <v>-9.4</v>
      </c>
      <c r="Y29" s="35">
        <v>-4.2</v>
      </c>
      <c r="Z29" s="36">
        <v>0.7</v>
      </c>
      <c r="AA29" s="35">
        <v>2.8</v>
      </c>
      <c r="AB29" s="35">
        <v>1.4</v>
      </c>
      <c r="AC29" s="35">
        <v>3.9</v>
      </c>
      <c r="AD29" s="35">
        <v>-5</v>
      </c>
      <c r="AE29" s="35">
        <v>-2.2000000000000002</v>
      </c>
    </row>
    <row r="30" spans="1:31" x14ac:dyDescent="0.25">
      <c r="A30" s="10">
        <v>16</v>
      </c>
      <c r="B30" s="35">
        <v>-4.3</v>
      </c>
      <c r="C30" s="35">
        <v>-1</v>
      </c>
      <c r="D30" s="35">
        <v>-0.8</v>
      </c>
      <c r="E30" s="36">
        <v>-3.7</v>
      </c>
      <c r="F30" s="35">
        <v>9.3000000000000007</v>
      </c>
      <c r="G30" s="35">
        <v>-6.5</v>
      </c>
      <c r="H30" s="35">
        <v>-1</v>
      </c>
      <c r="I30" s="35">
        <v>-2.2000000000000002</v>
      </c>
      <c r="J30" s="35">
        <v>-3.2</v>
      </c>
      <c r="K30" s="35">
        <v>-10.4</v>
      </c>
      <c r="L30" s="35">
        <v>-7.9</v>
      </c>
      <c r="M30" s="35">
        <v>-6.8</v>
      </c>
      <c r="N30" s="35">
        <v>5.4</v>
      </c>
      <c r="O30" s="35">
        <v>-5.4</v>
      </c>
      <c r="P30" s="35">
        <v>-5</v>
      </c>
      <c r="Q30" s="35">
        <v>4.3</v>
      </c>
      <c r="R30" s="35">
        <v>1.4</v>
      </c>
      <c r="S30" s="35">
        <v>4.5999999999999996</v>
      </c>
      <c r="T30" s="35">
        <v>-4.5</v>
      </c>
      <c r="U30" s="35">
        <v>-4.5999999999999996</v>
      </c>
      <c r="V30" s="35">
        <v>-0.7</v>
      </c>
      <c r="W30" s="35">
        <v>-10.5</v>
      </c>
      <c r="X30" s="35">
        <v>-8.6999999999999993</v>
      </c>
      <c r="Y30" s="35">
        <v>-2.9</v>
      </c>
      <c r="Z30" s="36">
        <v>1</v>
      </c>
      <c r="AA30" s="35">
        <v>4.0999999999999996</v>
      </c>
      <c r="AB30" s="35">
        <v>1</v>
      </c>
      <c r="AC30" s="35">
        <v>3.3</v>
      </c>
      <c r="AD30" s="35">
        <v>-5.9</v>
      </c>
      <c r="AE30" s="35">
        <v>-1.9</v>
      </c>
    </row>
    <row r="31" spans="1:31" x14ac:dyDescent="0.25">
      <c r="A31" s="10">
        <v>18</v>
      </c>
      <c r="B31" s="35">
        <v>-4.5999999999999996</v>
      </c>
      <c r="C31" s="35">
        <v>-1.9</v>
      </c>
      <c r="D31" s="35">
        <v>-3.4</v>
      </c>
      <c r="E31" s="36">
        <v>-4.3</v>
      </c>
      <c r="F31" s="35">
        <v>9</v>
      </c>
      <c r="G31" s="35">
        <v>-7.3</v>
      </c>
      <c r="H31" s="35">
        <v>-3.1</v>
      </c>
      <c r="I31" s="35">
        <v>-2.1</v>
      </c>
      <c r="J31" s="35">
        <v>-5.9</v>
      </c>
      <c r="K31" s="35">
        <v>-11.4</v>
      </c>
      <c r="L31" s="35">
        <v>-12.4</v>
      </c>
      <c r="M31" s="35">
        <v>-6.1</v>
      </c>
      <c r="N31" s="35">
        <v>1.8</v>
      </c>
      <c r="O31" s="35">
        <v>-7.2</v>
      </c>
      <c r="P31" s="35">
        <v>-5.9</v>
      </c>
      <c r="Q31" s="35">
        <v>3.5</v>
      </c>
      <c r="R31" s="35">
        <v>1.3</v>
      </c>
      <c r="S31" s="35">
        <v>2.8</v>
      </c>
      <c r="T31" s="35">
        <v>-5.4</v>
      </c>
      <c r="U31" s="35">
        <v>-4.5</v>
      </c>
      <c r="V31" s="35">
        <v>-1.1000000000000001</v>
      </c>
      <c r="W31" s="35">
        <v>-11.5</v>
      </c>
      <c r="X31" s="35">
        <v>-9.8000000000000007</v>
      </c>
      <c r="Y31" s="35">
        <v>-3.7</v>
      </c>
      <c r="Z31" s="36">
        <v>1.1000000000000001</v>
      </c>
      <c r="AA31" s="35">
        <v>2.8</v>
      </c>
      <c r="AB31" s="35">
        <v>1.1000000000000001</v>
      </c>
      <c r="AC31" s="35">
        <v>1.4</v>
      </c>
      <c r="AD31" s="35">
        <v>-6.7</v>
      </c>
      <c r="AE31" s="35">
        <v>-2.2999999999999998</v>
      </c>
    </row>
    <row r="32" spans="1:31" x14ac:dyDescent="0.25">
      <c r="A32" s="10">
        <v>20</v>
      </c>
      <c r="B32" s="35">
        <v>-5</v>
      </c>
      <c r="C32" s="35">
        <v>-2.5</v>
      </c>
      <c r="D32" s="35">
        <v>-8</v>
      </c>
      <c r="E32" s="36">
        <v>-4.5999999999999996</v>
      </c>
      <c r="F32" s="35">
        <v>8</v>
      </c>
      <c r="G32" s="35">
        <v>-11.1</v>
      </c>
      <c r="H32" s="35">
        <v>-5.7</v>
      </c>
      <c r="I32" s="35">
        <v>-2.2999999999999998</v>
      </c>
      <c r="J32" s="35">
        <v>-9.9</v>
      </c>
      <c r="K32" s="35">
        <v>-15.5</v>
      </c>
      <c r="L32" s="35">
        <v>-15.5</v>
      </c>
      <c r="M32" s="35">
        <v>-5.3</v>
      </c>
      <c r="N32" s="35">
        <v>0.3</v>
      </c>
      <c r="O32" s="35">
        <v>-9.4</v>
      </c>
      <c r="P32" s="35">
        <v>-8.5</v>
      </c>
      <c r="Q32" s="35">
        <v>0.7</v>
      </c>
      <c r="R32" s="35">
        <v>1.1000000000000001</v>
      </c>
      <c r="S32" s="35">
        <v>-0.1</v>
      </c>
      <c r="T32" s="35">
        <v>-9.1999999999999993</v>
      </c>
      <c r="U32" s="35">
        <v>-4.9000000000000004</v>
      </c>
      <c r="V32" s="35">
        <v>-1.3</v>
      </c>
      <c r="W32" s="35">
        <v>-12.3</v>
      </c>
      <c r="X32" s="35">
        <v>-11.6</v>
      </c>
      <c r="Y32" s="35">
        <v>-7.4</v>
      </c>
      <c r="Z32" s="36">
        <v>-2.2999999999999998</v>
      </c>
      <c r="AA32" s="35">
        <v>1.5</v>
      </c>
      <c r="AB32" s="35">
        <v>1.7</v>
      </c>
      <c r="AC32" s="35">
        <v>-1.1000000000000001</v>
      </c>
      <c r="AD32" s="35">
        <v>-7.8</v>
      </c>
      <c r="AE32" s="35">
        <v>-2.6</v>
      </c>
    </row>
    <row r="33" spans="1:31" x14ac:dyDescent="0.25">
      <c r="A33" s="10">
        <v>22</v>
      </c>
      <c r="B33" s="35">
        <v>-4.8</v>
      </c>
      <c r="C33" s="35">
        <v>-2.4</v>
      </c>
      <c r="D33" s="35">
        <v>-8.4</v>
      </c>
      <c r="E33" s="36">
        <v>-4.5999999999999996</v>
      </c>
      <c r="F33" s="35">
        <v>7.7</v>
      </c>
      <c r="G33" s="35">
        <v>-12.7</v>
      </c>
      <c r="H33" s="35">
        <v>-5.8</v>
      </c>
      <c r="I33" s="35">
        <v>-2.4</v>
      </c>
      <c r="J33" s="35">
        <v>-12.7</v>
      </c>
      <c r="K33" s="35">
        <v>-18</v>
      </c>
      <c r="L33" s="35">
        <v>-17.7</v>
      </c>
      <c r="M33" s="35">
        <v>-4.9000000000000004</v>
      </c>
      <c r="N33" s="35">
        <v>-0.7</v>
      </c>
      <c r="O33" s="35">
        <v>-11.8</v>
      </c>
      <c r="P33" s="35">
        <v>-9.3000000000000007</v>
      </c>
      <c r="Q33" s="35">
        <v>-1.7</v>
      </c>
      <c r="R33" s="35">
        <v>1.3</v>
      </c>
      <c r="S33" s="35">
        <v>-3</v>
      </c>
      <c r="T33" s="35">
        <v>-11.2</v>
      </c>
      <c r="U33" s="35">
        <v>-4.9000000000000004</v>
      </c>
      <c r="V33" s="35">
        <v>-2.4</v>
      </c>
      <c r="W33" s="35">
        <v>-12.8</v>
      </c>
      <c r="X33" s="35">
        <v>-13.3</v>
      </c>
      <c r="Y33" s="35">
        <v>-10.3</v>
      </c>
      <c r="Z33" s="36">
        <v>-4.7</v>
      </c>
      <c r="AA33" s="35">
        <v>1.1000000000000001</v>
      </c>
      <c r="AB33" s="35">
        <v>1.8</v>
      </c>
      <c r="AC33" s="35">
        <v>-2.6</v>
      </c>
      <c r="AD33" s="35">
        <v>-8.9</v>
      </c>
      <c r="AE33" s="35">
        <v>-3.5</v>
      </c>
    </row>
    <row r="34" spans="1:31" x14ac:dyDescent="0.25">
      <c r="A34" s="10">
        <v>24</v>
      </c>
      <c r="B34" s="35">
        <v>-4.7</v>
      </c>
      <c r="C34" s="35">
        <v>-1.6</v>
      </c>
      <c r="D34" s="35">
        <v>-7.5</v>
      </c>
      <c r="E34" s="36">
        <v>-3.9</v>
      </c>
      <c r="F34" s="35">
        <v>5.5</v>
      </c>
      <c r="G34" s="35">
        <v>-13.8</v>
      </c>
      <c r="H34" s="35">
        <v>-4.7</v>
      </c>
      <c r="I34" s="35">
        <v>-2.4</v>
      </c>
      <c r="J34" s="35">
        <v>-15</v>
      </c>
      <c r="K34" s="35">
        <v>-20.7</v>
      </c>
      <c r="L34" s="35">
        <v>-18</v>
      </c>
      <c r="M34" s="35">
        <v>-4</v>
      </c>
      <c r="N34" s="35">
        <v>-2.6</v>
      </c>
      <c r="O34" s="35">
        <v>-13.8</v>
      </c>
      <c r="P34" s="35">
        <v>-10.5</v>
      </c>
      <c r="Q34" s="35">
        <v>-1.4</v>
      </c>
      <c r="R34" s="35">
        <v>1.6</v>
      </c>
      <c r="S34" s="35">
        <v>-5.7</v>
      </c>
      <c r="T34" s="35">
        <v>-13.6</v>
      </c>
      <c r="U34" s="35">
        <v>-5</v>
      </c>
      <c r="V34" s="35">
        <v>-3.6</v>
      </c>
      <c r="W34" s="35">
        <v>-13.8</v>
      </c>
      <c r="X34" s="35">
        <v>-13.9</v>
      </c>
      <c r="Y34" s="35">
        <v>-12</v>
      </c>
      <c r="Z34" s="36">
        <v>-6.9</v>
      </c>
      <c r="AA34" s="35">
        <v>2.4</v>
      </c>
      <c r="AB34" s="35">
        <v>2.1</v>
      </c>
      <c r="AC34" s="35">
        <v>-5.6</v>
      </c>
      <c r="AD34" s="35">
        <v>-9.3000000000000007</v>
      </c>
      <c r="AE34" s="35">
        <v>-3.9</v>
      </c>
    </row>
    <row r="35" spans="1:31" x14ac:dyDescent="0.25">
      <c r="A35" s="10">
        <v>2</v>
      </c>
      <c r="B35" s="35">
        <v>-4.7</v>
      </c>
      <c r="C35" s="35">
        <v>-0.5</v>
      </c>
      <c r="D35" s="35">
        <v>-7.6</v>
      </c>
      <c r="E35" s="36">
        <v>-3.8</v>
      </c>
      <c r="F35" s="35">
        <v>4.5</v>
      </c>
      <c r="G35" s="35">
        <v>-15.3</v>
      </c>
      <c r="H35" s="35">
        <v>-5</v>
      </c>
      <c r="I35" s="35">
        <v>-2.8</v>
      </c>
      <c r="J35" s="35">
        <v>-17.2</v>
      </c>
      <c r="K35" s="35">
        <v>-23.3</v>
      </c>
      <c r="L35" s="35">
        <v>-16.2</v>
      </c>
      <c r="M35" s="35">
        <v>3.1</v>
      </c>
      <c r="N35" s="35">
        <v>-6.2</v>
      </c>
      <c r="O35" s="35">
        <v>-15.4</v>
      </c>
      <c r="P35" s="35">
        <v>-11.7</v>
      </c>
      <c r="Q35" s="35">
        <v>-2.7</v>
      </c>
      <c r="R35" s="35">
        <v>1.7</v>
      </c>
      <c r="S35" s="35">
        <v>-9</v>
      </c>
      <c r="T35" s="35">
        <v>-14.4</v>
      </c>
      <c r="U35" s="35">
        <v>-4.8</v>
      </c>
      <c r="V35" s="35">
        <v>-3.7</v>
      </c>
      <c r="W35" s="35">
        <v>-13.3</v>
      </c>
      <c r="X35" s="35">
        <v>-15.4</v>
      </c>
      <c r="Y35" s="35">
        <v>-12.8</v>
      </c>
      <c r="Z35" s="36">
        <v>-8.6999999999999993</v>
      </c>
      <c r="AA35" s="35">
        <v>2.2000000000000002</v>
      </c>
      <c r="AB35" s="35">
        <v>2</v>
      </c>
      <c r="AC35" s="35">
        <v>-7.6</v>
      </c>
      <c r="AD35" s="35">
        <v>-10</v>
      </c>
      <c r="AE35" s="35">
        <v>-5.2</v>
      </c>
    </row>
    <row r="36" spans="1:31" ht="30" x14ac:dyDescent="0.25">
      <c r="A36" s="11" t="s">
        <v>2</v>
      </c>
      <c r="B36" s="15">
        <f>(B24+B25+B26+B27+B28+B29+B30+B31+B32+B33+B34+B35)/12</f>
        <v>-8.625</v>
      </c>
      <c r="C36" s="15">
        <f t="shared" ref="C36:J36" si="2">(C24+C25+C26+C27+C28+C29+C30+C31+C32+C33+C34+C35)/12</f>
        <v>-1.8999999999999997</v>
      </c>
      <c r="D36" s="15">
        <f t="shared" si="2"/>
        <v>-2.125</v>
      </c>
      <c r="E36" s="15">
        <v>-5.1333333333333337</v>
      </c>
      <c r="F36" s="15">
        <f t="shared" si="2"/>
        <v>5.1166666666666671</v>
      </c>
      <c r="G36" s="15">
        <f t="shared" si="2"/>
        <v>-8.9499999999999993</v>
      </c>
      <c r="H36" s="15">
        <f t="shared" si="2"/>
        <v>-6.7583333333333337</v>
      </c>
      <c r="I36" s="15">
        <f t="shared" si="2"/>
        <v>-3.1583333333333332</v>
      </c>
      <c r="J36" s="15">
        <f t="shared" si="2"/>
        <v>-6.6583333333333341</v>
      </c>
      <c r="K36" s="15">
        <f>(K24+K25+K26+K27+K28+K29+K30+K31+K32+K33+K34+K35)/12</f>
        <v>-16.033333333333331</v>
      </c>
      <c r="L36" s="15">
        <f t="shared" ref="L36:Y36" si="3">(L24+L25+L26+L27+L28+L29+L30+L31+L32+L33+L34+L35)/12</f>
        <v>-15.416666666666666</v>
      </c>
      <c r="M36" s="15">
        <f t="shared" si="3"/>
        <v>-7.4833333333333343</v>
      </c>
      <c r="N36" s="15">
        <f t="shared" si="3"/>
        <v>0.74166666666666659</v>
      </c>
      <c r="O36" s="15">
        <f t="shared" si="3"/>
        <v>-8.2750000000000004</v>
      </c>
      <c r="P36" s="15">
        <f t="shared" si="3"/>
        <v>-10.158333333333333</v>
      </c>
      <c r="Q36" s="15">
        <f t="shared" si="3"/>
        <v>-2.0666666666666664</v>
      </c>
      <c r="R36" s="15">
        <f t="shared" si="3"/>
        <v>0.49166666666666664</v>
      </c>
      <c r="S36" s="15">
        <f t="shared" si="3"/>
        <v>0.69999999999999984</v>
      </c>
      <c r="T36" s="15">
        <f t="shared" si="3"/>
        <v>-9.6</v>
      </c>
      <c r="U36" s="15">
        <f t="shared" si="3"/>
        <v>-7.3166666666666664</v>
      </c>
      <c r="V36" s="15">
        <f t="shared" si="3"/>
        <v>-1.2583333333333331</v>
      </c>
      <c r="W36" s="15">
        <f t="shared" si="3"/>
        <v>-9.8083333333333318</v>
      </c>
      <c r="X36" s="15">
        <f t="shared" si="3"/>
        <v>-11.316666666666665</v>
      </c>
      <c r="Y36" s="15">
        <f t="shared" si="3"/>
        <v>-9.5083333333333346</v>
      </c>
      <c r="Z36" s="15">
        <v>-3.9249999999999994</v>
      </c>
      <c r="AA36" s="15">
        <f>AVERAGE(AA24+AA25+AA26+AA27+AA28+AA29+AA30+AA31+AA32+AA33+AA34+AA35)/12</f>
        <v>-0.65000000000000024</v>
      </c>
      <c r="AB36" s="15">
        <f>AVERAGE(AB24+AB25+AB26+AB27+AB28+AB29+AB30+AB31+AB32+AB33+AB34+AB35)/12</f>
        <v>2.8083333333333336</v>
      </c>
      <c r="AC36" s="15">
        <f>AVERAGE(AC24+AC25+AC26+AC27+AC28+AC29+AC30+AC31+AC32+AC33+AC34+AC35)/12</f>
        <v>0.52499999999999947</v>
      </c>
      <c r="AD36" s="15">
        <f>AVERAGE(AD24+AD25+AD26+AD27+AD28+AD29+AD30+AD31+AD32+AD33+AD34+AD35)/12</f>
        <v>-8.0583333333333336</v>
      </c>
      <c r="AE36" s="15">
        <f>AVERAGE(AE24+AE25+AE26+AE27+AE28+AE29+AE30+AE31+AE32+AE33+AE34+AE35)/12</f>
        <v>-4.833333333333333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5" zoomScaleNormal="85" workbookViewId="0">
      <selection activeCell="Z36" sqref="Z36:Z37"/>
    </sheetView>
  </sheetViews>
  <sheetFormatPr defaultRowHeight="15" x14ac:dyDescent="0.25"/>
  <cols>
    <col min="1" max="1" width="19" customWidth="1"/>
  </cols>
  <sheetData>
    <row r="1" spans="1:32" ht="15.75" x14ac:dyDescent="0.25">
      <c r="A1" s="4" t="s">
        <v>8</v>
      </c>
      <c r="B1" s="23" t="s">
        <v>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2" x14ac:dyDescent="0.25">
      <c r="A2" s="9"/>
      <c r="B2" s="131" t="s">
        <v>11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41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35">
        <v>-4.4000000000000004</v>
      </c>
      <c r="C4" s="35">
        <v>-12.7</v>
      </c>
      <c r="D4" s="35">
        <v>-11.3</v>
      </c>
      <c r="E4" s="35">
        <v>-10.3</v>
      </c>
      <c r="F4" s="35">
        <v>-2.9</v>
      </c>
      <c r="G4" s="35">
        <v>-3.5</v>
      </c>
      <c r="H4" s="35">
        <v>-0.8</v>
      </c>
      <c r="I4" s="35">
        <v>0.8</v>
      </c>
      <c r="J4" s="35">
        <v>1.3</v>
      </c>
      <c r="K4" s="35">
        <v>5</v>
      </c>
      <c r="L4" s="35">
        <v>0.8</v>
      </c>
      <c r="M4" s="35">
        <v>3.8</v>
      </c>
      <c r="N4" s="35">
        <v>4.5</v>
      </c>
      <c r="O4" s="35">
        <v>-1</v>
      </c>
      <c r="P4" s="35">
        <v>-2.5</v>
      </c>
      <c r="Q4" s="35">
        <v>0.3</v>
      </c>
      <c r="R4" s="35">
        <v>3</v>
      </c>
      <c r="S4" s="35">
        <v>0.7</v>
      </c>
      <c r="T4" s="35">
        <v>-1</v>
      </c>
      <c r="U4" s="35">
        <v>3.5</v>
      </c>
      <c r="V4" s="35">
        <v>8.3000000000000007</v>
      </c>
      <c r="W4" s="35">
        <v>0.9</v>
      </c>
      <c r="X4" s="35">
        <v>-1</v>
      </c>
      <c r="Y4" s="35">
        <v>0.1</v>
      </c>
      <c r="Z4" s="35">
        <v>-1</v>
      </c>
      <c r="AA4" s="35">
        <v>0.1</v>
      </c>
      <c r="AB4" s="35">
        <v>0.2</v>
      </c>
      <c r="AC4" s="35">
        <v>0.3</v>
      </c>
      <c r="AD4" s="35">
        <v>-2</v>
      </c>
      <c r="AE4" s="35">
        <v>-1.9</v>
      </c>
      <c r="AF4" s="35">
        <v>0.2</v>
      </c>
    </row>
    <row r="5" spans="1:32" x14ac:dyDescent="0.25">
      <c r="A5" s="10">
        <v>6</v>
      </c>
      <c r="B5" s="35">
        <v>-4.4000000000000004</v>
      </c>
      <c r="C5" s="35">
        <v>-13</v>
      </c>
      <c r="D5" s="35">
        <v>-10.5</v>
      </c>
      <c r="E5" s="35">
        <v>-9.1</v>
      </c>
      <c r="F5" s="35">
        <v>-2.8</v>
      </c>
      <c r="G5" s="35">
        <v>-3.2</v>
      </c>
      <c r="H5" s="35">
        <v>-0.4</v>
      </c>
      <c r="I5" s="35">
        <v>1.2</v>
      </c>
      <c r="J5" s="35">
        <v>1.3</v>
      </c>
      <c r="K5" s="35">
        <v>5</v>
      </c>
      <c r="L5" s="35">
        <v>1</v>
      </c>
      <c r="M5" s="35">
        <v>4.0999999999999996</v>
      </c>
      <c r="N5" s="35">
        <v>4.5</v>
      </c>
      <c r="O5" s="35">
        <v>-1</v>
      </c>
      <c r="P5" s="35">
        <v>-2.2000000000000002</v>
      </c>
      <c r="Q5" s="35">
        <v>0.6</v>
      </c>
      <c r="R5" s="35">
        <v>3</v>
      </c>
      <c r="S5" s="35">
        <v>1.69</v>
      </c>
      <c r="T5" s="35">
        <v>-1</v>
      </c>
      <c r="U5" s="35">
        <v>3.6</v>
      </c>
      <c r="V5" s="35">
        <v>9.8000000000000007</v>
      </c>
      <c r="W5" s="35">
        <v>0.8</v>
      </c>
      <c r="X5" s="35">
        <v>-1.5</v>
      </c>
      <c r="Y5" s="35">
        <v>0.1</v>
      </c>
      <c r="Z5" s="35">
        <v>1.5</v>
      </c>
      <c r="AA5" s="35">
        <v>0.2</v>
      </c>
      <c r="AB5" s="35">
        <v>0.2</v>
      </c>
      <c r="AC5" s="35">
        <v>0.5</v>
      </c>
      <c r="AD5" s="35">
        <v>-2.5</v>
      </c>
      <c r="AE5" s="35">
        <v>1.5</v>
      </c>
      <c r="AF5" s="35">
        <v>0.2</v>
      </c>
    </row>
    <row r="6" spans="1:32" x14ac:dyDescent="0.25">
      <c r="A6" s="10">
        <v>8</v>
      </c>
      <c r="B6" s="35">
        <v>-0.4</v>
      </c>
      <c r="C6" s="35">
        <v>-12</v>
      </c>
      <c r="D6" s="35">
        <v>-9.4</v>
      </c>
      <c r="E6" s="35">
        <v>-5</v>
      </c>
      <c r="F6" s="35">
        <v>-2.1</v>
      </c>
      <c r="G6" s="35">
        <v>-3</v>
      </c>
      <c r="H6" s="35">
        <v>2.2000000000000002</v>
      </c>
      <c r="I6" s="35">
        <v>2</v>
      </c>
      <c r="J6" s="35">
        <v>3.4</v>
      </c>
      <c r="K6" s="35">
        <v>4.5999999999999996</v>
      </c>
      <c r="L6" s="35">
        <v>3.1</v>
      </c>
      <c r="M6" s="35">
        <v>4.3</v>
      </c>
      <c r="N6" s="35">
        <v>4.5999999999999996</v>
      </c>
      <c r="O6" s="35">
        <v>0.1</v>
      </c>
      <c r="P6" s="35">
        <v>-1.5</v>
      </c>
      <c r="Q6" s="35">
        <v>2</v>
      </c>
      <c r="R6" s="35">
        <v>3.6</v>
      </c>
      <c r="S6" s="35">
        <v>2.7</v>
      </c>
      <c r="T6" s="35">
        <v>-0.7</v>
      </c>
      <c r="U6" s="35">
        <v>8.5</v>
      </c>
      <c r="V6" s="35">
        <v>13.6</v>
      </c>
      <c r="W6" s="35">
        <v>0.7</v>
      </c>
      <c r="X6" s="35">
        <v>-0.8</v>
      </c>
      <c r="Y6" s="35">
        <v>3.6</v>
      </c>
      <c r="Z6" s="35">
        <v>3.3</v>
      </c>
      <c r="AA6" s="35">
        <v>3</v>
      </c>
      <c r="AB6" s="35">
        <v>1</v>
      </c>
      <c r="AC6" s="35">
        <v>0.5</v>
      </c>
      <c r="AD6" s="35">
        <v>-2</v>
      </c>
      <c r="AE6" s="35">
        <v>0.7</v>
      </c>
      <c r="AF6" s="35">
        <v>3</v>
      </c>
    </row>
    <row r="7" spans="1:32" x14ac:dyDescent="0.25">
      <c r="A7" s="10">
        <v>10</v>
      </c>
      <c r="B7" s="35">
        <v>0.7</v>
      </c>
      <c r="C7" s="35">
        <v>-9.8000000000000007</v>
      </c>
      <c r="D7" s="35">
        <v>-6.4</v>
      </c>
      <c r="E7" s="35">
        <v>-2.6</v>
      </c>
      <c r="F7" s="35">
        <v>-1.3</v>
      </c>
      <c r="G7" s="35">
        <v>-1.2</v>
      </c>
      <c r="H7" s="35">
        <v>4.2</v>
      </c>
      <c r="I7" s="35">
        <v>2.5</v>
      </c>
      <c r="J7" s="35">
        <v>3.7</v>
      </c>
      <c r="K7" s="35">
        <v>3.1</v>
      </c>
      <c r="L7" s="35">
        <v>3.8</v>
      </c>
      <c r="M7" s="35">
        <v>6.3</v>
      </c>
      <c r="N7" s="35">
        <v>3</v>
      </c>
      <c r="O7" s="35">
        <v>1.5</v>
      </c>
      <c r="P7" s="35">
        <v>0.5</v>
      </c>
      <c r="Q7" s="35">
        <v>4.2</v>
      </c>
      <c r="R7" s="35">
        <v>4</v>
      </c>
      <c r="S7" s="35">
        <v>4.4000000000000004</v>
      </c>
      <c r="T7" s="35">
        <v>0</v>
      </c>
      <c r="U7" s="35">
        <v>9.1999999999999993</v>
      </c>
      <c r="V7" s="35">
        <v>15.8</v>
      </c>
      <c r="W7" s="35">
        <v>0.5</v>
      </c>
      <c r="X7" s="35">
        <v>0.1</v>
      </c>
      <c r="Y7" s="35">
        <v>4.7</v>
      </c>
      <c r="Z7" s="35">
        <v>4.5999999999999996</v>
      </c>
      <c r="AA7" s="35">
        <v>7.3</v>
      </c>
      <c r="AB7" s="35">
        <v>1.6</v>
      </c>
      <c r="AC7" s="35">
        <v>2.9</v>
      </c>
      <c r="AD7" s="35">
        <v>-1.6</v>
      </c>
      <c r="AE7" s="35">
        <v>1.4</v>
      </c>
      <c r="AF7" s="35">
        <v>4.8</v>
      </c>
    </row>
    <row r="8" spans="1:32" x14ac:dyDescent="0.25">
      <c r="A8" s="10">
        <v>12</v>
      </c>
      <c r="B8" s="35">
        <v>-0.1</v>
      </c>
      <c r="C8" s="35">
        <v>-8.8000000000000007</v>
      </c>
      <c r="D8" s="35">
        <v>-4.9000000000000004</v>
      </c>
      <c r="E8" s="35">
        <v>-1</v>
      </c>
      <c r="F8" s="35">
        <v>1.2</v>
      </c>
      <c r="G8" s="35">
        <v>0.1</v>
      </c>
      <c r="H8" s="35">
        <v>6.3</v>
      </c>
      <c r="I8" s="35">
        <v>3</v>
      </c>
      <c r="J8" s="35">
        <v>6.8</v>
      </c>
      <c r="K8" s="35">
        <v>4.0999999999999996</v>
      </c>
      <c r="L8" s="35">
        <v>5.7</v>
      </c>
      <c r="M8" s="35">
        <v>9.5</v>
      </c>
      <c r="N8" s="35">
        <v>3.6</v>
      </c>
      <c r="O8" s="35">
        <v>2.2000000000000002</v>
      </c>
      <c r="P8" s="35">
        <v>0.2</v>
      </c>
      <c r="Q8" s="35">
        <v>4.3</v>
      </c>
      <c r="R8" s="35">
        <v>3.8</v>
      </c>
      <c r="S8" s="35">
        <v>5.9</v>
      </c>
      <c r="T8" s="35">
        <v>0.4</v>
      </c>
      <c r="U8" s="35">
        <v>11.4</v>
      </c>
      <c r="V8" s="35">
        <v>17</v>
      </c>
      <c r="W8" s="35">
        <v>1</v>
      </c>
      <c r="X8" s="35">
        <v>1</v>
      </c>
      <c r="Y8" s="35">
        <v>0.1</v>
      </c>
      <c r="Z8" s="35">
        <v>5.4</v>
      </c>
      <c r="AA8" s="35">
        <v>6.7</v>
      </c>
      <c r="AB8" s="35">
        <v>1.5</v>
      </c>
      <c r="AC8" s="35">
        <v>3.8</v>
      </c>
      <c r="AD8" s="35">
        <v>-1.6</v>
      </c>
      <c r="AE8" s="35">
        <v>1</v>
      </c>
      <c r="AF8" s="35">
        <v>4.7</v>
      </c>
    </row>
    <row r="9" spans="1:32" x14ac:dyDescent="0.25">
      <c r="A9" s="10">
        <v>14</v>
      </c>
      <c r="B9" s="35">
        <v>0.2</v>
      </c>
      <c r="C9" s="35">
        <v>-7.47</v>
      </c>
      <c r="D9" s="35">
        <v>-3.5</v>
      </c>
      <c r="E9" s="35">
        <v>1.6</v>
      </c>
      <c r="F9" s="35">
        <v>2.8</v>
      </c>
      <c r="G9" s="35">
        <v>0.8</v>
      </c>
      <c r="H9" s="35">
        <v>7.7</v>
      </c>
      <c r="I9" s="35">
        <v>3</v>
      </c>
      <c r="J9" s="35">
        <v>7.5</v>
      </c>
      <c r="K9" s="35">
        <v>5.3</v>
      </c>
      <c r="L9" s="35">
        <v>5.6</v>
      </c>
      <c r="M9" s="35">
        <v>10.4</v>
      </c>
      <c r="N9" s="35">
        <v>4.3</v>
      </c>
      <c r="O9" s="35">
        <v>2.5</v>
      </c>
      <c r="P9" s="35">
        <v>1</v>
      </c>
      <c r="Q9" s="35">
        <v>2</v>
      </c>
      <c r="R9" s="35">
        <v>3.5</v>
      </c>
      <c r="S9" s="35">
        <v>6.2</v>
      </c>
      <c r="T9" s="35">
        <v>1</v>
      </c>
      <c r="U9" s="35">
        <v>12.9</v>
      </c>
      <c r="V9" s="35">
        <v>16.8</v>
      </c>
      <c r="W9" s="35">
        <v>1.9</v>
      </c>
      <c r="X9" s="35">
        <v>3.3</v>
      </c>
      <c r="Y9" s="35">
        <v>2.7</v>
      </c>
      <c r="Z9" s="35">
        <v>5.0999999999999996</v>
      </c>
      <c r="AA9" s="35">
        <v>6.4</v>
      </c>
      <c r="AB9" s="35">
        <v>1.3</v>
      </c>
      <c r="AC9" s="35">
        <v>1.3</v>
      </c>
      <c r="AD9" s="35">
        <v>0.1</v>
      </c>
      <c r="AE9" s="35">
        <v>1.6</v>
      </c>
      <c r="AF9" s="35">
        <v>4.3</v>
      </c>
    </row>
    <row r="10" spans="1:32" x14ac:dyDescent="0.25">
      <c r="A10" s="10">
        <v>16</v>
      </c>
      <c r="B10" s="35">
        <v>-1</v>
      </c>
      <c r="C10" s="35">
        <v>-7.6</v>
      </c>
      <c r="D10" s="35">
        <v>-3.2</v>
      </c>
      <c r="E10" s="35">
        <v>2.7</v>
      </c>
      <c r="F10" s="35">
        <v>2.5</v>
      </c>
      <c r="G10" s="35">
        <v>1.6</v>
      </c>
      <c r="H10" s="35">
        <v>5.7</v>
      </c>
      <c r="I10" s="35">
        <v>3.3</v>
      </c>
      <c r="J10" s="35">
        <v>7.3</v>
      </c>
      <c r="K10" s="35">
        <v>5.8</v>
      </c>
      <c r="L10" s="35">
        <v>6.9</v>
      </c>
      <c r="M10" s="35">
        <v>11.6</v>
      </c>
      <c r="N10" s="35">
        <v>3.7</v>
      </c>
      <c r="O10" s="35">
        <v>2</v>
      </c>
      <c r="P10" s="35">
        <v>1.9</v>
      </c>
      <c r="Q10" s="35">
        <v>0.6</v>
      </c>
      <c r="R10" s="35">
        <v>3.45</v>
      </c>
      <c r="S10" s="35">
        <v>5.6</v>
      </c>
      <c r="T10" s="35">
        <v>1.8</v>
      </c>
      <c r="U10" s="35">
        <v>13.9</v>
      </c>
      <c r="V10" s="35">
        <v>17.3</v>
      </c>
      <c r="W10" s="35">
        <v>2.2000000000000002</v>
      </c>
      <c r="X10" s="35">
        <v>3.9</v>
      </c>
      <c r="Y10" s="35">
        <v>4.3</v>
      </c>
      <c r="Z10" s="35">
        <v>4.8</v>
      </c>
      <c r="AA10" s="35">
        <v>5.3</v>
      </c>
      <c r="AB10" s="35">
        <v>0.8</v>
      </c>
      <c r="AC10" s="35">
        <v>0.4</v>
      </c>
      <c r="AD10" s="35">
        <v>1.3</v>
      </c>
      <c r="AE10" s="35">
        <v>1.5</v>
      </c>
      <c r="AF10" s="35">
        <v>4.5999999999999996</v>
      </c>
    </row>
    <row r="11" spans="1:32" x14ac:dyDescent="0.25">
      <c r="A11" s="10">
        <v>18</v>
      </c>
      <c r="B11" s="35">
        <v>-1.6</v>
      </c>
      <c r="C11" s="35">
        <v>-7.6</v>
      </c>
      <c r="D11" s="35">
        <v>-4</v>
      </c>
      <c r="E11" s="35">
        <v>3</v>
      </c>
      <c r="F11" s="35">
        <v>0.8</v>
      </c>
      <c r="G11" s="35">
        <v>1</v>
      </c>
      <c r="H11" s="35">
        <v>4.3</v>
      </c>
      <c r="I11" s="35">
        <v>3</v>
      </c>
      <c r="J11" s="35">
        <v>6</v>
      </c>
      <c r="K11" s="35">
        <v>5.9</v>
      </c>
      <c r="L11" s="35">
        <v>6.7</v>
      </c>
      <c r="M11" s="35">
        <v>9.9</v>
      </c>
      <c r="N11" s="35">
        <v>3.4</v>
      </c>
      <c r="O11" s="35">
        <v>1.2</v>
      </c>
      <c r="P11" s="35">
        <v>1.58</v>
      </c>
      <c r="Q11" s="35">
        <v>0.31</v>
      </c>
      <c r="R11" s="35">
        <v>3.14</v>
      </c>
      <c r="S11" s="35">
        <v>5.13</v>
      </c>
      <c r="T11" s="35">
        <v>2.58</v>
      </c>
      <c r="U11" s="35">
        <v>14.5</v>
      </c>
      <c r="V11" s="35">
        <v>17</v>
      </c>
      <c r="W11" s="35">
        <v>1.8</v>
      </c>
      <c r="X11" s="35">
        <v>3.7</v>
      </c>
      <c r="Y11" s="35">
        <v>3.1</v>
      </c>
      <c r="Z11" s="35">
        <v>3.53</v>
      </c>
      <c r="AA11" s="35">
        <v>5.0999999999999996</v>
      </c>
      <c r="AB11" s="35">
        <v>1</v>
      </c>
      <c r="AC11" s="35">
        <v>0.8</v>
      </c>
      <c r="AD11" s="35">
        <v>1.46</v>
      </c>
      <c r="AE11" s="35">
        <v>1.8</v>
      </c>
      <c r="AF11" s="35">
        <v>3</v>
      </c>
    </row>
    <row r="12" spans="1:32" x14ac:dyDescent="0.25">
      <c r="A12" s="10">
        <v>20</v>
      </c>
      <c r="B12" s="35">
        <v>-2.8</v>
      </c>
      <c r="C12" s="35">
        <v>-8.8000000000000007</v>
      </c>
      <c r="D12" s="35">
        <v>-6.2</v>
      </c>
      <c r="E12" s="35">
        <v>-1.5</v>
      </c>
      <c r="F12" s="35">
        <v>-1</v>
      </c>
      <c r="G12" s="35">
        <v>-0.7</v>
      </c>
      <c r="H12" s="35">
        <v>4.3</v>
      </c>
      <c r="I12" s="35">
        <v>2.1</v>
      </c>
      <c r="J12" s="35">
        <v>5.3</v>
      </c>
      <c r="K12" s="35">
        <v>3.7</v>
      </c>
      <c r="L12" s="35">
        <v>4.9000000000000004</v>
      </c>
      <c r="M12" s="35">
        <v>9.1</v>
      </c>
      <c r="N12" s="35">
        <v>2</v>
      </c>
      <c r="O12" s="35">
        <v>0.9</v>
      </c>
      <c r="P12" s="35">
        <v>1</v>
      </c>
      <c r="Q12" s="35">
        <v>1.6</v>
      </c>
      <c r="R12" s="35">
        <v>2.2999999999999998</v>
      </c>
      <c r="S12" s="35">
        <v>3.7</v>
      </c>
      <c r="T12" s="35">
        <v>1.35</v>
      </c>
      <c r="U12" s="35">
        <v>12.3</v>
      </c>
      <c r="V12" s="35">
        <v>14.8</v>
      </c>
      <c r="W12" s="35">
        <v>1.1200000000000001</v>
      </c>
      <c r="X12" s="35">
        <v>4</v>
      </c>
      <c r="Y12" s="35">
        <v>2.9</v>
      </c>
      <c r="Z12" s="35">
        <v>2.2000000000000002</v>
      </c>
      <c r="AA12" s="35">
        <v>2.6</v>
      </c>
      <c r="AB12" s="35">
        <v>1</v>
      </c>
      <c r="AC12" s="35">
        <v>-0.5</v>
      </c>
      <c r="AD12" s="35">
        <v>-0.1</v>
      </c>
      <c r="AE12" s="35">
        <v>0.8</v>
      </c>
      <c r="AF12" s="35">
        <v>1.3</v>
      </c>
    </row>
    <row r="13" spans="1:32" x14ac:dyDescent="0.25">
      <c r="A13" s="10">
        <v>22</v>
      </c>
      <c r="B13" s="35">
        <v>-5.8</v>
      </c>
      <c r="C13" s="35">
        <v>-11.2</v>
      </c>
      <c r="D13" s="35">
        <v>-8.1999999999999993</v>
      </c>
      <c r="E13" s="35">
        <v>0.3</v>
      </c>
      <c r="F13" s="35">
        <v>-1</v>
      </c>
      <c r="G13" s="35">
        <v>-2.2999999999999998</v>
      </c>
      <c r="H13" s="35">
        <v>3.4</v>
      </c>
      <c r="I13" s="35">
        <v>1.7</v>
      </c>
      <c r="J13" s="35">
        <v>5</v>
      </c>
      <c r="K13" s="35">
        <v>1.4</v>
      </c>
      <c r="L13" s="35">
        <v>3.1</v>
      </c>
      <c r="M13" s="35">
        <v>8.1999999999999993</v>
      </c>
      <c r="N13" s="35">
        <v>1</v>
      </c>
      <c r="O13" s="35">
        <v>0.5</v>
      </c>
      <c r="P13" s="35">
        <v>0.7</v>
      </c>
      <c r="Q13" s="35">
        <v>3.3</v>
      </c>
      <c r="R13" s="35">
        <v>1.8</v>
      </c>
      <c r="S13" s="35">
        <v>1.9</v>
      </c>
      <c r="T13" s="35">
        <v>1</v>
      </c>
      <c r="U13" s="35">
        <v>9</v>
      </c>
      <c r="V13" s="35">
        <v>11.2</v>
      </c>
      <c r="W13" s="35">
        <v>0.1</v>
      </c>
      <c r="X13" s="35">
        <v>1.2</v>
      </c>
      <c r="Y13" s="35">
        <v>0.5</v>
      </c>
      <c r="Z13" s="35">
        <v>3</v>
      </c>
      <c r="AA13" s="35">
        <v>2.2000000000000002</v>
      </c>
      <c r="AB13" s="35">
        <v>0.3</v>
      </c>
      <c r="AC13" s="35">
        <v>0.2</v>
      </c>
      <c r="AD13" s="35">
        <v>-0.7</v>
      </c>
      <c r="AE13" s="35">
        <v>-0.3</v>
      </c>
      <c r="AF13" s="35">
        <v>1.5</v>
      </c>
    </row>
    <row r="14" spans="1:32" x14ac:dyDescent="0.25">
      <c r="A14" s="10">
        <v>24</v>
      </c>
      <c r="B14" s="35">
        <v>-5.5</v>
      </c>
      <c r="C14" s="35">
        <v>-11.8</v>
      </c>
      <c r="D14" s="35">
        <v>-11.3</v>
      </c>
      <c r="E14" s="35">
        <v>0.7</v>
      </c>
      <c r="F14" s="35">
        <v>-1</v>
      </c>
      <c r="G14" s="35">
        <v>-2.2000000000000002</v>
      </c>
      <c r="H14" s="35">
        <v>2.2000000000000002</v>
      </c>
      <c r="I14" s="35">
        <v>0.7</v>
      </c>
      <c r="J14" s="35">
        <v>4.3</v>
      </c>
      <c r="K14" s="35">
        <v>0.8</v>
      </c>
      <c r="L14" s="35">
        <v>3.7</v>
      </c>
      <c r="M14" s="35">
        <v>8.6</v>
      </c>
      <c r="N14" s="35">
        <v>-1</v>
      </c>
      <c r="O14" s="35">
        <v>0.1</v>
      </c>
      <c r="P14" s="35">
        <v>0.4</v>
      </c>
      <c r="Q14" s="35">
        <v>3.1</v>
      </c>
      <c r="R14" s="35">
        <v>1.3</v>
      </c>
      <c r="S14" s="35">
        <v>0.5</v>
      </c>
      <c r="T14" s="35">
        <v>1</v>
      </c>
      <c r="U14" s="35">
        <v>7</v>
      </c>
      <c r="V14" s="35">
        <v>8.9</v>
      </c>
      <c r="W14" s="35">
        <v>0.6</v>
      </c>
      <c r="X14" s="35">
        <v>0.8</v>
      </c>
      <c r="Y14" s="35">
        <v>-1</v>
      </c>
      <c r="Z14" s="35">
        <v>3.4</v>
      </c>
      <c r="AA14" s="35">
        <v>1.4</v>
      </c>
      <c r="AB14" s="35">
        <v>0.8</v>
      </c>
      <c r="AC14" s="35">
        <v>-0.8</v>
      </c>
      <c r="AD14" s="35">
        <v>-1.2</v>
      </c>
      <c r="AE14" s="35">
        <v>-1</v>
      </c>
      <c r="AF14" s="35">
        <v>1.3</v>
      </c>
    </row>
    <row r="15" spans="1:32" x14ac:dyDescent="0.25">
      <c r="A15" s="10">
        <v>2</v>
      </c>
      <c r="B15" s="35">
        <v>-9.3000000000000007</v>
      </c>
      <c r="C15" s="35">
        <v>-13.2</v>
      </c>
      <c r="D15" s="35">
        <v>-11.9</v>
      </c>
      <c r="E15" s="35">
        <v>-1.7</v>
      </c>
      <c r="F15" s="35">
        <v>-0.9</v>
      </c>
      <c r="G15" s="35">
        <v>-0.7</v>
      </c>
      <c r="H15" s="35">
        <v>1.8</v>
      </c>
      <c r="I15" s="35">
        <v>0.5</v>
      </c>
      <c r="J15" s="35">
        <v>3.9</v>
      </c>
      <c r="K15" s="35">
        <v>0.1</v>
      </c>
      <c r="L15" s="35">
        <v>3.5</v>
      </c>
      <c r="M15" s="35">
        <v>7.1</v>
      </c>
      <c r="N15" s="35">
        <v>-1.3</v>
      </c>
      <c r="O15" s="35">
        <v>-1.2</v>
      </c>
      <c r="P15" s="35">
        <v>-0.33</v>
      </c>
      <c r="Q15" s="35">
        <v>2.7</v>
      </c>
      <c r="R15" s="35">
        <v>0.8</v>
      </c>
      <c r="S15" s="35">
        <v>-0.3</v>
      </c>
      <c r="T15" s="35">
        <v>1.6</v>
      </c>
      <c r="U15" s="35">
        <v>6.3</v>
      </c>
      <c r="V15" s="35">
        <v>7.3</v>
      </c>
      <c r="W15" s="35">
        <v>-1.5</v>
      </c>
      <c r="X15" s="35">
        <v>-0.3</v>
      </c>
      <c r="Y15" s="35">
        <v>-2.02</v>
      </c>
      <c r="Z15" s="35">
        <v>1.96</v>
      </c>
      <c r="AA15" s="35">
        <v>0.5</v>
      </c>
      <c r="AB15" s="35">
        <v>1.37</v>
      </c>
      <c r="AC15" s="35">
        <v>-1.82</v>
      </c>
      <c r="AD15" s="35">
        <v>-1.85</v>
      </c>
      <c r="AE15" s="35">
        <v>-0.4</v>
      </c>
      <c r="AF15" s="35">
        <v>1.1000000000000001</v>
      </c>
    </row>
    <row r="16" spans="1:32" ht="30" x14ac:dyDescent="0.25">
      <c r="A16" s="11" t="s">
        <v>2</v>
      </c>
      <c r="B16" s="15">
        <f t="shared" ref="B16:G16" si="0">AVERAGE(B4+B5+B6+B7+B8+B9+B10+B11+B12+B13+B14+B15)/12</f>
        <v>-2.8666666666666671</v>
      </c>
      <c r="C16" s="15">
        <f t="shared" si="0"/>
        <v>-10.330833333333333</v>
      </c>
      <c r="D16" s="15">
        <f t="shared" si="0"/>
        <v>-7.5666666666666673</v>
      </c>
      <c r="E16" s="15">
        <f t="shared" si="0"/>
        <v>-1.9083333333333332</v>
      </c>
      <c r="F16" s="15">
        <f t="shared" si="0"/>
        <v>-0.47500000000000003</v>
      </c>
      <c r="G16" s="15">
        <f t="shared" si="0"/>
        <v>-1.1083333333333332</v>
      </c>
      <c r="H16" s="15">
        <f t="shared" ref="H16:M16" si="1">AVERAGE(H4+H5+H6+H7+H8+H9+H10+H11+H12+H13+H14+H15)/12</f>
        <v>3.4083333333333332</v>
      </c>
      <c r="I16" s="15">
        <f t="shared" si="1"/>
        <v>1.9833333333333334</v>
      </c>
      <c r="J16" s="15">
        <f t="shared" si="1"/>
        <v>4.6499999999999995</v>
      </c>
      <c r="K16" s="15">
        <f t="shared" si="1"/>
        <v>3.7333333333333329</v>
      </c>
      <c r="L16" s="15">
        <f t="shared" si="1"/>
        <v>4.0666666666666673</v>
      </c>
      <c r="M16" s="15">
        <f t="shared" si="1"/>
        <v>7.7416666666666663</v>
      </c>
      <c r="N16" s="15">
        <f t="shared" ref="N16:T16" si="2">AVERAGE(N4+N5+N6+N7+N8+N9+N10+N11+N12+N13+N14+N15)/12</f>
        <v>2.6916666666666669</v>
      </c>
      <c r="O16" s="15">
        <f t="shared" si="2"/>
        <v>0.65</v>
      </c>
      <c r="P16" s="15">
        <f t="shared" si="2"/>
        <v>6.25E-2</v>
      </c>
      <c r="Q16" s="15">
        <f t="shared" si="2"/>
        <v>2.0841666666666665</v>
      </c>
      <c r="R16" s="15">
        <f t="shared" si="2"/>
        <v>2.8074999999999997</v>
      </c>
      <c r="S16" s="15">
        <f t="shared" si="2"/>
        <v>3.1766666666666672</v>
      </c>
      <c r="T16" s="15">
        <f t="shared" si="2"/>
        <v>0.66916666666666658</v>
      </c>
      <c r="U16" s="15">
        <f t="shared" ref="U16:AA16" si="3">AVERAGE(U4+U5+U6+U7+U8+U9+U10+U11+U12+U13+U14+U15)/12</f>
        <v>9.3416666666666668</v>
      </c>
      <c r="V16" s="15">
        <f t="shared" si="3"/>
        <v>13.15</v>
      </c>
      <c r="W16" s="15">
        <f t="shared" si="3"/>
        <v>0.84333333333333338</v>
      </c>
      <c r="X16" s="15">
        <f t="shared" si="3"/>
        <v>1.2</v>
      </c>
      <c r="Y16" s="15">
        <f t="shared" si="3"/>
        <v>1.59</v>
      </c>
      <c r="Z16" s="15">
        <f t="shared" si="3"/>
        <v>3.1491666666666664</v>
      </c>
      <c r="AA16" s="15">
        <f t="shared" si="3"/>
        <v>3.4000000000000004</v>
      </c>
      <c r="AB16" s="39">
        <f>AVERAGE(AB4+AB5+AB6+AB7+AB8+AB9+AB10+AB11+AB12+AB13+AB14+AB15)/12</f>
        <v>0.92249999999999999</v>
      </c>
      <c r="AC16" s="39">
        <f>AVERAGE(AC4+AC5+AC6+AC7+AC8+AC9+AC10+AC11+AC12+AC13+AC14+AC15)/12</f>
        <v>0.63166666666666671</v>
      </c>
      <c r="AD16" s="39">
        <f>AVERAGE(AD4+AD5+AD6+AD7+AD8+AD9+AD10+AD11+AD12+AD13+AD14+AD15)/12</f>
        <v>-0.89083333333333314</v>
      </c>
      <c r="AE16" s="40">
        <f>AVERAGE(AE4+AE5+AE6+AE7+AE8+AE9+AE10+AE11+AE12+AE13+AE14+AE15)/12</f>
        <v>0.55833333333333324</v>
      </c>
      <c r="AF16" s="40">
        <f>AVERAGE(AF4+AF5+AF6+AF7+AF8+AF9+AF10+AF11+AF12+AF13+AF14+AF15)/12</f>
        <v>2.5</v>
      </c>
    </row>
    <row r="17" spans="1:3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2" ht="15.75" x14ac:dyDescent="0.25">
      <c r="A21" s="4" t="s">
        <v>7</v>
      </c>
      <c r="B21" s="23" t="s">
        <v>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2" x14ac:dyDescent="0.25">
      <c r="A22" s="9"/>
      <c r="B22" s="131" t="s">
        <v>11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41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-6.7</v>
      </c>
      <c r="C24" s="35">
        <v>-12.5</v>
      </c>
      <c r="D24" s="35">
        <v>-16.2</v>
      </c>
      <c r="E24" s="35">
        <v>-12.1</v>
      </c>
      <c r="F24" s="35">
        <v>-1.7</v>
      </c>
      <c r="G24" s="35">
        <v>-1.1000000000000001</v>
      </c>
      <c r="H24" s="13">
        <v>-1.4</v>
      </c>
      <c r="I24" s="37">
        <v>1.4</v>
      </c>
      <c r="J24" s="37">
        <v>0.6</v>
      </c>
      <c r="K24" s="37">
        <v>4.4000000000000004</v>
      </c>
      <c r="L24" s="35">
        <v>0.4</v>
      </c>
      <c r="M24" s="35">
        <v>4.3</v>
      </c>
      <c r="N24" s="35">
        <v>7</v>
      </c>
      <c r="O24" s="35">
        <v>-1.4</v>
      </c>
      <c r="P24" s="35">
        <v>-1.4</v>
      </c>
      <c r="Q24" s="35">
        <v>-0.4</v>
      </c>
      <c r="R24" s="35">
        <v>2.2999999999999998</v>
      </c>
      <c r="S24" s="35">
        <v>1</v>
      </c>
      <c r="T24" s="35">
        <v>-0.3</v>
      </c>
      <c r="U24" s="35">
        <v>1.5</v>
      </c>
      <c r="V24" s="35">
        <v>5.4</v>
      </c>
      <c r="W24" s="35">
        <v>2.8</v>
      </c>
      <c r="X24" s="37">
        <v>-2.5</v>
      </c>
      <c r="Y24" s="35">
        <v>-2.6</v>
      </c>
      <c r="Z24" s="35">
        <v>-2.5</v>
      </c>
      <c r="AA24" s="35">
        <v>2.2999999999999998</v>
      </c>
      <c r="AB24" s="35">
        <v>0.4</v>
      </c>
      <c r="AC24" s="35">
        <v>0.2</v>
      </c>
      <c r="AD24" s="35">
        <v>-2.8</v>
      </c>
      <c r="AE24" s="35">
        <v>-1.8</v>
      </c>
      <c r="AF24" s="35">
        <v>-1</v>
      </c>
    </row>
    <row r="25" spans="1:32" x14ac:dyDescent="0.25">
      <c r="A25" s="10">
        <v>6</v>
      </c>
      <c r="B25" s="35">
        <v>-4.3</v>
      </c>
      <c r="C25" s="35">
        <v>-12.6</v>
      </c>
      <c r="D25" s="35">
        <v>-14.2</v>
      </c>
      <c r="E25" s="35">
        <v>-8.6</v>
      </c>
      <c r="F25" s="35">
        <v>-2.5</v>
      </c>
      <c r="G25" s="35">
        <v>-2.5</v>
      </c>
      <c r="H25" s="13">
        <v>-1.2</v>
      </c>
      <c r="I25" s="37">
        <v>1.4</v>
      </c>
      <c r="J25" s="37">
        <v>1.6</v>
      </c>
      <c r="K25" s="37">
        <v>3.9</v>
      </c>
      <c r="L25" s="35">
        <v>2.2000000000000002</v>
      </c>
      <c r="M25" s="35">
        <v>4.8</v>
      </c>
      <c r="N25" s="35">
        <v>5.0999999999999996</v>
      </c>
      <c r="O25" s="35">
        <v>0.3</v>
      </c>
      <c r="P25" s="35">
        <v>-2.1</v>
      </c>
      <c r="Q25" s="35">
        <v>0.5</v>
      </c>
      <c r="R25" s="35">
        <v>2.6</v>
      </c>
      <c r="S25" s="35">
        <v>1.6</v>
      </c>
      <c r="T25" s="35">
        <v>-0.3</v>
      </c>
      <c r="U25" s="35">
        <v>3</v>
      </c>
      <c r="V25" s="35">
        <v>6.7</v>
      </c>
      <c r="W25" s="35">
        <v>1.2</v>
      </c>
      <c r="X25" s="37">
        <v>0</v>
      </c>
      <c r="Y25" s="35">
        <v>1.7</v>
      </c>
      <c r="Z25" s="35">
        <v>1.3</v>
      </c>
      <c r="AA25" s="35">
        <v>2.2999999999999998</v>
      </c>
      <c r="AB25" s="35">
        <v>0.1</v>
      </c>
      <c r="AC25" s="35">
        <v>0.4</v>
      </c>
      <c r="AD25" s="35">
        <v>-2.6</v>
      </c>
      <c r="AE25" s="35">
        <v>-1.6</v>
      </c>
      <c r="AF25" s="35">
        <v>0</v>
      </c>
    </row>
    <row r="26" spans="1:32" x14ac:dyDescent="0.25">
      <c r="A26" s="10">
        <v>8</v>
      </c>
      <c r="B26" s="35">
        <v>-2.8</v>
      </c>
      <c r="C26" s="35">
        <v>-10.8</v>
      </c>
      <c r="D26" s="35">
        <v>-10.5</v>
      </c>
      <c r="E26" s="35">
        <v>-5.6</v>
      </c>
      <c r="F26" s="35">
        <v>-2.4</v>
      </c>
      <c r="G26" s="35">
        <v>-2.5</v>
      </c>
      <c r="H26" s="13">
        <v>2.5</v>
      </c>
      <c r="I26" s="37">
        <v>1.9</v>
      </c>
      <c r="J26" s="37">
        <v>3</v>
      </c>
      <c r="K26" s="37">
        <v>4.8</v>
      </c>
      <c r="L26" s="35">
        <v>4.4000000000000004</v>
      </c>
      <c r="M26" s="35">
        <v>7.2</v>
      </c>
      <c r="N26" s="35">
        <v>5.5</v>
      </c>
      <c r="O26" s="35">
        <v>1</v>
      </c>
      <c r="P26" s="35">
        <v>-2.5</v>
      </c>
      <c r="Q26" s="35">
        <v>1</v>
      </c>
      <c r="R26" s="35">
        <v>3.9</v>
      </c>
      <c r="S26" s="35">
        <v>3.2</v>
      </c>
      <c r="T26" s="35">
        <v>-0.3</v>
      </c>
      <c r="U26" s="35">
        <v>6.1</v>
      </c>
      <c r="V26" s="35">
        <v>10.4</v>
      </c>
      <c r="W26" s="35">
        <v>0.6</v>
      </c>
      <c r="X26" s="37">
        <v>0</v>
      </c>
      <c r="Y26" s="35">
        <v>4</v>
      </c>
      <c r="Z26" s="35">
        <v>3.6</v>
      </c>
      <c r="AA26" s="35">
        <v>3.2</v>
      </c>
      <c r="AB26" s="35">
        <v>0.7</v>
      </c>
      <c r="AC26" s="35">
        <v>0.4</v>
      </c>
      <c r="AD26" s="35">
        <v>-1.7</v>
      </c>
      <c r="AE26" s="35">
        <v>-0.7</v>
      </c>
      <c r="AF26" s="35">
        <v>1.8</v>
      </c>
    </row>
    <row r="27" spans="1:32" x14ac:dyDescent="0.25">
      <c r="A27" s="10">
        <v>10</v>
      </c>
      <c r="B27" s="35">
        <v>-1.2</v>
      </c>
      <c r="C27" s="35">
        <v>-8.1999999999999993</v>
      </c>
      <c r="D27" s="35">
        <v>-8.5</v>
      </c>
      <c r="E27" s="35">
        <v>-2.2000000000000002</v>
      </c>
      <c r="F27" s="35">
        <v>-1</v>
      </c>
      <c r="G27" s="35">
        <v>-2.2999999999999998</v>
      </c>
      <c r="H27" s="13">
        <v>4.5</v>
      </c>
      <c r="I27" s="37">
        <v>2.1</v>
      </c>
      <c r="J27" s="37">
        <v>4.3</v>
      </c>
      <c r="K27" s="37">
        <v>3.2</v>
      </c>
      <c r="L27" s="35">
        <v>4.5999999999999996</v>
      </c>
      <c r="M27" s="35">
        <v>6.3</v>
      </c>
      <c r="N27" s="35">
        <v>4.5999999999999996</v>
      </c>
      <c r="O27" s="35">
        <v>2.6</v>
      </c>
      <c r="P27" s="35">
        <v>-0.2</v>
      </c>
      <c r="Q27" s="35">
        <v>4.7</v>
      </c>
      <c r="R27" s="35">
        <v>5</v>
      </c>
      <c r="S27" s="35">
        <v>4.8</v>
      </c>
      <c r="T27" s="35">
        <v>0.6</v>
      </c>
      <c r="U27" s="35">
        <v>9.4</v>
      </c>
      <c r="V27" s="35">
        <v>14.1</v>
      </c>
      <c r="W27" s="35">
        <v>1.5</v>
      </c>
      <c r="X27" s="37">
        <v>0.6</v>
      </c>
      <c r="Y27" s="35">
        <v>4.5999999999999996</v>
      </c>
      <c r="Z27" s="35">
        <v>4.8</v>
      </c>
      <c r="AA27" s="35">
        <v>6.5</v>
      </c>
      <c r="AB27" s="35">
        <v>1.8</v>
      </c>
      <c r="AC27" s="35">
        <v>2</v>
      </c>
      <c r="AD27" s="35">
        <v>-0.7</v>
      </c>
      <c r="AE27" s="35">
        <v>2.2999999999999998</v>
      </c>
      <c r="AF27" s="35">
        <v>4.4000000000000004</v>
      </c>
    </row>
    <row r="28" spans="1:32" x14ac:dyDescent="0.25">
      <c r="A28" s="10">
        <v>12</v>
      </c>
      <c r="B28" s="35">
        <v>0.7</v>
      </c>
      <c r="C28" s="35">
        <v>-7.9</v>
      </c>
      <c r="D28" s="35">
        <v>-6.2</v>
      </c>
      <c r="E28" s="35">
        <v>-0.5</v>
      </c>
      <c r="F28" s="35">
        <v>1.2</v>
      </c>
      <c r="G28" s="35">
        <v>-0.2</v>
      </c>
      <c r="H28" s="13">
        <v>6.4</v>
      </c>
      <c r="I28" s="37">
        <v>2.5</v>
      </c>
      <c r="J28" s="37">
        <v>7.3</v>
      </c>
      <c r="K28" s="37">
        <v>4.0999999999999996</v>
      </c>
      <c r="L28" s="35">
        <v>6.7</v>
      </c>
      <c r="M28" s="35">
        <v>8.1999999999999993</v>
      </c>
      <c r="N28" s="35">
        <v>3.7</v>
      </c>
      <c r="O28" s="35">
        <v>3.4</v>
      </c>
      <c r="P28" s="35">
        <v>1.2</v>
      </c>
      <c r="Q28" s="35">
        <v>5.8</v>
      </c>
      <c r="R28" s="35">
        <v>5</v>
      </c>
      <c r="S28" s="35">
        <v>6.8</v>
      </c>
      <c r="T28" s="35">
        <v>1</v>
      </c>
      <c r="U28" s="35">
        <v>11</v>
      </c>
      <c r="V28" s="35">
        <v>16.3</v>
      </c>
      <c r="W28" s="35">
        <v>1.2</v>
      </c>
      <c r="X28" s="37">
        <v>0.9</v>
      </c>
      <c r="Y28" s="35">
        <v>2.9</v>
      </c>
      <c r="Z28" s="35">
        <v>5.6</v>
      </c>
      <c r="AA28" s="35">
        <v>8.3000000000000007</v>
      </c>
      <c r="AB28" s="35">
        <v>2.6</v>
      </c>
      <c r="AC28" s="35">
        <v>3.5</v>
      </c>
      <c r="AD28" s="35">
        <v>-0.1</v>
      </c>
      <c r="AE28" s="35">
        <v>1.6</v>
      </c>
      <c r="AF28" s="35">
        <v>4.5</v>
      </c>
    </row>
    <row r="29" spans="1:32" x14ac:dyDescent="0.25">
      <c r="A29" s="10">
        <v>14</v>
      </c>
      <c r="B29" s="35">
        <v>1.4</v>
      </c>
      <c r="C29" s="35">
        <v>-7.5</v>
      </c>
      <c r="D29" s="35">
        <v>-5.7</v>
      </c>
      <c r="E29" s="35">
        <v>1.6</v>
      </c>
      <c r="F29" s="35">
        <v>3.8</v>
      </c>
      <c r="G29" s="35">
        <v>0.3</v>
      </c>
      <c r="H29" s="13">
        <v>7.1</v>
      </c>
      <c r="I29" s="37">
        <v>2.9</v>
      </c>
      <c r="J29" s="37">
        <v>7.8</v>
      </c>
      <c r="K29" s="37">
        <v>4.3</v>
      </c>
      <c r="L29" s="35">
        <v>7.1</v>
      </c>
      <c r="M29" s="35">
        <v>11.4</v>
      </c>
      <c r="N29" s="35">
        <v>4.5</v>
      </c>
      <c r="O29" s="35">
        <v>2.2999999999999998</v>
      </c>
      <c r="P29" s="35">
        <v>1.6</v>
      </c>
      <c r="Q29" s="35">
        <v>4.8</v>
      </c>
      <c r="R29" s="35">
        <v>3.9</v>
      </c>
      <c r="S29" s="35">
        <v>7.5</v>
      </c>
      <c r="T29" s="35">
        <v>1.5</v>
      </c>
      <c r="U29" s="35">
        <v>13.2</v>
      </c>
      <c r="V29" s="35">
        <v>17</v>
      </c>
      <c r="W29" s="35">
        <v>1.4</v>
      </c>
      <c r="X29" s="37">
        <v>1.8</v>
      </c>
      <c r="Y29" s="35">
        <v>3.2</v>
      </c>
      <c r="Z29" s="35">
        <v>5.5</v>
      </c>
      <c r="AA29" s="35">
        <v>8.9</v>
      </c>
      <c r="AB29" s="35">
        <v>3</v>
      </c>
      <c r="AC29" s="35">
        <v>0.5</v>
      </c>
      <c r="AD29" s="35">
        <v>1</v>
      </c>
      <c r="AE29" s="35">
        <v>1</v>
      </c>
      <c r="AF29" s="35">
        <v>4.8</v>
      </c>
    </row>
    <row r="30" spans="1:32" x14ac:dyDescent="0.25">
      <c r="A30" s="10">
        <v>16</v>
      </c>
      <c r="B30" s="35">
        <v>0.1</v>
      </c>
      <c r="C30" s="35">
        <v>-8.3000000000000007</v>
      </c>
      <c r="D30" s="35">
        <v>-5.3</v>
      </c>
      <c r="E30" s="35">
        <v>2.5</v>
      </c>
      <c r="F30" s="35">
        <v>3.5</v>
      </c>
      <c r="G30" s="35">
        <v>1.3</v>
      </c>
      <c r="H30" s="13">
        <v>7.7</v>
      </c>
      <c r="I30" s="37">
        <v>2.7</v>
      </c>
      <c r="J30" s="37">
        <v>7.1</v>
      </c>
      <c r="K30" s="37">
        <v>5.9</v>
      </c>
      <c r="L30" s="35">
        <v>6.2</v>
      </c>
      <c r="M30" s="35">
        <v>12.9</v>
      </c>
      <c r="N30" s="35">
        <v>3.6</v>
      </c>
      <c r="O30" s="35">
        <v>2.1</v>
      </c>
      <c r="P30" s="35">
        <v>2.1</v>
      </c>
      <c r="Q30" s="35">
        <v>1.5</v>
      </c>
      <c r="R30" s="35">
        <v>4.2</v>
      </c>
      <c r="S30" s="35">
        <v>7.3</v>
      </c>
      <c r="T30" s="35">
        <v>1.9</v>
      </c>
      <c r="U30" s="35">
        <v>14.1</v>
      </c>
      <c r="V30" s="35">
        <v>16.899999999999999</v>
      </c>
      <c r="W30" s="35">
        <v>1.9</v>
      </c>
      <c r="X30" s="37">
        <v>3.8</v>
      </c>
      <c r="Y30" s="35">
        <v>4.5</v>
      </c>
      <c r="Z30" s="35">
        <v>4.9000000000000004</v>
      </c>
      <c r="AA30" s="35">
        <v>6.8</v>
      </c>
      <c r="AB30" s="35">
        <v>1.3</v>
      </c>
      <c r="AC30" s="35">
        <v>1</v>
      </c>
      <c r="AD30" s="35">
        <v>2.2999999999999998</v>
      </c>
      <c r="AE30" s="35">
        <v>1.8</v>
      </c>
      <c r="AF30" s="35">
        <v>4.5</v>
      </c>
    </row>
    <row r="31" spans="1:32" x14ac:dyDescent="0.25">
      <c r="A31" s="10">
        <v>18</v>
      </c>
      <c r="B31" s="35">
        <v>-1.3</v>
      </c>
      <c r="C31" s="35">
        <v>-8.1</v>
      </c>
      <c r="D31" s="35">
        <v>-3.5</v>
      </c>
      <c r="E31" s="35">
        <v>2.2999999999999998</v>
      </c>
      <c r="F31" s="35">
        <v>3</v>
      </c>
      <c r="G31" s="35">
        <v>1.8</v>
      </c>
      <c r="H31" s="13">
        <v>8.3000000000000007</v>
      </c>
      <c r="I31" s="37">
        <v>2.7</v>
      </c>
      <c r="J31" s="37">
        <v>5.7</v>
      </c>
      <c r="K31" s="37">
        <v>4.9000000000000004</v>
      </c>
      <c r="L31" s="35">
        <v>6.3</v>
      </c>
      <c r="M31" s="35">
        <v>9.4</v>
      </c>
      <c r="N31" s="35">
        <v>3</v>
      </c>
      <c r="O31" s="35">
        <v>1.9</v>
      </c>
      <c r="P31" s="35">
        <v>1.6</v>
      </c>
      <c r="Q31" s="35">
        <v>0.4</v>
      </c>
      <c r="R31" s="35">
        <v>4.5</v>
      </c>
      <c r="S31" s="35">
        <v>6.1</v>
      </c>
      <c r="T31" s="35">
        <v>2.2000000000000002</v>
      </c>
      <c r="U31" s="35">
        <v>13.5</v>
      </c>
      <c r="V31" s="35">
        <v>16</v>
      </c>
      <c r="W31" s="35">
        <v>1.6</v>
      </c>
      <c r="X31" s="37">
        <v>4.8</v>
      </c>
      <c r="Y31" s="35">
        <v>3.8</v>
      </c>
      <c r="Z31" s="35">
        <v>5.0999999999999996</v>
      </c>
      <c r="AA31" s="35">
        <v>6.4</v>
      </c>
      <c r="AB31" s="35">
        <v>1</v>
      </c>
      <c r="AC31" s="35">
        <v>0.1</v>
      </c>
      <c r="AD31" s="35">
        <v>2.1</v>
      </c>
      <c r="AE31" s="35">
        <v>1.5</v>
      </c>
      <c r="AF31" s="35">
        <v>2.5</v>
      </c>
    </row>
    <row r="32" spans="1:32" x14ac:dyDescent="0.25">
      <c r="A32" s="10">
        <v>20</v>
      </c>
      <c r="B32" s="35">
        <v>-2.8</v>
      </c>
      <c r="C32" s="35">
        <v>-10.1</v>
      </c>
      <c r="D32" s="35">
        <v>-7.1</v>
      </c>
      <c r="E32" s="35">
        <v>1.3</v>
      </c>
      <c r="F32" s="35">
        <v>0.1</v>
      </c>
      <c r="G32" s="35">
        <v>-0.3</v>
      </c>
      <c r="H32" s="13">
        <v>4.3</v>
      </c>
      <c r="I32" s="37">
        <v>1.9</v>
      </c>
      <c r="J32" s="37">
        <v>5.3</v>
      </c>
      <c r="K32" s="37">
        <v>2.9</v>
      </c>
      <c r="L32" s="35">
        <v>4.5999999999999996</v>
      </c>
      <c r="M32" s="35">
        <v>7.8</v>
      </c>
      <c r="N32" s="35">
        <v>1.7</v>
      </c>
      <c r="O32" s="35">
        <v>1</v>
      </c>
      <c r="P32" s="35">
        <v>0.4</v>
      </c>
      <c r="Q32" s="35">
        <v>0.4</v>
      </c>
      <c r="R32" s="35">
        <v>2.9</v>
      </c>
      <c r="S32" s="35">
        <v>4</v>
      </c>
      <c r="T32" s="35">
        <v>1.2</v>
      </c>
      <c r="U32" s="35">
        <v>11.1</v>
      </c>
      <c r="V32" s="35">
        <v>11.4</v>
      </c>
      <c r="W32" s="35">
        <v>1.6</v>
      </c>
      <c r="X32" s="37">
        <v>3.1</v>
      </c>
      <c r="Y32" s="35">
        <v>1.8</v>
      </c>
      <c r="Z32" s="35">
        <v>2.5</v>
      </c>
      <c r="AA32" s="35">
        <v>4.4000000000000004</v>
      </c>
      <c r="AB32" s="35">
        <v>0.7</v>
      </c>
      <c r="AC32" s="35">
        <v>-0.5</v>
      </c>
      <c r="AD32" s="35">
        <v>1.5</v>
      </c>
      <c r="AE32" s="35">
        <v>0.5</v>
      </c>
      <c r="AF32" s="35">
        <v>1.8</v>
      </c>
    </row>
    <row r="33" spans="1:32" x14ac:dyDescent="0.25">
      <c r="A33" s="10">
        <v>22</v>
      </c>
      <c r="B33" s="35">
        <v>-4.3</v>
      </c>
      <c r="C33" s="35">
        <v>-13</v>
      </c>
      <c r="D33" s="35">
        <v>-9.1</v>
      </c>
      <c r="E33" s="35">
        <v>-0.3</v>
      </c>
      <c r="F33" s="35">
        <v>-1.2</v>
      </c>
      <c r="G33" s="35">
        <v>-2</v>
      </c>
      <c r="H33" s="13">
        <v>3.7</v>
      </c>
      <c r="I33" s="37">
        <v>1.6</v>
      </c>
      <c r="J33" s="37">
        <v>4</v>
      </c>
      <c r="K33" s="37">
        <v>1</v>
      </c>
      <c r="L33" s="35">
        <v>2.2000000000000002</v>
      </c>
      <c r="M33" s="35">
        <v>7.5</v>
      </c>
      <c r="N33" s="35">
        <v>0.6</v>
      </c>
      <c r="O33" s="35">
        <v>0.7</v>
      </c>
      <c r="P33" s="35">
        <v>0.5</v>
      </c>
      <c r="Q33" s="35">
        <v>2.4</v>
      </c>
      <c r="R33" s="35">
        <v>2</v>
      </c>
      <c r="S33" s="35">
        <v>2.7</v>
      </c>
      <c r="T33" s="35">
        <v>0.7</v>
      </c>
      <c r="U33" s="35">
        <v>8.4</v>
      </c>
      <c r="V33" s="35">
        <v>10.4</v>
      </c>
      <c r="W33" s="35">
        <v>-1.6</v>
      </c>
      <c r="X33" s="37">
        <v>0.6</v>
      </c>
      <c r="Y33" s="35">
        <v>-1.5</v>
      </c>
      <c r="Z33" s="35">
        <v>2.6</v>
      </c>
      <c r="AA33" s="35">
        <v>0.9</v>
      </c>
      <c r="AB33" s="35">
        <v>0</v>
      </c>
      <c r="AC33" s="35">
        <v>-1.1000000000000001</v>
      </c>
      <c r="AD33" s="35">
        <v>0.2</v>
      </c>
      <c r="AE33" s="35">
        <v>-0.3</v>
      </c>
      <c r="AF33" s="35">
        <v>1.2</v>
      </c>
    </row>
    <row r="34" spans="1:32" x14ac:dyDescent="0.25">
      <c r="A34" s="10">
        <v>24</v>
      </c>
      <c r="B34" s="35">
        <v>-4.8</v>
      </c>
      <c r="C34" s="35">
        <v>-14.3</v>
      </c>
      <c r="D34" s="35">
        <v>-10.6</v>
      </c>
      <c r="E34" s="35">
        <v>-1</v>
      </c>
      <c r="F34" s="35">
        <v>-0.5</v>
      </c>
      <c r="G34" s="35">
        <v>-2</v>
      </c>
      <c r="H34" s="13">
        <v>3.6</v>
      </c>
      <c r="I34" s="37">
        <v>1.6</v>
      </c>
      <c r="J34" s="37">
        <v>4.3</v>
      </c>
      <c r="K34" s="37">
        <v>-0.2</v>
      </c>
      <c r="L34" s="35">
        <v>2</v>
      </c>
      <c r="M34" s="35">
        <v>7.5</v>
      </c>
      <c r="N34" s="35">
        <v>-0.2</v>
      </c>
      <c r="O34" s="35">
        <v>0.5</v>
      </c>
      <c r="P34" s="35">
        <v>0.3</v>
      </c>
      <c r="Q34" s="35">
        <v>2.9</v>
      </c>
      <c r="R34" s="35">
        <v>1.7</v>
      </c>
      <c r="S34" s="35">
        <v>0.3</v>
      </c>
      <c r="T34" s="35">
        <v>1</v>
      </c>
      <c r="U34" s="35">
        <v>8.6999999999999993</v>
      </c>
      <c r="V34" s="35">
        <v>7.1</v>
      </c>
      <c r="W34" s="35">
        <v>-2.2000000000000002</v>
      </c>
      <c r="X34" s="37">
        <v>-0.5</v>
      </c>
      <c r="Y34" s="35">
        <v>-2.2000000000000002</v>
      </c>
      <c r="Z34" s="35">
        <v>3.2</v>
      </c>
      <c r="AA34" s="35">
        <v>1.4</v>
      </c>
      <c r="AB34" s="35">
        <v>-0.2</v>
      </c>
      <c r="AC34" s="35">
        <v>-1.7</v>
      </c>
      <c r="AD34" s="35">
        <v>-0.6</v>
      </c>
      <c r="AE34" s="35">
        <v>-0.9</v>
      </c>
      <c r="AF34" s="35">
        <v>1</v>
      </c>
    </row>
    <row r="35" spans="1:32" x14ac:dyDescent="0.25">
      <c r="A35" s="10">
        <v>2</v>
      </c>
      <c r="B35" s="35">
        <v>-7.8</v>
      </c>
      <c r="C35" s="35">
        <v>-15.4</v>
      </c>
      <c r="D35" s="35">
        <v>-11.5</v>
      </c>
      <c r="E35" s="35">
        <v>-1.3</v>
      </c>
      <c r="F35" s="35">
        <v>-0.8</v>
      </c>
      <c r="G35" s="35">
        <v>-2.2000000000000002</v>
      </c>
      <c r="H35" s="13">
        <v>1.6</v>
      </c>
      <c r="I35" s="37">
        <v>1</v>
      </c>
      <c r="J35" s="37">
        <v>4.8</v>
      </c>
      <c r="K35" s="37">
        <v>-0.4</v>
      </c>
      <c r="L35" s="35">
        <v>3.3</v>
      </c>
      <c r="M35" s="35">
        <v>7.7</v>
      </c>
      <c r="N35" s="35">
        <v>-0.5</v>
      </c>
      <c r="O35" s="35">
        <v>-1.2</v>
      </c>
      <c r="P35" s="35">
        <v>-0.8</v>
      </c>
      <c r="Q35" s="35">
        <v>2.5</v>
      </c>
      <c r="R35" s="35">
        <v>1.2</v>
      </c>
      <c r="S35" s="35">
        <v>0.3</v>
      </c>
      <c r="T35" s="35">
        <v>1.1000000000000001</v>
      </c>
      <c r="U35" s="35">
        <v>7.3</v>
      </c>
      <c r="V35" s="35">
        <v>6.6</v>
      </c>
      <c r="W35" s="35">
        <v>-1.6</v>
      </c>
      <c r="X35" s="37">
        <v>-2.5</v>
      </c>
      <c r="Y35" s="35">
        <v>-3.2</v>
      </c>
      <c r="Z35" s="35">
        <v>3.5</v>
      </c>
      <c r="AA35" s="35">
        <v>1.1000000000000001</v>
      </c>
      <c r="AB35" s="35">
        <v>0.7</v>
      </c>
      <c r="AC35" s="35">
        <v>-2.6</v>
      </c>
      <c r="AD35" s="35">
        <v>-1.5</v>
      </c>
      <c r="AE35" s="35">
        <v>-1.1000000000000001</v>
      </c>
      <c r="AF35" s="35">
        <v>0.9</v>
      </c>
    </row>
    <row r="36" spans="1:32" ht="30" x14ac:dyDescent="0.25">
      <c r="A36" s="11" t="s">
        <v>2</v>
      </c>
      <c r="B36" s="15">
        <f t="shared" ref="B36:G36" si="4">AVERAGE(B24+B25+B26+B27+B28+B29+B30+B31+B32+B33+B34+B35)/12</f>
        <v>-2.8166666666666669</v>
      </c>
      <c r="C36" s="15">
        <f t="shared" si="4"/>
        <v>-10.725</v>
      </c>
      <c r="D36" s="15">
        <f t="shared" si="4"/>
        <v>-9.0333333333333332</v>
      </c>
      <c r="E36" s="15">
        <f t="shared" si="4"/>
        <v>-1.9916666666666663</v>
      </c>
      <c r="F36" s="15">
        <f t="shared" si="4"/>
        <v>0.12499999999999999</v>
      </c>
      <c r="G36" s="15">
        <f t="shared" si="4"/>
        <v>-0.97499999999999964</v>
      </c>
      <c r="H36" s="15">
        <f t="shared" ref="H36:M36" si="5">AVERAGE(H24+H25+H26+H27+H28+H29+H30+H31+H32+H33+H34+H35)/12</f>
        <v>3.9250000000000003</v>
      </c>
      <c r="I36" s="38">
        <f t="shared" si="5"/>
        <v>1.9749999999999999</v>
      </c>
      <c r="J36" s="38">
        <f t="shared" si="5"/>
        <v>4.6499999999999995</v>
      </c>
      <c r="K36" s="38">
        <f t="shared" si="5"/>
        <v>3.2333333333333329</v>
      </c>
      <c r="L36" s="15">
        <f t="shared" si="5"/>
        <v>4.166666666666667</v>
      </c>
      <c r="M36" s="15">
        <f t="shared" si="5"/>
        <v>7.916666666666667</v>
      </c>
      <c r="N36" s="15">
        <f t="shared" ref="N36:T36" si="6">AVERAGE(N24+N25+N26+N27+N28+N29+N30+N31+N32+N33+N34+N35)/12</f>
        <v>3.2166666666666668</v>
      </c>
      <c r="O36" s="15">
        <f t="shared" si="6"/>
        <v>1.0999999999999999</v>
      </c>
      <c r="P36" s="15">
        <f t="shared" si="6"/>
        <v>5.8333333333333348E-2</v>
      </c>
      <c r="Q36" s="15">
        <f t="shared" si="6"/>
        <v>2.208333333333333</v>
      </c>
      <c r="R36" s="15">
        <f t="shared" si="6"/>
        <v>3.2666666666666671</v>
      </c>
      <c r="S36" s="15">
        <f t="shared" si="6"/>
        <v>3.8000000000000003</v>
      </c>
      <c r="T36" s="15">
        <f t="shared" si="6"/>
        <v>0.85833333333333328</v>
      </c>
      <c r="U36" s="15">
        <f>AVERAGE(U24+U25+U26+U27+U28+U29+U30+U31+U32+U33+U34+U35)/12</f>
        <v>8.9416666666666682</v>
      </c>
      <c r="V36" s="15">
        <f>AVERAGE(V24+V25+V26+V27+V28+V29+V30+V31+V32+V33+V34+V35)/12</f>
        <v>11.525</v>
      </c>
      <c r="W36" s="15">
        <f>AVERAGE(W24+W25+W26+W27+W28+W29+W30+W31+W32+W33+W34+W35)/12</f>
        <v>0.70000000000000007</v>
      </c>
      <c r="X36" s="38">
        <v>0.8</v>
      </c>
      <c r="Y36" s="15">
        <f t="shared" ref="Y36:AD36" si="7">AVERAGE(Y24+Y25+Y26+Y27+Y28+Y29+Y30+Y31+Y32+Y33+Y34+Y35)/12</f>
        <v>1.416666666666667</v>
      </c>
      <c r="Z36" s="15">
        <f t="shared" si="7"/>
        <v>3.3416666666666672</v>
      </c>
      <c r="AA36" s="15">
        <f t="shared" si="7"/>
        <v>4.3749999999999991</v>
      </c>
      <c r="AB36" s="39">
        <f t="shared" si="7"/>
        <v>1.0083333333333333</v>
      </c>
      <c r="AC36" s="39">
        <f t="shared" si="7"/>
        <v>0.18333333333333332</v>
      </c>
      <c r="AD36" s="39">
        <f t="shared" si="7"/>
        <v>-0.2416666666666667</v>
      </c>
      <c r="AE36" s="40">
        <f>AVERAGE(AE24+AE25+AE26+AE27+AE28+AE29+AE30+AE31+AE32+AE33+AE34+AE35)/12</f>
        <v>0.19166666666666665</v>
      </c>
      <c r="AF36" s="40">
        <f>AVERAGE(AF24+AF25+AF26+AF27+AF28+AF29+AF30+AF31+AF32+AF33+AF34+AF35)/12</f>
        <v>2.1999999999999997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0" zoomScaleNormal="80" workbookViewId="0">
      <pane xSplit="1" topLeftCell="B1" activePane="topRight" state="frozen"/>
      <selection pane="topRight" activeCell="V39" sqref="V39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1" t="s">
        <v>60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25"/>
    </row>
    <row r="4" spans="1:32" x14ac:dyDescent="0.25">
      <c r="A4" s="10">
        <v>4</v>
      </c>
      <c r="B4" s="35">
        <v>1.9</v>
      </c>
      <c r="C4" s="35">
        <v>2.6</v>
      </c>
      <c r="D4" s="35">
        <v>2.6</v>
      </c>
      <c r="E4" s="35">
        <v>3.8</v>
      </c>
      <c r="F4" s="35">
        <v>7.7</v>
      </c>
      <c r="G4" s="35">
        <v>10</v>
      </c>
      <c r="H4" s="35">
        <v>10</v>
      </c>
      <c r="I4" s="35">
        <v>13</v>
      </c>
      <c r="J4" s="35">
        <v>15.2</v>
      </c>
      <c r="K4" s="35">
        <v>14.2</v>
      </c>
      <c r="L4" s="35">
        <v>18.3</v>
      </c>
      <c r="M4" s="35">
        <v>18</v>
      </c>
      <c r="N4" s="35">
        <v>15</v>
      </c>
      <c r="O4" s="35">
        <v>19.37</v>
      </c>
      <c r="P4" s="35">
        <v>22</v>
      </c>
      <c r="Q4" s="35">
        <v>12</v>
      </c>
      <c r="R4" s="35">
        <v>11.8</v>
      </c>
      <c r="S4" s="35">
        <v>10.6</v>
      </c>
      <c r="T4" s="35">
        <v>8.9</v>
      </c>
      <c r="U4" s="35">
        <v>6.9</v>
      </c>
      <c r="V4" s="35">
        <v>10</v>
      </c>
      <c r="W4" s="35">
        <v>14.6</v>
      </c>
      <c r="X4" s="35">
        <v>19</v>
      </c>
      <c r="Y4" s="35">
        <v>18.3</v>
      </c>
      <c r="Z4" s="35">
        <v>22.3</v>
      </c>
      <c r="AA4" s="35">
        <v>19</v>
      </c>
      <c r="AB4" s="35">
        <v>17.600000000000001</v>
      </c>
      <c r="AC4" s="35">
        <v>16</v>
      </c>
      <c r="AD4" s="35">
        <v>9.6</v>
      </c>
      <c r="AE4" s="35">
        <v>10.5</v>
      </c>
    </row>
    <row r="5" spans="1:32" x14ac:dyDescent="0.25">
      <c r="A5" s="10">
        <v>6</v>
      </c>
      <c r="B5" s="35">
        <v>1.9</v>
      </c>
      <c r="C5" s="35">
        <v>2.6</v>
      </c>
      <c r="D5" s="35">
        <v>2.7</v>
      </c>
      <c r="E5" s="35">
        <v>6.1</v>
      </c>
      <c r="F5" s="35">
        <v>10</v>
      </c>
      <c r="G5" s="35">
        <v>10</v>
      </c>
      <c r="H5" s="35">
        <v>10</v>
      </c>
      <c r="I5" s="35">
        <v>13</v>
      </c>
      <c r="J5" s="35">
        <v>16.2</v>
      </c>
      <c r="K5" s="35">
        <v>19.8</v>
      </c>
      <c r="L5" s="35">
        <v>18.3</v>
      </c>
      <c r="M5" s="35">
        <v>18.5</v>
      </c>
      <c r="N5" s="35">
        <v>15</v>
      </c>
      <c r="O5" s="35">
        <v>20</v>
      </c>
      <c r="P5" s="35">
        <v>22</v>
      </c>
      <c r="Q5" s="35">
        <v>12.7</v>
      </c>
      <c r="R5" s="35">
        <v>13</v>
      </c>
      <c r="S5" s="35">
        <v>11.1</v>
      </c>
      <c r="T5" s="35">
        <v>8.8000000000000007</v>
      </c>
      <c r="U5" s="35">
        <v>6.9</v>
      </c>
      <c r="V5" s="35">
        <v>11</v>
      </c>
      <c r="W5" s="35">
        <v>18</v>
      </c>
      <c r="X5" s="35">
        <v>20</v>
      </c>
      <c r="Y5" s="35">
        <v>21.3</v>
      </c>
      <c r="Z5" s="35">
        <v>24.5</v>
      </c>
      <c r="AA5" s="35">
        <v>19.5</v>
      </c>
      <c r="AB5" s="35">
        <v>18.399999999999999</v>
      </c>
      <c r="AC5" s="35">
        <v>16</v>
      </c>
      <c r="AD5" s="35">
        <v>9.6</v>
      </c>
      <c r="AE5" s="35">
        <v>10.5</v>
      </c>
    </row>
    <row r="6" spans="1:32" x14ac:dyDescent="0.25">
      <c r="A6" s="10">
        <v>8</v>
      </c>
      <c r="B6" s="35">
        <v>2.2999999999999998</v>
      </c>
      <c r="C6" s="35">
        <v>2.7</v>
      </c>
      <c r="D6" s="35">
        <v>4.9000000000000004</v>
      </c>
      <c r="E6" s="35">
        <v>6.5</v>
      </c>
      <c r="F6" s="35">
        <v>15</v>
      </c>
      <c r="G6" s="35">
        <v>13.5</v>
      </c>
      <c r="H6" s="35">
        <v>14</v>
      </c>
      <c r="I6" s="35">
        <v>16.2</v>
      </c>
      <c r="J6" s="35">
        <v>19.2</v>
      </c>
      <c r="K6" s="35">
        <v>22</v>
      </c>
      <c r="L6" s="35">
        <v>23</v>
      </c>
      <c r="M6" s="35">
        <v>21.4</v>
      </c>
      <c r="N6" s="35">
        <v>15.3</v>
      </c>
      <c r="O6" s="35">
        <v>25.7</v>
      </c>
      <c r="P6" s="35">
        <v>26</v>
      </c>
      <c r="Q6" s="35">
        <v>13</v>
      </c>
      <c r="R6" s="35">
        <v>15.8</v>
      </c>
      <c r="S6" s="35">
        <v>12.2</v>
      </c>
      <c r="T6" s="35">
        <v>4</v>
      </c>
      <c r="U6" s="35">
        <v>10</v>
      </c>
      <c r="V6" s="35">
        <v>18</v>
      </c>
      <c r="W6" s="35">
        <v>23.4</v>
      </c>
      <c r="X6" s="35">
        <v>23.5</v>
      </c>
      <c r="Y6" s="35">
        <v>24</v>
      </c>
      <c r="Z6" s="35">
        <v>26.3</v>
      </c>
      <c r="AA6" s="35">
        <v>21.7</v>
      </c>
      <c r="AB6" s="35">
        <v>19.7</v>
      </c>
      <c r="AC6" s="35">
        <v>16</v>
      </c>
      <c r="AD6" s="35">
        <v>9.4</v>
      </c>
      <c r="AE6" s="35">
        <v>12.3</v>
      </c>
    </row>
    <row r="7" spans="1:32" x14ac:dyDescent="0.25">
      <c r="A7" s="10">
        <v>10</v>
      </c>
      <c r="B7" s="35">
        <v>3.4</v>
      </c>
      <c r="C7" s="35">
        <v>2.8</v>
      </c>
      <c r="D7" s="35">
        <v>6.4</v>
      </c>
      <c r="E7" s="35">
        <v>9.4</v>
      </c>
      <c r="F7" s="35">
        <v>16.600000000000001</v>
      </c>
      <c r="G7" s="35">
        <v>15</v>
      </c>
      <c r="H7" s="35">
        <v>18</v>
      </c>
      <c r="I7" s="35">
        <v>16.8</v>
      </c>
      <c r="J7" s="35">
        <v>20.6</v>
      </c>
      <c r="K7" s="35">
        <v>23</v>
      </c>
      <c r="L7" s="35">
        <v>23</v>
      </c>
      <c r="M7" s="35">
        <v>22.7</v>
      </c>
      <c r="N7" s="35">
        <v>20.9</v>
      </c>
      <c r="O7" s="35">
        <v>26</v>
      </c>
      <c r="P7" s="35">
        <v>29</v>
      </c>
      <c r="Q7" s="35">
        <v>13</v>
      </c>
      <c r="R7" s="35">
        <v>17.5</v>
      </c>
      <c r="S7" s="35">
        <v>13.2</v>
      </c>
      <c r="T7" s="35">
        <v>6</v>
      </c>
      <c r="U7" s="35">
        <v>12</v>
      </c>
      <c r="V7" s="35">
        <v>20</v>
      </c>
      <c r="W7" s="35">
        <v>24.4</v>
      </c>
      <c r="X7" s="35">
        <v>24.5</v>
      </c>
      <c r="Y7" s="35">
        <v>25</v>
      </c>
      <c r="Z7" s="35">
        <v>25.6</v>
      </c>
      <c r="AA7" s="35">
        <v>24.3</v>
      </c>
      <c r="AB7" s="35">
        <v>21</v>
      </c>
      <c r="AC7" s="35">
        <v>20</v>
      </c>
      <c r="AD7" s="35">
        <v>9.6999999999999993</v>
      </c>
      <c r="AE7" s="35">
        <v>14</v>
      </c>
    </row>
    <row r="8" spans="1:32" x14ac:dyDescent="0.25">
      <c r="A8" s="10">
        <v>12</v>
      </c>
      <c r="B8" s="35">
        <v>3.8</v>
      </c>
      <c r="C8" s="35">
        <v>4.0999999999999996</v>
      </c>
      <c r="D8" s="35">
        <v>7.1</v>
      </c>
      <c r="E8" s="35">
        <v>10.9</v>
      </c>
      <c r="F8" s="35">
        <v>16</v>
      </c>
      <c r="G8" s="35">
        <v>17</v>
      </c>
      <c r="H8" s="35">
        <v>17</v>
      </c>
      <c r="I8" s="35">
        <v>19.600000000000001</v>
      </c>
      <c r="J8" s="35">
        <v>23.2</v>
      </c>
      <c r="K8" s="35">
        <v>25</v>
      </c>
      <c r="L8" s="35">
        <v>24</v>
      </c>
      <c r="M8" s="35">
        <v>25.7</v>
      </c>
      <c r="N8" s="35">
        <v>22.1</v>
      </c>
      <c r="O8" s="35">
        <v>26.3</v>
      </c>
      <c r="P8" s="35">
        <v>29</v>
      </c>
      <c r="Q8" s="35">
        <v>15</v>
      </c>
      <c r="R8" s="35">
        <v>17.8</v>
      </c>
      <c r="S8" s="35">
        <v>12.8</v>
      </c>
      <c r="T8" s="35">
        <v>7</v>
      </c>
      <c r="U8" s="35">
        <v>13</v>
      </c>
      <c r="V8" s="35">
        <v>22</v>
      </c>
      <c r="W8" s="35">
        <v>25</v>
      </c>
      <c r="X8" s="35">
        <v>25.9</v>
      </c>
      <c r="Y8" s="35">
        <v>28</v>
      </c>
      <c r="Z8" s="35">
        <v>25</v>
      </c>
      <c r="AA8" s="35">
        <v>25.6</v>
      </c>
      <c r="AB8" s="35">
        <v>22.9</v>
      </c>
      <c r="AC8" s="35">
        <v>20</v>
      </c>
      <c r="AD8" s="35">
        <v>9.6999999999999993</v>
      </c>
      <c r="AE8" s="35">
        <v>14.2</v>
      </c>
    </row>
    <row r="9" spans="1:32" x14ac:dyDescent="0.25">
      <c r="A9" s="10">
        <v>14</v>
      </c>
      <c r="B9" s="35">
        <v>4.9000000000000004</v>
      </c>
      <c r="C9" s="35">
        <v>3.2</v>
      </c>
      <c r="D9" s="35">
        <v>8</v>
      </c>
      <c r="E9" s="35">
        <v>11.6</v>
      </c>
      <c r="F9" s="35">
        <v>17.899999999999999</v>
      </c>
      <c r="G9" s="35">
        <v>17</v>
      </c>
      <c r="H9" s="35">
        <v>17</v>
      </c>
      <c r="I9" s="35">
        <v>17.600000000000001</v>
      </c>
      <c r="J9" s="35">
        <v>22.2</v>
      </c>
      <c r="K9" s="35">
        <v>25</v>
      </c>
      <c r="L9" s="35">
        <v>26</v>
      </c>
      <c r="M9" s="35">
        <v>25.1</v>
      </c>
      <c r="N9" s="35">
        <v>23.6</v>
      </c>
      <c r="O9" s="35">
        <v>28</v>
      </c>
      <c r="P9" s="35">
        <v>30</v>
      </c>
      <c r="Q9" s="35">
        <v>19</v>
      </c>
      <c r="R9" s="35">
        <v>18.600000000000001</v>
      </c>
      <c r="S9" s="35">
        <v>13.9</v>
      </c>
      <c r="T9" s="35">
        <v>7.5</v>
      </c>
      <c r="U9" s="35">
        <v>14</v>
      </c>
      <c r="V9" s="35">
        <v>23</v>
      </c>
      <c r="W9" s="35">
        <v>25.6</v>
      </c>
      <c r="X9" s="35">
        <v>26.6</v>
      </c>
      <c r="Y9" s="35">
        <v>28</v>
      </c>
      <c r="Z9" s="35">
        <v>26.8</v>
      </c>
      <c r="AA9" s="35">
        <v>25.3</v>
      </c>
      <c r="AB9" s="35">
        <v>22.8</v>
      </c>
      <c r="AC9" s="35">
        <v>20</v>
      </c>
      <c r="AD9" s="35">
        <v>9.5</v>
      </c>
      <c r="AE9" s="35">
        <v>17.8</v>
      </c>
    </row>
    <row r="10" spans="1:32" x14ac:dyDescent="0.25">
      <c r="A10" s="10">
        <v>16</v>
      </c>
      <c r="B10" s="35">
        <v>5.3</v>
      </c>
      <c r="C10" s="35">
        <v>4.2</v>
      </c>
      <c r="D10" s="35">
        <v>8.6999999999999993</v>
      </c>
      <c r="E10" s="35">
        <v>12.1</v>
      </c>
      <c r="F10" s="35">
        <v>17.7</v>
      </c>
      <c r="G10" s="35">
        <v>15.5</v>
      </c>
      <c r="H10" s="35">
        <v>19</v>
      </c>
      <c r="I10" s="35">
        <v>21.1</v>
      </c>
      <c r="J10" s="35">
        <v>23.7</v>
      </c>
      <c r="K10" s="35">
        <v>24.6</v>
      </c>
      <c r="L10" s="35">
        <v>25</v>
      </c>
      <c r="M10" s="35">
        <v>24.2</v>
      </c>
      <c r="N10" s="35">
        <v>24.2</v>
      </c>
      <c r="O10" s="35">
        <v>27.7</v>
      </c>
      <c r="P10" s="35">
        <v>29</v>
      </c>
      <c r="Q10" s="35">
        <v>20</v>
      </c>
      <c r="R10" s="35">
        <v>18.3</v>
      </c>
      <c r="S10" s="35">
        <v>13.2</v>
      </c>
      <c r="T10" s="35">
        <v>7.5</v>
      </c>
      <c r="U10" s="35">
        <v>15</v>
      </c>
      <c r="V10" s="35">
        <v>23</v>
      </c>
      <c r="W10" s="35">
        <v>25.4</v>
      </c>
      <c r="X10" s="35">
        <v>20.7</v>
      </c>
      <c r="Y10" s="35">
        <v>29</v>
      </c>
      <c r="Z10" s="35">
        <v>28.6</v>
      </c>
      <c r="AA10" s="35">
        <v>24.4</v>
      </c>
      <c r="AB10" s="35">
        <v>21</v>
      </c>
      <c r="AC10" s="35">
        <v>18</v>
      </c>
      <c r="AD10" s="35">
        <v>9.1</v>
      </c>
      <c r="AE10" s="35">
        <v>19.2</v>
      </c>
    </row>
    <row r="11" spans="1:32" x14ac:dyDescent="0.25">
      <c r="A11" s="10">
        <v>18</v>
      </c>
      <c r="B11" s="35">
        <v>4.9000000000000004</v>
      </c>
      <c r="C11" s="35">
        <v>5.0999999999999996</v>
      </c>
      <c r="D11" s="35">
        <v>9.1</v>
      </c>
      <c r="E11" s="35">
        <v>12.6</v>
      </c>
      <c r="F11" s="35">
        <v>17.7</v>
      </c>
      <c r="G11" s="35">
        <v>15.7</v>
      </c>
      <c r="H11" s="35">
        <v>17</v>
      </c>
      <c r="I11" s="35">
        <v>19.2</v>
      </c>
      <c r="J11" s="35">
        <v>23.7</v>
      </c>
      <c r="K11" s="35">
        <v>23.4</v>
      </c>
      <c r="L11" s="35">
        <v>24</v>
      </c>
      <c r="M11" s="35">
        <v>23.6</v>
      </c>
      <c r="N11" s="35">
        <v>23.8</v>
      </c>
      <c r="O11" s="35">
        <v>27</v>
      </c>
      <c r="P11" s="35">
        <v>22</v>
      </c>
      <c r="Q11" s="35">
        <v>20</v>
      </c>
      <c r="R11" s="35">
        <v>16.8</v>
      </c>
      <c r="S11" s="35">
        <v>13.1</v>
      </c>
      <c r="T11" s="35">
        <v>7</v>
      </c>
      <c r="U11" s="35">
        <v>16</v>
      </c>
      <c r="V11" s="35">
        <v>22</v>
      </c>
      <c r="W11" s="35">
        <v>26.06</v>
      </c>
      <c r="X11" s="35">
        <v>23.2</v>
      </c>
      <c r="Y11" s="35">
        <v>29</v>
      </c>
      <c r="Z11" s="35">
        <v>25.2</v>
      </c>
      <c r="AA11" s="35">
        <v>24.6</v>
      </c>
      <c r="AB11" s="35">
        <v>22.6</v>
      </c>
      <c r="AC11" s="35">
        <v>14.9</v>
      </c>
      <c r="AD11" s="35">
        <v>8.8000000000000007</v>
      </c>
      <c r="AE11" s="35">
        <v>19.100000000000001</v>
      </c>
    </row>
    <row r="12" spans="1:32" x14ac:dyDescent="0.25">
      <c r="A12" s="10">
        <v>20</v>
      </c>
      <c r="B12" s="35">
        <v>2.6</v>
      </c>
      <c r="C12" s="35">
        <v>4.1100000000000003</v>
      </c>
      <c r="D12" s="35">
        <v>8.5</v>
      </c>
      <c r="E12" s="35">
        <v>11</v>
      </c>
      <c r="F12" s="35">
        <v>15</v>
      </c>
      <c r="G12" s="35">
        <v>14.3</v>
      </c>
      <c r="H12" s="35">
        <v>15.3</v>
      </c>
      <c r="I12" s="35">
        <v>17</v>
      </c>
      <c r="J12" s="35">
        <v>21.8</v>
      </c>
      <c r="K12" s="35">
        <v>21.1</v>
      </c>
      <c r="L12" s="35">
        <v>21.5</v>
      </c>
      <c r="M12" s="35">
        <v>22</v>
      </c>
      <c r="N12" s="35">
        <v>23.1</v>
      </c>
      <c r="O12" s="35">
        <v>24.4</v>
      </c>
      <c r="P12" s="35">
        <v>21</v>
      </c>
      <c r="Q12" s="35">
        <v>16.8</v>
      </c>
      <c r="R12" s="35">
        <v>15.8</v>
      </c>
      <c r="S12" s="35">
        <v>12.1</v>
      </c>
      <c r="T12" s="35">
        <v>7.5</v>
      </c>
      <c r="U12" s="35">
        <v>15</v>
      </c>
      <c r="V12" s="35">
        <v>20.3</v>
      </c>
      <c r="W12" s="35">
        <v>25</v>
      </c>
      <c r="X12" s="35">
        <v>21.7</v>
      </c>
      <c r="Y12" s="35">
        <v>27.8</v>
      </c>
      <c r="Z12" s="35">
        <v>24</v>
      </c>
      <c r="AA12" s="35">
        <v>23.3</v>
      </c>
      <c r="AB12" s="35">
        <v>23.4</v>
      </c>
      <c r="AC12" s="35">
        <v>12.7</v>
      </c>
      <c r="AD12" s="35">
        <v>9</v>
      </c>
      <c r="AE12" s="35">
        <v>18.3</v>
      </c>
    </row>
    <row r="13" spans="1:32" x14ac:dyDescent="0.25">
      <c r="A13" s="10">
        <v>22</v>
      </c>
      <c r="B13" s="35">
        <v>2.4</v>
      </c>
      <c r="C13" s="35">
        <v>2.2999999999999998</v>
      </c>
      <c r="D13" s="35">
        <v>5.0999999999999996</v>
      </c>
      <c r="E13" s="35">
        <v>10</v>
      </c>
      <c r="F13" s="35">
        <v>12</v>
      </c>
      <c r="G13" s="35">
        <v>12.4</v>
      </c>
      <c r="H13" s="35">
        <v>12.7</v>
      </c>
      <c r="I13" s="35">
        <v>14</v>
      </c>
      <c r="J13" s="35">
        <v>18.899999999999999</v>
      </c>
      <c r="K13" s="35">
        <v>19.5</v>
      </c>
      <c r="L13" s="35">
        <v>19</v>
      </c>
      <c r="M13" s="35">
        <v>21</v>
      </c>
      <c r="N13" s="35">
        <v>20.2</v>
      </c>
      <c r="O13" s="35">
        <v>21.7</v>
      </c>
      <c r="P13" s="35">
        <v>17</v>
      </c>
      <c r="Q13" s="35">
        <v>14.2</v>
      </c>
      <c r="R13" s="35">
        <v>10.9</v>
      </c>
      <c r="S13" s="35">
        <v>9.8000000000000007</v>
      </c>
      <c r="T13" s="35">
        <v>6.6</v>
      </c>
      <c r="U13" s="35">
        <v>12</v>
      </c>
      <c r="V13" s="35">
        <v>17.7</v>
      </c>
      <c r="W13" s="35">
        <v>21</v>
      </c>
      <c r="X13" s="35">
        <v>20</v>
      </c>
      <c r="Y13" s="35">
        <v>25</v>
      </c>
      <c r="Z13" s="35">
        <v>23</v>
      </c>
      <c r="AA13" s="35">
        <v>20.399999999999999</v>
      </c>
      <c r="AB13" s="35">
        <v>20.100000000000001</v>
      </c>
      <c r="AC13" s="35">
        <v>12</v>
      </c>
      <c r="AD13" s="35">
        <v>9</v>
      </c>
      <c r="AE13" s="35">
        <v>13.9</v>
      </c>
    </row>
    <row r="14" spans="1:32" x14ac:dyDescent="0.25">
      <c r="A14" s="10">
        <v>24</v>
      </c>
      <c r="B14" s="35">
        <v>1.8</v>
      </c>
      <c r="C14" s="35">
        <v>1.3</v>
      </c>
      <c r="D14" s="35">
        <v>4</v>
      </c>
      <c r="E14" s="35">
        <v>9.6999999999999993</v>
      </c>
      <c r="F14" s="35">
        <v>9.1999999999999993</v>
      </c>
      <c r="G14" s="35">
        <v>10.9</v>
      </c>
      <c r="H14" s="35">
        <v>10.8</v>
      </c>
      <c r="I14" s="35">
        <v>12</v>
      </c>
      <c r="J14" s="35">
        <v>17.3</v>
      </c>
      <c r="K14" s="35">
        <v>17.600000000000001</v>
      </c>
      <c r="L14" s="35">
        <v>17</v>
      </c>
      <c r="M14" s="35">
        <v>20</v>
      </c>
      <c r="N14" s="35">
        <v>18.3</v>
      </c>
      <c r="O14" s="35">
        <v>21.3</v>
      </c>
      <c r="P14" s="35">
        <v>13</v>
      </c>
      <c r="Q14" s="35">
        <v>13.8</v>
      </c>
      <c r="R14" s="35">
        <v>9.3000000000000007</v>
      </c>
      <c r="S14" s="35">
        <v>7.1</v>
      </c>
      <c r="T14" s="35">
        <v>4.8</v>
      </c>
      <c r="U14" s="35">
        <v>10</v>
      </c>
      <c r="V14" s="35">
        <v>16.100000000000001</v>
      </c>
      <c r="W14" s="35">
        <v>18</v>
      </c>
      <c r="X14" s="35">
        <v>19</v>
      </c>
      <c r="Y14" s="35">
        <v>22.8</v>
      </c>
      <c r="Z14" s="35">
        <v>21.5</v>
      </c>
      <c r="AA14" s="35">
        <v>18.7</v>
      </c>
      <c r="AB14" s="35">
        <v>19</v>
      </c>
      <c r="AC14" s="35">
        <v>11.7</v>
      </c>
      <c r="AD14" s="35">
        <v>9</v>
      </c>
      <c r="AE14" s="35">
        <v>11.5</v>
      </c>
    </row>
    <row r="15" spans="1:32" x14ac:dyDescent="0.25">
      <c r="A15" s="10">
        <v>2</v>
      </c>
      <c r="B15" s="35">
        <v>0.97</v>
      </c>
      <c r="C15" s="35">
        <v>0.5</v>
      </c>
      <c r="D15" s="35">
        <v>3.52</v>
      </c>
      <c r="E15" s="35">
        <v>9.1999999999999993</v>
      </c>
      <c r="F15" s="35">
        <v>9</v>
      </c>
      <c r="G15" s="35">
        <v>9.0500000000000007</v>
      </c>
      <c r="H15" s="35">
        <v>9.5399999999999991</v>
      </c>
      <c r="I15" s="35">
        <v>11.91</v>
      </c>
      <c r="J15" s="35">
        <v>14.53</v>
      </c>
      <c r="K15" s="35">
        <v>15.84</v>
      </c>
      <c r="L15" s="35">
        <v>15.5</v>
      </c>
      <c r="M15" s="35">
        <v>18.82</v>
      </c>
      <c r="N15" s="35">
        <v>17.600000000000001</v>
      </c>
      <c r="O15" s="35">
        <v>20.6</v>
      </c>
      <c r="P15" s="35">
        <v>12.5</v>
      </c>
      <c r="Q15" s="35">
        <v>13.5</v>
      </c>
      <c r="R15" s="35">
        <v>10.6</v>
      </c>
      <c r="S15" s="35">
        <v>6.5</v>
      </c>
      <c r="T15" s="35">
        <v>3.6</v>
      </c>
      <c r="U15" s="35">
        <v>8.5</v>
      </c>
      <c r="V15" s="35">
        <v>15.5</v>
      </c>
      <c r="W15" s="35">
        <v>17.8</v>
      </c>
      <c r="X15" s="35">
        <v>18.600000000000001</v>
      </c>
      <c r="Y15" s="35">
        <v>22.4</v>
      </c>
      <c r="Z15" s="35">
        <v>20.6</v>
      </c>
      <c r="AA15" s="35">
        <v>16.7</v>
      </c>
      <c r="AB15" s="35">
        <v>18.8</v>
      </c>
      <c r="AC15" s="35">
        <v>9.8000000000000007</v>
      </c>
      <c r="AD15" s="35">
        <v>9.6999999999999993</v>
      </c>
      <c r="AE15" s="35">
        <v>11.2</v>
      </c>
    </row>
    <row r="16" spans="1:32" ht="30" x14ac:dyDescent="0.25">
      <c r="A16" s="11" t="s">
        <v>2</v>
      </c>
      <c r="B16" s="15">
        <f t="shared" ref="B16:G16" si="0">AVERAGE(B4+B5+B6+B7+B8+B9+B10+B11+B12+B13+B14+B15)/12</f>
        <v>3.0141666666666667</v>
      </c>
      <c r="C16" s="15">
        <f t="shared" si="0"/>
        <v>2.9591666666666661</v>
      </c>
      <c r="D16" s="15">
        <f t="shared" si="0"/>
        <v>5.8850000000000007</v>
      </c>
      <c r="E16" s="15">
        <f t="shared" si="0"/>
        <v>9.4083333333333332</v>
      </c>
      <c r="F16" s="15">
        <f t="shared" si="0"/>
        <v>13.65</v>
      </c>
      <c r="G16" s="15">
        <f t="shared" si="0"/>
        <v>13.362500000000002</v>
      </c>
      <c r="H16" s="15">
        <f t="shared" ref="H16:M16" si="1">AVERAGE(H4+H5+H6+H7+H8+H9+H10+H11+H12+H13+H14+H15)/12</f>
        <v>14.195</v>
      </c>
      <c r="I16" s="15">
        <f t="shared" si="1"/>
        <v>15.95083333333333</v>
      </c>
      <c r="J16" s="15">
        <f t="shared" si="1"/>
        <v>19.710833333333333</v>
      </c>
      <c r="K16" s="15">
        <f t="shared" si="1"/>
        <v>20.919999999999998</v>
      </c>
      <c r="L16" s="15">
        <f t="shared" si="1"/>
        <v>21.216666666666665</v>
      </c>
      <c r="M16" s="15">
        <f t="shared" si="1"/>
        <v>21.751666666666665</v>
      </c>
      <c r="N16" s="15">
        <f t="shared" ref="N16:S16" si="2">AVERAGE(N4+N5+N6+N7+N8+N9+N10+N11+N12+N13+N14+N15)/12</f>
        <v>19.924999999999997</v>
      </c>
      <c r="O16" s="15">
        <f t="shared" si="2"/>
        <v>24.005833333333332</v>
      </c>
      <c r="P16" s="15">
        <f t="shared" si="2"/>
        <v>22.708333333333332</v>
      </c>
      <c r="Q16" s="15">
        <f t="shared" si="2"/>
        <v>15.25</v>
      </c>
      <c r="R16" s="15">
        <f t="shared" si="2"/>
        <v>14.683333333333335</v>
      </c>
      <c r="S16" s="15">
        <f t="shared" si="2"/>
        <v>11.299999999999999</v>
      </c>
      <c r="T16" s="15">
        <f t="shared" ref="T16:Y16" si="3">AVERAGE(T4+T5+T6+T7+T8+T9+T10+T11+T12+T13+T14+T15)/12</f>
        <v>6.5999999999999988</v>
      </c>
      <c r="U16" s="15">
        <f t="shared" si="3"/>
        <v>11.608333333333334</v>
      </c>
      <c r="V16" s="15">
        <f t="shared" si="3"/>
        <v>18.216666666666665</v>
      </c>
      <c r="W16" s="15">
        <f t="shared" si="3"/>
        <v>22.021666666666665</v>
      </c>
      <c r="X16" s="15">
        <f t="shared" si="3"/>
        <v>21.891666666666666</v>
      </c>
      <c r="Y16" s="15">
        <f t="shared" si="3"/>
        <v>25.049999999999997</v>
      </c>
      <c r="Z16" s="15">
        <f t="shared" ref="Z16:AE16" si="4">AVERAGE(Z4+Z5+Z6+Z7+Z8+Z9+Z10+Z11+Z12+Z13+Z14+Z15)/12</f>
        <v>24.45</v>
      </c>
      <c r="AA16" s="15">
        <f t="shared" si="4"/>
        <v>21.958333333333332</v>
      </c>
      <c r="AB16" s="15">
        <f t="shared" si="4"/>
        <v>20.608333333333331</v>
      </c>
      <c r="AC16" s="15">
        <f t="shared" si="4"/>
        <v>15.591666666666667</v>
      </c>
      <c r="AD16" s="15">
        <f t="shared" si="4"/>
        <v>9.3416666666666668</v>
      </c>
      <c r="AE16" s="15">
        <f t="shared" si="4"/>
        <v>14.375</v>
      </c>
    </row>
    <row r="21" spans="1:31" ht="15.75" x14ac:dyDescent="0.25">
      <c r="A21" s="4" t="s">
        <v>7</v>
      </c>
      <c r="B21" s="23" t="s">
        <v>1</v>
      </c>
    </row>
    <row r="22" spans="1:31" x14ac:dyDescent="0.25">
      <c r="B22" s="131" t="s">
        <v>60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</row>
    <row r="23" spans="1:31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1" x14ac:dyDescent="0.25">
      <c r="A24" s="10">
        <v>4</v>
      </c>
      <c r="B24" s="35">
        <v>0.9</v>
      </c>
      <c r="C24" s="35">
        <v>0.2</v>
      </c>
      <c r="D24" s="35">
        <v>0.5</v>
      </c>
      <c r="E24" s="35">
        <v>0.1</v>
      </c>
      <c r="F24" s="35">
        <v>8.1</v>
      </c>
      <c r="G24" s="35">
        <v>7.9</v>
      </c>
      <c r="H24" s="35">
        <v>8.6999999999999993</v>
      </c>
      <c r="I24" s="35">
        <v>9</v>
      </c>
      <c r="J24" s="35">
        <v>9.8000000000000007</v>
      </c>
      <c r="K24" s="35">
        <v>13.6</v>
      </c>
      <c r="L24" s="35">
        <v>13.3</v>
      </c>
      <c r="M24" s="35">
        <v>14.4</v>
      </c>
      <c r="N24" s="35">
        <v>19.100000000000001</v>
      </c>
      <c r="O24" s="35">
        <v>16.100000000000001</v>
      </c>
      <c r="P24" s="35">
        <v>20.9</v>
      </c>
      <c r="Q24" s="35">
        <v>12.1</v>
      </c>
      <c r="R24" s="35">
        <v>12.9</v>
      </c>
      <c r="S24" s="35">
        <v>10.3</v>
      </c>
      <c r="T24" s="35">
        <v>8.3000000000000007</v>
      </c>
      <c r="U24" s="35">
        <v>2.2000000000000002</v>
      </c>
      <c r="V24" s="35">
        <v>9.1</v>
      </c>
      <c r="W24" s="35">
        <v>13.6</v>
      </c>
      <c r="X24" s="35">
        <v>17.600000000000001</v>
      </c>
      <c r="Y24" s="35">
        <v>19</v>
      </c>
      <c r="Z24" s="35">
        <v>22.6</v>
      </c>
      <c r="AA24" s="35">
        <v>19.8</v>
      </c>
      <c r="AB24" s="35">
        <v>19.5</v>
      </c>
      <c r="AC24" s="35">
        <v>16</v>
      </c>
      <c r="AD24" s="35">
        <v>9.6</v>
      </c>
      <c r="AE24" s="35">
        <v>10</v>
      </c>
    </row>
    <row r="25" spans="1:31" x14ac:dyDescent="0.25">
      <c r="A25" s="10">
        <v>6</v>
      </c>
      <c r="B25" s="35">
        <v>1.9</v>
      </c>
      <c r="C25" s="35">
        <v>2.4</v>
      </c>
      <c r="D25" s="35">
        <v>2.9</v>
      </c>
      <c r="E25" s="35">
        <v>3.6</v>
      </c>
      <c r="F25" s="35">
        <v>9.3000000000000007</v>
      </c>
      <c r="G25" s="35">
        <v>9.6</v>
      </c>
      <c r="H25" s="35">
        <v>9.6</v>
      </c>
      <c r="I25" s="35">
        <v>11.2</v>
      </c>
      <c r="J25" s="35">
        <v>15.7</v>
      </c>
      <c r="K25" s="35">
        <v>18.2</v>
      </c>
      <c r="L25" s="35">
        <v>17.899999999999999</v>
      </c>
      <c r="M25" s="35">
        <v>17.5</v>
      </c>
      <c r="N25" s="35">
        <v>17</v>
      </c>
      <c r="O25" s="35">
        <v>19.899999999999999</v>
      </c>
      <c r="P25" s="35">
        <v>22.1</v>
      </c>
      <c r="Q25" s="35">
        <v>12.6</v>
      </c>
      <c r="R25" s="35">
        <v>12.1</v>
      </c>
      <c r="S25" s="35">
        <v>11.9</v>
      </c>
      <c r="T25" s="35">
        <v>10</v>
      </c>
      <c r="U25" s="35">
        <v>7.2</v>
      </c>
      <c r="V25" s="35">
        <v>11.7</v>
      </c>
      <c r="W25" s="35">
        <v>18.3</v>
      </c>
      <c r="X25" s="35">
        <v>20.7</v>
      </c>
      <c r="Y25" s="35">
        <v>21.4</v>
      </c>
      <c r="Z25" s="35">
        <v>24.7</v>
      </c>
      <c r="AA25" s="35">
        <v>19.8</v>
      </c>
      <c r="AB25" s="35">
        <v>20.100000000000001</v>
      </c>
      <c r="AC25" s="35">
        <v>16.2</v>
      </c>
      <c r="AD25" s="35">
        <v>9.5</v>
      </c>
      <c r="AE25" s="35">
        <v>10.5</v>
      </c>
    </row>
    <row r="26" spans="1:31" x14ac:dyDescent="0.25">
      <c r="A26" s="10">
        <v>8</v>
      </c>
      <c r="B26" s="35">
        <v>2.2000000000000002</v>
      </c>
      <c r="C26" s="35">
        <v>2.2000000000000002</v>
      </c>
      <c r="D26" s="35">
        <v>3.5</v>
      </c>
      <c r="E26" s="35">
        <v>6.1</v>
      </c>
      <c r="F26" s="35">
        <v>13.1</v>
      </c>
      <c r="G26" s="35">
        <v>12.9</v>
      </c>
      <c r="H26" s="35">
        <v>13.1</v>
      </c>
      <c r="I26" s="35">
        <v>14.8</v>
      </c>
      <c r="J26" s="35">
        <v>19</v>
      </c>
      <c r="K26" s="35">
        <v>20.399999999999999</v>
      </c>
      <c r="L26" s="35">
        <v>22.6</v>
      </c>
      <c r="M26" s="35">
        <v>21.2</v>
      </c>
      <c r="N26" s="35">
        <v>15.3</v>
      </c>
      <c r="O26" s="35">
        <v>23.8</v>
      </c>
      <c r="P26" s="35">
        <v>25.4</v>
      </c>
      <c r="Q26" s="35">
        <v>13.4</v>
      </c>
      <c r="R26" s="35">
        <v>15.9</v>
      </c>
      <c r="S26" s="35">
        <v>12.6</v>
      </c>
      <c r="T26" s="35">
        <v>4.2</v>
      </c>
      <c r="U26" s="35">
        <v>8.4</v>
      </c>
      <c r="V26" s="35">
        <v>14.9</v>
      </c>
      <c r="W26" s="35">
        <v>21.6</v>
      </c>
      <c r="X26" s="35">
        <v>23.5</v>
      </c>
      <c r="Y26" s="35">
        <v>23.9</v>
      </c>
      <c r="Z26" s="35">
        <v>26.6</v>
      </c>
      <c r="AA26" s="35">
        <v>22.4</v>
      </c>
      <c r="AB26" s="35">
        <v>20.100000000000001</v>
      </c>
      <c r="AC26" s="35">
        <v>17.5</v>
      </c>
      <c r="AD26" s="35">
        <v>9.6</v>
      </c>
      <c r="AE26" s="35">
        <v>11.6</v>
      </c>
    </row>
    <row r="27" spans="1:31" x14ac:dyDescent="0.25">
      <c r="A27" s="10">
        <v>10</v>
      </c>
      <c r="B27" s="35">
        <v>3.4</v>
      </c>
      <c r="C27" s="35">
        <v>3</v>
      </c>
      <c r="D27" s="35">
        <v>6</v>
      </c>
      <c r="E27" s="35">
        <v>8.1</v>
      </c>
      <c r="F27" s="35">
        <v>16.100000000000001</v>
      </c>
      <c r="G27" s="35">
        <v>15.1</v>
      </c>
      <c r="H27" s="35">
        <v>16</v>
      </c>
      <c r="I27" s="35">
        <v>18</v>
      </c>
      <c r="J27" s="35">
        <v>21</v>
      </c>
      <c r="K27" s="35">
        <v>23.2</v>
      </c>
      <c r="L27" s="35">
        <v>23.3</v>
      </c>
      <c r="M27" s="35">
        <v>23.4</v>
      </c>
      <c r="N27" s="35">
        <v>18.100000000000001</v>
      </c>
      <c r="O27" s="35">
        <v>26.7</v>
      </c>
      <c r="P27" s="35">
        <v>27.9</v>
      </c>
      <c r="Q27" s="35">
        <v>13.7</v>
      </c>
      <c r="R27" s="35">
        <v>19</v>
      </c>
      <c r="S27" s="35">
        <v>13.7</v>
      </c>
      <c r="T27" s="35">
        <v>5</v>
      </c>
      <c r="U27" s="35">
        <v>11.2</v>
      </c>
      <c r="V27" s="35">
        <v>18.8</v>
      </c>
      <c r="W27" s="35">
        <v>24</v>
      </c>
      <c r="X27" s="35">
        <v>24.6</v>
      </c>
      <c r="Y27" s="35">
        <v>25.9</v>
      </c>
      <c r="Z27" s="35">
        <v>26.5</v>
      </c>
      <c r="AA27" s="35">
        <v>23.6</v>
      </c>
      <c r="AB27" s="35">
        <v>23.5</v>
      </c>
      <c r="AC27" s="35">
        <v>18.600000000000001</v>
      </c>
      <c r="AD27" s="35">
        <v>9.6</v>
      </c>
      <c r="AE27" s="35">
        <v>13</v>
      </c>
    </row>
    <row r="28" spans="1:31" x14ac:dyDescent="0.25">
      <c r="A28" s="10">
        <v>12</v>
      </c>
      <c r="B28" s="35">
        <v>4</v>
      </c>
      <c r="C28" s="35">
        <v>4.5999999999999996</v>
      </c>
      <c r="D28" s="35">
        <v>7.9</v>
      </c>
      <c r="E28" s="35">
        <v>10.6</v>
      </c>
      <c r="F28" s="35">
        <v>17.2</v>
      </c>
      <c r="G28" s="35">
        <v>17</v>
      </c>
      <c r="H28" s="35">
        <v>16.399999999999999</v>
      </c>
      <c r="I28" s="35">
        <v>18</v>
      </c>
      <c r="J28" s="35">
        <v>22.4</v>
      </c>
      <c r="K28" s="35">
        <v>25.3</v>
      </c>
      <c r="L28" s="35">
        <v>24.2</v>
      </c>
      <c r="M28" s="35">
        <v>24.5</v>
      </c>
      <c r="N28" s="35">
        <v>22.4</v>
      </c>
      <c r="O28" s="35">
        <v>28.1</v>
      </c>
      <c r="P28" s="35">
        <v>30.4</v>
      </c>
      <c r="Q28" s="35">
        <v>15.3</v>
      </c>
      <c r="R28" s="35">
        <v>19.5</v>
      </c>
      <c r="S28" s="35">
        <v>14.8</v>
      </c>
      <c r="T28" s="35">
        <v>6.7</v>
      </c>
      <c r="U28" s="35">
        <v>12.8</v>
      </c>
      <c r="V28" s="35">
        <v>22</v>
      </c>
      <c r="W28" s="35">
        <v>25.1</v>
      </c>
      <c r="X28" s="35">
        <v>27.1</v>
      </c>
      <c r="Y28" s="35">
        <v>26.6</v>
      </c>
      <c r="Z28" s="35">
        <v>24.2</v>
      </c>
      <c r="AA28" s="35">
        <v>26.5</v>
      </c>
      <c r="AB28" s="35">
        <v>24.1</v>
      </c>
      <c r="AC28" s="35">
        <v>18.7</v>
      </c>
      <c r="AD28" s="35">
        <v>9.5</v>
      </c>
      <c r="AE28" s="35">
        <v>15.7</v>
      </c>
    </row>
    <row r="29" spans="1:31" x14ac:dyDescent="0.25">
      <c r="A29" s="10">
        <v>14</v>
      </c>
      <c r="B29" s="35">
        <v>4.5</v>
      </c>
      <c r="C29" s="35">
        <v>4.7</v>
      </c>
      <c r="D29" s="35">
        <v>9.3000000000000007</v>
      </c>
      <c r="E29" s="35">
        <v>11.5</v>
      </c>
      <c r="F29" s="35">
        <v>17.100000000000001</v>
      </c>
      <c r="G29" s="35">
        <v>16.5</v>
      </c>
      <c r="H29" s="35">
        <v>19.100000000000001</v>
      </c>
      <c r="I29" s="35">
        <v>19.899999999999999</v>
      </c>
      <c r="J29" s="35">
        <v>23.7</v>
      </c>
      <c r="K29" s="35">
        <v>25.3</v>
      </c>
      <c r="L29" s="35">
        <v>27.2</v>
      </c>
      <c r="M29" s="35">
        <v>26.2</v>
      </c>
      <c r="N29" s="35">
        <v>23.7</v>
      </c>
      <c r="O29" s="35">
        <v>27.9</v>
      </c>
      <c r="P29" s="35">
        <v>31</v>
      </c>
      <c r="Q29" s="35">
        <v>19</v>
      </c>
      <c r="R29" s="35">
        <v>18.100000000000001</v>
      </c>
      <c r="S29" s="35">
        <v>13.8</v>
      </c>
      <c r="T29" s="35">
        <v>7.2</v>
      </c>
      <c r="U29" s="35">
        <v>13.9</v>
      </c>
      <c r="V29" s="35">
        <v>22.4</v>
      </c>
      <c r="W29" s="35">
        <v>26</v>
      </c>
      <c r="X29" s="35">
        <v>27.5</v>
      </c>
      <c r="Y29" s="35">
        <v>27.6</v>
      </c>
      <c r="Z29" s="35">
        <v>26.5</v>
      </c>
      <c r="AA29" s="35">
        <v>27.6</v>
      </c>
      <c r="AB29" s="35">
        <v>21.5</v>
      </c>
      <c r="AC29" s="35">
        <v>16.600000000000001</v>
      </c>
      <c r="AD29" s="35">
        <v>9.4</v>
      </c>
      <c r="AE29" s="35">
        <v>18.7</v>
      </c>
    </row>
    <row r="30" spans="1:31" x14ac:dyDescent="0.25">
      <c r="A30" s="10">
        <v>16</v>
      </c>
      <c r="B30" s="35">
        <v>5</v>
      </c>
      <c r="C30" s="35">
        <v>4.5999999999999996</v>
      </c>
      <c r="D30" s="35">
        <v>9.9</v>
      </c>
      <c r="E30" s="35">
        <v>11.5</v>
      </c>
      <c r="F30" s="35">
        <v>16.399999999999999</v>
      </c>
      <c r="G30" s="35">
        <v>17.399999999999999</v>
      </c>
      <c r="H30" s="35">
        <v>18.600000000000001</v>
      </c>
      <c r="I30" s="35">
        <v>18.899999999999999</v>
      </c>
      <c r="J30" s="35">
        <v>25.7</v>
      </c>
      <c r="K30" s="35">
        <v>25.1</v>
      </c>
      <c r="L30" s="35">
        <v>26.4</v>
      </c>
      <c r="M30" s="35">
        <v>25</v>
      </c>
      <c r="N30" s="35">
        <v>23</v>
      </c>
      <c r="O30" s="35">
        <v>27.4</v>
      </c>
      <c r="P30" s="35">
        <v>24.4</v>
      </c>
      <c r="Q30" s="35">
        <v>21.9</v>
      </c>
      <c r="R30" s="35">
        <v>19.5</v>
      </c>
      <c r="S30" s="35">
        <v>13.7</v>
      </c>
      <c r="T30" s="35">
        <v>7.3</v>
      </c>
      <c r="U30" s="35">
        <v>15</v>
      </c>
      <c r="V30" s="35">
        <v>23.4</v>
      </c>
      <c r="W30" s="35">
        <v>27.4</v>
      </c>
      <c r="X30" s="35">
        <v>25.2</v>
      </c>
      <c r="Y30" s="35">
        <v>27.8</v>
      </c>
      <c r="Z30" s="35">
        <v>26.4</v>
      </c>
      <c r="AA30" s="35">
        <v>25.3</v>
      </c>
      <c r="AB30" s="35">
        <v>20.9</v>
      </c>
      <c r="AC30" s="35">
        <v>18.3</v>
      </c>
      <c r="AD30" s="35">
        <v>8.6</v>
      </c>
      <c r="AE30" s="35">
        <v>20.399999999999999</v>
      </c>
    </row>
    <row r="31" spans="1:31" x14ac:dyDescent="0.25">
      <c r="A31" s="10">
        <v>18</v>
      </c>
      <c r="B31" s="35">
        <v>4.9000000000000004</v>
      </c>
      <c r="C31" s="35">
        <v>4.7</v>
      </c>
      <c r="D31" s="35">
        <v>10.4</v>
      </c>
      <c r="E31" s="35">
        <v>12.6</v>
      </c>
      <c r="F31" s="35">
        <v>15.6</v>
      </c>
      <c r="G31" s="35">
        <v>15.7</v>
      </c>
      <c r="H31" s="35">
        <v>16.3</v>
      </c>
      <c r="I31" s="35">
        <v>19.8</v>
      </c>
      <c r="J31" s="35">
        <v>24.6</v>
      </c>
      <c r="K31" s="35">
        <v>24.5</v>
      </c>
      <c r="L31" s="35">
        <v>23.7</v>
      </c>
      <c r="M31" s="35">
        <v>25</v>
      </c>
      <c r="N31" s="35">
        <v>23.8</v>
      </c>
      <c r="O31" s="35">
        <v>28.4</v>
      </c>
      <c r="P31" s="35">
        <v>21.8</v>
      </c>
      <c r="Q31" s="35">
        <v>20</v>
      </c>
      <c r="R31" s="35">
        <v>17.100000000000001</v>
      </c>
      <c r="S31" s="35">
        <v>12.3</v>
      </c>
      <c r="T31" s="35">
        <v>7.1</v>
      </c>
      <c r="U31" s="35">
        <v>15.7</v>
      </c>
      <c r="V31" s="35">
        <v>23.2</v>
      </c>
      <c r="W31" s="35">
        <v>26.7</v>
      </c>
      <c r="X31" s="35">
        <v>20.100000000000001</v>
      </c>
      <c r="Y31" s="35">
        <v>30</v>
      </c>
      <c r="Z31" s="35">
        <v>25</v>
      </c>
      <c r="AA31" s="35">
        <v>25.8</v>
      </c>
      <c r="AB31" s="35">
        <v>24.3</v>
      </c>
      <c r="AC31" s="35">
        <v>16.2</v>
      </c>
      <c r="AD31" s="35">
        <v>8.8000000000000007</v>
      </c>
      <c r="AE31" s="35">
        <v>18.8</v>
      </c>
    </row>
    <row r="32" spans="1:31" x14ac:dyDescent="0.25">
      <c r="A32" s="10">
        <v>20</v>
      </c>
      <c r="B32" s="35">
        <v>2.2000000000000002</v>
      </c>
      <c r="C32" s="35">
        <v>4.2</v>
      </c>
      <c r="D32" s="35">
        <v>7.4</v>
      </c>
      <c r="E32" s="35">
        <v>11.5</v>
      </c>
      <c r="F32" s="35">
        <v>14.2</v>
      </c>
      <c r="G32" s="35">
        <v>13.7</v>
      </c>
      <c r="H32" s="35">
        <v>15.7</v>
      </c>
      <c r="I32" s="35">
        <v>17.399999999999999</v>
      </c>
      <c r="J32" s="35">
        <v>21.6</v>
      </c>
      <c r="K32" s="35">
        <v>21.8</v>
      </c>
      <c r="L32" s="35">
        <v>22.1</v>
      </c>
      <c r="M32" s="35">
        <v>22.1</v>
      </c>
      <c r="N32" s="35">
        <v>23.3</v>
      </c>
      <c r="O32" s="35">
        <v>26</v>
      </c>
      <c r="P32" s="35">
        <v>20.100000000000001</v>
      </c>
      <c r="Q32" s="35">
        <v>17.7</v>
      </c>
      <c r="R32" s="35">
        <v>15.4</v>
      </c>
      <c r="S32" s="35">
        <v>10.9</v>
      </c>
      <c r="T32" s="35">
        <v>7.1</v>
      </c>
      <c r="U32" s="35">
        <v>13.4</v>
      </c>
      <c r="V32" s="35">
        <v>18.399999999999999</v>
      </c>
      <c r="W32" s="35">
        <v>24.4</v>
      </c>
      <c r="X32" s="35">
        <v>21.8</v>
      </c>
      <c r="Y32" s="35">
        <v>27.3</v>
      </c>
      <c r="Z32" s="35">
        <v>23.6</v>
      </c>
      <c r="AA32" s="35">
        <v>24.3</v>
      </c>
      <c r="AB32" s="35">
        <v>22.7</v>
      </c>
      <c r="AC32" s="35">
        <v>14</v>
      </c>
      <c r="AD32" s="35">
        <v>8.6</v>
      </c>
      <c r="AE32" s="35">
        <v>16.899999999999999</v>
      </c>
    </row>
    <row r="33" spans="1:31" x14ac:dyDescent="0.25">
      <c r="A33" s="10">
        <v>22</v>
      </c>
      <c r="B33" s="35">
        <v>2.2999999999999998</v>
      </c>
      <c r="C33" s="35">
        <v>2.9</v>
      </c>
      <c r="D33" s="35">
        <v>3.4</v>
      </c>
      <c r="E33" s="35">
        <v>10.1</v>
      </c>
      <c r="F33" s="35">
        <v>11.3</v>
      </c>
      <c r="G33" s="35">
        <v>11.3</v>
      </c>
      <c r="H33" s="35">
        <v>12.2</v>
      </c>
      <c r="I33" s="35">
        <v>13</v>
      </c>
      <c r="J33" s="35">
        <v>17.8</v>
      </c>
      <c r="K33" s="35">
        <v>19.7</v>
      </c>
      <c r="L33" s="35">
        <v>19.2</v>
      </c>
      <c r="M33" s="35">
        <v>21.1</v>
      </c>
      <c r="N33" s="35">
        <v>19.399999999999999</v>
      </c>
      <c r="O33" s="35">
        <v>23</v>
      </c>
      <c r="P33" s="35">
        <v>16.5</v>
      </c>
      <c r="Q33" s="35">
        <v>16.2</v>
      </c>
      <c r="R33" s="35">
        <v>11.1</v>
      </c>
      <c r="S33" s="35">
        <v>7</v>
      </c>
      <c r="T33" s="35">
        <v>4.7</v>
      </c>
      <c r="U33" s="35">
        <v>10.7</v>
      </c>
      <c r="V33" s="35">
        <v>15.1</v>
      </c>
      <c r="W33" s="35">
        <v>21.6</v>
      </c>
      <c r="X33" s="35">
        <v>20.5</v>
      </c>
      <c r="Y33" s="35">
        <v>24.4</v>
      </c>
      <c r="Z33" s="35">
        <v>21.5</v>
      </c>
      <c r="AA33" s="35">
        <v>22.2</v>
      </c>
      <c r="AB33" s="35">
        <v>20.2</v>
      </c>
      <c r="AC33" s="35">
        <v>13</v>
      </c>
      <c r="AD33" s="35">
        <v>8.6</v>
      </c>
      <c r="AE33" s="35">
        <v>14.2</v>
      </c>
    </row>
    <row r="34" spans="1:31" x14ac:dyDescent="0.25">
      <c r="A34" s="10">
        <v>24</v>
      </c>
      <c r="B34" s="35">
        <v>1.4</v>
      </c>
      <c r="C34" s="35">
        <v>1.4</v>
      </c>
      <c r="D34" s="35">
        <v>1.9</v>
      </c>
      <c r="E34" s="35">
        <v>9.8000000000000007</v>
      </c>
      <c r="F34" s="35">
        <v>9.6</v>
      </c>
      <c r="G34" s="35">
        <v>9.1</v>
      </c>
      <c r="H34" s="35">
        <v>10.199999999999999</v>
      </c>
      <c r="I34" s="35">
        <v>10.1</v>
      </c>
      <c r="J34" s="35">
        <v>14.4</v>
      </c>
      <c r="K34" s="35">
        <v>16.7</v>
      </c>
      <c r="L34" s="35">
        <v>16.5</v>
      </c>
      <c r="M34" s="35">
        <v>19.899999999999999</v>
      </c>
      <c r="N34" s="35">
        <v>17</v>
      </c>
      <c r="O34" s="35">
        <v>21.3</v>
      </c>
      <c r="P34" s="35">
        <v>13</v>
      </c>
      <c r="Q34" s="35">
        <v>15.3</v>
      </c>
      <c r="R34" s="35">
        <v>8.8000000000000007</v>
      </c>
      <c r="S34" s="35">
        <v>6.4</v>
      </c>
      <c r="T34" s="35">
        <v>3.2</v>
      </c>
      <c r="U34" s="35">
        <v>8.9</v>
      </c>
      <c r="V34" s="35">
        <v>14.3</v>
      </c>
      <c r="W34" s="35">
        <v>19.100000000000001</v>
      </c>
      <c r="X34" s="35">
        <v>19.899999999999999</v>
      </c>
      <c r="Y34" s="35">
        <v>22.9</v>
      </c>
      <c r="Z34" s="35">
        <v>21.4</v>
      </c>
      <c r="AA34" s="35">
        <v>20.5</v>
      </c>
      <c r="AB34" s="35">
        <v>18.7</v>
      </c>
      <c r="AC34" s="35">
        <v>11.6</v>
      </c>
      <c r="AD34" s="35">
        <v>9.1</v>
      </c>
      <c r="AE34" s="35">
        <v>12.1</v>
      </c>
    </row>
    <row r="35" spans="1:31" x14ac:dyDescent="0.25">
      <c r="A35" s="10">
        <v>2</v>
      </c>
      <c r="B35" s="35">
        <v>0.9</v>
      </c>
      <c r="C35" s="35">
        <v>0.5</v>
      </c>
      <c r="D35" s="35">
        <v>0.3</v>
      </c>
      <c r="E35" s="35">
        <v>8.6</v>
      </c>
      <c r="F35" s="35">
        <v>7.5</v>
      </c>
      <c r="G35" s="35">
        <v>8.4</v>
      </c>
      <c r="H35" s="35">
        <v>8.3000000000000007</v>
      </c>
      <c r="I35" s="35">
        <v>8.6999999999999993</v>
      </c>
      <c r="J35" s="35">
        <v>14.1</v>
      </c>
      <c r="K35" s="35">
        <v>15.5</v>
      </c>
      <c r="L35" s="35">
        <v>15.7</v>
      </c>
      <c r="M35" s="35">
        <v>18.7</v>
      </c>
      <c r="N35" s="35">
        <v>16.2</v>
      </c>
      <c r="O35" s="35">
        <v>21.1</v>
      </c>
      <c r="P35" s="35">
        <v>12.4</v>
      </c>
      <c r="Q35" s="35">
        <v>13.9</v>
      </c>
      <c r="R35" s="35">
        <v>8.9</v>
      </c>
      <c r="S35" s="35">
        <v>7.1</v>
      </c>
      <c r="T35" s="35">
        <v>2</v>
      </c>
      <c r="U35" s="35">
        <v>8.4</v>
      </c>
      <c r="V35" s="35">
        <v>10.6</v>
      </c>
      <c r="W35" s="35">
        <v>17.7</v>
      </c>
      <c r="X35" s="35">
        <v>19</v>
      </c>
      <c r="Y35" s="35">
        <v>23.2</v>
      </c>
      <c r="Z35" s="35">
        <v>21.3</v>
      </c>
      <c r="AA35" s="35">
        <v>19.3</v>
      </c>
      <c r="AB35" s="35">
        <v>18.7</v>
      </c>
      <c r="AC35" s="35">
        <v>10.9</v>
      </c>
      <c r="AD35" s="35">
        <v>9.1</v>
      </c>
      <c r="AE35" s="35">
        <v>11.1</v>
      </c>
    </row>
    <row r="36" spans="1:31" ht="30" x14ac:dyDescent="0.25">
      <c r="A36" s="11" t="s">
        <v>2</v>
      </c>
      <c r="B36" s="15">
        <f t="shared" ref="B36:G36" si="5">AVERAGE(B24+B25+B26+B27+B28+B29+B30+B31+B32+B33+B34+B35)/12</f>
        <v>2.7999999999999994</v>
      </c>
      <c r="C36" s="15">
        <f t="shared" si="5"/>
        <v>2.9499999999999997</v>
      </c>
      <c r="D36" s="15">
        <f t="shared" si="5"/>
        <v>5.2833333333333323</v>
      </c>
      <c r="E36" s="15">
        <f t="shared" si="5"/>
        <v>8.6749999999999989</v>
      </c>
      <c r="F36" s="15">
        <f t="shared" si="5"/>
        <v>12.958333333333334</v>
      </c>
      <c r="G36" s="15">
        <f t="shared" si="5"/>
        <v>12.883333333333335</v>
      </c>
      <c r="H36" s="15">
        <f t="shared" ref="H36:M36" si="6">AVERAGE(H24+H25+H26+H27+H28+H29+H30+H31+H32+H33+H34+H35)/12</f>
        <v>13.683333333333332</v>
      </c>
      <c r="I36" s="15">
        <f t="shared" si="6"/>
        <v>14.9</v>
      </c>
      <c r="J36" s="15">
        <f t="shared" si="6"/>
        <v>19.150000000000002</v>
      </c>
      <c r="K36" s="15">
        <f t="shared" si="6"/>
        <v>20.774999999999999</v>
      </c>
      <c r="L36" s="15">
        <f t="shared" si="6"/>
        <v>21.008333333333329</v>
      </c>
      <c r="M36" s="15">
        <f t="shared" si="6"/>
        <v>21.583333333333332</v>
      </c>
      <c r="N36" s="15">
        <f t="shared" ref="N36:S36" si="7">AVERAGE(N24+N25+N26+N27+N28+N29+N30+N31+N32+N33+N34+N35)/12</f>
        <v>19.858333333333338</v>
      </c>
      <c r="O36" s="15">
        <f t="shared" si="7"/>
        <v>24.141666666666669</v>
      </c>
      <c r="P36" s="15">
        <f t="shared" si="7"/>
        <v>22.158333333333335</v>
      </c>
      <c r="Q36" s="15">
        <f t="shared" si="7"/>
        <v>15.924999999999999</v>
      </c>
      <c r="R36" s="15">
        <f t="shared" si="7"/>
        <v>14.858333333333334</v>
      </c>
      <c r="S36" s="15">
        <f t="shared" si="7"/>
        <v>11.208333333333334</v>
      </c>
      <c r="T36" s="15">
        <f t="shared" ref="T36:Y36" si="8">AVERAGE(T24+T25+T26+T27+T28+T29+T30+T31+T32+T33+T34+T35)/12</f>
        <v>6.0666666666666673</v>
      </c>
      <c r="U36" s="15">
        <f t="shared" si="8"/>
        <v>10.65</v>
      </c>
      <c r="V36" s="15">
        <f t="shared" si="8"/>
        <v>16.991666666666667</v>
      </c>
      <c r="W36" s="15">
        <f t="shared" si="8"/>
        <v>22.125</v>
      </c>
      <c r="X36" s="15">
        <f t="shared" si="8"/>
        <v>22.291666666666668</v>
      </c>
      <c r="Y36" s="15">
        <f t="shared" si="8"/>
        <v>25</v>
      </c>
      <c r="Z36" s="15">
        <f t="shared" ref="Z36:AE36" si="9">AVERAGE(Z24+Z25+Z26+Z27+Z28+Z29+Z30+Z31+Z32+Z33+Z34+Z35)/12</f>
        <v>24.191666666666666</v>
      </c>
      <c r="AA36" s="15">
        <f t="shared" si="9"/>
        <v>23.091666666666669</v>
      </c>
      <c r="AB36" s="15">
        <f t="shared" si="9"/>
        <v>21.191666666666666</v>
      </c>
      <c r="AC36" s="15">
        <f t="shared" si="9"/>
        <v>15.633333333333335</v>
      </c>
      <c r="AD36" s="15">
        <f t="shared" si="9"/>
        <v>9.1666666666666643</v>
      </c>
      <c r="AE36" s="15">
        <f t="shared" si="9"/>
        <v>14.416666666666664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0" zoomScaleNormal="80" workbookViewId="0">
      <pane xSplit="1" topLeftCell="B1" activePane="topRight" state="frozen"/>
      <selection pane="topRight" activeCell="AF39" sqref="AF39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1" t="s">
        <v>61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4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35">
        <v>14.8</v>
      </c>
      <c r="C4" s="35">
        <v>8.3000000000000007</v>
      </c>
      <c r="D4" s="35">
        <v>11.8</v>
      </c>
      <c r="E4" s="35">
        <v>17.5</v>
      </c>
      <c r="F4" s="35">
        <v>19.600000000000001</v>
      </c>
      <c r="G4" s="35">
        <v>13</v>
      </c>
      <c r="H4" s="35">
        <v>15.5</v>
      </c>
      <c r="I4" s="35">
        <v>16</v>
      </c>
      <c r="J4" s="35">
        <v>16.600000000000001</v>
      </c>
      <c r="K4" s="35">
        <v>16.600000000000001</v>
      </c>
      <c r="L4" s="35">
        <v>20.6</v>
      </c>
      <c r="M4" s="35">
        <v>21.1</v>
      </c>
      <c r="N4" s="35">
        <v>18.399999999999999</v>
      </c>
      <c r="O4" s="35">
        <v>17</v>
      </c>
      <c r="P4" s="35">
        <v>17.2</v>
      </c>
      <c r="Q4" s="35">
        <v>15.9</v>
      </c>
      <c r="R4" s="35">
        <v>15.5</v>
      </c>
      <c r="S4" s="35">
        <v>14.7</v>
      </c>
      <c r="T4" s="35">
        <v>18.100000000000001</v>
      </c>
      <c r="U4" s="35">
        <v>18.100000000000001</v>
      </c>
      <c r="V4" s="35">
        <v>13.2</v>
      </c>
      <c r="W4" s="35">
        <v>13.4</v>
      </c>
      <c r="X4" s="35">
        <v>12</v>
      </c>
      <c r="Y4" s="35">
        <v>12</v>
      </c>
      <c r="Z4" s="35">
        <v>12.1</v>
      </c>
      <c r="AA4" s="35">
        <v>12.5</v>
      </c>
      <c r="AB4" s="35">
        <v>15.2</v>
      </c>
      <c r="AC4" s="35">
        <v>18</v>
      </c>
      <c r="AD4" s="35">
        <v>19</v>
      </c>
      <c r="AE4" s="35">
        <v>16.7</v>
      </c>
      <c r="AF4" s="35">
        <v>14.4</v>
      </c>
    </row>
    <row r="5" spans="1:32" x14ac:dyDescent="0.25">
      <c r="A5" s="10">
        <v>6</v>
      </c>
      <c r="B5" s="35">
        <v>15.1</v>
      </c>
      <c r="C5" s="35">
        <v>9</v>
      </c>
      <c r="D5" s="35">
        <v>12.4</v>
      </c>
      <c r="E5" s="35">
        <v>18</v>
      </c>
      <c r="F5" s="35">
        <v>21.9</v>
      </c>
      <c r="G5" s="35">
        <v>14.3</v>
      </c>
      <c r="H5" s="35">
        <v>15.5</v>
      </c>
      <c r="I5" s="35">
        <v>17.5</v>
      </c>
      <c r="J5" s="35">
        <v>18.7</v>
      </c>
      <c r="K5" s="35">
        <v>18.100000000000001</v>
      </c>
      <c r="L5" s="35">
        <v>20.6</v>
      </c>
      <c r="M5" s="35">
        <v>22.2</v>
      </c>
      <c r="N5" s="35">
        <v>18.399999999999999</v>
      </c>
      <c r="O5" s="35">
        <v>17</v>
      </c>
      <c r="P5" s="35">
        <v>17.3</v>
      </c>
      <c r="Q5" s="35">
        <v>18.3</v>
      </c>
      <c r="R5" s="35">
        <v>16.399999999999999</v>
      </c>
      <c r="S5" s="35">
        <v>16.399999999999999</v>
      </c>
      <c r="T5" s="35">
        <v>18.3</v>
      </c>
      <c r="U5" s="35">
        <v>19</v>
      </c>
      <c r="V5" s="35">
        <v>13.2</v>
      </c>
      <c r="W5" s="35">
        <v>13.4</v>
      </c>
      <c r="X5" s="35">
        <v>12.7</v>
      </c>
      <c r="Y5" s="35">
        <v>12.7</v>
      </c>
      <c r="Z5" s="35">
        <v>12.8</v>
      </c>
      <c r="AA5" s="35">
        <v>13</v>
      </c>
      <c r="AB5" s="35">
        <v>15.2</v>
      </c>
      <c r="AC5" s="35">
        <v>19</v>
      </c>
      <c r="AD5" s="35">
        <v>15.5</v>
      </c>
      <c r="AE5" s="35">
        <v>18.100000000000001</v>
      </c>
      <c r="AF5" s="35">
        <v>14.4</v>
      </c>
    </row>
    <row r="6" spans="1:32" x14ac:dyDescent="0.25">
      <c r="A6" s="10">
        <v>8</v>
      </c>
      <c r="B6" s="35">
        <v>15.6</v>
      </c>
      <c r="C6" s="35">
        <v>13</v>
      </c>
      <c r="D6" s="35">
        <v>17.899999999999999</v>
      </c>
      <c r="E6" s="35">
        <v>21</v>
      </c>
      <c r="F6" s="35">
        <v>25</v>
      </c>
      <c r="G6" s="35">
        <v>17</v>
      </c>
      <c r="H6" s="35">
        <v>16.8</v>
      </c>
      <c r="I6" s="35">
        <v>19</v>
      </c>
      <c r="J6" s="35">
        <v>21.6</v>
      </c>
      <c r="K6" s="35">
        <v>20</v>
      </c>
      <c r="L6" s="35">
        <v>24</v>
      </c>
      <c r="M6" s="35">
        <v>26.6</v>
      </c>
      <c r="N6" s="35">
        <v>20.98</v>
      </c>
      <c r="O6" s="35">
        <v>16.87</v>
      </c>
      <c r="P6" s="35">
        <v>18.2</v>
      </c>
      <c r="Q6" s="35">
        <v>21.4</v>
      </c>
      <c r="R6" s="35">
        <v>21.6</v>
      </c>
      <c r="S6" s="35">
        <v>19.600000000000001</v>
      </c>
      <c r="T6" s="35">
        <v>21.8</v>
      </c>
      <c r="U6" s="35">
        <v>21.8</v>
      </c>
      <c r="V6" s="35">
        <v>15</v>
      </c>
      <c r="W6" s="35">
        <v>16</v>
      </c>
      <c r="X6" s="35">
        <v>15.2</v>
      </c>
      <c r="Y6" s="35">
        <v>15.2</v>
      </c>
      <c r="Z6" s="35">
        <v>12.9</v>
      </c>
      <c r="AA6" s="35">
        <v>13</v>
      </c>
      <c r="AB6" s="35">
        <v>18.7</v>
      </c>
      <c r="AC6" s="35">
        <v>19.3</v>
      </c>
      <c r="AD6" s="35">
        <v>22.3</v>
      </c>
      <c r="AE6" s="35">
        <v>21</v>
      </c>
      <c r="AF6" s="35">
        <v>19</v>
      </c>
    </row>
    <row r="7" spans="1:32" x14ac:dyDescent="0.25">
      <c r="A7" s="10">
        <v>10</v>
      </c>
      <c r="B7" s="35">
        <v>14.3</v>
      </c>
      <c r="C7" s="35">
        <v>13.7</v>
      </c>
      <c r="D7" s="35">
        <v>19.899999999999999</v>
      </c>
      <c r="E7" s="35">
        <v>22.7</v>
      </c>
      <c r="F7" s="35">
        <v>26.6</v>
      </c>
      <c r="G7" s="35">
        <v>19</v>
      </c>
      <c r="H7" s="35">
        <v>17.7</v>
      </c>
      <c r="I7" s="35">
        <v>19.3</v>
      </c>
      <c r="J7" s="35">
        <v>22.1</v>
      </c>
      <c r="K7" s="35">
        <v>22</v>
      </c>
      <c r="L7" s="35">
        <v>27</v>
      </c>
      <c r="M7" s="35">
        <v>28.1</v>
      </c>
      <c r="N7" s="35">
        <v>22.44</v>
      </c>
      <c r="O7" s="35">
        <v>16.899999999999999</v>
      </c>
      <c r="P7" s="35">
        <v>16.399999999999999</v>
      </c>
      <c r="Q7" s="35">
        <v>23.5</v>
      </c>
      <c r="R7" s="35">
        <v>23.3</v>
      </c>
      <c r="S7" s="35">
        <v>22.03</v>
      </c>
      <c r="T7" s="35">
        <v>23.34</v>
      </c>
      <c r="U7" s="35">
        <v>24.4</v>
      </c>
      <c r="V7" s="35">
        <v>16</v>
      </c>
      <c r="W7" s="35">
        <v>18.7</v>
      </c>
      <c r="X7" s="35">
        <v>16</v>
      </c>
      <c r="Y7" s="35">
        <v>16</v>
      </c>
      <c r="Z7" s="35">
        <v>13</v>
      </c>
      <c r="AA7" s="35">
        <v>15</v>
      </c>
      <c r="AB7" s="35">
        <v>20</v>
      </c>
      <c r="AC7" s="35">
        <v>21.7</v>
      </c>
      <c r="AD7" s="35">
        <v>24.8</v>
      </c>
      <c r="AE7" s="35">
        <v>22</v>
      </c>
      <c r="AF7" s="35">
        <v>20</v>
      </c>
    </row>
    <row r="8" spans="1:32" x14ac:dyDescent="0.25">
      <c r="A8" s="10">
        <v>12</v>
      </c>
      <c r="B8" s="35">
        <v>11.6</v>
      </c>
      <c r="C8" s="35">
        <v>14</v>
      </c>
      <c r="D8" s="35">
        <v>20</v>
      </c>
      <c r="E8" s="35">
        <v>23.8</v>
      </c>
      <c r="F8" s="35">
        <v>30</v>
      </c>
      <c r="G8" s="35">
        <v>21</v>
      </c>
      <c r="H8" s="35">
        <v>19.399999999999999</v>
      </c>
      <c r="I8" s="35">
        <v>22.6</v>
      </c>
      <c r="J8" s="35">
        <v>23.2</v>
      </c>
      <c r="K8" s="35">
        <v>22</v>
      </c>
      <c r="L8" s="35">
        <v>26</v>
      </c>
      <c r="M8" s="35">
        <v>27.5</v>
      </c>
      <c r="N8" s="35">
        <v>25.06</v>
      </c>
      <c r="O8" s="35">
        <v>16.5</v>
      </c>
      <c r="P8" s="35">
        <v>16.600000000000001</v>
      </c>
      <c r="Q8" s="35">
        <v>23</v>
      </c>
      <c r="R8" s="35">
        <v>23.3</v>
      </c>
      <c r="S8" s="35">
        <v>22.53</v>
      </c>
      <c r="T8" s="35">
        <v>24.91</v>
      </c>
      <c r="U8" s="35">
        <v>23.3</v>
      </c>
      <c r="V8" s="35">
        <v>17.600000000000001</v>
      </c>
      <c r="W8" s="35">
        <v>18.3</v>
      </c>
      <c r="X8" s="35">
        <v>16.899999999999999</v>
      </c>
      <c r="Y8" s="35">
        <v>16.899999999999999</v>
      </c>
      <c r="Z8" s="35">
        <v>13.2</v>
      </c>
      <c r="AA8" s="35">
        <v>17</v>
      </c>
      <c r="AB8" s="35">
        <v>22</v>
      </c>
      <c r="AC8" s="35">
        <v>23.7</v>
      </c>
      <c r="AD8" s="35">
        <v>25.4</v>
      </c>
      <c r="AE8" s="35">
        <v>22</v>
      </c>
      <c r="AF8" s="35">
        <v>24</v>
      </c>
    </row>
    <row r="9" spans="1:32" x14ac:dyDescent="0.25">
      <c r="A9" s="10">
        <v>14</v>
      </c>
      <c r="B9" s="35">
        <v>11.3</v>
      </c>
      <c r="C9" s="35">
        <v>17.5</v>
      </c>
      <c r="D9" s="35">
        <v>21</v>
      </c>
      <c r="E9" s="35">
        <v>25.4</v>
      </c>
      <c r="F9" s="35">
        <v>30</v>
      </c>
      <c r="G9" s="35">
        <v>22</v>
      </c>
      <c r="H9" s="35">
        <v>21</v>
      </c>
      <c r="I9" s="35">
        <v>24.3</v>
      </c>
      <c r="J9" s="35">
        <v>24.2</v>
      </c>
      <c r="K9" s="35">
        <v>23</v>
      </c>
      <c r="L9" s="35">
        <v>30</v>
      </c>
      <c r="M9" s="35">
        <v>27.6</v>
      </c>
      <c r="N9" s="35">
        <v>27</v>
      </c>
      <c r="O9" s="35">
        <v>16.7</v>
      </c>
      <c r="P9" s="35">
        <v>16.8</v>
      </c>
      <c r="Q9" s="35">
        <v>24.91</v>
      </c>
      <c r="R9" s="35">
        <v>25.1</v>
      </c>
      <c r="S9" s="35">
        <v>23.34</v>
      </c>
      <c r="T9" s="35">
        <v>25.99</v>
      </c>
      <c r="U9" s="35">
        <v>24.86</v>
      </c>
      <c r="V9" s="35">
        <v>19</v>
      </c>
      <c r="W9" s="35">
        <v>18.7</v>
      </c>
      <c r="X9" s="35">
        <v>17.600000000000001</v>
      </c>
      <c r="Y9" s="35">
        <v>17.600000000000001</v>
      </c>
      <c r="Z9" s="35">
        <v>12.9</v>
      </c>
      <c r="AA9" s="35">
        <v>17</v>
      </c>
      <c r="AB9" s="35">
        <v>25.5</v>
      </c>
      <c r="AC9" s="35">
        <v>26.4</v>
      </c>
      <c r="AD9" s="35">
        <v>25.5</v>
      </c>
      <c r="AE9" s="35">
        <v>22</v>
      </c>
      <c r="AF9" s="35">
        <v>23.5</v>
      </c>
    </row>
    <row r="10" spans="1:32" x14ac:dyDescent="0.25">
      <c r="A10" s="10">
        <v>16</v>
      </c>
      <c r="B10" s="35">
        <v>13.5</v>
      </c>
      <c r="C10" s="35">
        <v>16.600000000000001</v>
      </c>
      <c r="D10" s="35">
        <v>22.4</v>
      </c>
      <c r="E10" s="35">
        <v>23.6</v>
      </c>
      <c r="F10" s="35">
        <v>27.9</v>
      </c>
      <c r="G10" s="35">
        <v>23</v>
      </c>
      <c r="H10" s="35">
        <v>22.4</v>
      </c>
      <c r="I10" s="35">
        <v>24.6</v>
      </c>
      <c r="J10" s="35">
        <v>24.6</v>
      </c>
      <c r="K10" s="35">
        <v>23.5</v>
      </c>
      <c r="L10" s="35">
        <v>28</v>
      </c>
      <c r="M10" s="35">
        <v>27.4</v>
      </c>
      <c r="N10" s="35">
        <v>24.85</v>
      </c>
      <c r="O10" s="35">
        <v>17</v>
      </c>
      <c r="P10" s="35">
        <v>17.7</v>
      </c>
      <c r="Q10" s="35">
        <v>23.8</v>
      </c>
      <c r="R10" s="35">
        <v>25.8</v>
      </c>
      <c r="S10" s="35">
        <v>23.52</v>
      </c>
      <c r="T10" s="35">
        <v>26</v>
      </c>
      <c r="U10" s="35">
        <v>23.7</v>
      </c>
      <c r="V10" s="35">
        <v>20</v>
      </c>
      <c r="W10" s="35">
        <v>18.8</v>
      </c>
      <c r="X10" s="35">
        <v>17.8</v>
      </c>
      <c r="Y10" s="35">
        <v>17.8</v>
      </c>
      <c r="Z10" s="35">
        <v>13.2</v>
      </c>
      <c r="AA10" s="35">
        <v>16</v>
      </c>
      <c r="AB10" s="35">
        <v>27</v>
      </c>
      <c r="AC10" s="35">
        <v>24.9</v>
      </c>
      <c r="AD10" s="35">
        <v>25.8</v>
      </c>
      <c r="AE10" s="35">
        <v>23</v>
      </c>
      <c r="AF10" s="35">
        <v>22</v>
      </c>
    </row>
    <row r="11" spans="1:32" x14ac:dyDescent="0.25">
      <c r="A11" s="10">
        <v>18</v>
      </c>
      <c r="B11" s="35">
        <v>15.1</v>
      </c>
      <c r="C11" s="35">
        <v>17.2</v>
      </c>
      <c r="D11" s="35">
        <v>21.8</v>
      </c>
      <c r="E11" s="35">
        <v>26</v>
      </c>
      <c r="F11" s="35">
        <v>27.5</v>
      </c>
      <c r="G11" s="35">
        <v>21.9</v>
      </c>
      <c r="H11" s="35">
        <v>21.9</v>
      </c>
      <c r="I11" s="35">
        <v>24.98</v>
      </c>
      <c r="J11" s="35">
        <v>24.8</v>
      </c>
      <c r="K11" s="35">
        <v>22.7</v>
      </c>
      <c r="L11" s="35">
        <v>28.45</v>
      </c>
      <c r="M11" s="35">
        <v>27.02</v>
      </c>
      <c r="N11" s="35">
        <v>24.39</v>
      </c>
      <c r="O11" s="35">
        <v>16.12</v>
      </c>
      <c r="P11" s="35">
        <v>20.16</v>
      </c>
      <c r="Q11" s="35">
        <v>23.25</v>
      </c>
      <c r="R11" s="35">
        <v>24.6</v>
      </c>
      <c r="S11" s="35">
        <v>23.56</v>
      </c>
      <c r="T11" s="35">
        <v>25.76</v>
      </c>
      <c r="U11" s="35">
        <v>22.2</v>
      </c>
      <c r="V11" s="35">
        <v>18.95</v>
      </c>
      <c r="W11" s="35">
        <v>17.46</v>
      </c>
      <c r="X11" s="35">
        <v>17.5</v>
      </c>
      <c r="Y11" s="35">
        <v>17.5</v>
      </c>
      <c r="Z11" s="35">
        <v>13.3</v>
      </c>
      <c r="AA11" s="35">
        <v>16</v>
      </c>
      <c r="AB11" s="35">
        <v>26.66</v>
      </c>
      <c r="AC11" s="35">
        <v>25.7</v>
      </c>
      <c r="AD11" s="35">
        <v>21.5</v>
      </c>
      <c r="AE11" s="35">
        <v>22</v>
      </c>
      <c r="AF11" s="35">
        <v>20.41</v>
      </c>
    </row>
    <row r="12" spans="1:32" x14ac:dyDescent="0.25">
      <c r="A12" s="10">
        <v>20</v>
      </c>
      <c r="B12" s="35">
        <v>12</v>
      </c>
      <c r="C12" s="35">
        <v>15.9</v>
      </c>
      <c r="D12" s="35">
        <v>20</v>
      </c>
      <c r="E12" s="35">
        <v>24.8</v>
      </c>
      <c r="F12" s="35">
        <v>24</v>
      </c>
      <c r="G12" s="35">
        <v>20.100000000000001</v>
      </c>
      <c r="H12" s="35">
        <v>21</v>
      </c>
      <c r="I12" s="35">
        <v>23.5</v>
      </c>
      <c r="J12" s="35">
        <v>22.6</v>
      </c>
      <c r="K12" s="35">
        <v>22.3</v>
      </c>
      <c r="L12" s="35">
        <v>26</v>
      </c>
      <c r="M12" s="35">
        <v>25.1</v>
      </c>
      <c r="N12" s="35">
        <v>22.7</v>
      </c>
      <c r="O12" s="35">
        <v>15.88</v>
      </c>
      <c r="P12" s="35">
        <v>19.3</v>
      </c>
      <c r="Q12" s="35">
        <v>22.9</v>
      </c>
      <c r="R12" s="35">
        <v>22.8</v>
      </c>
      <c r="S12" s="35">
        <v>20.9</v>
      </c>
      <c r="T12" s="35">
        <v>23.3</v>
      </c>
      <c r="U12" s="35">
        <v>20.11</v>
      </c>
      <c r="V12" s="35">
        <v>17.73</v>
      </c>
      <c r="W12" s="35">
        <v>15.4</v>
      </c>
      <c r="X12" s="35">
        <v>16.899999999999999</v>
      </c>
      <c r="Y12" s="35">
        <v>16.899999999999999</v>
      </c>
      <c r="Z12" s="35">
        <v>13.5</v>
      </c>
      <c r="AA12" s="35">
        <v>15.6</v>
      </c>
      <c r="AB12" s="35">
        <v>25</v>
      </c>
      <c r="AC12" s="35">
        <v>22.5</v>
      </c>
      <c r="AD12" s="35">
        <v>19.899999999999999</v>
      </c>
      <c r="AE12" s="35">
        <v>19.899999999999999</v>
      </c>
      <c r="AF12" s="35">
        <v>19</v>
      </c>
    </row>
    <row r="13" spans="1:32" x14ac:dyDescent="0.25">
      <c r="A13" s="10">
        <v>22</v>
      </c>
      <c r="B13" s="35">
        <v>9.8000000000000007</v>
      </c>
      <c r="C13" s="35">
        <v>13.6</v>
      </c>
      <c r="D13" s="35">
        <v>17</v>
      </c>
      <c r="E13" s="35">
        <v>21.6</v>
      </c>
      <c r="F13" s="35">
        <v>20</v>
      </c>
      <c r="G13" s="35">
        <v>16.8</v>
      </c>
      <c r="H13" s="35">
        <v>18</v>
      </c>
      <c r="I13" s="35">
        <v>20.100000000000001</v>
      </c>
      <c r="J13" s="35">
        <v>20.5</v>
      </c>
      <c r="K13" s="35">
        <v>19.3</v>
      </c>
      <c r="L13" s="35">
        <v>22.9</v>
      </c>
      <c r="M13" s="35">
        <v>22.1</v>
      </c>
      <c r="N13" s="35">
        <v>21.6</v>
      </c>
      <c r="O13" s="35">
        <v>16.5</v>
      </c>
      <c r="P13" s="35">
        <v>19.2</v>
      </c>
      <c r="Q13" s="35">
        <v>18.5</v>
      </c>
      <c r="R13" s="35">
        <v>18.399999999999999</v>
      </c>
      <c r="S13" s="35">
        <v>18.399999999999999</v>
      </c>
      <c r="T13" s="35">
        <v>20.3</v>
      </c>
      <c r="U13" s="35">
        <v>16.100000000000001</v>
      </c>
      <c r="V13" s="35">
        <v>15.8</v>
      </c>
      <c r="W13" s="35">
        <v>14.3</v>
      </c>
      <c r="X13" s="35">
        <v>16.2</v>
      </c>
      <c r="Y13" s="35">
        <v>16.2</v>
      </c>
      <c r="Z13" s="13">
        <v>13.4</v>
      </c>
      <c r="AA13" s="35">
        <v>15.2</v>
      </c>
      <c r="AB13" s="35">
        <v>20</v>
      </c>
      <c r="AC13" s="35">
        <v>21</v>
      </c>
      <c r="AD13" s="35">
        <v>18.600000000000001</v>
      </c>
      <c r="AE13" s="35">
        <v>16.7</v>
      </c>
      <c r="AF13" s="35">
        <v>17</v>
      </c>
    </row>
    <row r="14" spans="1:32" x14ac:dyDescent="0.25">
      <c r="A14" s="10">
        <v>24</v>
      </c>
      <c r="B14" s="35">
        <v>8.3000000000000007</v>
      </c>
      <c r="C14" s="35">
        <v>12.2</v>
      </c>
      <c r="D14" s="35">
        <v>15.5</v>
      </c>
      <c r="E14" s="35">
        <v>19.399999999999999</v>
      </c>
      <c r="F14" s="35">
        <v>17.100000000000001</v>
      </c>
      <c r="G14" s="35">
        <v>14.7</v>
      </c>
      <c r="H14" s="35">
        <v>16</v>
      </c>
      <c r="I14" s="35">
        <v>17.899999999999999</v>
      </c>
      <c r="J14" s="35">
        <v>18.7</v>
      </c>
      <c r="K14" s="35">
        <v>18</v>
      </c>
      <c r="L14" s="35">
        <v>19.8</v>
      </c>
      <c r="M14" s="35">
        <v>19.7</v>
      </c>
      <c r="N14" s="35">
        <v>20.5</v>
      </c>
      <c r="O14" s="35">
        <v>17.3</v>
      </c>
      <c r="P14" s="35">
        <v>16.7</v>
      </c>
      <c r="Q14" s="35">
        <v>17.3</v>
      </c>
      <c r="R14" s="35">
        <v>17.399999999999999</v>
      </c>
      <c r="S14" s="35">
        <v>15.8</v>
      </c>
      <c r="T14" s="35">
        <v>18.3</v>
      </c>
      <c r="U14" s="35">
        <v>14.2</v>
      </c>
      <c r="V14" s="35">
        <v>14.5</v>
      </c>
      <c r="W14" s="35">
        <v>13</v>
      </c>
      <c r="X14" s="35">
        <v>16.3</v>
      </c>
      <c r="Y14" s="35">
        <v>16.3</v>
      </c>
      <c r="Z14" s="13">
        <v>13.2</v>
      </c>
      <c r="AA14" s="35">
        <v>14.7</v>
      </c>
      <c r="AB14" s="35">
        <v>19</v>
      </c>
      <c r="AC14" s="35">
        <v>19</v>
      </c>
      <c r="AD14" s="35">
        <v>17.399999999999999</v>
      </c>
      <c r="AE14" s="35">
        <v>15.8</v>
      </c>
      <c r="AF14" s="35">
        <v>16</v>
      </c>
    </row>
    <row r="15" spans="1:32" x14ac:dyDescent="0.25">
      <c r="A15" s="10">
        <v>2</v>
      </c>
      <c r="B15" s="35">
        <v>6.2</v>
      </c>
      <c r="C15" s="35">
        <v>9.8000000000000007</v>
      </c>
      <c r="D15" s="35">
        <v>13.7</v>
      </c>
      <c r="E15" s="35">
        <v>18.600000000000001</v>
      </c>
      <c r="F15" s="35">
        <v>14.7</v>
      </c>
      <c r="G15" s="35">
        <v>12.9</v>
      </c>
      <c r="H15" s="35">
        <v>15.2</v>
      </c>
      <c r="I15" s="35">
        <v>16.3</v>
      </c>
      <c r="J15" s="35">
        <v>16.8</v>
      </c>
      <c r="K15" s="35">
        <v>17</v>
      </c>
      <c r="L15" s="35">
        <v>18.399999999999999</v>
      </c>
      <c r="M15" s="35">
        <v>17.600000000000001</v>
      </c>
      <c r="N15" s="35">
        <v>17.39</v>
      </c>
      <c r="O15" s="35">
        <v>17.100000000000001</v>
      </c>
      <c r="P15" s="35">
        <v>15.7</v>
      </c>
      <c r="Q15" s="35">
        <v>15.23</v>
      </c>
      <c r="R15" s="35">
        <v>14.7</v>
      </c>
      <c r="S15" s="35">
        <v>14.87</v>
      </c>
      <c r="T15" s="35">
        <v>17.23</v>
      </c>
      <c r="U15" s="35">
        <v>13.28</v>
      </c>
      <c r="V15" s="35">
        <v>13.55</v>
      </c>
      <c r="W15" s="35">
        <v>11.28</v>
      </c>
      <c r="X15" s="35">
        <v>15.57</v>
      </c>
      <c r="Y15" s="35">
        <v>15.57</v>
      </c>
      <c r="Z15" s="13">
        <v>13.1</v>
      </c>
      <c r="AA15" s="35">
        <v>14.4</v>
      </c>
      <c r="AB15" s="35">
        <v>18.559999999999999</v>
      </c>
      <c r="AC15" s="35">
        <v>19.07</v>
      </c>
      <c r="AD15" s="15">
        <v>17.48</v>
      </c>
      <c r="AE15" s="35">
        <v>14.1</v>
      </c>
      <c r="AF15" s="35">
        <v>16</v>
      </c>
    </row>
    <row r="16" spans="1:32" ht="30" x14ac:dyDescent="0.25">
      <c r="A16" s="11" t="s">
        <v>2</v>
      </c>
      <c r="B16" s="15">
        <f t="shared" ref="B16:H16" si="0">AVERAGE(B4+B5+B6+B7+B8+B9+B10+B11+B12+B13+B14+B15)/12</f>
        <v>12.299999999999999</v>
      </c>
      <c r="C16" s="15">
        <f t="shared" si="0"/>
        <v>13.4</v>
      </c>
      <c r="D16" s="15">
        <f t="shared" si="0"/>
        <v>17.783333333333335</v>
      </c>
      <c r="E16" s="15">
        <f t="shared" si="0"/>
        <v>21.866666666666671</v>
      </c>
      <c r="F16" s="15">
        <f t="shared" si="0"/>
        <v>23.691666666666666</v>
      </c>
      <c r="G16" s="15">
        <f t="shared" si="0"/>
        <v>17.975000000000001</v>
      </c>
      <c r="H16" s="15">
        <f t="shared" si="0"/>
        <v>18.366666666666667</v>
      </c>
      <c r="I16" s="15">
        <f t="shared" ref="I16:O16" si="1">AVERAGE(I4+I5+I6+I7+I8+I9+I10+I11+I12+I13+I14+I15)/12</f>
        <v>20.506666666666668</v>
      </c>
      <c r="J16" s="15">
        <f t="shared" si="1"/>
        <v>21.2</v>
      </c>
      <c r="K16" s="15">
        <f t="shared" si="1"/>
        <v>20.375</v>
      </c>
      <c r="L16" s="15">
        <f t="shared" si="1"/>
        <v>24.312499999999996</v>
      </c>
      <c r="M16" s="15">
        <f t="shared" si="1"/>
        <v>24.335000000000004</v>
      </c>
      <c r="N16" s="15">
        <f t="shared" si="1"/>
        <v>21.97583333333333</v>
      </c>
      <c r="O16" s="15">
        <f t="shared" si="1"/>
        <v>16.739166666666666</v>
      </c>
      <c r="P16" s="15">
        <f t="shared" ref="P16:V16" si="2">AVERAGE(P4+P5+P6+P7+P8+P9+P10+P11+P12+P13+P14+P15)/12</f>
        <v>17.604999999999997</v>
      </c>
      <c r="Q16" s="15">
        <f t="shared" si="2"/>
        <v>20.665833333333335</v>
      </c>
      <c r="R16" s="15">
        <f t="shared" si="2"/>
        <v>20.741666666666667</v>
      </c>
      <c r="S16" s="15">
        <f t="shared" si="2"/>
        <v>19.637500000000003</v>
      </c>
      <c r="T16" s="15">
        <f t="shared" si="2"/>
        <v>21.944166666666671</v>
      </c>
      <c r="U16" s="15">
        <f t="shared" si="2"/>
        <v>20.087499999999995</v>
      </c>
      <c r="V16" s="15">
        <f t="shared" si="2"/>
        <v>16.210833333333333</v>
      </c>
      <c r="W16" s="15">
        <f>AVERAGE(W4+W5+W6+W7+W8+W9+W10+W11+W12+W13+W14+W15)/12</f>
        <v>15.728333333333333</v>
      </c>
      <c r="X16" s="15">
        <f>AVERAGE(X4+X5+X6+X7+X8+X9+X10+X11+X12+X13+X14+X15)/12</f>
        <v>15.889166666666666</v>
      </c>
      <c r="Y16" s="15">
        <f>AVERAGE(Y4+Y5+Y6+Y7+Y8+Y9+Y10+Y11+Y12+Y13+Y14+Y15)/12</f>
        <v>15.889166666666666</v>
      </c>
      <c r="Z16" s="15">
        <f>AVERAGE(Z4:Z15)</f>
        <v>13.049999999999999</v>
      </c>
      <c r="AA16" s="15">
        <f t="shared" ref="AA16:AF16" si="3">AVERAGE(AA4+AA5+AA6+AA7+AA8+AA9+AA10+AA11+AA12+AA13+AA14+AA15)/12</f>
        <v>14.949999999999998</v>
      </c>
      <c r="AB16" s="15">
        <f t="shared" si="3"/>
        <v>21.068333333333332</v>
      </c>
      <c r="AC16" s="15">
        <f t="shared" si="3"/>
        <v>21.689166666666665</v>
      </c>
      <c r="AD16" s="15">
        <f t="shared" si="3"/>
        <v>21.098333333333333</v>
      </c>
      <c r="AE16" s="15">
        <f t="shared" si="3"/>
        <v>19.441666666666666</v>
      </c>
      <c r="AF16" s="15">
        <f t="shared" si="3"/>
        <v>18.809166666666666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61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4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11.9</v>
      </c>
      <c r="C24" s="35">
        <v>6.3</v>
      </c>
      <c r="D24" s="35">
        <v>7.7</v>
      </c>
      <c r="E24" s="35">
        <v>14.9</v>
      </c>
      <c r="F24" s="35">
        <v>18.7</v>
      </c>
      <c r="G24" s="35">
        <v>13.9</v>
      </c>
      <c r="H24" s="35">
        <v>12.4</v>
      </c>
      <c r="I24" s="35">
        <v>14.4</v>
      </c>
      <c r="J24" s="35">
        <v>13.9</v>
      </c>
      <c r="K24" s="35">
        <v>14</v>
      </c>
      <c r="L24" s="35">
        <v>13.9</v>
      </c>
      <c r="M24" s="35">
        <v>17.5</v>
      </c>
      <c r="N24" s="35">
        <v>17</v>
      </c>
      <c r="O24" s="35">
        <v>17.100000000000001</v>
      </c>
      <c r="P24" s="35">
        <v>17</v>
      </c>
      <c r="Q24" s="35">
        <v>15.2</v>
      </c>
      <c r="R24" s="35">
        <v>15</v>
      </c>
      <c r="S24" s="35">
        <v>14.4</v>
      </c>
      <c r="T24" s="35">
        <v>15.7</v>
      </c>
      <c r="U24" s="35">
        <v>17.600000000000001</v>
      </c>
      <c r="V24" s="35">
        <v>13</v>
      </c>
      <c r="W24" s="35">
        <v>13.4</v>
      </c>
      <c r="X24" s="35">
        <v>8.9</v>
      </c>
      <c r="Y24" s="35">
        <v>8.9</v>
      </c>
      <c r="Z24" s="13">
        <v>14.4</v>
      </c>
      <c r="AA24" s="35">
        <v>13.4</v>
      </c>
      <c r="AB24" s="35">
        <v>13.4</v>
      </c>
      <c r="AC24" s="35">
        <v>18.5</v>
      </c>
      <c r="AD24" s="35">
        <v>17.399999999999999</v>
      </c>
      <c r="AE24" s="35">
        <v>18.5</v>
      </c>
      <c r="AF24" s="35">
        <v>15.1</v>
      </c>
    </row>
    <row r="25" spans="1:32" x14ac:dyDescent="0.25">
      <c r="A25" s="10">
        <v>6</v>
      </c>
      <c r="B25" s="35">
        <v>14.5</v>
      </c>
      <c r="C25" s="35">
        <v>9.6999999999999993</v>
      </c>
      <c r="D25" s="35">
        <v>14.4</v>
      </c>
      <c r="E25" s="35">
        <v>17.7</v>
      </c>
      <c r="F25" s="35">
        <v>22.4</v>
      </c>
      <c r="G25" s="35">
        <v>14.9</v>
      </c>
      <c r="H25" s="35">
        <v>15.3</v>
      </c>
      <c r="I25" s="35">
        <v>17.2</v>
      </c>
      <c r="J25" s="35">
        <v>17.8</v>
      </c>
      <c r="K25" s="35">
        <v>16.600000000000001</v>
      </c>
      <c r="L25" s="35">
        <v>18.5</v>
      </c>
      <c r="M25" s="35">
        <v>20.3</v>
      </c>
      <c r="N25" s="35">
        <v>18.7</v>
      </c>
      <c r="O25" s="35">
        <v>17.5</v>
      </c>
      <c r="P25" s="35">
        <v>16.8</v>
      </c>
      <c r="Q25" s="35">
        <v>18.600000000000001</v>
      </c>
      <c r="R25" s="35">
        <v>19.5</v>
      </c>
      <c r="S25" s="35">
        <v>18.100000000000001</v>
      </c>
      <c r="T25" s="35">
        <v>18</v>
      </c>
      <c r="U25" s="35">
        <v>18.8</v>
      </c>
      <c r="V25" s="35">
        <v>13.9</v>
      </c>
      <c r="W25" s="35">
        <v>14.1</v>
      </c>
      <c r="X25" s="35">
        <v>12.6</v>
      </c>
      <c r="Y25" s="35">
        <v>12.6</v>
      </c>
      <c r="Z25" s="13">
        <v>14</v>
      </c>
      <c r="AA25" s="35">
        <v>13.6</v>
      </c>
      <c r="AB25" s="35">
        <v>13.6</v>
      </c>
      <c r="AC25" s="35">
        <v>20.6</v>
      </c>
      <c r="AD25" s="35">
        <v>18.2</v>
      </c>
      <c r="AE25" s="35">
        <v>18.8</v>
      </c>
      <c r="AF25" s="35">
        <v>17.899999999999999</v>
      </c>
    </row>
    <row r="26" spans="1:32" x14ac:dyDescent="0.25">
      <c r="A26" s="10">
        <v>8</v>
      </c>
      <c r="B26" s="35">
        <v>15.7</v>
      </c>
      <c r="C26" s="35">
        <v>12.3</v>
      </c>
      <c r="D26" s="35">
        <v>18</v>
      </c>
      <c r="E26" s="35">
        <v>21.1</v>
      </c>
      <c r="F26" s="35">
        <v>25.2</v>
      </c>
      <c r="G26" s="35">
        <v>16.7</v>
      </c>
      <c r="H26" s="35">
        <v>16.5</v>
      </c>
      <c r="I26" s="35">
        <v>19.399999999999999</v>
      </c>
      <c r="J26" s="35">
        <v>21.3</v>
      </c>
      <c r="K26" s="35">
        <v>20</v>
      </c>
      <c r="L26" s="35">
        <v>23.5</v>
      </c>
      <c r="M26" s="35">
        <v>26.7</v>
      </c>
      <c r="N26" s="35">
        <v>22.1</v>
      </c>
      <c r="O26" s="35">
        <v>18.100000000000001</v>
      </c>
      <c r="P26" s="35">
        <v>16.600000000000001</v>
      </c>
      <c r="Q26" s="35">
        <v>22.4</v>
      </c>
      <c r="R26" s="35">
        <v>22.8</v>
      </c>
      <c r="S26" s="35">
        <v>21.5</v>
      </c>
      <c r="T26" s="35">
        <v>21.7</v>
      </c>
      <c r="U26" s="35">
        <v>22.9</v>
      </c>
      <c r="V26" s="35">
        <v>15.2</v>
      </c>
      <c r="W26" s="35">
        <v>14.5</v>
      </c>
      <c r="X26" s="35">
        <v>15.4</v>
      </c>
      <c r="Y26" s="35">
        <v>15.4</v>
      </c>
      <c r="Z26" s="13">
        <v>13.6</v>
      </c>
      <c r="AA26" s="35">
        <v>13.9</v>
      </c>
      <c r="AB26" s="35">
        <v>13.9</v>
      </c>
      <c r="AC26" s="35">
        <v>19.600000000000001</v>
      </c>
      <c r="AD26" s="35">
        <v>21.3</v>
      </c>
      <c r="AE26" s="35">
        <v>20.5</v>
      </c>
      <c r="AF26" s="35">
        <v>20.100000000000001</v>
      </c>
    </row>
    <row r="27" spans="1:32" x14ac:dyDescent="0.25">
      <c r="A27" s="10">
        <v>10</v>
      </c>
      <c r="B27" s="35">
        <v>13.9</v>
      </c>
      <c r="C27" s="35">
        <v>14.8</v>
      </c>
      <c r="D27" s="35">
        <v>20.8</v>
      </c>
      <c r="E27" s="35">
        <v>22.5</v>
      </c>
      <c r="F27" s="35">
        <v>28</v>
      </c>
      <c r="G27" s="35">
        <v>19.600000000000001</v>
      </c>
      <c r="H27" s="35">
        <v>17.7</v>
      </c>
      <c r="I27" s="35">
        <v>21</v>
      </c>
      <c r="J27" s="35">
        <v>23.2</v>
      </c>
      <c r="K27" s="35">
        <v>22.1</v>
      </c>
      <c r="L27" s="35">
        <v>25.5</v>
      </c>
      <c r="M27" s="35">
        <v>28.2</v>
      </c>
      <c r="N27" s="35">
        <v>24.6</v>
      </c>
      <c r="O27" s="35">
        <v>18.5</v>
      </c>
      <c r="P27" s="35">
        <v>16.7</v>
      </c>
      <c r="Q27" s="35">
        <v>23.3</v>
      </c>
      <c r="R27" s="35">
        <v>24.5</v>
      </c>
      <c r="S27" s="35">
        <v>22.5</v>
      </c>
      <c r="T27" s="35">
        <v>23.9</v>
      </c>
      <c r="U27" s="35">
        <v>24.6</v>
      </c>
      <c r="V27" s="35">
        <v>17.8</v>
      </c>
      <c r="W27" s="35">
        <v>17.7</v>
      </c>
      <c r="X27" s="35">
        <v>18.5</v>
      </c>
      <c r="Y27" s="35">
        <v>18.5</v>
      </c>
      <c r="Z27" s="13">
        <v>14.1</v>
      </c>
      <c r="AA27" s="35">
        <v>15.3</v>
      </c>
      <c r="AB27" s="35">
        <v>15.3</v>
      </c>
      <c r="AC27" s="35">
        <v>22.7</v>
      </c>
      <c r="AD27" s="35">
        <v>23.7</v>
      </c>
      <c r="AE27" s="35">
        <v>23.1</v>
      </c>
      <c r="AF27" s="35">
        <v>20.9</v>
      </c>
    </row>
    <row r="28" spans="1:32" x14ac:dyDescent="0.25">
      <c r="A28" s="10">
        <v>12</v>
      </c>
      <c r="B28" s="35">
        <v>10.9</v>
      </c>
      <c r="C28" s="35">
        <v>14.9</v>
      </c>
      <c r="D28" s="35">
        <v>20.399999999999999</v>
      </c>
      <c r="E28" s="35">
        <v>24.8</v>
      </c>
      <c r="F28" s="35">
        <v>29.9</v>
      </c>
      <c r="G28" s="35">
        <v>21.6</v>
      </c>
      <c r="H28" s="35">
        <v>19</v>
      </c>
      <c r="I28" s="35">
        <v>23.4</v>
      </c>
      <c r="J28" s="35">
        <v>24.3</v>
      </c>
      <c r="K28" s="35">
        <v>22</v>
      </c>
      <c r="L28" s="35">
        <v>26.6</v>
      </c>
      <c r="M28" s="35">
        <v>27.3</v>
      </c>
      <c r="N28" s="35">
        <v>25.4</v>
      </c>
      <c r="O28" s="35">
        <v>17.7</v>
      </c>
      <c r="P28" s="35">
        <v>16.8</v>
      </c>
      <c r="Q28" s="35">
        <v>24.5</v>
      </c>
      <c r="R28" s="35">
        <v>26.1</v>
      </c>
      <c r="S28" s="35">
        <v>23.9</v>
      </c>
      <c r="T28" s="35">
        <v>25.9</v>
      </c>
      <c r="U28" s="35">
        <v>24.9</v>
      </c>
      <c r="V28" s="35">
        <v>19</v>
      </c>
      <c r="W28" s="35">
        <v>18.399999999999999</v>
      </c>
      <c r="X28" s="35">
        <v>18.8</v>
      </c>
      <c r="Y28" s="35">
        <v>18.8</v>
      </c>
      <c r="Z28" s="13">
        <v>14.1</v>
      </c>
      <c r="AA28" s="35">
        <v>15.5</v>
      </c>
      <c r="AB28" s="35">
        <v>15.5</v>
      </c>
      <c r="AC28" s="35">
        <v>25.2</v>
      </c>
      <c r="AD28" s="35">
        <v>25.5</v>
      </c>
      <c r="AE28" s="35">
        <v>23.5</v>
      </c>
      <c r="AF28" s="35">
        <v>23.2</v>
      </c>
    </row>
    <row r="29" spans="1:32" x14ac:dyDescent="0.25">
      <c r="A29" s="10">
        <v>14</v>
      </c>
      <c r="B29" s="35">
        <v>11.4</v>
      </c>
      <c r="C29" s="35">
        <v>16.600000000000001</v>
      </c>
      <c r="D29" s="35">
        <v>22.9</v>
      </c>
      <c r="E29" s="35">
        <v>26.5</v>
      </c>
      <c r="F29" s="35">
        <v>31.4</v>
      </c>
      <c r="G29" s="35">
        <v>23.3</v>
      </c>
      <c r="H29" s="35">
        <v>21.4</v>
      </c>
      <c r="I29" s="35">
        <v>24.6</v>
      </c>
      <c r="J29" s="35">
        <v>24.8</v>
      </c>
      <c r="K29" s="35">
        <v>22.4</v>
      </c>
      <c r="L29" s="35">
        <v>27.1</v>
      </c>
      <c r="M29" s="35">
        <v>28.4</v>
      </c>
      <c r="N29" s="35">
        <v>26.6</v>
      </c>
      <c r="O29" s="35">
        <v>18.399999999999999</v>
      </c>
      <c r="P29" s="35">
        <v>18</v>
      </c>
      <c r="Q29" s="35">
        <v>25.3</v>
      </c>
      <c r="R29" s="35">
        <v>27</v>
      </c>
      <c r="S29" s="35">
        <v>25</v>
      </c>
      <c r="T29" s="35">
        <v>27.4</v>
      </c>
      <c r="U29" s="35">
        <v>25.5</v>
      </c>
      <c r="V29" s="35">
        <v>19.2</v>
      </c>
      <c r="W29" s="35">
        <v>20</v>
      </c>
      <c r="X29" s="35">
        <v>20.100000000000001</v>
      </c>
      <c r="Y29" s="35">
        <v>20.100000000000001</v>
      </c>
      <c r="Z29" s="13">
        <v>14.3</v>
      </c>
      <c r="AA29" s="35">
        <v>15.7</v>
      </c>
      <c r="AB29" s="35">
        <v>15.7</v>
      </c>
      <c r="AC29" s="35">
        <v>25.2</v>
      </c>
      <c r="AD29" s="35">
        <v>26.1</v>
      </c>
      <c r="AE29" s="35">
        <v>24.2</v>
      </c>
      <c r="AF29" s="35">
        <v>23.5</v>
      </c>
    </row>
    <row r="30" spans="1:32" x14ac:dyDescent="0.25">
      <c r="A30" s="10">
        <v>16</v>
      </c>
      <c r="B30" s="35">
        <v>14.4</v>
      </c>
      <c r="C30" s="35">
        <v>17.100000000000001</v>
      </c>
      <c r="D30" s="35">
        <v>22.2</v>
      </c>
      <c r="E30" s="35">
        <v>27.4</v>
      </c>
      <c r="F30" s="35">
        <v>25.9</v>
      </c>
      <c r="G30" s="35">
        <v>23.6</v>
      </c>
      <c r="H30" s="35">
        <v>22.1</v>
      </c>
      <c r="I30" s="35">
        <v>25</v>
      </c>
      <c r="J30" s="35">
        <v>25.7</v>
      </c>
      <c r="K30" s="35">
        <v>24.2</v>
      </c>
      <c r="L30" s="35">
        <v>28.6</v>
      </c>
      <c r="M30" s="35">
        <v>29.2</v>
      </c>
      <c r="N30" s="35">
        <v>28.4</v>
      </c>
      <c r="O30" s="35">
        <v>18</v>
      </c>
      <c r="P30" s="35">
        <v>21</v>
      </c>
      <c r="Q30" s="35">
        <v>25.5</v>
      </c>
      <c r="R30" s="35">
        <v>27.1</v>
      </c>
      <c r="S30" s="35">
        <v>24.8</v>
      </c>
      <c r="T30" s="35">
        <v>27.6</v>
      </c>
      <c r="U30" s="35">
        <v>25.1</v>
      </c>
      <c r="V30" s="35">
        <v>20.2</v>
      </c>
      <c r="W30" s="35">
        <v>19.5</v>
      </c>
      <c r="X30" s="35">
        <v>19</v>
      </c>
      <c r="Y30" s="35">
        <v>19</v>
      </c>
      <c r="Z30" s="13">
        <v>15.3</v>
      </c>
      <c r="AA30" s="35">
        <v>17.8</v>
      </c>
      <c r="AB30" s="35">
        <v>17.8</v>
      </c>
      <c r="AC30" s="35">
        <v>25.1</v>
      </c>
      <c r="AD30" s="35">
        <v>22.4</v>
      </c>
      <c r="AE30" s="35">
        <v>25.1</v>
      </c>
      <c r="AF30" s="35">
        <v>23.5</v>
      </c>
    </row>
    <row r="31" spans="1:32" x14ac:dyDescent="0.25">
      <c r="A31" s="10">
        <v>18</v>
      </c>
      <c r="B31" s="35">
        <v>14.7</v>
      </c>
      <c r="C31" s="35">
        <v>17.3</v>
      </c>
      <c r="D31" s="35">
        <v>23.5</v>
      </c>
      <c r="E31" s="35">
        <v>25.5</v>
      </c>
      <c r="F31" s="35">
        <v>26.4</v>
      </c>
      <c r="G31" s="35">
        <v>23</v>
      </c>
      <c r="H31" s="35">
        <v>22.3</v>
      </c>
      <c r="I31" s="35">
        <v>24.7</v>
      </c>
      <c r="J31" s="35">
        <v>25.5</v>
      </c>
      <c r="K31" s="35">
        <v>22</v>
      </c>
      <c r="L31" s="35">
        <v>28</v>
      </c>
      <c r="M31" s="35">
        <v>27.2</v>
      </c>
      <c r="N31" s="35">
        <v>25.3</v>
      </c>
      <c r="O31" s="35">
        <v>17.3</v>
      </c>
      <c r="P31" s="35">
        <v>21.2</v>
      </c>
      <c r="Q31" s="35">
        <v>23.6</v>
      </c>
      <c r="R31" s="35">
        <v>25.2</v>
      </c>
      <c r="S31" s="35">
        <v>24.3</v>
      </c>
      <c r="T31" s="35">
        <v>26</v>
      </c>
      <c r="U31" s="35">
        <v>22.8</v>
      </c>
      <c r="V31" s="35">
        <v>19.2</v>
      </c>
      <c r="W31" s="35">
        <v>17.3</v>
      </c>
      <c r="X31" s="35">
        <v>18</v>
      </c>
      <c r="Y31" s="35">
        <v>18</v>
      </c>
      <c r="Z31" s="13">
        <v>14.3</v>
      </c>
      <c r="AA31" s="35">
        <v>16.899999999999999</v>
      </c>
      <c r="AB31" s="35">
        <v>16.899999999999999</v>
      </c>
      <c r="AC31" s="35">
        <v>24.8</v>
      </c>
      <c r="AD31" s="35">
        <v>24.7</v>
      </c>
      <c r="AE31" s="35">
        <v>23.1</v>
      </c>
      <c r="AF31" s="35">
        <v>21.8</v>
      </c>
    </row>
    <row r="32" spans="1:32" x14ac:dyDescent="0.25">
      <c r="A32" s="10">
        <v>20</v>
      </c>
      <c r="B32" s="35">
        <v>11.2</v>
      </c>
      <c r="C32" s="35">
        <v>15.9</v>
      </c>
      <c r="D32" s="35">
        <v>20.2</v>
      </c>
      <c r="E32" s="35">
        <v>24.6</v>
      </c>
      <c r="F32" s="35">
        <v>24.1</v>
      </c>
      <c r="G32" s="35">
        <v>19.5</v>
      </c>
      <c r="H32" s="35">
        <v>19.899999999999999</v>
      </c>
      <c r="I32" s="35">
        <v>22.6</v>
      </c>
      <c r="J32" s="35">
        <v>22.6</v>
      </c>
      <c r="K32" s="35">
        <v>21.4</v>
      </c>
      <c r="L32" s="35">
        <v>24.9</v>
      </c>
      <c r="M32" s="35">
        <v>23.9</v>
      </c>
      <c r="N32" s="35">
        <v>23.1</v>
      </c>
      <c r="O32" s="35">
        <v>17.100000000000001</v>
      </c>
      <c r="P32" s="35">
        <v>19.600000000000001</v>
      </c>
      <c r="Q32" s="35">
        <v>21.8</v>
      </c>
      <c r="R32" s="35">
        <v>21.9</v>
      </c>
      <c r="S32" s="35">
        <v>20.9</v>
      </c>
      <c r="T32" s="35">
        <v>23.5</v>
      </c>
      <c r="U32" s="35">
        <v>20</v>
      </c>
      <c r="V32" s="35">
        <v>17.8</v>
      </c>
      <c r="W32" s="35">
        <v>15.6</v>
      </c>
      <c r="X32" s="35">
        <v>17.399999999999999</v>
      </c>
      <c r="Y32" s="35">
        <v>17.399999999999999</v>
      </c>
      <c r="Z32" s="13">
        <v>13.8</v>
      </c>
      <c r="AA32" s="35">
        <v>15.6</v>
      </c>
      <c r="AB32" s="35">
        <v>15.6</v>
      </c>
      <c r="AC32" s="35">
        <v>22.7</v>
      </c>
      <c r="AD32" s="35">
        <v>20.5</v>
      </c>
      <c r="AE32" s="35">
        <v>20.5</v>
      </c>
      <c r="AF32" s="35">
        <v>19.899999999999999</v>
      </c>
    </row>
    <row r="33" spans="1:32" x14ac:dyDescent="0.25">
      <c r="A33" s="10">
        <v>22</v>
      </c>
      <c r="B33" s="35">
        <v>9.5</v>
      </c>
      <c r="C33" s="35">
        <v>11.1</v>
      </c>
      <c r="D33" s="35">
        <v>15.6</v>
      </c>
      <c r="E33" s="35">
        <v>21.7</v>
      </c>
      <c r="F33" s="35">
        <v>19.600000000000001</v>
      </c>
      <c r="G33" s="35">
        <v>14.8</v>
      </c>
      <c r="H33" s="35">
        <v>17.100000000000001</v>
      </c>
      <c r="I33" s="35">
        <v>18.100000000000001</v>
      </c>
      <c r="J33" s="35">
        <v>19.8</v>
      </c>
      <c r="K33" s="35">
        <v>17.600000000000001</v>
      </c>
      <c r="L33" s="35">
        <v>21.6</v>
      </c>
      <c r="M33" s="35">
        <v>19.5</v>
      </c>
      <c r="N33" s="35">
        <v>20</v>
      </c>
      <c r="O33" s="35">
        <v>17.3</v>
      </c>
      <c r="P33" s="35">
        <v>18.7</v>
      </c>
      <c r="Q33" s="35">
        <v>18.8</v>
      </c>
      <c r="R33" s="35">
        <v>18.600000000000001</v>
      </c>
      <c r="S33" s="35">
        <v>16.8</v>
      </c>
      <c r="T33" s="35">
        <v>20.2</v>
      </c>
      <c r="U33" s="35">
        <v>17</v>
      </c>
      <c r="V33" s="35">
        <v>15.9</v>
      </c>
      <c r="W33" s="35">
        <v>14.3</v>
      </c>
      <c r="X33" s="35">
        <v>16.5</v>
      </c>
      <c r="Y33" s="35">
        <v>16.5</v>
      </c>
      <c r="Z33" s="13">
        <v>13.7</v>
      </c>
      <c r="AA33" s="35">
        <v>15</v>
      </c>
      <c r="AB33" s="35">
        <v>15</v>
      </c>
      <c r="AC33" s="35">
        <v>17.100000000000001</v>
      </c>
      <c r="AD33" s="35">
        <v>18.399999999999999</v>
      </c>
      <c r="AE33" s="35">
        <v>18.5</v>
      </c>
      <c r="AF33" s="35">
        <v>16.600000000000001</v>
      </c>
    </row>
    <row r="34" spans="1:32" x14ac:dyDescent="0.25">
      <c r="A34" s="10">
        <v>24</v>
      </c>
      <c r="B34" s="35">
        <v>5.6</v>
      </c>
      <c r="C34" s="35">
        <v>8.6999999999999993</v>
      </c>
      <c r="D34" s="35">
        <v>14.7</v>
      </c>
      <c r="E34" s="35">
        <v>19.100000000000001</v>
      </c>
      <c r="F34" s="35">
        <v>17.2</v>
      </c>
      <c r="G34" s="35">
        <v>12.1</v>
      </c>
      <c r="H34" s="35">
        <v>14.6</v>
      </c>
      <c r="I34" s="35">
        <v>15.8</v>
      </c>
      <c r="J34" s="35">
        <v>16.600000000000001</v>
      </c>
      <c r="K34" s="35">
        <v>15.1</v>
      </c>
      <c r="L34" s="35">
        <v>18.8</v>
      </c>
      <c r="M34" s="35">
        <v>17.3</v>
      </c>
      <c r="N34" s="35">
        <v>19</v>
      </c>
      <c r="O34" s="35">
        <v>17.7</v>
      </c>
      <c r="P34" s="35">
        <v>17.8</v>
      </c>
      <c r="Q34" s="35">
        <v>16</v>
      </c>
      <c r="R34" s="35">
        <v>16.399999999999999</v>
      </c>
      <c r="S34" s="35">
        <v>16.5</v>
      </c>
      <c r="T34" s="35">
        <v>18.399999999999999</v>
      </c>
      <c r="U34" s="35">
        <v>15.3</v>
      </c>
      <c r="V34" s="35">
        <v>14.2</v>
      </c>
      <c r="W34" s="35">
        <v>12.7</v>
      </c>
      <c r="X34" s="35">
        <v>16.899999999999999</v>
      </c>
      <c r="Y34" s="35">
        <v>16.899999999999999</v>
      </c>
      <c r="Z34" s="13">
        <v>13.7</v>
      </c>
      <c r="AA34" s="35">
        <v>14.9</v>
      </c>
      <c r="AB34" s="35">
        <v>14.9</v>
      </c>
      <c r="AC34" s="35">
        <v>17.3</v>
      </c>
      <c r="AD34" s="35">
        <v>17.5</v>
      </c>
      <c r="AE34" s="35">
        <v>16.2</v>
      </c>
      <c r="AF34" s="35">
        <v>15.7</v>
      </c>
    </row>
    <row r="35" spans="1:32" x14ac:dyDescent="0.25">
      <c r="A35" s="10">
        <v>2</v>
      </c>
      <c r="B35" s="35">
        <v>4.5999999999999996</v>
      </c>
      <c r="C35" s="35">
        <v>7.3</v>
      </c>
      <c r="D35" s="35">
        <v>13.6</v>
      </c>
      <c r="E35" s="35">
        <v>18.600000000000001</v>
      </c>
      <c r="F35" s="35">
        <v>15.1</v>
      </c>
      <c r="G35" s="35">
        <v>11.3</v>
      </c>
      <c r="H35" s="35">
        <v>13.3</v>
      </c>
      <c r="I35" s="35">
        <v>13.9</v>
      </c>
      <c r="J35" s="35">
        <v>15</v>
      </c>
      <c r="K35" s="35">
        <v>13.9</v>
      </c>
      <c r="L35" s="35">
        <v>18</v>
      </c>
      <c r="M35" s="35">
        <v>16</v>
      </c>
      <c r="N35" s="35">
        <v>18.399999999999999</v>
      </c>
      <c r="O35" s="35">
        <v>17</v>
      </c>
      <c r="P35" s="35">
        <v>16.7</v>
      </c>
      <c r="Q35" s="35">
        <v>15</v>
      </c>
      <c r="R35" s="35">
        <v>15.3</v>
      </c>
      <c r="S35" s="35">
        <v>16.100000000000001</v>
      </c>
      <c r="T35" s="35">
        <v>17.399999999999999</v>
      </c>
      <c r="U35" s="35">
        <v>13.6</v>
      </c>
      <c r="V35" s="35">
        <v>14</v>
      </c>
      <c r="W35" s="35">
        <v>11.1</v>
      </c>
      <c r="X35" s="35">
        <v>16.3</v>
      </c>
      <c r="Y35" s="35">
        <v>16.3</v>
      </c>
      <c r="Z35" s="13">
        <v>13.6</v>
      </c>
      <c r="AA35" s="35">
        <v>14.9</v>
      </c>
      <c r="AB35" s="35">
        <v>14.9</v>
      </c>
      <c r="AC35" s="35">
        <v>17.5</v>
      </c>
      <c r="AD35" s="35">
        <v>19</v>
      </c>
      <c r="AE35" s="35">
        <v>15.9</v>
      </c>
      <c r="AF35" s="35">
        <v>15</v>
      </c>
    </row>
    <row r="36" spans="1:32" ht="30" x14ac:dyDescent="0.25">
      <c r="A36" s="11" t="s">
        <v>2</v>
      </c>
      <c r="B36" s="15">
        <f t="shared" ref="B36:H36" si="4">AVERAGE(B24+B25+B26+B27+B28+B29+B30+B31+B32+B33+B34+B35)/12</f>
        <v>11.525</v>
      </c>
      <c r="C36" s="15">
        <f t="shared" si="4"/>
        <v>12.666666666666666</v>
      </c>
      <c r="D36" s="15">
        <f t="shared" si="4"/>
        <v>17.833333333333332</v>
      </c>
      <c r="E36" s="15">
        <f t="shared" si="4"/>
        <v>22.033333333333331</v>
      </c>
      <c r="F36" s="15">
        <f t="shared" si="4"/>
        <v>23.658333333333335</v>
      </c>
      <c r="G36" s="15">
        <f t="shared" si="4"/>
        <v>17.858333333333334</v>
      </c>
      <c r="H36" s="15">
        <f t="shared" si="4"/>
        <v>17.633333333333336</v>
      </c>
      <c r="I36" s="15">
        <f t="shared" ref="I36:O36" si="5">AVERAGE(I24+I25+I26+I27+I28+I29+I30+I31+I32+I33+I34+I35)/12</f>
        <v>20.008333333333333</v>
      </c>
      <c r="J36" s="15">
        <f t="shared" si="5"/>
        <v>20.875</v>
      </c>
      <c r="K36" s="15">
        <f t="shared" si="5"/>
        <v>19.274999999999999</v>
      </c>
      <c r="L36" s="15">
        <f t="shared" si="5"/>
        <v>22.916666666666668</v>
      </c>
      <c r="M36" s="15">
        <f t="shared" si="5"/>
        <v>23.458333333333332</v>
      </c>
      <c r="N36" s="15">
        <f t="shared" si="5"/>
        <v>22.383333333333336</v>
      </c>
      <c r="O36" s="15">
        <f t="shared" si="5"/>
        <v>17.641666666666669</v>
      </c>
      <c r="P36" s="15">
        <f t="shared" ref="P36:V36" si="6">AVERAGE(P24+P25+P26+P27+P28+P29+P30+P31+P32+P33+P34+P35)/12</f>
        <v>18.074999999999999</v>
      </c>
      <c r="Q36" s="15">
        <f t="shared" si="6"/>
        <v>20.833333333333336</v>
      </c>
      <c r="R36" s="15">
        <f t="shared" si="6"/>
        <v>21.616666666666664</v>
      </c>
      <c r="S36" s="15">
        <f t="shared" si="6"/>
        <v>20.400000000000002</v>
      </c>
      <c r="T36" s="15">
        <f t="shared" si="6"/>
        <v>22.141666666666666</v>
      </c>
      <c r="U36" s="15">
        <f t="shared" si="6"/>
        <v>20.675000000000001</v>
      </c>
      <c r="V36" s="15">
        <f t="shared" si="6"/>
        <v>16.616666666666667</v>
      </c>
      <c r="W36" s="15">
        <f>AVERAGE(W24+W25+W26+W27+W28+W29+W30+W31+W32+W33+W34+W35)/12</f>
        <v>15.716666666666667</v>
      </c>
      <c r="X36" s="15">
        <f>AVERAGE(X24+X25+X26+X27+X28+X29+X30+X31+X32+X33+X34+X35)/12</f>
        <v>16.533333333333335</v>
      </c>
      <c r="Y36" s="15">
        <f>AVERAGE(Y24+Y25+Y26+Y27+Y28+Y29+Y30+Y31+Y32+Y33+Y34+Y35)/12</f>
        <v>16.533333333333335</v>
      </c>
      <c r="Z36" s="15">
        <f>AVERAGEA(Z24:Z35)</f>
        <v>14.074999999999998</v>
      </c>
      <c r="AA36" s="15">
        <f t="shared" ref="AA36:AF36" si="7">AVERAGE(AA24+AA25+AA26+AA27+AA28+AA29+AA30+AA31+AA32+AA33+AA34+AA35)/12</f>
        <v>15.208333333333334</v>
      </c>
      <c r="AB36" s="15">
        <f t="shared" si="7"/>
        <v>15.208333333333334</v>
      </c>
      <c r="AC36" s="15">
        <f t="shared" si="7"/>
        <v>21.358333333333334</v>
      </c>
      <c r="AD36" s="15">
        <f t="shared" si="7"/>
        <v>21.224999999999998</v>
      </c>
      <c r="AE36" s="15">
        <f t="shared" si="7"/>
        <v>20.658333333333331</v>
      </c>
      <c r="AF36" s="15">
        <f t="shared" si="7"/>
        <v>19.433333333333334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0" zoomScaleNormal="80" workbookViewId="0">
      <pane xSplit="1" topLeftCell="B1" activePane="topRight" state="frozen"/>
      <selection pane="topRight" activeCell="AA42" sqref="AA42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1" t="s">
        <v>62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4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35">
        <v>15</v>
      </c>
      <c r="C4" s="35">
        <v>18</v>
      </c>
      <c r="D4" s="35">
        <v>18.600000000000001</v>
      </c>
      <c r="E4" s="35">
        <v>18</v>
      </c>
      <c r="F4" s="35">
        <v>16.16</v>
      </c>
      <c r="G4" s="35">
        <v>11</v>
      </c>
      <c r="H4" s="35">
        <v>10.8</v>
      </c>
      <c r="I4" s="35">
        <v>10</v>
      </c>
      <c r="J4" s="35">
        <v>8.3000000000000007</v>
      </c>
      <c r="K4" s="35">
        <v>10.3</v>
      </c>
      <c r="L4" s="35">
        <v>12.1</v>
      </c>
      <c r="M4" s="35">
        <v>11.3</v>
      </c>
      <c r="N4" s="35">
        <v>12.5</v>
      </c>
      <c r="O4" s="35">
        <v>16.5</v>
      </c>
      <c r="P4" s="35">
        <v>14.5</v>
      </c>
      <c r="Q4" s="35">
        <v>12.1</v>
      </c>
      <c r="R4" s="35">
        <v>12.53</v>
      </c>
      <c r="S4" s="35">
        <v>11.2</v>
      </c>
      <c r="T4" s="35">
        <v>13</v>
      </c>
      <c r="U4" s="35">
        <v>11.6</v>
      </c>
      <c r="V4" s="35">
        <v>14.27</v>
      </c>
      <c r="W4" s="35">
        <v>11.4</v>
      </c>
      <c r="X4" s="35">
        <v>10.6</v>
      </c>
      <c r="Y4" s="35">
        <v>13.4</v>
      </c>
      <c r="Z4" s="35">
        <v>9.8000000000000007</v>
      </c>
      <c r="AA4" s="35">
        <v>10</v>
      </c>
      <c r="AB4" s="35">
        <v>10</v>
      </c>
      <c r="AC4" s="35">
        <v>11.2</v>
      </c>
      <c r="AD4" s="35">
        <v>13.8</v>
      </c>
      <c r="AE4" s="35">
        <v>9.4</v>
      </c>
      <c r="AF4" s="35">
        <v>8.33</v>
      </c>
    </row>
    <row r="5" spans="1:32" x14ac:dyDescent="0.25">
      <c r="A5" s="10">
        <v>6</v>
      </c>
      <c r="B5" s="35">
        <v>17</v>
      </c>
      <c r="C5" s="35">
        <v>18</v>
      </c>
      <c r="D5" s="35">
        <v>19.100000000000001</v>
      </c>
      <c r="E5" s="35">
        <v>18</v>
      </c>
      <c r="F5" s="35">
        <v>17.079999999999998</v>
      </c>
      <c r="G5" s="35">
        <v>11</v>
      </c>
      <c r="H5" s="35">
        <v>10.9</v>
      </c>
      <c r="I5" s="35">
        <v>10.4</v>
      </c>
      <c r="J5" s="35">
        <v>9.16</v>
      </c>
      <c r="K5" s="35">
        <v>10.7</v>
      </c>
      <c r="L5" s="35">
        <v>12.5</v>
      </c>
      <c r="M5" s="35">
        <v>11.3</v>
      </c>
      <c r="N5" s="35">
        <v>12.87</v>
      </c>
      <c r="O5" s="35">
        <v>16.7</v>
      </c>
      <c r="P5" s="35">
        <v>14.3</v>
      </c>
      <c r="Q5" s="35">
        <v>12</v>
      </c>
      <c r="R5" s="35">
        <v>12.35</v>
      </c>
      <c r="S5" s="35">
        <v>11.9</v>
      </c>
      <c r="T5" s="35">
        <v>13.1</v>
      </c>
      <c r="U5" s="35">
        <v>11.6</v>
      </c>
      <c r="V5" s="35">
        <v>14.22</v>
      </c>
      <c r="W5" s="35">
        <v>12</v>
      </c>
      <c r="X5" s="35">
        <v>11.5</v>
      </c>
      <c r="Y5" s="35">
        <v>13.4</v>
      </c>
      <c r="Z5" s="35">
        <v>9.8000000000000007</v>
      </c>
      <c r="AA5" s="35">
        <v>10.6</v>
      </c>
      <c r="AB5" s="35">
        <v>11.7</v>
      </c>
      <c r="AC5" s="35">
        <v>11.7</v>
      </c>
      <c r="AD5" s="35">
        <v>13.4</v>
      </c>
      <c r="AE5" s="35">
        <v>9.4</v>
      </c>
      <c r="AF5" s="35">
        <v>8.8699999999999992</v>
      </c>
    </row>
    <row r="6" spans="1:32" x14ac:dyDescent="0.25">
      <c r="A6" s="10">
        <v>8</v>
      </c>
      <c r="B6" s="35">
        <v>21.2</v>
      </c>
      <c r="C6" s="35">
        <v>20</v>
      </c>
      <c r="D6" s="35">
        <v>18.5</v>
      </c>
      <c r="E6" s="35">
        <v>20</v>
      </c>
      <c r="F6" s="35">
        <v>19.3</v>
      </c>
      <c r="G6" s="35">
        <v>12</v>
      </c>
      <c r="H6" s="35">
        <v>11.5</v>
      </c>
      <c r="I6" s="35">
        <v>11.3</v>
      </c>
      <c r="J6" s="35">
        <v>12.2</v>
      </c>
      <c r="K6" s="35">
        <v>11.6</v>
      </c>
      <c r="L6" s="35">
        <v>12.5</v>
      </c>
      <c r="M6" s="35">
        <v>13</v>
      </c>
      <c r="N6" s="35">
        <v>17.8</v>
      </c>
      <c r="O6" s="35">
        <v>17.7</v>
      </c>
      <c r="P6" s="35">
        <v>14.6</v>
      </c>
      <c r="Q6" s="35">
        <v>16</v>
      </c>
      <c r="R6" s="35">
        <v>14.6</v>
      </c>
      <c r="S6" s="35">
        <v>17.899999999999999</v>
      </c>
      <c r="T6" s="35">
        <v>15</v>
      </c>
      <c r="U6" s="35">
        <v>17</v>
      </c>
      <c r="V6" s="35">
        <v>17</v>
      </c>
      <c r="W6" s="35">
        <v>15.9</v>
      </c>
      <c r="X6" s="35">
        <v>14.08</v>
      </c>
      <c r="Y6" s="35">
        <v>13</v>
      </c>
      <c r="Z6" s="35">
        <v>11.5</v>
      </c>
      <c r="AA6" s="35">
        <v>11.3</v>
      </c>
      <c r="AB6" s="35">
        <v>14.9</v>
      </c>
      <c r="AC6" s="35">
        <v>16.3</v>
      </c>
      <c r="AD6" s="35">
        <v>14.5</v>
      </c>
      <c r="AE6" s="35">
        <v>10.94</v>
      </c>
      <c r="AF6" s="35">
        <v>10</v>
      </c>
    </row>
    <row r="7" spans="1:32" x14ac:dyDescent="0.25">
      <c r="A7" s="10">
        <v>10</v>
      </c>
      <c r="B7" s="35">
        <v>21.5</v>
      </c>
      <c r="C7" s="35">
        <v>20.5</v>
      </c>
      <c r="D7" s="35">
        <v>19.28</v>
      </c>
      <c r="E7" s="35">
        <v>19.5</v>
      </c>
      <c r="F7" s="35">
        <v>24</v>
      </c>
      <c r="G7" s="35">
        <v>12.4</v>
      </c>
      <c r="H7" s="35">
        <v>12.1</v>
      </c>
      <c r="I7" s="35">
        <v>12</v>
      </c>
      <c r="J7" s="35">
        <v>13.9</v>
      </c>
      <c r="K7" s="35">
        <v>12.6</v>
      </c>
      <c r="L7" s="35">
        <v>13.2</v>
      </c>
      <c r="M7" s="35">
        <v>14.7</v>
      </c>
      <c r="N7" s="35">
        <v>19.2</v>
      </c>
      <c r="O7" s="35">
        <v>19.899999999999999</v>
      </c>
      <c r="P7" s="35">
        <v>15.8</v>
      </c>
      <c r="Q7" s="35">
        <v>17.399999999999999</v>
      </c>
      <c r="R7" s="35">
        <v>16.8</v>
      </c>
      <c r="S7" s="35">
        <v>20.8</v>
      </c>
      <c r="T7" s="35">
        <v>17.2</v>
      </c>
      <c r="U7" s="35">
        <v>22.3</v>
      </c>
      <c r="V7" s="35">
        <v>19.399999999999999</v>
      </c>
      <c r="W7" s="35">
        <v>19.3</v>
      </c>
      <c r="X7" s="35">
        <v>17</v>
      </c>
      <c r="Y7" s="35">
        <v>16</v>
      </c>
      <c r="Z7" s="35">
        <v>13.3</v>
      </c>
      <c r="AA7" s="35">
        <v>13</v>
      </c>
      <c r="AB7" s="35">
        <v>17.8</v>
      </c>
      <c r="AC7" s="35">
        <v>19.899999999999999</v>
      </c>
      <c r="AD7" s="35">
        <v>15</v>
      </c>
      <c r="AE7" s="35">
        <v>11.79</v>
      </c>
      <c r="AF7" s="35">
        <v>10.3</v>
      </c>
    </row>
    <row r="8" spans="1:32" x14ac:dyDescent="0.25">
      <c r="A8" s="10">
        <v>12</v>
      </c>
      <c r="B8" s="35">
        <v>23.9</v>
      </c>
      <c r="C8" s="35">
        <v>22.2</v>
      </c>
      <c r="D8" s="35">
        <v>21.16</v>
      </c>
      <c r="E8" s="35">
        <v>20</v>
      </c>
      <c r="F8" s="35">
        <v>25.2</v>
      </c>
      <c r="G8" s="35">
        <v>12.4</v>
      </c>
      <c r="H8" s="35">
        <v>14.1</v>
      </c>
      <c r="I8" s="35">
        <v>13</v>
      </c>
      <c r="J8" s="35">
        <v>14.1</v>
      </c>
      <c r="K8" s="35">
        <v>15.2</v>
      </c>
      <c r="L8" s="35">
        <v>12.3</v>
      </c>
      <c r="M8" s="35">
        <v>13.7</v>
      </c>
      <c r="N8" s="35">
        <v>20.8</v>
      </c>
      <c r="O8" s="35">
        <v>21.8</v>
      </c>
      <c r="P8" s="35">
        <v>18.399999999999999</v>
      </c>
      <c r="Q8" s="35">
        <v>18.600000000000001</v>
      </c>
      <c r="R8" s="35">
        <v>21</v>
      </c>
      <c r="S8" s="35">
        <v>21.7</v>
      </c>
      <c r="T8" s="35">
        <v>19.3</v>
      </c>
      <c r="U8" s="35">
        <v>20.2</v>
      </c>
      <c r="V8" s="35">
        <v>21.2</v>
      </c>
      <c r="W8" s="35">
        <v>20.100000000000001</v>
      </c>
      <c r="X8" s="35">
        <v>18.12</v>
      </c>
      <c r="Y8" s="35">
        <v>17</v>
      </c>
      <c r="Z8" s="35">
        <v>14.7</v>
      </c>
      <c r="AA8" s="35">
        <v>14.2</v>
      </c>
      <c r="AB8" s="35">
        <v>19.3</v>
      </c>
      <c r="AC8" s="35">
        <v>22.2</v>
      </c>
      <c r="AD8" s="35">
        <v>16</v>
      </c>
      <c r="AE8" s="35">
        <v>12.91</v>
      </c>
      <c r="AF8" s="35">
        <v>12.3</v>
      </c>
    </row>
    <row r="9" spans="1:32" x14ac:dyDescent="0.25">
      <c r="A9" s="10">
        <v>14</v>
      </c>
      <c r="B9" s="35">
        <v>25.2</v>
      </c>
      <c r="C9" s="35">
        <v>24.4</v>
      </c>
      <c r="D9" s="35">
        <v>22.84</v>
      </c>
      <c r="E9" s="35">
        <v>20.94</v>
      </c>
      <c r="F9" s="35">
        <v>24.1</v>
      </c>
      <c r="G9" s="35">
        <v>13</v>
      </c>
      <c r="H9" s="35">
        <v>13.5</v>
      </c>
      <c r="I9" s="35">
        <v>13.73</v>
      </c>
      <c r="J9" s="35">
        <v>14.8</v>
      </c>
      <c r="K9" s="35">
        <v>17.8</v>
      </c>
      <c r="L9" s="35">
        <v>12.2</v>
      </c>
      <c r="M9" s="35">
        <v>14</v>
      </c>
      <c r="N9" s="35">
        <v>14.7</v>
      </c>
      <c r="O9" s="35">
        <v>18.100000000000001</v>
      </c>
      <c r="P9" s="35">
        <v>19.8</v>
      </c>
      <c r="Q9" s="35">
        <v>17</v>
      </c>
      <c r="R9" s="35">
        <v>21.3</v>
      </c>
      <c r="S9" s="35">
        <v>22</v>
      </c>
      <c r="T9" s="35">
        <v>19.2</v>
      </c>
      <c r="U9" s="35">
        <v>18</v>
      </c>
      <c r="V9" s="35">
        <v>22.7</v>
      </c>
      <c r="W9" s="35">
        <v>21</v>
      </c>
      <c r="X9" s="35">
        <v>17.62</v>
      </c>
      <c r="Y9" s="35">
        <v>19</v>
      </c>
      <c r="Z9" s="35">
        <v>16.7</v>
      </c>
      <c r="AA9" s="35">
        <v>14.9</v>
      </c>
      <c r="AB9" s="35">
        <v>20.9</v>
      </c>
      <c r="AC9" s="35">
        <v>22</v>
      </c>
      <c r="AD9" s="35">
        <v>16</v>
      </c>
      <c r="AE9" s="35">
        <v>13.98</v>
      </c>
      <c r="AF9" s="35">
        <v>11.9</v>
      </c>
    </row>
    <row r="10" spans="1:32" x14ac:dyDescent="0.25">
      <c r="A10" s="10">
        <v>16</v>
      </c>
      <c r="B10" s="35">
        <v>25.2</v>
      </c>
      <c r="C10" s="35">
        <v>25.1</v>
      </c>
      <c r="D10" s="35">
        <v>23.8</v>
      </c>
      <c r="E10" s="35">
        <v>22</v>
      </c>
      <c r="F10" s="35">
        <v>21.6</v>
      </c>
      <c r="G10" s="35">
        <v>13.4</v>
      </c>
      <c r="H10" s="35">
        <v>13.7</v>
      </c>
      <c r="I10" s="35">
        <v>13.9</v>
      </c>
      <c r="J10" s="35">
        <v>15.8</v>
      </c>
      <c r="K10" s="15">
        <v>17.45</v>
      </c>
      <c r="L10" s="35">
        <v>13.1</v>
      </c>
      <c r="M10" s="35">
        <v>16.5</v>
      </c>
      <c r="N10" s="35">
        <v>19.600000000000001</v>
      </c>
      <c r="O10" s="35">
        <v>18.7</v>
      </c>
      <c r="P10" s="35">
        <v>15.8</v>
      </c>
      <c r="Q10" s="35">
        <v>17</v>
      </c>
      <c r="R10" s="35">
        <v>21.6</v>
      </c>
      <c r="S10" s="35">
        <v>20.399999999999999</v>
      </c>
      <c r="T10" s="35">
        <v>22.9</v>
      </c>
      <c r="U10" s="35">
        <v>17</v>
      </c>
      <c r="V10" s="35">
        <v>22.2</v>
      </c>
      <c r="W10" s="35">
        <v>21</v>
      </c>
      <c r="X10" s="35">
        <v>16.899999999999999</v>
      </c>
      <c r="Y10" s="35">
        <v>19.8</v>
      </c>
      <c r="Z10" s="35">
        <v>15.2</v>
      </c>
      <c r="AA10" s="35">
        <v>15.2</v>
      </c>
      <c r="AB10" s="35">
        <v>21.6</v>
      </c>
      <c r="AC10" s="35">
        <v>21.4</v>
      </c>
      <c r="AD10" s="35">
        <v>14</v>
      </c>
      <c r="AE10" s="35">
        <v>11.88</v>
      </c>
      <c r="AF10" s="35">
        <v>11.4</v>
      </c>
    </row>
    <row r="11" spans="1:32" x14ac:dyDescent="0.25">
      <c r="A11" s="10">
        <v>18</v>
      </c>
      <c r="B11" s="35">
        <v>23.3</v>
      </c>
      <c r="C11" s="35">
        <v>25.4</v>
      </c>
      <c r="D11" s="35">
        <v>23.9</v>
      </c>
      <c r="E11" s="35">
        <v>21.73</v>
      </c>
      <c r="F11" s="35">
        <v>18.3</v>
      </c>
      <c r="G11" s="35">
        <v>13.3</v>
      </c>
      <c r="H11" s="35">
        <v>14.6</v>
      </c>
      <c r="I11" s="35">
        <v>14.7</v>
      </c>
      <c r="J11" s="35">
        <v>15.6</v>
      </c>
      <c r="K11" s="15">
        <v>17.73</v>
      </c>
      <c r="L11" s="35">
        <v>14.2</v>
      </c>
      <c r="M11" s="35">
        <v>14.7</v>
      </c>
      <c r="N11" s="35">
        <v>18.899999999999999</v>
      </c>
      <c r="O11" s="35">
        <v>16.3</v>
      </c>
      <c r="P11" s="35">
        <v>18</v>
      </c>
      <c r="Q11" s="35">
        <v>16.2</v>
      </c>
      <c r="R11" s="35">
        <v>20.88</v>
      </c>
      <c r="S11" s="35">
        <v>19.27</v>
      </c>
      <c r="T11" s="35">
        <v>22.8</v>
      </c>
      <c r="U11" s="35">
        <v>17.5</v>
      </c>
      <c r="V11" s="35">
        <v>19.5</v>
      </c>
      <c r="W11" s="35">
        <v>18.899999999999999</v>
      </c>
      <c r="X11" s="35">
        <v>16.3</v>
      </c>
      <c r="Y11" s="35">
        <v>17.2</v>
      </c>
      <c r="Z11" s="35">
        <v>14.2</v>
      </c>
      <c r="AA11" s="35">
        <v>13.6</v>
      </c>
      <c r="AB11" s="35">
        <v>20.9</v>
      </c>
      <c r="AC11" s="35">
        <v>18.8</v>
      </c>
      <c r="AD11" s="35">
        <v>14.9</v>
      </c>
      <c r="AE11" s="35">
        <v>12.25</v>
      </c>
      <c r="AF11" s="35">
        <v>9.77</v>
      </c>
    </row>
    <row r="12" spans="1:32" x14ac:dyDescent="0.25">
      <c r="A12" s="10">
        <v>20</v>
      </c>
      <c r="B12" s="35">
        <v>21</v>
      </c>
      <c r="C12" s="35">
        <v>23.2</v>
      </c>
      <c r="D12" s="35">
        <v>21.2</v>
      </c>
      <c r="E12" s="35">
        <v>18.89</v>
      </c>
      <c r="F12" s="35">
        <v>15.8</v>
      </c>
      <c r="G12" s="35">
        <v>12.5</v>
      </c>
      <c r="H12" s="35">
        <v>13.7</v>
      </c>
      <c r="I12" s="35">
        <v>13.34</v>
      </c>
      <c r="J12" s="35">
        <v>14</v>
      </c>
      <c r="K12" s="35">
        <v>15.9</v>
      </c>
      <c r="L12" s="35">
        <v>13.3</v>
      </c>
      <c r="M12" s="35">
        <v>13.52</v>
      </c>
      <c r="N12" s="35">
        <v>17.600000000000001</v>
      </c>
      <c r="O12" s="35">
        <v>16.100000000000001</v>
      </c>
      <c r="P12" s="35">
        <v>15.4</v>
      </c>
      <c r="Q12" s="35">
        <v>15.15</v>
      </c>
      <c r="R12" s="35">
        <v>18</v>
      </c>
      <c r="S12" s="35">
        <v>15.7</v>
      </c>
      <c r="T12" s="35">
        <v>17.5</v>
      </c>
      <c r="U12" s="35">
        <v>16.309999999999999</v>
      </c>
      <c r="V12" s="35">
        <v>16.5</v>
      </c>
      <c r="W12" s="35">
        <v>16.3</v>
      </c>
      <c r="X12" s="35">
        <v>15.1</v>
      </c>
      <c r="Y12" s="35">
        <v>15.7</v>
      </c>
      <c r="Z12" s="35">
        <v>13</v>
      </c>
      <c r="AA12" s="35">
        <v>12</v>
      </c>
      <c r="AB12" s="35">
        <v>16.899999999999999</v>
      </c>
      <c r="AC12" s="35">
        <v>17.2</v>
      </c>
      <c r="AD12" s="35">
        <v>14.8</v>
      </c>
      <c r="AE12" s="35">
        <v>10.79</v>
      </c>
      <c r="AF12" s="35">
        <v>7.1</v>
      </c>
    </row>
    <row r="13" spans="1:32" x14ac:dyDescent="0.25">
      <c r="A13" s="10">
        <v>22</v>
      </c>
      <c r="B13" s="35">
        <v>20</v>
      </c>
      <c r="C13" s="35">
        <v>21.4</v>
      </c>
      <c r="D13" s="35">
        <v>20.3</v>
      </c>
      <c r="E13" s="35">
        <v>18</v>
      </c>
      <c r="F13" s="35">
        <v>12.4</v>
      </c>
      <c r="G13" s="35">
        <v>11.9</v>
      </c>
      <c r="H13" s="35">
        <v>12.9</v>
      </c>
      <c r="I13" s="35">
        <v>12.55</v>
      </c>
      <c r="J13" s="35">
        <v>12.6</v>
      </c>
      <c r="K13" s="35">
        <v>14.7</v>
      </c>
      <c r="L13" s="35">
        <v>12.8</v>
      </c>
      <c r="M13" s="35">
        <v>12.47</v>
      </c>
      <c r="N13" s="35">
        <v>16.8</v>
      </c>
      <c r="O13" s="35">
        <v>14.9</v>
      </c>
      <c r="P13" s="35">
        <v>14.4</v>
      </c>
      <c r="Q13" s="35">
        <v>14.68</v>
      </c>
      <c r="R13" s="35">
        <v>14</v>
      </c>
      <c r="S13" s="35">
        <v>15.1</v>
      </c>
      <c r="T13" s="35">
        <v>15.3</v>
      </c>
      <c r="U13" s="35">
        <v>15.58</v>
      </c>
      <c r="V13" s="35">
        <v>14.87</v>
      </c>
      <c r="W13" s="35">
        <v>13.6</v>
      </c>
      <c r="X13" s="35">
        <v>14.5</v>
      </c>
      <c r="Y13" s="35">
        <v>14.7</v>
      </c>
      <c r="Z13" s="35">
        <v>11</v>
      </c>
      <c r="AA13" s="35">
        <v>11</v>
      </c>
      <c r="AB13" s="35">
        <v>15.5</v>
      </c>
      <c r="AC13" s="35">
        <v>16.7</v>
      </c>
      <c r="AD13" s="35">
        <v>14.2</v>
      </c>
      <c r="AE13" s="35">
        <v>10.06</v>
      </c>
      <c r="AF13" s="35">
        <v>7.47</v>
      </c>
    </row>
    <row r="14" spans="1:32" x14ac:dyDescent="0.25">
      <c r="A14" s="10">
        <v>24</v>
      </c>
      <c r="B14" s="35">
        <v>19</v>
      </c>
      <c r="C14" s="35">
        <v>18.899999999999999</v>
      </c>
      <c r="D14" s="35">
        <v>19.3</v>
      </c>
      <c r="E14" s="35">
        <v>17.260000000000002</v>
      </c>
      <c r="F14" s="35">
        <v>11</v>
      </c>
      <c r="G14" s="35">
        <v>11.3</v>
      </c>
      <c r="H14" s="35">
        <v>11.1</v>
      </c>
      <c r="I14" s="35">
        <v>12.44</v>
      </c>
      <c r="J14" s="35">
        <v>12</v>
      </c>
      <c r="K14" s="35">
        <v>12.8</v>
      </c>
      <c r="L14" s="35">
        <v>12.3</v>
      </c>
      <c r="M14" s="35">
        <v>12.37</v>
      </c>
      <c r="N14" s="35">
        <v>15.4</v>
      </c>
      <c r="O14" s="35">
        <v>15.1</v>
      </c>
      <c r="P14" s="35">
        <v>13.7</v>
      </c>
      <c r="Q14" s="35">
        <v>14.2</v>
      </c>
      <c r="R14" s="35">
        <v>13</v>
      </c>
      <c r="S14" s="35">
        <v>13.9</v>
      </c>
      <c r="T14" s="35">
        <v>13.9</v>
      </c>
      <c r="U14" s="35">
        <v>14.75</v>
      </c>
      <c r="V14" s="35">
        <v>13.71</v>
      </c>
      <c r="W14" s="35">
        <v>12.4</v>
      </c>
      <c r="X14" s="35">
        <v>14</v>
      </c>
      <c r="Y14" s="35">
        <v>13.9</v>
      </c>
      <c r="Z14" s="35">
        <v>11</v>
      </c>
      <c r="AA14" s="35">
        <v>11</v>
      </c>
      <c r="AB14" s="35">
        <v>13.6</v>
      </c>
      <c r="AC14" s="35">
        <v>14.8</v>
      </c>
      <c r="AD14" s="35">
        <v>12.8</v>
      </c>
      <c r="AE14" s="35">
        <v>9.1</v>
      </c>
      <c r="AF14" s="35">
        <v>7.41</v>
      </c>
    </row>
    <row r="15" spans="1:32" x14ac:dyDescent="0.25">
      <c r="A15" s="10">
        <v>2</v>
      </c>
      <c r="B15" s="35">
        <v>18.2</v>
      </c>
      <c r="C15" s="35">
        <v>18.41</v>
      </c>
      <c r="D15" s="35">
        <v>18.05</v>
      </c>
      <c r="E15" s="35">
        <v>16.670000000000002</v>
      </c>
      <c r="F15" s="35">
        <v>11.22</v>
      </c>
      <c r="G15" s="15">
        <v>10.77</v>
      </c>
      <c r="H15" s="35">
        <v>10.5</v>
      </c>
      <c r="I15" s="35">
        <v>11.9</v>
      </c>
      <c r="J15" s="35">
        <v>11</v>
      </c>
      <c r="K15" s="35">
        <v>12.6</v>
      </c>
      <c r="L15" s="35">
        <v>11.3</v>
      </c>
      <c r="M15" s="35">
        <v>12.48</v>
      </c>
      <c r="N15" s="35">
        <v>15.1</v>
      </c>
      <c r="O15" s="35">
        <v>15.3</v>
      </c>
      <c r="P15" s="35">
        <v>13.1</v>
      </c>
      <c r="Q15" s="35">
        <v>13</v>
      </c>
      <c r="R15" s="35">
        <v>12.1</v>
      </c>
      <c r="S15" s="35">
        <v>14.2</v>
      </c>
      <c r="T15" s="35">
        <v>13.2</v>
      </c>
      <c r="U15" s="35">
        <v>14.8</v>
      </c>
      <c r="V15" s="35">
        <v>12.7</v>
      </c>
      <c r="W15" s="35">
        <v>11.4</v>
      </c>
      <c r="X15" s="35">
        <v>13.8</v>
      </c>
      <c r="Y15" s="35">
        <v>11.8</v>
      </c>
      <c r="Z15" s="35">
        <v>10.8</v>
      </c>
      <c r="AA15" s="35">
        <v>10.5</v>
      </c>
      <c r="AB15" s="35">
        <v>13.2</v>
      </c>
      <c r="AC15" s="35">
        <v>14.2</v>
      </c>
      <c r="AD15" s="35">
        <v>12</v>
      </c>
      <c r="AE15" s="35">
        <v>8.6999999999999993</v>
      </c>
      <c r="AF15" s="35">
        <v>7.3</v>
      </c>
    </row>
    <row r="16" spans="1:32" ht="30" x14ac:dyDescent="0.25">
      <c r="A16" s="11" t="s">
        <v>2</v>
      </c>
      <c r="B16" s="15">
        <f t="shared" ref="B16:G16" si="0">AVERAGE(B4+B5+B6+B7+B8+B9+B10+B11+B12+B13+B14+B15)/12</f>
        <v>20.875</v>
      </c>
      <c r="C16" s="15">
        <f t="shared" si="0"/>
        <v>21.2925</v>
      </c>
      <c r="D16" s="15">
        <f t="shared" si="0"/>
        <v>20.502500000000001</v>
      </c>
      <c r="E16" s="15">
        <f t="shared" si="0"/>
        <v>19.249166666666667</v>
      </c>
      <c r="F16" s="15">
        <f t="shared" si="0"/>
        <v>18.013333333333335</v>
      </c>
      <c r="G16" s="15">
        <f t="shared" si="0"/>
        <v>12.080833333333336</v>
      </c>
      <c r="H16" s="15">
        <f t="shared" ref="H16:M16" si="1">AVERAGE(H4+H5+H6+H7+H8+H9+H10+H11+H12+H13+H14+H15)/12</f>
        <v>12.450000000000001</v>
      </c>
      <c r="I16" s="15">
        <f t="shared" si="1"/>
        <v>12.438333333333334</v>
      </c>
      <c r="J16" s="15">
        <f t="shared" si="1"/>
        <v>12.788333333333334</v>
      </c>
      <c r="K16" s="15">
        <f t="shared" si="1"/>
        <v>14.115</v>
      </c>
      <c r="L16" s="15">
        <f t="shared" si="1"/>
        <v>12.65</v>
      </c>
      <c r="M16" s="15">
        <f t="shared" si="1"/>
        <v>13.336666666666666</v>
      </c>
      <c r="N16" s="15">
        <f t="shared" ref="N16:S16" si="2">AVERAGE(N4+N5+N6+N7+N8+N9+N10+N11+N12+N13+N14+N15)/12</f>
        <v>16.772500000000001</v>
      </c>
      <c r="O16" s="15">
        <f t="shared" si="2"/>
        <v>17.258333333333336</v>
      </c>
      <c r="P16" s="15">
        <f t="shared" si="2"/>
        <v>15.649999999999999</v>
      </c>
      <c r="Q16" s="15">
        <f t="shared" si="2"/>
        <v>15.277499999999998</v>
      </c>
      <c r="R16" s="15">
        <f t="shared" si="2"/>
        <v>16.513333333333332</v>
      </c>
      <c r="S16" s="15">
        <f t="shared" si="2"/>
        <v>17.005833333333332</v>
      </c>
      <c r="T16" s="15">
        <f t="shared" ref="T16:Z16" si="3">AVERAGE(T4+T5+T6+T7+T8+T9+T10+T11+T12+T13+T14+T15)/12</f>
        <v>16.866666666666667</v>
      </c>
      <c r="U16" s="15">
        <f t="shared" si="3"/>
        <v>16.386666666666667</v>
      </c>
      <c r="V16" s="15">
        <f t="shared" si="3"/>
        <v>17.355833333333333</v>
      </c>
      <c r="W16" s="15">
        <f t="shared" si="3"/>
        <v>16.108333333333334</v>
      </c>
      <c r="X16" s="15">
        <f t="shared" si="3"/>
        <v>14.96</v>
      </c>
      <c r="Y16" s="15">
        <f t="shared" si="3"/>
        <v>15.408333333333331</v>
      </c>
      <c r="Z16" s="15">
        <f t="shared" si="3"/>
        <v>12.583333333333336</v>
      </c>
      <c r="AA16" s="15">
        <f t="shared" ref="AA16:AF16" si="4">AVERAGE(AA4+AA5+AA6+AA7+AA8+AA9+AA10+AA11+AA12+AA13+AA14+AA15)/12</f>
        <v>12.275</v>
      </c>
      <c r="AB16" s="15">
        <f t="shared" si="4"/>
        <v>16.358333333333331</v>
      </c>
      <c r="AC16" s="15">
        <f t="shared" si="4"/>
        <v>17.2</v>
      </c>
      <c r="AD16" s="15">
        <f t="shared" si="4"/>
        <v>14.283333333333333</v>
      </c>
      <c r="AE16" s="15">
        <f t="shared" si="4"/>
        <v>10.933333333333332</v>
      </c>
      <c r="AF16" s="15">
        <f t="shared" si="4"/>
        <v>9.3458333333333314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62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4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15.7</v>
      </c>
      <c r="C24" s="35">
        <v>18.899999999999999</v>
      </c>
      <c r="D24" s="35">
        <v>18.2</v>
      </c>
      <c r="E24" s="35">
        <v>17.899999999999999</v>
      </c>
      <c r="F24" s="35">
        <v>16.899999999999999</v>
      </c>
      <c r="G24" s="35">
        <v>11.4</v>
      </c>
      <c r="H24" s="35">
        <v>11</v>
      </c>
      <c r="I24" s="35">
        <v>9.8000000000000007</v>
      </c>
      <c r="J24" s="35">
        <v>9.3000000000000007</v>
      </c>
      <c r="K24" s="35">
        <v>10.7</v>
      </c>
      <c r="L24" s="35">
        <v>11.8</v>
      </c>
      <c r="M24" s="35">
        <v>11.6</v>
      </c>
      <c r="N24" s="35">
        <v>12.8</v>
      </c>
      <c r="O24" s="35">
        <v>15.9</v>
      </c>
      <c r="P24" s="35">
        <v>15</v>
      </c>
      <c r="Q24" s="35">
        <v>13.1</v>
      </c>
      <c r="R24" s="35">
        <v>13.6</v>
      </c>
      <c r="S24" s="35">
        <v>12.4</v>
      </c>
      <c r="T24" s="35">
        <v>12.8</v>
      </c>
      <c r="U24" s="13">
        <v>11.7</v>
      </c>
      <c r="V24" s="35">
        <v>12.5</v>
      </c>
      <c r="W24" s="35">
        <v>12.1</v>
      </c>
      <c r="X24" s="35">
        <v>11.4</v>
      </c>
      <c r="Y24" s="35">
        <v>13.4</v>
      </c>
      <c r="Z24" s="35">
        <v>11.3</v>
      </c>
      <c r="AA24" s="35">
        <v>11</v>
      </c>
      <c r="AB24" s="35">
        <v>8.6</v>
      </c>
      <c r="AC24" s="35">
        <v>11.6</v>
      </c>
      <c r="AD24" s="35">
        <v>14.4</v>
      </c>
      <c r="AE24" s="35">
        <v>9.9</v>
      </c>
      <c r="AF24" s="35">
        <v>8.6999999999999993</v>
      </c>
    </row>
    <row r="25" spans="1:32" x14ac:dyDescent="0.25">
      <c r="A25" s="10">
        <v>6</v>
      </c>
      <c r="B25" s="35">
        <v>17.7</v>
      </c>
      <c r="C25" s="35">
        <v>18.3</v>
      </c>
      <c r="D25" s="35">
        <v>20.7</v>
      </c>
      <c r="E25" s="35">
        <v>19.600000000000001</v>
      </c>
      <c r="F25" s="35">
        <v>17.7</v>
      </c>
      <c r="G25" s="35">
        <v>11.3</v>
      </c>
      <c r="H25" s="35">
        <v>11.2</v>
      </c>
      <c r="I25" s="35">
        <v>10.6</v>
      </c>
      <c r="J25" s="35">
        <v>9.5</v>
      </c>
      <c r="K25" s="35">
        <v>10.8</v>
      </c>
      <c r="L25" s="35">
        <v>11.9</v>
      </c>
      <c r="M25" s="35">
        <v>11.2</v>
      </c>
      <c r="N25" s="35">
        <v>13.4</v>
      </c>
      <c r="O25" s="35">
        <v>16</v>
      </c>
      <c r="P25" s="35">
        <v>14.1</v>
      </c>
      <c r="Q25" s="35">
        <v>14</v>
      </c>
      <c r="R25" s="35">
        <v>13.1</v>
      </c>
      <c r="S25" s="35">
        <v>12.9</v>
      </c>
      <c r="T25" s="35">
        <v>14.8</v>
      </c>
      <c r="U25" s="13">
        <v>12.6</v>
      </c>
      <c r="V25" s="35">
        <v>12.9</v>
      </c>
      <c r="W25" s="35">
        <v>11.7</v>
      </c>
      <c r="X25" s="35">
        <v>11.8</v>
      </c>
      <c r="Y25" s="35">
        <v>13.4</v>
      </c>
      <c r="Z25" s="35">
        <v>10.4</v>
      </c>
      <c r="AA25" s="35">
        <v>10.8</v>
      </c>
      <c r="AB25" s="35">
        <v>9.9</v>
      </c>
      <c r="AC25" s="35">
        <v>11.9</v>
      </c>
      <c r="AD25" s="35">
        <v>14.1</v>
      </c>
      <c r="AE25" s="35">
        <v>9.6999999999999993</v>
      </c>
      <c r="AF25" s="35">
        <v>9.1</v>
      </c>
    </row>
    <row r="26" spans="1:32" x14ac:dyDescent="0.25">
      <c r="A26" s="10">
        <v>8</v>
      </c>
      <c r="B26" s="35">
        <v>21.2</v>
      </c>
      <c r="C26" s="35">
        <v>20.100000000000001</v>
      </c>
      <c r="D26" s="35">
        <v>22.8</v>
      </c>
      <c r="E26" s="35">
        <v>19.7</v>
      </c>
      <c r="F26" s="35">
        <v>19.100000000000001</v>
      </c>
      <c r="G26" s="35">
        <v>12.4</v>
      </c>
      <c r="H26" s="35">
        <v>11.6</v>
      </c>
      <c r="I26" s="35">
        <v>11.7</v>
      </c>
      <c r="J26" s="35">
        <v>12.3</v>
      </c>
      <c r="K26" s="35">
        <v>11.7</v>
      </c>
      <c r="L26" s="35">
        <v>12.3</v>
      </c>
      <c r="M26" s="35">
        <v>13</v>
      </c>
      <c r="N26" s="35">
        <v>15</v>
      </c>
      <c r="O26" s="35">
        <v>17.600000000000001</v>
      </c>
      <c r="P26" s="35">
        <v>14.9</v>
      </c>
      <c r="Q26" s="35">
        <v>15.6</v>
      </c>
      <c r="R26" s="35">
        <v>14.6</v>
      </c>
      <c r="S26" s="35">
        <v>15.2</v>
      </c>
      <c r="T26" s="35">
        <v>16.100000000000001</v>
      </c>
      <c r="U26" s="13">
        <v>14.9</v>
      </c>
      <c r="V26" s="35">
        <v>15.7</v>
      </c>
      <c r="W26" s="35">
        <v>16</v>
      </c>
      <c r="X26" s="35">
        <v>15.8</v>
      </c>
      <c r="Y26" s="35">
        <v>14.9</v>
      </c>
      <c r="Z26" s="35">
        <v>12.2</v>
      </c>
      <c r="AA26" s="35">
        <v>11.4</v>
      </c>
      <c r="AB26" s="35">
        <v>14.2</v>
      </c>
      <c r="AC26" s="35">
        <v>14.4</v>
      </c>
      <c r="AD26" s="35">
        <v>14.9</v>
      </c>
      <c r="AE26" s="35">
        <v>11.2</v>
      </c>
      <c r="AF26" s="35">
        <v>9.5</v>
      </c>
    </row>
    <row r="27" spans="1:32" x14ac:dyDescent="0.25">
      <c r="A27" s="10">
        <v>10</v>
      </c>
      <c r="B27" s="35">
        <v>23</v>
      </c>
      <c r="C27" s="35">
        <v>19.2</v>
      </c>
      <c r="D27" s="35">
        <v>20.3</v>
      </c>
      <c r="E27" s="35">
        <v>19.2</v>
      </c>
      <c r="F27" s="35">
        <v>21.3</v>
      </c>
      <c r="G27" s="35">
        <v>12.5</v>
      </c>
      <c r="H27" s="35">
        <v>12.9</v>
      </c>
      <c r="I27" s="35">
        <v>12.7</v>
      </c>
      <c r="J27" s="35">
        <v>14.7</v>
      </c>
      <c r="K27" s="35">
        <v>14.6</v>
      </c>
      <c r="L27" s="35">
        <v>13.1</v>
      </c>
      <c r="M27" s="35">
        <v>14.3</v>
      </c>
      <c r="N27" s="35">
        <v>18.100000000000001</v>
      </c>
      <c r="O27" s="35">
        <v>19.3</v>
      </c>
      <c r="P27" s="35">
        <v>15.6</v>
      </c>
      <c r="Q27" s="35">
        <v>17.7</v>
      </c>
      <c r="R27" s="35">
        <v>15.7</v>
      </c>
      <c r="S27" s="35">
        <v>20.8</v>
      </c>
      <c r="T27" s="35">
        <v>18.5</v>
      </c>
      <c r="U27" s="13">
        <v>20.5</v>
      </c>
      <c r="V27" s="35">
        <v>20.100000000000001</v>
      </c>
      <c r="W27" s="35">
        <v>19.7</v>
      </c>
      <c r="X27" s="35">
        <v>16.5</v>
      </c>
      <c r="Y27" s="35">
        <v>16.600000000000001</v>
      </c>
      <c r="Z27" s="35">
        <v>13.9</v>
      </c>
      <c r="AA27" s="35">
        <v>14.9</v>
      </c>
      <c r="AB27" s="35">
        <v>18.5</v>
      </c>
      <c r="AC27" s="35">
        <v>20</v>
      </c>
      <c r="AD27" s="35">
        <v>15.1</v>
      </c>
      <c r="AE27" s="35">
        <v>11.6</v>
      </c>
      <c r="AF27" s="35">
        <v>10.7</v>
      </c>
    </row>
    <row r="28" spans="1:32" x14ac:dyDescent="0.25">
      <c r="A28" s="10">
        <v>12</v>
      </c>
      <c r="B28" s="35">
        <v>24.4</v>
      </c>
      <c r="C28" s="35">
        <v>22.4</v>
      </c>
      <c r="D28" s="35">
        <v>21.3</v>
      </c>
      <c r="E28" s="35">
        <v>20.7</v>
      </c>
      <c r="F28" s="35">
        <v>23.3</v>
      </c>
      <c r="G28" s="35">
        <v>13.1</v>
      </c>
      <c r="H28" s="35">
        <v>15.4</v>
      </c>
      <c r="I28" s="35">
        <v>15.2</v>
      </c>
      <c r="J28" s="35">
        <v>15</v>
      </c>
      <c r="K28" s="35">
        <v>17.2</v>
      </c>
      <c r="L28" s="35">
        <v>12.6</v>
      </c>
      <c r="M28" s="35">
        <v>16.5</v>
      </c>
      <c r="N28" s="35">
        <v>20.100000000000001</v>
      </c>
      <c r="O28" s="35">
        <v>22.3</v>
      </c>
      <c r="P28" s="35">
        <v>18.899999999999999</v>
      </c>
      <c r="Q28" s="35">
        <v>18.899999999999999</v>
      </c>
      <c r="R28" s="35">
        <v>19.899999999999999</v>
      </c>
      <c r="S28" s="35">
        <v>22.4</v>
      </c>
      <c r="T28" s="35">
        <v>19</v>
      </c>
      <c r="U28" s="13">
        <v>23.1</v>
      </c>
      <c r="V28" s="35">
        <v>22.2</v>
      </c>
      <c r="W28" s="35">
        <v>21.2</v>
      </c>
      <c r="X28" s="35">
        <v>17.600000000000001</v>
      </c>
      <c r="Y28" s="35">
        <v>18.5</v>
      </c>
      <c r="Z28" s="35">
        <v>15.3</v>
      </c>
      <c r="AA28" s="35">
        <v>14</v>
      </c>
      <c r="AB28" s="35">
        <v>21.2</v>
      </c>
      <c r="AC28" s="35">
        <v>22.4</v>
      </c>
      <c r="AD28" s="35">
        <v>15.8</v>
      </c>
      <c r="AE28" s="35">
        <v>13.4</v>
      </c>
      <c r="AF28" s="35">
        <v>12.7</v>
      </c>
    </row>
    <row r="29" spans="1:32" x14ac:dyDescent="0.25">
      <c r="A29" s="10">
        <v>14</v>
      </c>
      <c r="B29" s="35">
        <v>25.6</v>
      </c>
      <c r="C29" s="35">
        <v>24.7</v>
      </c>
      <c r="D29" s="35">
        <v>22.1</v>
      </c>
      <c r="E29" s="35">
        <v>20.7</v>
      </c>
      <c r="F29" s="35">
        <v>24.7</v>
      </c>
      <c r="G29" s="35">
        <v>13.2</v>
      </c>
      <c r="H29" s="35">
        <v>13.4</v>
      </c>
      <c r="I29" s="35">
        <v>14.1</v>
      </c>
      <c r="J29" s="35">
        <v>17.2</v>
      </c>
      <c r="K29" s="35">
        <v>18.399999999999999</v>
      </c>
      <c r="L29" s="35">
        <v>12.4</v>
      </c>
      <c r="M29" s="35">
        <v>14.1</v>
      </c>
      <c r="N29" s="35">
        <v>21.4</v>
      </c>
      <c r="O29" s="35">
        <v>17.3</v>
      </c>
      <c r="P29" s="35">
        <v>1.7</v>
      </c>
      <c r="Q29" s="35">
        <v>18.899999999999999</v>
      </c>
      <c r="R29" s="35">
        <v>22</v>
      </c>
      <c r="S29" s="35">
        <v>23.8</v>
      </c>
      <c r="T29" s="35">
        <v>20.100000000000001</v>
      </c>
      <c r="U29" s="13">
        <v>17</v>
      </c>
      <c r="V29" s="35">
        <v>23.5</v>
      </c>
      <c r="W29" s="35">
        <v>21.8</v>
      </c>
      <c r="X29" s="35">
        <v>18.100000000000001</v>
      </c>
      <c r="Y29" s="35">
        <v>20.7</v>
      </c>
      <c r="Z29" s="35">
        <v>16.600000000000001</v>
      </c>
      <c r="AA29" s="35">
        <v>15.6</v>
      </c>
      <c r="AB29" s="35">
        <v>22</v>
      </c>
      <c r="AC29" s="35">
        <v>22.1</v>
      </c>
      <c r="AD29" s="35">
        <v>15.2</v>
      </c>
      <c r="AE29" s="35">
        <v>13.8</v>
      </c>
      <c r="AF29" s="35">
        <v>12.5</v>
      </c>
    </row>
    <row r="30" spans="1:32" x14ac:dyDescent="0.25">
      <c r="A30" s="10">
        <v>16</v>
      </c>
      <c r="B30" s="35">
        <v>26.3</v>
      </c>
      <c r="C30" s="35">
        <v>25.5</v>
      </c>
      <c r="D30" s="35">
        <v>24.5</v>
      </c>
      <c r="E30" s="35">
        <v>21.2</v>
      </c>
      <c r="F30" s="35">
        <v>23.2</v>
      </c>
      <c r="G30" s="35">
        <v>13.2</v>
      </c>
      <c r="H30" s="35">
        <v>14.6</v>
      </c>
      <c r="I30" s="35">
        <v>15.1</v>
      </c>
      <c r="J30" s="35">
        <v>16.5</v>
      </c>
      <c r="K30" s="35">
        <v>19.5</v>
      </c>
      <c r="L30" s="35">
        <v>12.5</v>
      </c>
      <c r="M30" s="35">
        <v>15.2</v>
      </c>
      <c r="N30" s="35">
        <v>20.7</v>
      </c>
      <c r="O30" s="35">
        <v>19.3</v>
      </c>
      <c r="P30" s="35">
        <v>18.600000000000001</v>
      </c>
      <c r="Q30" s="35">
        <v>18.399999999999999</v>
      </c>
      <c r="R30" s="35">
        <v>22.4</v>
      </c>
      <c r="S30" s="35">
        <v>20.2</v>
      </c>
      <c r="T30" s="35">
        <v>23.1</v>
      </c>
      <c r="U30" s="13">
        <v>23.5</v>
      </c>
      <c r="V30" s="35">
        <v>23.7</v>
      </c>
      <c r="W30" s="35">
        <v>21.6</v>
      </c>
      <c r="X30" s="35">
        <v>18.100000000000001</v>
      </c>
      <c r="Y30" s="35">
        <v>21</v>
      </c>
      <c r="Z30" s="35">
        <v>16.3</v>
      </c>
      <c r="AA30" s="35">
        <v>14.8</v>
      </c>
      <c r="AB30" s="35">
        <v>23.1</v>
      </c>
      <c r="AC30" s="35">
        <v>21.4</v>
      </c>
      <c r="AD30" s="35">
        <v>15.1</v>
      </c>
      <c r="AE30" s="35">
        <v>13.9</v>
      </c>
      <c r="AF30" s="35">
        <v>11.3</v>
      </c>
    </row>
    <row r="31" spans="1:32" x14ac:dyDescent="0.25">
      <c r="A31" s="10">
        <v>18</v>
      </c>
      <c r="B31" s="35">
        <v>24.5</v>
      </c>
      <c r="C31" s="35">
        <v>25.1</v>
      </c>
      <c r="D31" s="35">
        <v>23.8</v>
      </c>
      <c r="E31" s="35">
        <v>20.2</v>
      </c>
      <c r="F31" s="35">
        <v>19.3</v>
      </c>
      <c r="G31" s="35">
        <v>13.1</v>
      </c>
      <c r="H31" s="35">
        <v>14.9</v>
      </c>
      <c r="I31" s="35">
        <v>14.2</v>
      </c>
      <c r="J31" s="35">
        <v>15</v>
      </c>
      <c r="K31" s="35">
        <v>17.8</v>
      </c>
      <c r="L31" s="35">
        <v>13.4</v>
      </c>
      <c r="M31" s="35">
        <v>15.5</v>
      </c>
      <c r="N31" s="35">
        <v>19.399999999999999</v>
      </c>
      <c r="O31" s="35">
        <v>16.399999999999999</v>
      </c>
      <c r="P31" s="35">
        <v>17.100000000000001</v>
      </c>
      <c r="Q31" s="35">
        <v>17.7</v>
      </c>
      <c r="R31" s="35">
        <v>20.2</v>
      </c>
      <c r="S31" s="35">
        <v>19.8</v>
      </c>
      <c r="T31" s="35">
        <v>16.8</v>
      </c>
      <c r="U31" s="13">
        <v>19.600000000000001</v>
      </c>
      <c r="V31" s="35">
        <v>17.8</v>
      </c>
      <c r="W31" s="35">
        <v>19</v>
      </c>
      <c r="X31" s="35">
        <v>16.899999999999999</v>
      </c>
      <c r="Y31" s="35">
        <v>17.8</v>
      </c>
      <c r="Z31" s="35">
        <v>14</v>
      </c>
      <c r="AA31" s="35">
        <v>13.4</v>
      </c>
      <c r="AB31" s="35">
        <v>20.7</v>
      </c>
      <c r="AC31" s="35">
        <v>20.100000000000001</v>
      </c>
      <c r="AD31" s="35">
        <v>12.8</v>
      </c>
      <c r="AE31" s="35">
        <v>11.5</v>
      </c>
      <c r="AF31" s="35">
        <v>10.1</v>
      </c>
    </row>
    <row r="32" spans="1:32" x14ac:dyDescent="0.25">
      <c r="A32" s="10">
        <v>20</v>
      </c>
      <c r="B32" s="35">
        <v>22.3</v>
      </c>
      <c r="C32" s="35">
        <v>23</v>
      </c>
      <c r="D32" s="35">
        <v>21.7</v>
      </c>
      <c r="E32" s="35">
        <v>19.100000000000001</v>
      </c>
      <c r="F32" s="35">
        <v>15.7</v>
      </c>
      <c r="G32" s="35">
        <v>11.9</v>
      </c>
      <c r="H32" s="35">
        <v>13.5</v>
      </c>
      <c r="I32" s="35">
        <v>13.5</v>
      </c>
      <c r="J32" s="35">
        <v>14.1</v>
      </c>
      <c r="K32" s="35">
        <v>13.6</v>
      </c>
      <c r="L32" s="35">
        <v>13.2</v>
      </c>
      <c r="M32" s="35">
        <v>14.7</v>
      </c>
      <c r="N32" s="35">
        <v>18.2</v>
      </c>
      <c r="O32" s="35">
        <v>15.7</v>
      </c>
      <c r="P32" s="35">
        <v>15.7</v>
      </c>
      <c r="Q32" s="35">
        <v>16.2</v>
      </c>
      <c r="R32" s="35">
        <v>18.5</v>
      </c>
      <c r="S32" s="35">
        <v>16.8</v>
      </c>
      <c r="T32" s="35">
        <v>14.7</v>
      </c>
      <c r="U32" s="13">
        <v>15.2</v>
      </c>
      <c r="V32" s="35">
        <v>15.8</v>
      </c>
      <c r="W32" s="35">
        <v>14.6</v>
      </c>
      <c r="X32" s="35">
        <v>15.3</v>
      </c>
      <c r="Y32" s="35">
        <v>15.5</v>
      </c>
      <c r="Z32" s="35">
        <v>12.2</v>
      </c>
      <c r="AA32" s="35">
        <v>10.6</v>
      </c>
      <c r="AB32" s="35">
        <v>15.8</v>
      </c>
      <c r="AC32" s="35">
        <v>17.5</v>
      </c>
      <c r="AD32" s="35">
        <v>13.3</v>
      </c>
      <c r="AE32" s="35">
        <v>10.1</v>
      </c>
      <c r="AF32" s="35">
        <v>8.1999999999999993</v>
      </c>
    </row>
    <row r="33" spans="1:32" x14ac:dyDescent="0.25">
      <c r="A33" s="10">
        <v>22</v>
      </c>
      <c r="B33" s="35">
        <v>19.600000000000001</v>
      </c>
      <c r="C33" s="35">
        <v>21.9</v>
      </c>
      <c r="D33" s="35">
        <v>20.2</v>
      </c>
      <c r="E33" s="35">
        <v>17.5</v>
      </c>
      <c r="F33" s="35">
        <v>13</v>
      </c>
      <c r="G33" s="35">
        <v>10.9</v>
      </c>
      <c r="H33" s="35">
        <v>12.2</v>
      </c>
      <c r="I33" s="35">
        <v>12.9</v>
      </c>
      <c r="J33" s="35">
        <v>13</v>
      </c>
      <c r="K33" s="35">
        <v>12.2</v>
      </c>
      <c r="L33" s="35">
        <v>12.8</v>
      </c>
      <c r="M33" s="35">
        <v>13.3</v>
      </c>
      <c r="N33" s="35">
        <v>17</v>
      </c>
      <c r="O33" s="35">
        <v>15.3</v>
      </c>
      <c r="P33" s="35">
        <v>15.4</v>
      </c>
      <c r="Q33" s="35">
        <v>15.1</v>
      </c>
      <c r="R33" s="35">
        <v>16.3</v>
      </c>
      <c r="S33" s="35">
        <v>14.6</v>
      </c>
      <c r="T33" s="35">
        <v>15.1</v>
      </c>
      <c r="U33" s="13">
        <v>12.8</v>
      </c>
      <c r="V33" s="35">
        <v>13.5</v>
      </c>
      <c r="W33" s="35">
        <v>13</v>
      </c>
      <c r="X33" s="35">
        <v>14.5</v>
      </c>
      <c r="Y33" s="35">
        <v>14.3</v>
      </c>
      <c r="Z33" s="35">
        <v>11.4</v>
      </c>
      <c r="AA33" s="35">
        <v>9.6999999999999993</v>
      </c>
      <c r="AB33" s="35">
        <v>14.9</v>
      </c>
      <c r="AC33" s="35">
        <v>15.2</v>
      </c>
      <c r="AD33" s="35">
        <v>12.6</v>
      </c>
      <c r="AE33" s="35">
        <v>9.6</v>
      </c>
      <c r="AF33" s="35">
        <v>7.3</v>
      </c>
    </row>
    <row r="34" spans="1:32" x14ac:dyDescent="0.25">
      <c r="A34" s="10">
        <v>24</v>
      </c>
      <c r="B34" s="35">
        <v>18.5</v>
      </c>
      <c r="C34" s="35">
        <v>20.100000000000001</v>
      </c>
      <c r="D34" s="35">
        <v>19.399999999999999</v>
      </c>
      <c r="E34" s="35">
        <v>17.3</v>
      </c>
      <c r="F34" s="35">
        <v>11.5</v>
      </c>
      <c r="G34" s="35">
        <v>10.6</v>
      </c>
      <c r="H34" s="35">
        <v>10.4</v>
      </c>
      <c r="I34" s="35">
        <v>12.8</v>
      </c>
      <c r="J34" s="35">
        <v>12.8</v>
      </c>
      <c r="K34" s="35">
        <v>12.6</v>
      </c>
      <c r="L34" s="35">
        <v>12.4</v>
      </c>
      <c r="M34" s="35">
        <v>13</v>
      </c>
      <c r="N34" s="35">
        <v>16.899999999999999</v>
      </c>
      <c r="O34" s="35">
        <v>15.8</v>
      </c>
      <c r="P34" s="35">
        <v>14.9</v>
      </c>
      <c r="Q34" s="35">
        <v>15</v>
      </c>
      <c r="R34" s="35">
        <v>14.3</v>
      </c>
      <c r="S34" s="35">
        <v>13.6</v>
      </c>
      <c r="T34" s="35">
        <v>13.6</v>
      </c>
      <c r="U34" s="13">
        <v>12</v>
      </c>
      <c r="V34" s="35">
        <v>12.4</v>
      </c>
      <c r="W34" s="35">
        <v>12.5</v>
      </c>
      <c r="X34" s="35">
        <v>14.1</v>
      </c>
      <c r="Y34" s="35">
        <v>12.7</v>
      </c>
      <c r="Z34" s="35">
        <v>11.4</v>
      </c>
      <c r="AA34" s="35">
        <v>9.3000000000000007</v>
      </c>
      <c r="AB34" s="35">
        <v>13</v>
      </c>
      <c r="AC34" s="35">
        <v>14.6</v>
      </c>
      <c r="AD34" s="35">
        <v>12.5</v>
      </c>
      <c r="AE34" s="35">
        <v>9.1</v>
      </c>
      <c r="AF34" s="35">
        <v>7.4</v>
      </c>
    </row>
    <row r="35" spans="1:32" x14ac:dyDescent="0.25">
      <c r="A35" s="10">
        <v>2</v>
      </c>
      <c r="B35" s="35">
        <v>18.2</v>
      </c>
      <c r="C35" s="35">
        <v>1.95</v>
      </c>
      <c r="D35" s="35">
        <v>17.5</v>
      </c>
      <c r="E35" s="35">
        <v>17.5</v>
      </c>
      <c r="F35" s="35">
        <v>11.3</v>
      </c>
      <c r="G35" s="35">
        <v>10.8</v>
      </c>
      <c r="H35" s="35">
        <v>8</v>
      </c>
      <c r="I35" s="35">
        <v>12.1</v>
      </c>
      <c r="J35" s="35">
        <v>11.3</v>
      </c>
      <c r="K35" s="35">
        <v>12</v>
      </c>
      <c r="L35" s="35">
        <v>12.1</v>
      </c>
      <c r="M35" s="35">
        <v>13.2</v>
      </c>
      <c r="N35" s="35">
        <v>15.8</v>
      </c>
      <c r="O35" s="35">
        <v>15.7</v>
      </c>
      <c r="P35" s="35">
        <v>14.2</v>
      </c>
      <c r="Q35" s="35">
        <v>14.5</v>
      </c>
      <c r="R35" s="35">
        <v>12.7</v>
      </c>
      <c r="S35" s="35">
        <v>14.1</v>
      </c>
      <c r="T35" s="35">
        <v>12.2</v>
      </c>
      <c r="U35" s="13">
        <v>12.1</v>
      </c>
      <c r="V35" s="35">
        <v>12.2</v>
      </c>
      <c r="W35" s="35">
        <v>11.8</v>
      </c>
      <c r="X35" s="35">
        <v>13.7</v>
      </c>
      <c r="Y35" s="35">
        <v>11.8</v>
      </c>
      <c r="Z35" s="35">
        <v>11.3</v>
      </c>
      <c r="AA35" s="35">
        <v>8.8000000000000007</v>
      </c>
      <c r="AB35" s="35">
        <v>12.3</v>
      </c>
      <c r="AC35" s="35">
        <v>14.7</v>
      </c>
      <c r="AD35" s="35">
        <v>11.9</v>
      </c>
      <c r="AE35" s="35">
        <v>8.9</v>
      </c>
      <c r="AF35" s="35">
        <v>7.4</v>
      </c>
    </row>
    <row r="36" spans="1:32" ht="30" x14ac:dyDescent="0.25">
      <c r="A36" s="11" t="s">
        <v>2</v>
      </c>
      <c r="B36" s="15">
        <f t="shared" ref="B36:G36" si="5">AVERAGE(B24+B25+B26+B27+B28+B29+B30+B31+B32+B33+B34+B35)/12</f>
        <v>21.416666666666668</v>
      </c>
      <c r="C36" s="15">
        <f t="shared" si="5"/>
        <v>20.095833333333335</v>
      </c>
      <c r="D36" s="15">
        <f t="shared" si="5"/>
        <v>21.041666666666668</v>
      </c>
      <c r="E36" s="15">
        <f t="shared" si="5"/>
        <v>19.216666666666665</v>
      </c>
      <c r="F36" s="15">
        <f t="shared" si="5"/>
        <v>18.083333333333332</v>
      </c>
      <c r="G36" s="15">
        <f t="shared" si="5"/>
        <v>12.033333333333337</v>
      </c>
      <c r="H36" s="15">
        <f t="shared" ref="H36:M36" si="6">AVERAGE(H24+H25+H26+H27+H28+H29+H30+H31+H32+H33+H34+H35)/12</f>
        <v>12.424999999999999</v>
      </c>
      <c r="I36" s="15">
        <f t="shared" si="6"/>
        <v>12.891666666666666</v>
      </c>
      <c r="J36" s="15">
        <f t="shared" si="6"/>
        <v>13.391666666666667</v>
      </c>
      <c r="K36" s="15">
        <f t="shared" si="6"/>
        <v>14.258333333333333</v>
      </c>
      <c r="L36" s="15">
        <f t="shared" si="6"/>
        <v>12.541666666666666</v>
      </c>
      <c r="M36" s="15">
        <f t="shared" si="6"/>
        <v>13.799999999999999</v>
      </c>
      <c r="N36" s="15">
        <f t="shared" ref="N36:S36" si="7">AVERAGE(N24+N25+N26+N27+N28+N29+N30+N31+N32+N33+N34+N35)/12</f>
        <v>17.400000000000002</v>
      </c>
      <c r="O36" s="15">
        <f t="shared" si="7"/>
        <v>17.216666666666665</v>
      </c>
      <c r="P36" s="15">
        <f t="shared" si="7"/>
        <v>14.674999999999999</v>
      </c>
      <c r="Q36" s="15">
        <f t="shared" si="7"/>
        <v>16.258333333333333</v>
      </c>
      <c r="R36" s="15">
        <f t="shared" si="7"/>
        <v>16.941666666666666</v>
      </c>
      <c r="S36" s="15">
        <f t="shared" si="7"/>
        <v>17.216666666666665</v>
      </c>
      <c r="T36" s="15">
        <f>AVERAGE(T24+T25+T26+T27+T28+T29+T30+T31+T32+T33+T34+T35)/12</f>
        <v>16.399999999999999</v>
      </c>
      <c r="U36" s="15">
        <f>AVERAGEA(U24:U35)</f>
        <v>16.25</v>
      </c>
      <c r="V36" s="15">
        <f t="shared" ref="V36:AA36" si="8">AVERAGE(V24+V25+V26+V27+V28+V29+V30+V31+V32+V33+V34+V35)/12</f>
        <v>16.858333333333334</v>
      </c>
      <c r="W36" s="15">
        <f t="shared" si="8"/>
        <v>16.25</v>
      </c>
      <c r="X36" s="15">
        <f t="shared" si="8"/>
        <v>15.316666666666665</v>
      </c>
      <c r="Y36" s="15">
        <f t="shared" si="8"/>
        <v>15.883333333333335</v>
      </c>
      <c r="Z36" s="15">
        <f t="shared" si="8"/>
        <v>13.025000000000004</v>
      </c>
      <c r="AA36" s="15">
        <f t="shared" si="8"/>
        <v>12.025</v>
      </c>
      <c r="AB36" s="15">
        <f>AVERAGE(AB24+AB25+AB26+AB27+AB28+AB29+AB30+AB31+AB32+AB33+AB34+AB35)/12</f>
        <v>16.183333333333334</v>
      </c>
      <c r="AC36" s="15">
        <f>AVERAGE(AC24+AC25+AC26+AC27+AC28+AC29+AC30+AC31+AC32+AC33+AC34+AC35)/12</f>
        <v>17.158333333333331</v>
      </c>
      <c r="AD36" s="15">
        <f>AVERAGE(AD24+AD25+AD26+AD27+AD28+AD29+AD30+AD31+AD32+AD33+AD34+AD35)/12</f>
        <v>13.975</v>
      </c>
      <c r="AE36" s="15">
        <f>AVERAGE(AE24+AE25+AE26+AE27+AE28+AE29+AE30+AE31+AE32+AE33+AE34+AE35)/12</f>
        <v>11.058333333333332</v>
      </c>
      <c r="AF36" s="15">
        <f>AVERAGE(AF24+AF25+AF26+AF27+AF28+AF29+AF30+AF31+AF32+AF33+AF34+AF35)/12</f>
        <v>9.5750000000000011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zoomScale="80" zoomScaleNormal="80" workbookViewId="0">
      <pane xSplit="1" topLeftCell="B1" activePane="topRight" state="frozen"/>
      <selection pane="topRight" sqref="A1:XFD1048576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1" ht="15.75" x14ac:dyDescent="0.25">
      <c r="A1" s="4" t="s">
        <v>8</v>
      </c>
      <c r="B1" s="23" t="s">
        <v>3</v>
      </c>
    </row>
    <row r="2" spans="1:31" x14ac:dyDescent="0.25">
      <c r="B2" s="131" t="s">
        <v>63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</row>
    <row r="3" spans="1:31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</row>
    <row r="4" spans="1:31" x14ac:dyDescent="0.25">
      <c r="A4" s="10">
        <v>4</v>
      </c>
      <c r="B4" s="35">
        <v>6.7</v>
      </c>
      <c r="C4" s="35">
        <v>7.8</v>
      </c>
      <c r="D4" s="35">
        <v>9.3000000000000007</v>
      </c>
      <c r="E4" s="35">
        <v>5.2</v>
      </c>
      <c r="F4" s="35">
        <v>7.6</v>
      </c>
      <c r="G4" s="35">
        <v>4.5</v>
      </c>
      <c r="H4" s="35">
        <v>10.38</v>
      </c>
      <c r="I4" s="35">
        <v>11</v>
      </c>
      <c r="J4" s="35">
        <v>5.2</v>
      </c>
      <c r="K4" s="35">
        <v>4.2</v>
      </c>
      <c r="L4" s="35">
        <v>7.1</v>
      </c>
      <c r="M4" s="35">
        <v>10.199999999999999</v>
      </c>
      <c r="N4" s="43">
        <v>10.58</v>
      </c>
      <c r="O4" s="43">
        <v>13.3</v>
      </c>
      <c r="P4" s="43">
        <v>1.8</v>
      </c>
      <c r="Q4" s="43">
        <v>3.3</v>
      </c>
      <c r="R4" s="43">
        <v>10.199999999999999</v>
      </c>
      <c r="S4" s="43">
        <v>10.6</v>
      </c>
      <c r="T4" s="43">
        <v>9.1</v>
      </c>
      <c r="U4" s="43">
        <v>11.2</v>
      </c>
      <c r="V4" s="43">
        <v>11.6</v>
      </c>
      <c r="W4" s="43">
        <v>9.6999999999999993</v>
      </c>
      <c r="X4" s="43">
        <v>8.8000000000000007</v>
      </c>
      <c r="Y4" s="43">
        <v>5.3</v>
      </c>
      <c r="Z4" s="43">
        <v>1.1000000000000001</v>
      </c>
      <c r="AA4" s="43">
        <v>1.7</v>
      </c>
      <c r="AB4" s="43">
        <v>-2.7</v>
      </c>
      <c r="AC4" s="43">
        <v>4.8</v>
      </c>
      <c r="AD4" s="43">
        <v>10.8</v>
      </c>
      <c r="AE4" s="43">
        <v>9.9</v>
      </c>
    </row>
    <row r="5" spans="1:31" x14ac:dyDescent="0.25">
      <c r="A5" s="10">
        <v>6</v>
      </c>
      <c r="B5" s="35">
        <v>6.52</v>
      </c>
      <c r="C5" s="35">
        <v>8.08</v>
      </c>
      <c r="D5" s="35">
        <v>9.3000000000000007</v>
      </c>
      <c r="E5" s="35">
        <v>5.4</v>
      </c>
      <c r="F5" s="35">
        <v>7.5</v>
      </c>
      <c r="G5" s="35">
        <v>3.6</v>
      </c>
      <c r="H5" s="35">
        <v>10.07</v>
      </c>
      <c r="I5" s="15">
        <v>10.51</v>
      </c>
      <c r="J5" s="35">
        <v>4.4000000000000004</v>
      </c>
      <c r="K5" s="35">
        <v>4.5</v>
      </c>
      <c r="L5" s="35">
        <v>9</v>
      </c>
      <c r="M5" s="35">
        <v>10.199999999999999</v>
      </c>
      <c r="N5" s="43">
        <v>11.16</v>
      </c>
      <c r="O5" s="43">
        <v>13.4</v>
      </c>
      <c r="P5" s="43">
        <v>1.3</v>
      </c>
      <c r="Q5" s="43">
        <v>3.1</v>
      </c>
      <c r="R5" s="43">
        <v>10.4</v>
      </c>
      <c r="S5" s="43">
        <v>9.8000000000000007</v>
      </c>
      <c r="T5" s="43">
        <v>9.1</v>
      </c>
      <c r="U5" s="43">
        <v>10.5</v>
      </c>
      <c r="V5" s="43">
        <v>11.3</v>
      </c>
      <c r="W5" s="43">
        <v>10.199999999999999</v>
      </c>
      <c r="X5" s="43">
        <v>8.5</v>
      </c>
      <c r="Y5" s="43">
        <v>5.0999999999999996</v>
      </c>
      <c r="Z5" s="43">
        <v>1.5</v>
      </c>
      <c r="AA5" s="43">
        <v>1.5</v>
      </c>
      <c r="AB5" s="43">
        <v>-2.7</v>
      </c>
      <c r="AC5" s="43">
        <v>5</v>
      </c>
      <c r="AD5" s="43">
        <v>10.1</v>
      </c>
      <c r="AE5" s="43">
        <v>9.4</v>
      </c>
    </row>
    <row r="6" spans="1:31" x14ac:dyDescent="0.25">
      <c r="A6" s="10">
        <v>8</v>
      </c>
      <c r="B6" s="35">
        <v>7.6</v>
      </c>
      <c r="C6" s="35">
        <v>9.5</v>
      </c>
      <c r="D6" s="35">
        <v>9.5</v>
      </c>
      <c r="E6" s="35">
        <v>8.4</v>
      </c>
      <c r="F6" s="35">
        <v>8.19</v>
      </c>
      <c r="G6" s="35">
        <v>5.2</v>
      </c>
      <c r="H6" s="35">
        <v>10.4</v>
      </c>
      <c r="I6" s="15">
        <v>11.54</v>
      </c>
      <c r="J6" s="35">
        <v>5.7</v>
      </c>
      <c r="K6" s="35">
        <v>7.7</v>
      </c>
      <c r="L6" s="35">
        <v>10.8</v>
      </c>
      <c r="M6" s="35">
        <v>14.7</v>
      </c>
      <c r="N6" s="43">
        <v>14.1</v>
      </c>
      <c r="O6" s="43">
        <v>14</v>
      </c>
      <c r="P6" s="43">
        <v>5.6</v>
      </c>
      <c r="Q6" s="43">
        <v>7.17</v>
      </c>
      <c r="R6" s="43">
        <v>11.1</v>
      </c>
      <c r="S6" s="43">
        <v>11.7</v>
      </c>
      <c r="T6" s="43">
        <v>10</v>
      </c>
      <c r="U6" s="43">
        <v>12</v>
      </c>
      <c r="V6" s="43">
        <v>11</v>
      </c>
      <c r="W6" s="43">
        <v>8.8000000000000007</v>
      </c>
      <c r="X6" s="43">
        <v>8.1</v>
      </c>
      <c r="Y6" s="43">
        <v>4.3</v>
      </c>
      <c r="Z6" s="43">
        <v>0.9</v>
      </c>
      <c r="AA6" s="43">
        <v>0.9</v>
      </c>
      <c r="AB6" s="43">
        <v>0.8</v>
      </c>
      <c r="AC6" s="43">
        <v>5.98</v>
      </c>
      <c r="AD6" s="43">
        <v>10.5</v>
      </c>
      <c r="AE6" s="43">
        <v>9.8000000000000007</v>
      </c>
    </row>
    <row r="7" spans="1:31" x14ac:dyDescent="0.25">
      <c r="A7" s="10">
        <v>10</v>
      </c>
      <c r="B7" s="35">
        <v>8.1</v>
      </c>
      <c r="C7" s="35">
        <v>11</v>
      </c>
      <c r="D7" s="35">
        <v>9.5</v>
      </c>
      <c r="E7" s="35">
        <v>10.77</v>
      </c>
      <c r="F7" s="35">
        <v>9.15</v>
      </c>
      <c r="G7" s="35">
        <v>7.8</v>
      </c>
      <c r="H7" s="35">
        <v>10.4</v>
      </c>
      <c r="I7" s="35">
        <v>11.5</v>
      </c>
      <c r="J7" s="35">
        <v>8</v>
      </c>
      <c r="K7" s="35">
        <v>9.1999999999999993</v>
      </c>
      <c r="L7" s="35">
        <v>16.5</v>
      </c>
      <c r="M7" s="35">
        <v>19.399999999999999</v>
      </c>
      <c r="N7" s="43">
        <v>17.5</v>
      </c>
      <c r="O7" s="43">
        <v>12.7</v>
      </c>
      <c r="P7" s="43">
        <v>6.6</v>
      </c>
      <c r="Q7" s="43">
        <v>11.27</v>
      </c>
      <c r="R7" s="43">
        <v>12.6</v>
      </c>
      <c r="S7" s="43">
        <v>12.9</v>
      </c>
      <c r="T7" s="43">
        <v>12.3</v>
      </c>
      <c r="U7" s="43">
        <v>15.7</v>
      </c>
      <c r="V7" s="43">
        <v>11.8</v>
      </c>
      <c r="W7" s="43">
        <v>9.9</v>
      </c>
      <c r="X7" s="43">
        <v>4.4000000000000004</v>
      </c>
      <c r="Y7" s="43">
        <v>4.5999999999999996</v>
      </c>
      <c r="Z7" s="43">
        <v>1.3</v>
      </c>
      <c r="AA7" s="43">
        <v>2</v>
      </c>
      <c r="AB7" s="43">
        <v>2.9</v>
      </c>
      <c r="AC7" s="43">
        <v>6.79</v>
      </c>
      <c r="AD7" s="43">
        <v>11.1</v>
      </c>
      <c r="AE7" s="43">
        <v>12.1</v>
      </c>
    </row>
    <row r="8" spans="1:31" x14ac:dyDescent="0.25">
      <c r="A8" s="10">
        <v>12</v>
      </c>
      <c r="B8" s="35">
        <v>9.5</v>
      </c>
      <c r="C8" s="35">
        <v>9.6999999999999993</v>
      </c>
      <c r="D8" s="35">
        <v>10.1</v>
      </c>
      <c r="E8" s="35">
        <v>12.27</v>
      </c>
      <c r="F8" s="35">
        <v>9.0399999999999991</v>
      </c>
      <c r="G8" s="35">
        <v>10.6</v>
      </c>
      <c r="H8" s="35">
        <v>10.7</v>
      </c>
      <c r="I8" s="35">
        <v>14.8</v>
      </c>
      <c r="J8" s="35">
        <v>9.1</v>
      </c>
      <c r="K8" s="35">
        <v>11.2</v>
      </c>
      <c r="L8" s="35">
        <v>20</v>
      </c>
      <c r="M8" s="35">
        <v>21.5</v>
      </c>
      <c r="N8" s="43">
        <v>19.399999999999999</v>
      </c>
      <c r="O8" s="43">
        <v>12.8</v>
      </c>
      <c r="P8" s="43">
        <v>10.199999999999999</v>
      </c>
      <c r="Q8" s="43">
        <v>13.2</v>
      </c>
      <c r="R8" s="43">
        <v>14.3</v>
      </c>
      <c r="S8" s="43">
        <v>12.5</v>
      </c>
      <c r="T8" s="43">
        <v>15</v>
      </c>
      <c r="U8" s="43">
        <v>17.100000000000001</v>
      </c>
      <c r="V8" s="43">
        <v>12.4</v>
      </c>
      <c r="W8" s="43">
        <v>10.5</v>
      </c>
      <c r="X8" s="43">
        <v>3.1</v>
      </c>
      <c r="Y8" s="43">
        <v>4.8</v>
      </c>
      <c r="Z8" s="43">
        <v>1.5</v>
      </c>
      <c r="AA8" s="43">
        <v>3.1</v>
      </c>
      <c r="AB8" s="43">
        <v>3.9</v>
      </c>
      <c r="AC8" s="43">
        <v>7.66</v>
      </c>
      <c r="AD8" s="43">
        <v>10.8</v>
      </c>
      <c r="AE8" s="43">
        <v>12.7</v>
      </c>
    </row>
    <row r="9" spans="1:31" x14ac:dyDescent="0.25">
      <c r="A9" s="10">
        <v>14</v>
      </c>
      <c r="B9" s="35">
        <v>10.199999999999999</v>
      </c>
      <c r="C9" s="35">
        <v>9.8000000000000007</v>
      </c>
      <c r="D9" s="35">
        <v>9.3000000000000007</v>
      </c>
      <c r="E9" s="35">
        <v>11.6</v>
      </c>
      <c r="F9" s="35">
        <v>9.4499999999999993</v>
      </c>
      <c r="G9" s="35">
        <v>12</v>
      </c>
      <c r="H9" s="35">
        <v>11.4</v>
      </c>
      <c r="I9" s="35">
        <v>14.4</v>
      </c>
      <c r="J9" s="35">
        <v>11.5</v>
      </c>
      <c r="K9" s="35">
        <v>13</v>
      </c>
      <c r="L9" s="35">
        <v>20.7</v>
      </c>
      <c r="M9" s="35">
        <v>22.1</v>
      </c>
      <c r="N9" s="43">
        <v>20.3</v>
      </c>
      <c r="O9" s="43">
        <v>14.5</v>
      </c>
      <c r="P9" s="43">
        <v>11.6</v>
      </c>
      <c r="Q9" s="43">
        <v>12.82</v>
      </c>
      <c r="R9" s="43">
        <v>14.7</v>
      </c>
      <c r="S9" s="43">
        <v>14.1</v>
      </c>
      <c r="T9" s="43">
        <v>17.899999999999999</v>
      </c>
      <c r="U9" s="43">
        <v>18.2</v>
      </c>
      <c r="V9" s="43">
        <v>14</v>
      </c>
      <c r="W9" s="43">
        <v>11.3</v>
      </c>
      <c r="X9" s="43">
        <v>4.5</v>
      </c>
      <c r="Y9" s="43">
        <v>3.8</v>
      </c>
      <c r="Z9" s="43">
        <v>1.4</v>
      </c>
      <c r="AA9" s="43">
        <v>3</v>
      </c>
      <c r="AB9" s="43">
        <v>4.9000000000000004</v>
      </c>
      <c r="AC9" s="43">
        <v>12</v>
      </c>
      <c r="AD9" s="43">
        <v>12.4</v>
      </c>
      <c r="AE9" s="43">
        <v>13.1</v>
      </c>
    </row>
    <row r="10" spans="1:31" x14ac:dyDescent="0.25">
      <c r="A10" s="10">
        <v>16</v>
      </c>
      <c r="B10" s="35">
        <v>9.9</v>
      </c>
      <c r="C10" s="35">
        <v>11.3</v>
      </c>
      <c r="D10" s="35">
        <v>10.7</v>
      </c>
      <c r="E10" s="35">
        <v>10.65</v>
      </c>
      <c r="F10" s="35">
        <v>10.16</v>
      </c>
      <c r="G10" s="35">
        <v>11.1</v>
      </c>
      <c r="H10" s="35">
        <v>11.2</v>
      </c>
      <c r="I10" s="35">
        <v>13.3</v>
      </c>
      <c r="J10" s="35">
        <v>10.8</v>
      </c>
      <c r="K10" s="35">
        <v>13.4</v>
      </c>
      <c r="L10" s="35">
        <v>21.5</v>
      </c>
      <c r="M10" s="35">
        <v>21.8</v>
      </c>
      <c r="N10" s="43">
        <v>20.7</v>
      </c>
      <c r="O10" s="43">
        <v>15.8</v>
      </c>
      <c r="P10" s="43">
        <v>10.9</v>
      </c>
      <c r="Q10" s="43">
        <v>12.44</v>
      </c>
      <c r="R10" s="43">
        <v>16.600000000000001</v>
      </c>
      <c r="S10" s="43">
        <v>13.9</v>
      </c>
      <c r="T10" s="43">
        <v>17.600000000000001</v>
      </c>
      <c r="U10" s="43">
        <v>17.399999999999999</v>
      </c>
      <c r="V10" s="43">
        <v>13.2</v>
      </c>
      <c r="W10" s="43">
        <v>11.6</v>
      </c>
      <c r="X10" s="43">
        <v>5.3</v>
      </c>
      <c r="Y10" s="43">
        <v>3.9</v>
      </c>
      <c r="Z10" s="43">
        <v>1.6</v>
      </c>
      <c r="AA10" s="43">
        <v>3.1</v>
      </c>
      <c r="AB10" s="43">
        <v>5.8</v>
      </c>
      <c r="AC10" s="43">
        <v>12.75</v>
      </c>
      <c r="AD10" s="43">
        <v>9.6999999999999993</v>
      </c>
      <c r="AE10" s="43">
        <v>13.7</v>
      </c>
    </row>
    <row r="11" spans="1:31" x14ac:dyDescent="0.25">
      <c r="A11" s="10">
        <v>18</v>
      </c>
      <c r="B11" s="35">
        <v>9.5</v>
      </c>
      <c r="C11" s="35">
        <v>10.5</v>
      </c>
      <c r="D11" s="35">
        <v>10.5</v>
      </c>
      <c r="E11" s="35">
        <v>9.3000000000000007</v>
      </c>
      <c r="F11" s="35">
        <v>9.4499999999999993</v>
      </c>
      <c r="G11" s="35">
        <v>10.4</v>
      </c>
      <c r="H11" s="35">
        <v>11.1</v>
      </c>
      <c r="I11" s="35">
        <v>13</v>
      </c>
      <c r="J11" s="35">
        <v>9.1999999999999993</v>
      </c>
      <c r="K11" s="35">
        <v>14.1</v>
      </c>
      <c r="L11" s="35">
        <v>20.100000000000001</v>
      </c>
      <c r="M11" s="35">
        <v>18.600000000000001</v>
      </c>
      <c r="N11" s="43">
        <v>18.399999999999999</v>
      </c>
      <c r="O11" s="43">
        <v>12.6</v>
      </c>
      <c r="P11" s="43">
        <v>9.3699999999999992</v>
      </c>
      <c r="Q11" s="43">
        <v>10.5</v>
      </c>
      <c r="R11" s="43">
        <v>15.61</v>
      </c>
      <c r="S11" s="43">
        <v>13.4</v>
      </c>
      <c r="T11" s="43">
        <v>15.3</v>
      </c>
      <c r="U11" s="43">
        <v>14.5</v>
      </c>
      <c r="V11" s="43">
        <v>12.09</v>
      </c>
      <c r="W11" s="43">
        <v>9.6999999999999993</v>
      </c>
      <c r="X11" s="43">
        <v>5.8</v>
      </c>
      <c r="Y11" s="43">
        <v>3.8</v>
      </c>
      <c r="Z11" s="43">
        <v>2</v>
      </c>
      <c r="AA11" s="43">
        <v>2</v>
      </c>
      <c r="AB11" s="43">
        <v>5.3</v>
      </c>
      <c r="AC11" s="43">
        <v>11.6</v>
      </c>
      <c r="AD11" s="43">
        <v>11.09</v>
      </c>
      <c r="AE11" s="43">
        <v>13.3</v>
      </c>
    </row>
    <row r="12" spans="1:31" x14ac:dyDescent="0.25">
      <c r="A12" s="10">
        <v>20</v>
      </c>
      <c r="B12" s="35">
        <v>7.8</v>
      </c>
      <c r="C12" s="35">
        <v>10.199999999999999</v>
      </c>
      <c r="D12" s="35">
        <v>8.5</v>
      </c>
      <c r="E12" s="35">
        <v>9.1999999999999993</v>
      </c>
      <c r="F12" s="35">
        <v>7.5</v>
      </c>
      <c r="G12" s="35">
        <v>10.050000000000001</v>
      </c>
      <c r="H12" s="35">
        <v>11</v>
      </c>
      <c r="I12" s="35">
        <v>11.3</v>
      </c>
      <c r="J12" s="35">
        <v>7.2</v>
      </c>
      <c r="K12" s="35">
        <v>12</v>
      </c>
      <c r="L12" s="35">
        <v>16</v>
      </c>
      <c r="M12" s="35">
        <v>15.09</v>
      </c>
      <c r="N12" s="43">
        <v>15</v>
      </c>
      <c r="O12" s="43">
        <v>9.1</v>
      </c>
      <c r="P12" s="43">
        <v>6.2</v>
      </c>
      <c r="Q12" s="43">
        <v>10.7</v>
      </c>
      <c r="R12" s="43">
        <v>13.91</v>
      </c>
      <c r="S12" s="43">
        <v>13.3</v>
      </c>
      <c r="T12" s="43">
        <v>13.3</v>
      </c>
      <c r="U12" s="43">
        <v>13.2</v>
      </c>
      <c r="V12" s="43">
        <v>11.09</v>
      </c>
      <c r="W12" s="43">
        <v>8.5</v>
      </c>
      <c r="X12" s="43">
        <v>6.3</v>
      </c>
      <c r="Y12" s="43">
        <v>2.9</v>
      </c>
      <c r="Z12" s="43">
        <v>2.06</v>
      </c>
      <c r="AA12" s="43">
        <v>1.9</v>
      </c>
      <c r="AB12" s="43">
        <v>5.2</v>
      </c>
      <c r="AC12" s="43">
        <v>11.2</v>
      </c>
      <c r="AD12" s="43">
        <v>11.1</v>
      </c>
      <c r="AE12" s="43">
        <v>12.3</v>
      </c>
    </row>
    <row r="13" spans="1:31" x14ac:dyDescent="0.25">
      <c r="A13" s="10">
        <v>22</v>
      </c>
      <c r="B13" s="35">
        <v>6.99</v>
      </c>
      <c r="C13" s="35">
        <v>9.8000000000000007</v>
      </c>
      <c r="D13" s="35">
        <v>8.1</v>
      </c>
      <c r="E13" s="35">
        <v>8.6</v>
      </c>
      <c r="F13" s="35">
        <v>5.5</v>
      </c>
      <c r="G13" s="35">
        <v>10.44</v>
      </c>
      <c r="H13" s="35">
        <v>10.72</v>
      </c>
      <c r="I13" s="35">
        <v>9.6999999999999993</v>
      </c>
      <c r="J13" s="35">
        <v>5.6</v>
      </c>
      <c r="K13" s="35">
        <v>9.1</v>
      </c>
      <c r="L13" s="35">
        <v>14.8</v>
      </c>
      <c r="M13" s="35">
        <v>13.28</v>
      </c>
      <c r="N13" s="43">
        <v>14.59</v>
      </c>
      <c r="O13" s="43">
        <v>6.7</v>
      </c>
      <c r="P13" s="43">
        <v>4.9000000000000004</v>
      </c>
      <c r="Q13" s="43">
        <v>11.4</v>
      </c>
      <c r="R13" s="43">
        <v>13.21</v>
      </c>
      <c r="S13" s="43">
        <v>13</v>
      </c>
      <c r="T13" s="43">
        <v>12.5</v>
      </c>
      <c r="U13" s="43">
        <v>12.8</v>
      </c>
      <c r="V13" s="43">
        <v>10.79</v>
      </c>
      <c r="W13" s="43">
        <v>8.1999999999999993</v>
      </c>
      <c r="X13" s="43">
        <v>6.1</v>
      </c>
      <c r="Y13" s="43">
        <v>2.6</v>
      </c>
      <c r="Z13" s="43">
        <v>1.88</v>
      </c>
      <c r="AA13" s="43">
        <v>1.3</v>
      </c>
      <c r="AB13" s="43">
        <v>5</v>
      </c>
      <c r="AC13" s="43">
        <v>10.5</v>
      </c>
      <c r="AD13" s="43">
        <v>11.84</v>
      </c>
      <c r="AE13" s="43">
        <v>11.5</v>
      </c>
    </row>
    <row r="14" spans="1:31" x14ac:dyDescent="0.25">
      <c r="A14" s="10">
        <v>24</v>
      </c>
      <c r="B14" s="35">
        <v>7.7</v>
      </c>
      <c r="C14" s="35">
        <v>9.6</v>
      </c>
      <c r="D14" s="35">
        <v>7.4</v>
      </c>
      <c r="E14" s="35">
        <v>8.1999999999999993</v>
      </c>
      <c r="F14" s="35">
        <v>4.7</v>
      </c>
      <c r="G14" s="35">
        <v>10.98</v>
      </c>
      <c r="H14" s="35">
        <v>10.6</v>
      </c>
      <c r="I14" s="35">
        <v>8.1999999999999993</v>
      </c>
      <c r="J14" s="35">
        <v>5.2</v>
      </c>
      <c r="K14" s="35">
        <v>8.4</v>
      </c>
      <c r="L14" s="35">
        <v>12.6</v>
      </c>
      <c r="M14" s="35">
        <v>12.37</v>
      </c>
      <c r="N14" s="43">
        <v>13.83</v>
      </c>
      <c r="O14" s="43">
        <v>5.3</v>
      </c>
      <c r="P14" s="43">
        <v>4.7</v>
      </c>
      <c r="Q14" s="43">
        <v>10.4</v>
      </c>
      <c r="R14" s="43">
        <v>12.66</v>
      </c>
      <c r="S14" s="43">
        <v>12.1</v>
      </c>
      <c r="T14" s="43">
        <v>11.4</v>
      </c>
      <c r="U14" s="43">
        <v>11.9</v>
      </c>
      <c r="V14" s="43">
        <v>10.77</v>
      </c>
      <c r="W14" s="43">
        <v>7.4</v>
      </c>
      <c r="X14" s="43">
        <v>5.9</v>
      </c>
      <c r="Y14" s="43">
        <v>2.7</v>
      </c>
      <c r="Z14" s="43">
        <v>1.95</v>
      </c>
      <c r="AA14" s="43">
        <v>-1.4</v>
      </c>
      <c r="AB14" s="43">
        <v>4.9000000000000004</v>
      </c>
      <c r="AC14" s="43">
        <v>10.6</v>
      </c>
      <c r="AD14" s="43">
        <v>11.4</v>
      </c>
      <c r="AE14" s="43">
        <v>11.8</v>
      </c>
    </row>
    <row r="15" spans="1:31" x14ac:dyDescent="0.25">
      <c r="A15" s="10">
        <v>2</v>
      </c>
      <c r="B15" s="35">
        <v>7.6</v>
      </c>
      <c r="C15" s="35">
        <v>9.8000000000000007</v>
      </c>
      <c r="D15" s="35">
        <v>5.8</v>
      </c>
      <c r="E15" s="35">
        <v>8.3000000000000007</v>
      </c>
      <c r="F15" s="35">
        <v>4.5999999999999996</v>
      </c>
      <c r="G15" s="35">
        <v>10.8</v>
      </c>
      <c r="H15" s="35">
        <v>10.6</v>
      </c>
      <c r="I15" s="35">
        <v>6.1</v>
      </c>
      <c r="J15" s="35">
        <v>4.7</v>
      </c>
      <c r="K15" s="35">
        <v>9.4</v>
      </c>
      <c r="L15" s="35">
        <v>11.4</v>
      </c>
      <c r="M15" s="35">
        <v>11.5</v>
      </c>
      <c r="N15" s="43">
        <v>13.3</v>
      </c>
      <c r="O15" s="43">
        <v>3.2</v>
      </c>
      <c r="P15" s="43">
        <v>4.7</v>
      </c>
      <c r="Q15" s="43">
        <v>9.9</v>
      </c>
      <c r="R15" s="43">
        <v>11.9</v>
      </c>
      <c r="S15" s="43">
        <v>10.8</v>
      </c>
      <c r="T15" s="43">
        <v>10.3</v>
      </c>
      <c r="U15" s="43">
        <v>11.1</v>
      </c>
      <c r="V15" s="43">
        <v>10.5</v>
      </c>
      <c r="W15" s="43">
        <v>8.6</v>
      </c>
      <c r="X15" s="43">
        <v>5.2</v>
      </c>
      <c r="Y15" s="43">
        <v>2.5</v>
      </c>
      <c r="Z15" s="43">
        <v>1.8</v>
      </c>
      <c r="AA15" s="43">
        <v>-2</v>
      </c>
      <c r="AB15" s="43">
        <v>4.7699999999999996</v>
      </c>
      <c r="AC15" s="43">
        <v>10.8</v>
      </c>
      <c r="AD15" s="43">
        <v>10.19</v>
      </c>
      <c r="AE15" s="43">
        <v>8.6999999999999993</v>
      </c>
    </row>
    <row r="16" spans="1:31" ht="30" x14ac:dyDescent="0.25">
      <c r="A16" s="11" t="s">
        <v>2</v>
      </c>
      <c r="B16" s="15">
        <f t="shared" ref="B16:F16" si="0">AVERAGE(B4+B5+B6+B7+B8+B9+B10+B11+B12+B13+B14+B15)/12</f>
        <v>8.1758333333333333</v>
      </c>
      <c r="C16" s="15">
        <f t="shared" si="0"/>
        <v>9.7566666666666659</v>
      </c>
      <c r="D16" s="15">
        <f t="shared" si="0"/>
        <v>9</v>
      </c>
      <c r="E16" s="15">
        <f t="shared" si="0"/>
        <v>8.9908333333333328</v>
      </c>
      <c r="F16" s="15">
        <f t="shared" si="0"/>
        <v>7.7366666666666655</v>
      </c>
      <c r="G16" s="42">
        <f t="shared" ref="G16:I16" si="1">AVERAGE(G4+G5+G6+G7+G8+G9+G10+G11+G12+G13+G14+G15)/12</f>
        <v>8.9558333333333326</v>
      </c>
      <c r="H16" s="42">
        <f t="shared" si="1"/>
        <v>10.714166666666666</v>
      </c>
      <c r="I16" s="42">
        <f t="shared" si="1"/>
        <v>11.279166666666667</v>
      </c>
      <c r="J16" s="42">
        <f t="shared" ref="J16:P16" si="2">AVERAGE(J4+J5+J6+J7+J8+J9+J10+J11+J12+J13+J14+J15)/12</f>
        <v>7.2166666666666677</v>
      </c>
      <c r="K16" s="42">
        <f t="shared" si="2"/>
        <v>9.6833333333333336</v>
      </c>
      <c r="L16" s="42">
        <f t="shared" si="2"/>
        <v>15.04166666666667</v>
      </c>
      <c r="M16" s="42">
        <f t="shared" si="2"/>
        <v>15.895000000000001</v>
      </c>
      <c r="N16" s="42">
        <f t="shared" si="2"/>
        <v>15.738333333333337</v>
      </c>
      <c r="O16" s="42">
        <f t="shared" si="2"/>
        <v>11.116666666666665</v>
      </c>
      <c r="P16" s="42">
        <f t="shared" si="2"/>
        <v>6.4891666666666667</v>
      </c>
      <c r="Q16" s="42">
        <f t="shared" ref="Q16:W16" si="3">AVERAGE(Q4+Q5+Q6+Q7+Q8+Q9+Q10+Q11+Q12+Q13+Q14+Q15)/12</f>
        <v>9.6833333333333353</v>
      </c>
      <c r="R16" s="42">
        <f t="shared" si="3"/>
        <v>13.099166666666667</v>
      </c>
      <c r="S16" s="42">
        <f t="shared" si="3"/>
        <v>12.341666666666669</v>
      </c>
      <c r="T16" s="42">
        <f t="shared" si="3"/>
        <v>12.816666666666668</v>
      </c>
      <c r="U16" s="42">
        <f t="shared" si="3"/>
        <v>13.799999999999999</v>
      </c>
      <c r="V16" s="42">
        <f t="shared" si="3"/>
        <v>11.711666666666668</v>
      </c>
      <c r="W16" s="42">
        <f t="shared" si="3"/>
        <v>9.5333333333333332</v>
      </c>
      <c r="X16" s="42">
        <f t="shared" ref="X16:AD16" si="4">AVERAGE(X4+X5+X6+X7+X8+X9+X10+X11+X12+X13+X14+X15)/12</f>
        <v>6</v>
      </c>
      <c r="Y16" s="42">
        <f t="shared" si="4"/>
        <v>3.8583333333333329</v>
      </c>
      <c r="Z16" s="42">
        <f t="shared" si="4"/>
        <v>1.5824999999999998</v>
      </c>
      <c r="AA16" s="42">
        <f t="shared" si="4"/>
        <v>1.425</v>
      </c>
      <c r="AB16" s="42">
        <f t="shared" si="4"/>
        <v>3.1724999999999994</v>
      </c>
      <c r="AC16" s="42">
        <f t="shared" si="4"/>
        <v>9.1399999999999988</v>
      </c>
      <c r="AD16" s="42">
        <f t="shared" si="4"/>
        <v>10.918333333333335</v>
      </c>
      <c r="AE16" s="42">
        <f>AVERAGE(AE4+AE5+AE6+AE7+AE8+AE9+AE10+AE11+AE12+AE13+AE14+AE15)/12</f>
        <v>11.524999999999999</v>
      </c>
    </row>
    <row r="21" spans="1:31" ht="15.75" x14ac:dyDescent="0.25">
      <c r="A21" s="4" t="s">
        <v>7</v>
      </c>
      <c r="B21" s="23" t="s">
        <v>1</v>
      </c>
    </row>
    <row r="22" spans="1:31" x14ac:dyDescent="0.25">
      <c r="B22" s="131" t="s">
        <v>63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</row>
    <row r="23" spans="1:31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1" x14ac:dyDescent="0.25">
      <c r="A24" s="10">
        <v>4</v>
      </c>
      <c r="B24" s="35">
        <v>7</v>
      </c>
      <c r="C24" s="35">
        <v>7.4</v>
      </c>
      <c r="D24" s="35">
        <v>9.1</v>
      </c>
      <c r="E24" s="35">
        <v>4.4000000000000004</v>
      </c>
      <c r="F24" s="35">
        <v>7.8</v>
      </c>
      <c r="G24" s="35">
        <v>5.3</v>
      </c>
      <c r="H24" s="35">
        <v>10.1</v>
      </c>
      <c r="I24" s="35">
        <v>10</v>
      </c>
      <c r="J24" s="35">
        <v>3.9</v>
      </c>
      <c r="K24" s="35">
        <v>3.7</v>
      </c>
      <c r="L24" s="35">
        <v>8.1999999999999993</v>
      </c>
      <c r="M24" s="35">
        <v>10.5</v>
      </c>
      <c r="N24" s="43">
        <v>9.6</v>
      </c>
      <c r="O24" s="43">
        <v>13.8</v>
      </c>
      <c r="P24" s="43">
        <v>2.2000000000000002</v>
      </c>
      <c r="Q24" s="35">
        <v>1</v>
      </c>
      <c r="R24" s="43">
        <v>10.199999999999999</v>
      </c>
      <c r="S24" s="43">
        <v>11.7</v>
      </c>
      <c r="T24" s="43">
        <v>10.199999999999999</v>
      </c>
      <c r="U24" s="43">
        <v>11.1</v>
      </c>
      <c r="V24" s="43">
        <v>11.4</v>
      </c>
      <c r="W24" s="43">
        <v>10.9</v>
      </c>
      <c r="X24" s="43">
        <v>8.8000000000000007</v>
      </c>
      <c r="Y24" s="43">
        <v>5.2</v>
      </c>
      <c r="Z24" s="43">
        <v>1.8</v>
      </c>
      <c r="AA24" s="43">
        <v>1</v>
      </c>
      <c r="AB24" s="43">
        <v>-2.7</v>
      </c>
      <c r="AC24" s="43">
        <v>4.7</v>
      </c>
      <c r="AD24" s="43">
        <v>10.7</v>
      </c>
      <c r="AE24" s="43">
        <v>9.9</v>
      </c>
    </row>
    <row r="25" spans="1:31" x14ac:dyDescent="0.25">
      <c r="A25" s="10">
        <v>6</v>
      </c>
      <c r="B25" s="35">
        <v>6</v>
      </c>
      <c r="C25" s="35">
        <v>7.5</v>
      </c>
      <c r="D25" s="35">
        <v>8.6999999999999993</v>
      </c>
      <c r="E25" s="35">
        <v>4.9000000000000004</v>
      </c>
      <c r="F25" s="35">
        <v>7.8</v>
      </c>
      <c r="G25" s="35">
        <v>5</v>
      </c>
      <c r="H25" s="35">
        <v>9.8000000000000007</v>
      </c>
      <c r="I25" s="35">
        <v>10.4</v>
      </c>
      <c r="J25" s="35">
        <v>3.4</v>
      </c>
      <c r="K25" s="35">
        <v>4.3</v>
      </c>
      <c r="L25" s="35">
        <v>8.8000000000000007</v>
      </c>
      <c r="M25" s="35">
        <v>9.9</v>
      </c>
      <c r="N25" s="43">
        <v>9.3000000000000007</v>
      </c>
      <c r="O25" s="43">
        <v>14.1</v>
      </c>
      <c r="P25" s="43">
        <v>1</v>
      </c>
      <c r="Q25" s="35">
        <v>1.6</v>
      </c>
      <c r="R25" s="43">
        <v>10</v>
      </c>
      <c r="S25" s="43">
        <v>10.4</v>
      </c>
      <c r="T25" s="43">
        <v>9.1999999999999993</v>
      </c>
      <c r="U25" s="43">
        <v>10.7</v>
      </c>
      <c r="V25" s="43">
        <v>11.6</v>
      </c>
      <c r="W25" s="43">
        <v>10.6</v>
      </c>
      <c r="X25" s="43">
        <v>8.9</v>
      </c>
      <c r="Y25" s="43">
        <v>5.2</v>
      </c>
      <c r="Z25" s="43">
        <v>1.7</v>
      </c>
      <c r="AA25" s="43">
        <v>1</v>
      </c>
      <c r="AB25" s="43">
        <v>-2.8</v>
      </c>
      <c r="AC25" s="43">
        <v>4.5</v>
      </c>
      <c r="AD25" s="43">
        <v>10.1</v>
      </c>
      <c r="AE25" s="43">
        <v>8.6999999999999993</v>
      </c>
    </row>
    <row r="26" spans="1:31" x14ac:dyDescent="0.25">
      <c r="A26" s="10">
        <v>8</v>
      </c>
      <c r="B26" s="35">
        <v>7.7</v>
      </c>
      <c r="C26" s="35">
        <v>7.9</v>
      </c>
      <c r="D26" s="35">
        <v>8.8000000000000007</v>
      </c>
      <c r="E26" s="35">
        <v>8.6</v>
      </c>
      <c r="F26" s="35">
        <v>8.1999999999999993</v>
      </c>
      <c r="G26" s="35">
        <v>7</v>
      </c>
      <c r="H26" s="35">
        <v>10.199999999999999</v>
      </c>
      <c r="I26" s="35">
        <v>11.3</v>
      </c>
      <c r="J26" s="35">
        <v>5.5</v>
      </c>
      <c r="K26" s="35">
        <v>7.3</v>
      </c>
      <c r="L26" s="35">
        <v>10.5</v>
      </c>
      <c r="M26" s="35">
        <v>13.3</v>
      </c>
      <c r="N26" s="43">
        <v>12.7</v>
      </c>
      <c r="O26" s="43">
        <v>12.6</v>
      </c>
      <c r="P26" s="43">
        <v>4.4000000000000004</v>
      </c>
      <c r="Q26" s="35">
        <v>10.199999999999999</v>
      </c>
      <c r="R26" s="43">
        <v>10.7</v>
      </c>
      <c r="S26" s="43">
        <v>12.1</v>
      </c>
      <c r="T26" s="43">
        <v>9.8000000000000007</v>
      </c>
      <c r="U26" s="43">
        <v>12.7</v>
      </c>
      <c r="V26" s="43">
        <v>11.5</v>
      </c>
      <c r="W26" s="43">
        <v>11.2</v>
      </c>
      <c r="X26" s="43">
        <v>8.8000000000000007</v>
      </c>
      <c r="Y26" s="43">
        <v>4.9000000000000004</v>
      </c>
      <c r="Z26" s="43">
        <v>0.8</v>
      </c>
      <c r="AA26" s="43">
        <v>0.9</v>
      </c>
      <c r="AB26" s="43">
        <v>0</v>
      </c>
      <c r="AC26" s="43">
        <v>5.3</v>
      </c>
      <c r="AD26" s="43">
        <v>10</v>
      </c>
      <c r="AE26" s="43">
        <v>10.3</v>
      </c>
    </row>
    <row r="27" spans="1:31" x14ac:dyDescent="0.25">
      <c r="A27" s="10">
        <v>10</v>
      </c>
      <c r="B27" s="35">
        <v>8.1999999999999993</v>
      </c>
      <c r="C27" s="35">
        <v>9.1999999999999993</v>
      </c>
      <c r="D27" s="35">
        <v>10.9</v>
      </c>
      <c r="E27" s="35">
        <v>11.8</v>
      </c>
      <c r="F27" s="35">
        <v>9</v>
      </c>
      <c r="G27" s="35">
        <v>7.7</v>
      </c>
      <c r="H27" s="35">
        <v>10.8</v>
      </c>
      <c r="I27" s="35">
        <v>11.7</v>
      </c>
      <c r="J27" s="35">
        <v>7.8</v>
      </c>
      <c r="K27" s="35">
        <v>8.1</v>
      </c>
      <c r="L27" s="35">
        <v>16.5</v>
      </c>
      <c r="M27" s="35">
        <v>18</v>
      </c>
      <c r="N27" s="43">
        <v>17</v>
      </c>
      <c r="O27" s="43">
        <v>13.6</v>
      </c>
      <c r="P27" s="43">
        <v>7.6</v>
      </c>
      <c r="Q27" s="35">
        <v>10.3</v>
      </c>
      <c r="R27" s="43">
        <v>12.9</v>
      </c>
      <c r="S27" s="43">
        <v>13.2</v>
      </c>
      <c r="T27" s="43">
        <v>13.1</v>
      </c>
      <c r="U27" s="43">
        <v>15.1</v>
      </c>
      <c r="V27" s="43">
        <v>12</v>
      </c>
      <c r="W27" s="43">
        <v>10.199999999999999</v>
      </c>
      <c r="X27" s="43">
        <v>7.7</v>
      </c>
      <c r="Y27" s="43">
        <v>5</v>
      </c>
      <c r="Z27" s="43">
        <v>1.4</v>
      </c>
      <c r="AA27" s="43">
        <v>1.8</v>
      </c>
      <c r="AB27" s="43">
        <v>3.5</v>
      </c>
      <c r="AC27" s="43">
        <v>7.4</v>
      </c>
      <c r="AD27" s="43">
        <v>11.1</v>
      </c>
      <c r="AE27" s="43">
        <v>11.9</v>
      </c>
    </row>
    <row r="28" spans="1:31" x14ac:dyDescent="0.25">
      <c r="A28" s="10">
        <v>12</v>
      </c>
      <c r="B28" s="35">
        <v>10.1</v>
      </c>
      <c r="C28" s="35">
        <v>10.6</v>
      </c>
      <c r="D28" s="35">
        <v>10.3</v>
      </c>
      <c r="E28" s="35">
        <v>12.5</v>
      </c>
      <c r="F28" s="35">
        <v>9.3000000000000007</v>
      </c>
      <c r="G28" s="35">
        <v>10.4</v>
      </c>
      <c r="H28" s="35">
        <v>11.2</v>
      </c>
      <c r="I28" s="35">
        <v>12.5</v>
      </c>
      <c r="J28" s="35">
        <v>8.8000000000000007</v>
      </c>
      <c r="K28" s="35">
        <v>12.1</v>
      </c>
      <c r="L28" s="35">
        <v>19.600000000000001</v>
      </c>
      <c r="M28" s="35">
        <v>21.2</v>
      </c>
      <c r="N28" s="43">
        <v>20.3</v>
      </c>
      <c r="O28" s="43">
        <v>15.3</v>
      </c>
      <c r="P28" s="43">
        <v>10.8</v>
      </c>
      <c r="Q28" s="35">
        <v>12.5</v>
      </c>
      <c r="R28" s="43">
        <v>16.399999999999999</v>
      </c>
      <c r="S28" s="43">
        <v>13.5</v>
      </c>
      <c r="T28" s="43">
        <v>15.4</v>
      </c>
      <c r="U28" s="43">
        <v>17.5</v>
      </c>
      <c r="V28" s="43">
        <v>13.5</v>
      </c>
      <c r="W28" s="43">
        <v>9.8000000000000007</v>
      </c>
      <c r="X28" s="43">
        <v>3.4</v>
      </c>
      <c r="Y28" s="43">
        <v>5.0999999999999996</v>
      </c>
      <c r="Z28" s="43">
        <v>2.2999999999999998</v>
      </c>
      <c r="AA28" s="43">
        <v>2.2000000000000002</v>
      </c>
      <c r="AB28" s="43">
        <v>4.8</v>
      </c>
      <c r="AC28" s="43">
        <v>8.1</v>
      </c>
      <c r="AD28" s="43">
        <v>10.8</v>
      </c>
      <c r="AE28" s="43">
        <v>13.2</v>
      </c>
    </row>
    <row r="29" spans="1:31" x14ac:dyDescent="0.25">
      <c r="A29" s="10">
        <v>14</v>
      </c>
      <c r="B29" s="35">
        <v>9.9</v>
      </c>
      <c r="C29" s="35">
        <v>10</v>
      </c>
      <c r="D29" s="35">
        <v>11.3</v>
      </c>
      <c r="E29" s="35">
        <v>12.5</v>
      </c>
      <c r="F29" s="35">
        <v>10.7</v>
      </c>
      <c r="G29" s="35">
        <v>11.6</v>
      </c>
      <c r="H29" s="35">
        <v>10.4</v>
      </c>
      <c r="I29" s="35">
        <v>14</v>
      </c>
      <c r="J29" s="35">
        <v>11.4</v>
      </c>
      <c r="K29" s="35">
        <v>13.8</v>
      </c>
      <c r="L29" s="35">
        <v>21.5</v>
      </c>
      <c r="M29" s="35">
        <v>22.8</v>
      </c>
      <c r="N29" s="43">
        <v>21.3</v>
      </c>
      <c r="O29" s="43">
        <v>15.9</v>
      </c>
      <c r="P29" s="43">
        <v>12.1</v>
      </c>
      <c r="Q29" s="35">
        <v>14.1</v>
      </c>
      <c r="R29" s="43">
        <v>15.8</v>
      </c>
      <c r="S29" s="43">
        <v>13.2</v>
      </c>
      <c r="T29" s="43">
        <v>16.2</v>
      </c>
      <c r="U29" s="43">
        <v>18.100000000000001</v>
      </c>
      <c r="V29" s="43">
        <v>14.6</v>
      </c>
      <c r="W29" s="43">
        <v>10.8</v>
      </c>
      <c r="X29" s="43">
        <v>3.5</v>
      </c>
      <c r="Y29" s="43">
        <v>4.4000000000000004</v>
      </c>
      <c r="Z29" s="43">
        <v>1.8</v>
      </c>
      <c r="AA29" s="43">
        <v>2.4</v>
      </c>
      <c r="AB29" s="43">
        <v>5</v>
      </c>
      <c r="AC29" s="43">
        <v>9.9</v>
      </c>
      <c r="AD29" s="43">
        <v>11.8</v>
      </c>
      <c r="AE29" s="43">
        <v>13.6</v>
      </c>
    </row>
    <row r="30" spans="1:31" x14ac:dyDescent="0.25">
      <c r="A30" s="10">
        <v>16</v>
      </c>
      <c r="B30" s="35">
        <v>9.5</v>
      </c>
      <c r="C30" s="35">
        <v>10</v>
      </c>
      <c r="D30" s="35">
        <v>9.9</v>
      </c>
      <c r="E30" s="35">
        <v>11.3</v>
      </c>
      <c r="F30" s="35">
        <v>10</v>
      </c>
      <c r="G30" s="35">
        <v>10.5</v>
      </c>
      <c r="H30" s="35">
        <v>10.4</v>
      </c>
      <c r="I30" s="35">
        <v>13.7</v>
      </c>
      <c r="J30" s="35">
        <v>11.8</v>
      </c>
      <c r="K30" s="35">
        <v>13.7</v>
      </c>
      <c r="L30" s="35">
        <v>21.7</v>
      </c>
      <c r="M30" s="35">
        <v>22.2</v>
      </c>
      <c r="N30" s="43">
        <v>21.7</v>
      </c>
      <c r="O30" s="43">
        <v>12</v>
      </c>
      <c r="P30" s="43">
        <v>12.1</v>
      </c>
      <c r="Q30" s="35">
        <v>12.6</v>
      </c>
      <c r="R30" s="43">
        <v>15.4</v>
      </c>
      <c r="S30" s="43">
        <v>13.9</v>
      </c>
      <c r="T30" s="43">
        <v>16.399999999999999</v>
      </c>
      <c r="U30" s="43">
        <v>17.600000000000001</v>
      </c>
      <c r="V30" s="43">
        <v>13.5</v>
      </c>
      <c r="W30" s="43">
        <v>11.4</v>
      </c>
      <c r="X30" s="43">
        <v>4.2</v>
      </c>
      <c r="Y30" s="43">
        <v>4.3</v>
      </c>
      <c r="Z30" s="43">
        <v>1.7</v>
      </c>
      <c r="AA30" s="43">
        <v>2.8</v>
      </c>
      <c r="AB30" s="43">
        <v>5.7</v>
      </c>
      <c r="AC30" s="43">
        <v>12.6</v>
      </c>
      <c r="AD30" s="43">
        <v>9.1</v>
      </c>
      <c r="AE30" s="43">
        <v>12.9</v>
      </c>
    </row>
    <row r="31" spans="1:31" x14ac:dyDescent="0.25">
      <c r="A31" s="10">
        <v>18</v>
      </c>
      <c r="B31" s="35">
        <v>8.9</v>
      </c>
      <c r="C31" s="35">
        <v>10.8</v>
      </c>
      <c r="D31" s="35">
        <v>10.1</v>
      </c>
      <c r="E31" s="35">
        <v>9.6</v>
      </c>
      <c r="F31" s="35">
        <v>8.9</v>
      </c>
      <c r="G31" s="35">
        <v>10.3</v>
      </c>
      <c r="H31" s="35">
        <v>9.9</v>
      </c>
      <c r="I31" s="35">
        <v>12.7</v>
      </c>
      <c r="J31" s="35">
        <v>8.9</v>
      </c>
      <c r="K31" s="35">
        <v>12.9</v>
      </c>
      <c r="L31" s="35">
        <v>18.2</v>
      </c>
      <c r="M31" s="35">
        <v>18.399999999999999</v>
      </c>
      <c r="N31" s="43">
        <v>18.899999999999999</v>
      </c>
      <c r="O31" s="43">
        <v>10</v>
      </c>
      <c r="P31" s="43">
        <v>8.6999999999999993</v>
      </c>
      <c r="Q31" s="35">
        <v>11.6</v>
      </c>
      <c r="R31" s="43">
        <v>14.8</v>
      </c>
      <c r="S31" s="43">
        <v>13.1</v>
      </c>
      <c r="T31" s="43">
        <v>14.6</v>
      </c>
      <c r="U31" s="43">
        <v>15.2</v>
      </c>
      <c r="V31" s="43">
        <v>12.6</v>
      </c>
      <c r="W31" s="43">
        <v>10.1</v>
      </c>
      <c r="X31" s="43">
        <v>5.6</v>
      </c>
      <c r="Y31" s="43">
        <v>4</v>
      </c>
      <c r="Z31" s="43">
        <v>2</v>
      </c>
      <c r="AA31" s="43">
        <v>2.4</v>
      </c>
      <c r="AB31" s="43">
        <v>4.3</v>
      </c>
      <c r="AC31" s="43">
        <v>11.5</v>
      </c>
      <c r="AD31" s="43">
        <v>10</v>
      </c>
      <c r="AE31" s="43">
        <v>13</v>
      </c>
    </row>
    <row r="32" spans="1:31" x14ac:dyDescent="0.25">
      <c r="A32" s="10">
        <v>20</v>
      </c>
      <c r="B32" s="35">
        <v>7.9</v>
      </c>
      <c r="C32" s="35">
        <v>9.6999999999999993</v>
      </c>
      <c r="D32" s="35">
        <v>9.1999999999999993</v>
      </c>
      <c r="E32" s="35">
        <v>9.3000000000000007</v>
      </c>
      <c r="F32" s="35">
        <v>6</v>
      </c>
      <c r="G32" s="35">
        <v>10</v>
      </c>
      <c r="H32" s="35">
        <v>9.6999999999999993</v>
      </c>
      <c r="I32" s="35">
        <v>11.7</v>
      </c>
      <c r="J32" s="35">
        <v>6.3</v>
      </c>
      <c r="K32" s="35">
        <v>9.6</v>
      </c>
      <c r="L32" s="35">
        <v>15.2</v>
      </c>
      <c r="M32" s="35">
        <v>14.7</v>
      </c>
      <c r="N32" s="43">
        <v>14.7</v>
      </c>
      <c r="O32" s="43">
        <v>9.3000000000000007</v>
      </c>
      <c r="P32" s="43">
        <v>4.3</v>
      </c>
      <c r="Q32" s="35">
        <v>10.6</v>
      </c>
      <c r="R32" s="43">
        <v>14.3</v>
      </c>
      <c r="S32" s="43">
        <v>13.1</v>
      </c>
      <c r="T32" s="43">
        <v>13.9</v>
      </c>
      <c r="U32" s="43">
        <v>14.1</v>
      </c>
      <c r="V32" s="43">
        <v>11.9</v>
      </c>
      <c r="W32" s="43">
        <v>9.1999999999999993</v>
      </c>
      <c r="X32" s="43">
        <v>6.2</v>
      </c>
      <c r="Y32" s="43">
        <v>3.3</v>
      </c>
      <c r="Z32" s="43">
        <v>2.1</v>
      </c>
      <c r="AA32" s="43">
        <v>1.3</v>
      </c>
      <c r="AB32" s="43">
        <v>4.5999999999999996</v>
      </c>
      <c r="AC32" s="43">
        <v>11.9</v>
      </c>
      <c r="AD32" s="43">
        <v>9.4</v>
      </c>
      <c r="AE32" s="43">
        <v>12.5</v>
      </c>
    </row>
    <row r="33" spans="1:31" x14ac:dyDescent="0.25">
      <c r="A33" s="10">
        <v>22</v>
      </c>
      <c r="B33" s="35">
        <v>7</v>
      </c>
      <c r="C33" s="35">
        <v>9.5</v>
      </c>
      <c r="D33" s="35">
        <v>8.4</v>
      </c>
      <c r="E33" s="35">
        <v>8.6</v>
      </c>
      <c r="F33" s="35">
        <v>5.9</v>
      </c>
      <c r="G33" s="35">
        <v>10</v>
      </c>
      <c r="H33" s="35">
        <v>9.3000000000000007</v>
      </c>
      <c r="I33" s="35">
        <v>9.6999999999999993</v>
      </c>
      <c r="J33" s="35">
        <v>5.4</v>
      </c>
      <c r="K33" s="35">
        <v>8.3000000000000007</v>
      </c>
      <c r="L33" s="35">
        <v>13.8</v>
      </c>
      <c r="M33" s="35">
        <v>13.2</v>
      </c>
      <c r="N33" s="43">
        <v>13.2</v>
      </c>
      <c r="O33" s="43">
        <v>7.4</v>
      </c>
      <c r="P33" s="43">
        <v>2.7</v>
      </c>
      <c r="Q33" s="35">
        <v>10.4</v>
      </c>
      <c r="R33" s="43">
        <v>13.1</v>
      </c>
      <c r="S33" s="43">
        <v>13.1</v>
      </c>
      <c r="T33" s="43">
        <v>13.2</v>
      </c>
      <c r="U33" s="43">
        <v>13.1</v>
      </c>
      <c r="V33" s="43">
        <v>10.9</v>
      </c>
      <c r="W33" s="43">
        <v>8.1999999999999993</v>
      </c>
      <c r="X33" s="43">
        <v>6.1</v>
      </c>
      <c r="Y33" s="43">
        <v>3.1</v>
      </c>
      <c r="Z33" s="43">
        <v>2</v>
      </c>
      <c r="AA33" s="43">
        <v>0.2</v>
      </c>
      <c r="AB33" s="43">
        <v>5.3</v>
      </c>
      <c r="AC33" s="43">
        <v>11.5</v>
      </c>
      <c r="AD33" s="43">
        <v>10</v>
      </c>
      <c r="AE33" s="43">
        <v>11.2</v>
      </c>
    </row>
    <row r="34" spans="1:31" x14ac:dyDescent="0.25">
      <c r="A34" s="10">
        <v>24</v>
      </c>
      <c r="B34" s="35">
        <v>7.1</v>
      </c>
      <c r="C34" s="35">
        <v>9</v>
      </c>
      <c r="D34" s="35">
        <v>7.4</v>
      </c>
      <c r="E34" s="35">
        <v>6.8</v>
      </c>
      <c r="F34" s="35">
        <v>2.7</v>
      </c>
      <c r="G34" s="35">
        <v>10.6</v>
      </c>
      <c r="H34" s="35">
        <v>10.3</v>
      </c>
      <c r="I34" s="35">
        <v>7.5</v>
      </c>
      <c r="J34" s="35">
        <v>5</v>
      </c>
      <c r="K34" s="35">
        <v>6.9</v>
      </c>
      <c r="L34" s="35">
        <v>11.9</v>
      </c>
      <c r="M34" s="35">
        <v>11.2</v>
      </c>
      <c r="N34" s="43">
        <v>12.1</v>
      </c>
      <c r="O34" s="43">
        <v>5.3</v>
      </c>
      <c r="P34" s="43">
        <v>1.8</v>
      </c>
      <c r="Q34" s="35">
        <v>10.8</v>
      </c>
      <c r="R34" s="43">
        <v>12.7</v>
      </c>
      <c r="S34" s="43">
        <v>12.4</v>
      </c>
      <c r="T34" s="43">
        <v>13</v>
      </c>
      <c r="U34" s="43">
        <v>12.7</v>
      </c>
      <c r="V34" s="43">
        <v>10.8</v>
      </c>
      <c r="W34" s="43">
        <v>8.3000000000000007</v>
      </c>
      <c r="X34" s="43">
        <v>6.1</v>
      </c>
      <c r="Y34" s="43">
        <v>2.9</v>
      </c>
      <c r="Z34" s="43">
        <v>1.8</v>
      </c>
      <c r="AA34" s="43">
        <v>-1.2</v>
      </c>
      <c r="AB34" s="43">
        <v>5</v>
      </c>
      <c r="AC34" s="43">
        <v>11</v>
      </c>
      <c r="AD34" s="43">
        <v>11.5</v>
      </c>
      <c r="AE34" s="43">
        <v>10.9</v>
      </c>
    </row>
    <row r="35" spans="1:31" x14ac:dyDescent="0.25">
      <c r="A35" s="10">
        <v>2</v>
      </c>
      <c r="B35" s="35">
        <v>7.5</v>
      </c>
      <c r="C35" s="35">
        <v>9.1999999999999993</v>
      </c>
      <c r="D35" s="35">
        <v>5.5</v>
      </c>
      <c r="E35" s="35">
        <v>7.4</v>
      </c>
      <c r="F35" s="35">
        <v>4.5</v>
      </c>
      <c r="G35" s="35">
        <v>10.7</v>
      </c>
      <c r="H35" s="35">
        <v>9.8000000000000007</v>
      </c>
      <c r="I35" s="35">
        <v>5.2</v>
      </c>
      <c r="J35" s="35">
        <v>4.4000000000000004</v>
      </c>
      <c r="K35" s="35">
        <v>6.8</v>
      </c>
      <c r="L35" s="35">
        <v>11.1</v>
      </c>
      <c r="M35" s="35">
        <v>10.3</v>
      </c>
      <c r="N35" s="43">
        <v>11.8</v>
      </c>
      <c r="O35" s="43">
        <v>3.2</v>
      </c>
      <c r="P35" s="43">
        <v>1.8</v>
      </c>
      <c r="Q35" s="35">
        <v>11.1</v>
      </c>
      <c r="R35" s="43">
        <v>12.6</v>
      </c>
      <c r="S35" s="43">
        <v>11.8</v>
      </c>
      <c r="T35" s="43">
        <v>11.3</v>
      </c>
      <c r="U35" s="43">
        <v>11.6</v>
      </c>
      <c r="V35" s="43">
        <v>10.6</v>
      </c>
      <c r="W35" s="43">
        <v>8.6</v>
      </c>
      <c r="X35" s="43">
        <v>5.8</v>
      </c>
      <c r="Y35" s="43">
        <v>1.3</v>
      </c>
      <c r="Z35" s="43">
        <v>1.8</v>
      </c>
      <c r="AA35" s="43">
        <v>-1.6</v>
      </c>
      <c r="AB35" s="43">
        <v>4.9000000000000004</v>
      </c>
      <c r="AC35" s="43">
        <v>10.8</v>
      </c>
      <c r="AD35" s="43">
        <v>11</v>
      </c>
      <c r="AE35" s="43">
        <v>8.9</v>
      </c>
    </row>
    <row r="36" spans="1:31" ht="30" x14ac:dyDescent="0.25">
      <c r="A36" s="11" t="s">
        <v>2</v>
      </c>
      <c r="B36" s="15">
        <f t="shared" ref="B36:F36" si="5">AVERAGE(B24+B25+B26+B27+B28+B29+B30+B31+B32+B33+B34+B35)/12</f>
        <v>8.0666666666666664</v>
      </c>
      <c r="C36" s="15">
        <f t="shared" si="5"/>
        <v>9.2333333333333343</v>
      </c>
      <c r="D36" s="15">
        <f t="shared" si="5"/>
        <v>9.1333333333333346</v>
      </c>
      <c r="E36" s="15">
        <f t="shared" si="5"/>
        <v>8.9749999999999996</v>
      </c>
      <c r="F36" s="15">
        <f t="shared" si="5"/>
        <v>7.5666666666666673</v>
      </c>
      <c r="G36" s="42">
        <f t="shared" ref="G36:I36" si="6">AVERAGE(G24+G25+G26+G27+G28+G29+G30+G31+G32+G33+G34+G35)/12</f>
        <v>9.0916666666666668</v>
      </c>
      <c r="H36" s="42">
        <f t="shared" si="6"/>
        <v>10.158333333333333</v>
      </c>
      <c r="I36" s="42">
        <f t="shared" si="6"/>
        <v>10.866666666666667</v>
      </c>
      <c r="J36" s="42">
        <f t="shared" ref="J36:P36" si="7">AVERAGE(J24+J25+J26+J27+J28+J29+J30+J31+J32+J33+J34+J35)/12</f>
        <v>6.8833333333333355</v>
      </c>
      <c r="K36" s="42">
        <f t="shared" si="7"/>
        <v>8.9583333333333339</v>
      </c>
      <c r="L36" s="42">
        <f t="shared" si="7"/>
        <v>14.75</v>
      </c>
      <c r="M36" s="42">
        <f t="shared" si="7"/>
        <v>15.475</v>
      </c>
      <c r="N36" s="42">
        <f t="shared" si="7"/>
        <v>15.216666666666663</v>
      </c>
      <c r="O36" s="42">
        <f t="shared" si="7"/>
        <v>11.041666666666666</v>
      </c>
      <c r="P36" s="42">
        <f t="shared" si="7"/>
        <v>5.791666666666667</v>
      </c>
      <c r="Q36" s="44">
        <v>9.7333333333333325</v>
      </c>
      <c r="R36" s="42">
        <f t="shared" ref="R36:W36" si="8">AVERAGE(R24+R25+R26+R27+R28+R29+R30+R31+R32+R33+R34+R35)/12</f>
        <v>13.241666666666665</v>
      </c>
      <c r="S36" s="42">
        <f t="shared" si="8"/>
        <v>12.625</v>
      </c>
      <c r="T36" s="42">
        <f t="shared" si="8"/>
        <v>13.024999999999999</v>
      </c>
      <c r="U36" s="42">
        <f t="shared" si="8"/>
        <v>14.124999999999998</v>
      </c>
      <c r="V36" s="42">
        <f t="shared" si="8"/>
        <v>12.075000000000001</v>
      </c>
      <c r="W36" s="42">
        <f t="shared" si="8"/>
        <v>9.9416666666666664</v>
      </c>
      <c r="X36" s="42">
        <f t="shared" ref="X36:AD36" si="9">AVERAGE(X24+X25+X26+X27+X28+X29+X30+X31+X32+X33+X34+X35)/12</f>
        <v>6.2583333333333337</v>
      </c>
      <c r="Y36" s="42">
        <f t="shared" si="9"/>
        <v>4.0583333333333327</v>
      </c>
      <c r="Z36" s="42">
        <f t="shared" si="9"/>
        <v>1.7666666666666666</v>
      </c>
      <c r="AA36" s="42">
        <f t="shared" si="9"/>
        <v>1.1000000000000003</v>
      </c>
      <c r="AB36" s="42">
        <f t="shared" si="9"/>
        <v>3.1333333333333333</v>
      </c>
      <c r="AC36" s="42">
        <f t="shared" si="9"/>
        <v>9.1</v>
      </c>
      <c r="AD36" s="42">
        <f t="shared" si="9"/>
        <v>10.458333333333334</v>
      </c>
      <c r="AE36" s="42">
        <f>AVERAGE(AE24+AE25+AE26+AE27+AE28+AE29+AE30+AE31+AE32+AE33+AE34+AE35)/12</f>
        <v>11.416666666666666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E13" zoomScale="90" zoomScaleNormal="90" workbookViewId="0">
      <selection activeCell="AC26" sqref="AC26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1" t="s">
        <v>64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41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43">
        <v>6.2</v>
      </c>
      <c r="C4" s="43">
        <v>4.7</v>
      </c>
      <c r="D4" s="43">
        <v>1.8</v>
      </c>
      <c r="E4" s="43">
        <v>2.2999999999999998</v>
      </c>
      <c r="F4" s="43">
        <v>1.8</v>
      </c>
      <c r="G4" s="43">
        <v>2.4</v>
      </c>
      <c r="H4" s="43">
        <v>2</v>
      </c>
      <c r="I4" s="43">
        <v>0.2</v>
      </c>
      <c r="J4" s="43">
        <v>-1.3</v>
      </c>
      <c r="K4" s="43">
        <v>-3.2</v>
      </c>
      <c r="L4" s="43">
        <v>-2.2999999999999998</v>
      </c>
      <c r="M4" s="43">
        <v>-2.1</v>
      </c>
      <c r="N4" s="43">
        <v>-3.1</v>
      </c>
      <c r="O4" s="43">
        <v>0.7</v>
      </c>
      <c r="P4" s="43">
        <v>-0.3</v>
      </c>
      <c r="Q4" s="43">
        <v>-1.9</v>
      </c>
      <c r="R4" s="43">
        <v>-1</v>
      </c>
      <c r="S4" s="43">
        <v>-1.7</v>
      </c>
      <c r="T4" s="43">
        <v>-0.9</v>
      </c>
      <c r="U4" s="43">
        <v>0.7</v>
      </c>
      <c r="V4" s="43">
        <v>0.7</v>
      </c>
      <c r="W4" s="43">
        <v>-2</v>
      </c>
      <c r="X4" s="43">
        <v>-3.6</v>
      </c>
      <c r="Y4" s="43">
        <v>0.03</v>
      </c>
      <c r="Z4" s="43">
        <v>2.42</v>
      </c>
      <c r="AA4" s="43">
        <v>2.23</v>
      </c>
      <c r="AB4" s="43">
        <v>1.5</v>
      </c>
      <c r="AC4" s="43">
        <v>-0.9</v>
      </c>
      <c r="AD4" s="43">
        <v>-2</v>
      </c>
      <c r="AE4" s="43">
        <v>-1.1000000000000001</v>
      </c>
      <c r="AF4" s="43">
        <v>-0.37</v>
      </c>
    </row>
    <row r="5" spans="1:32" x14ac:dyDescent="0.25">
      <c r="A5" s="10">
        <v>6</v>
      </c>
      <c r="B5" s="43">
        <v>5.5</v>
      </c>
      <c r="C5" s="43">
        <v>5</v>
      </c>
      <c r="D5" s="43">
        <v>1.3</v>
      </c>
      <c r="E5" s="43">
        <v>1.7</v>
      </c>
      <c r="F5" s="43">
        <v>1.8</v>
      </c>
      <c r="G5" s="43">
        <v>3</v>
      </c>
      <c r="H5" s="43">
        <v>2.8</v>
      </c>
      <c r="I5" s="15">
        <v>0.9</v>
      </c>
      <c r="J5" s="43">
        <v>-1.3</v>
      </c>
      <c r="K5" s="43">
        <v>-3.6</v>
      </c>
      <c r="L5" s="43">
        <v>-2.7</v>
      </c>
      <c r="M5" s="43">
        <v>-2</v>
      </c>
      <c r="N5" s="43">
        <v>-3.1</v>
      </c>
      <c r="O5" s="43">
        <v>-0.2</v>
      </c>
      <c r="P5" s="43">
        <v>0.8</v>
      </c>
      <c r="Q5" s="43">
        <v>-1.8</v>
      </c>
      <c r="R5" s="43">
        <v>-1</v>
      </c>
      <c r="S5" s="43">
        <v>-2.5</v>
      </c>
      <c r="T5" s="43">
        <v>-0.82</v>
      </c>
      <c r="U5" s="43">
        <v>0.8</v>
      </c>
      <c r="V5" s="43">
        <v>0.7</v>
      </c>
      <c r="W5" s="43">
        <v>-2</v>
      </c>
      <c r="X5" s="43">
        <v>-3.6</v>
      </c>
      <c r="Y5" s="43">
        <v>0.04</v>
      </c>
      <c r="Z5" s="43">
        <v>2.52</v>
      </c>
      <c r="AA5" s="43">
        <v>2.02</v>
      </c>
      <c r="AB5" s="43">
        <v>1.5</v>
      </c>
      <c r="AC5" s="43">
        <v>-0.8</v>
      </c>
      <c r="AD5" s="43">
        <v>-2</v>
      </c>
      <c r="AE5" s="43">
        <v>-0.8</v>
      </c>
      <c r="AF5" s="43">
        <v>-0.25</v>
      </c>
    </row>
    <row r="6" spans="1:32" x14ac:dyDescent="0.25">
      <c r="A6" s="10">
        <v>8</v>
      </c>
      <c r="B6" s="43">
        <v>7</v>
      </c>
      <c r="C6" s="43">
        <v>4.74</v>
      </c>
      <c r="D6" s="43">
        <v>2.2999999999999998</v>
      </c>
      <c r="E6" s="43">
        <v>2.2999999999999998</v>
      </c>
      <c r="F6" s="43">
        <v>1.2</v>
      </c>
      <c r="G6" s="43">
        <v>3.7</v>
      </c>
      <c r="H6" s="43">
        <v>3</v>
      </c>
      <c r="I6" s="15">
        <v>0.9</v>
      </c>
      <c r="J6" s="43">
        <v>-3.9</v>
      </c>
      <c r="K6" s="43">
        <v>-3.7</v>
      </c>
      <c r="L6" s="43">
        <v>-2</v>
      </c>
      <c r="M6" s="43">
        <v>-1.9</v>
      </c>
      <c r="N6" s="43">
        <v>-2.1</v>
      </c>
      <c r="O6" s="43">
        <v>0.41</v>
      </c>
      <c r="P6" s="43">
        <v>0.8</v>
      </c>
      <c r="Q6" s="43">
        <v>0.2</v>
      </c>
      <c r="R6" s="43">
        <v>0.6</v>
      </c>
      <c r="S6" s="43">
        <v>-1.6</v>
      </c>
      <c r="T6" s="43">
        <v>0.1</v>
      </c>
      <c r="U6" s="43">
        <v>1.3</v>
      </c>
      <c r="V6" s="43">
        <v>0.1</v>
      </c>
      <c r="W6" s="43">
        <v>-3.1</v>
      </c>
      <c r="X6" s="43">
        <v>-2.95</v>
      </c>
      <c r="Y6" s="43">
        <v>0.1</v>
      </c>
      <c r="Z6" s="43">
        <v>2.9</v>
      </c>
      <c r="AA6" s="43">
        <v>1.8</v>
      </c>
      <c r="AB6" s="43">
        <v>1.1000000000000001</v>
      </c>
      <c r="AC6" s="43">
        <v>-0.18</v>
      </c>
      <c r="AD6" s="43">
        <v>-1.22</v>
      </c>
      <c r="AE6" s="43">
        <v>-0.7</v>
      </c>
      <c r="AF6" s="43">
        <v>-0.7</v>
      </c>
    </row>
    <row r="7" spans="1:32" x14ac:dyDescent="0.25">
      <c r="A7" s="10">
        <v>10</v>
      </c>
      <c r="B7" s="43">
        <v>8.1999999999999993</v>
      </c>
      <c r="C7" s="43">
        <v>5.67</v>
      </c>
      <c r="D7" s="43">
        <v>3.8</v>
      </c>
      <c r="E7" s="43">
        <v>4.5</v>
      </c>
      <c r="F7" s="43">
        <v>2.9</v>
      </c>
      <c r="G7" s="43">
        <v>5</v>
      </c>
      <c r="H7" s="43">
        <v>2.7</v>
      </c>
      <c r="I7" s="43">
        <v>0.8</v>
      </c>
      <c r="J7" s="43">
        <v>-3.9</v>
      </c>
      <c r="K7" s="43">
        <v>-2.9</v>
      </c>
      <c r="L7" s="43">
        <v>-1.4</v>
      </c>
      <c r="M7" s="43">
        <v>-1.3</v>
      </c>
      <c r="N7" s="43">
        <v>0.7</v>
      </c>
      <c r="O7" s="43">
        <v>1.64</v>
      </c>
      <c r="P7" s="43">
        <v>1.9</v>
      </c>
      <c r="Q7" s="43">
        <v>0.8</v>
      </c>
      <c r="R7" s="43">
        <v>1</v>
      </c>
      <c r="S7" s="43">
        <v>0.2</v>
      </c>
      <c r="T7" s="43">
        <v>0.2</v>
      </c>
      <c r="U7" s="43">
        <v>1.7</v>
      </c>
      <c r="V7" s="43">
        <v>0.3</v>
      </c>
      <c r="W7" s="43">
        <v>-3</v>
      </c>
      <c r="X7" s="43">
        <v>-2.25</v>
      </c>
      <c r="Y7" s="43">
        <v>0.1</v>
      </c>
      <c r="Z7" s="43">
        <v>3.6</v>
      </c>
      <c r="AA7" s="43">
        <v>1.98</v>
      </c>
      <c r="AB7" s="43">
        <v>1.7</v>
      </c>
      <c r="AC7" s="43">
        <v>-0.13</v>
      </c>
      <c r="AD7" s="43">
        <v>-0.56000000000000005</v>
      </c>
      <c r="AE7" s="43">
        <v>-0.5</v>
      </c>
      <c r="AF7" s="43">
        <v>-0.4</v>
      </c>
    </row>
    <row r="8" spans="1:32" x14ac:dyDescent="0.25">
      <c r="A8" s="10">
        <v>12</v>
      </c>
      <c r="B8" s="43">
        <v>9</v>
      </c>
      <c r="C8" s="43">
        <v>5.7</v>
      </c>
      <c r="D8" s="43">
        <v>5.2</v>
      </c>
      <c r="E8" s="43">
        <v>6</v>
      </c>
      <c r="F8" s="43">
        <v>4.4000000000000004</v>
      </c>
      <c r="G8" s="43">
        <v>7.37</v>
      </c>
      <c r="H8" s="43">
        <v>2.7</v>
      </c>
      <c r="I8" s="43">
        <v>1.9</v>
      </c>
      <c r="J8" s="43">
        <v>-3.2</v>
      </c>
      <c r="K8" s="43">
        <v>-1.95</v>
      </c>
      <c r="L8" s="43">
        <v>-1.3</v>
      </c>
      <c r="M8" s="43">
        <v>-0.9</v>
      </c>
      <c r="N8" s="43">
        <v>0.1</v>
      </c>
      <c r="O8" s="43">
        <v>3.44</v>
      </c>
      <c r="P8" s="43">
        <v>2.7</v>
      </c>
      <c r="Q8" s="43">
        <v>1.4</v>
      </c>
      <c r="R8" s="43">
        <v>1.9</v>
      </c>
      <c r="S8" s="43">
        <v>2.9</v>
      </c>
      <c r="T8" s="43">
        <v>0.4</v>
      </c>
      <c r="U8" s="43">
        <v>2</v>
      </c>
      <c r="V8" s="43">
        <v>0.9</v>
      </c>
      <c r="W8" s="43">
        <v>-2.2999999999999998</v>
      </c>
      <c r="X8" s="43">
        <v>-1.98</v>
      </c>
      <c r="Y8" s="43">
        <v>0.3</v>
      </c>
      <c r="Z8" s="43">
        <v>4.2</v>
      </c>
      <c r="AA8" s="43">
        <v>2.36</v>
      </c>
      <c r="AB8" s="43">
        <v>1.8</v>
      </c>
      <c r="AC8" s="43">
        <v>-0.33</v>
      </c>
      <c r="AD8" s="43">
        <v>0.12</v>
      </c>
      <c r="AE8" s="43">
        <v>-0.2</v>
      </c>
      <c r="AF8" s="43">
        <v>0.1</v>
      </c>
    </row>
    <row r="9" spans="1:32" x14ac:dyDescent="0.25">
      <c r="A9" s="10">
        <v>14</v>
      </c>
      <c r="B9" s="43">
        <v>9</v>
      </c>
      <c r="C9" s="43">
        <v>6.57</v>
      </c>
      <c r="D9" s="43">
        <v>6.1</v>
      </c>
      <c r="E9" s="43">
        <v>7.4</v>
      </c>
      <c r="F9" s="43">
        <v>5.0999999999999996</v>
      </c>
      <c r="G9" s="43">
        <v>8.19</v>
      </c>
      <c r="H9" s="43">
        <v>0.4</v>
      </c>
      <c r="I9" s="43">
        <v>2.4</v>
      </c>
      <c r="J9" s="43">
        <v>-2.2999999999999998</v>
      </c>
      <c r="K9" s="43">
        <v>-1.71</v>
      </c>
      <c r="L9" s="43">
        <v>-1.3</v>
      </c>
      <c r="M9" s="43">
        <v>-1.2</v>
      </c>
      <c r="N9" s="43">
        <v>1.2</v>
      </c>
      <c r="O9" s="43">
        <v>4.21</v>
      </c>
      <c r="P9" s="43">
        <v>3.4</v>
      </c>
      <c r="Q9" s="43">
        <v>1.5</v>
      </c>
      <c r="R9" s="43">
        <v>2.9</v>
      </c>
      <c r="S9" s="43">
        <v>4.0999999999999996</v>
      </c>
      <c r="T9" s="43">
        <v>0.6</v>
      </c>
      <c r="U9" s="43">
        <v>2</v>
      </c>
      <c r="V9" s="43">
        <v>1.1000000000000001</v>
      </c>
      <c r="W9" s="43">
        <v>-1.8</v>
      </c>
      <c r="X9" s="43">
        <v>-1.1499999999999999</v>
      </c>
      <c r="Y9" s="43">
        <v>0.6</v>
      </c>
      <c r="Z9" s="43">
        <v>4.2</v>
      </c>
      <c r="AA9" s="43">
        <v>3</v>
      </c>
      <c r="AB9" s="43">
        <v>1.8</v>
      </c>
      <c r="AC9" s="43">
        <v>0.6</v>
      </c>
      <c r="AD9" s="43">
        <v>0.16</v>
      </c>
      <c r="AE9" s="43">
        <v>0.1</v>
      </c>
      <c r="AF9" s="43">
        <v>0.2</v>
      </c>
    </row>
    <row r="10" spans="1:32" x14ac:dyDescent="0.25">
      <c r="A10" s="10">
        <v>16</v>
      </c>
      <c r="B10" s="43">
        <v>8</v>
      </c>
      <c r="C10" s="43">
        <v>5.18</v>
      </c>
      <c r="D10" s="43">
        <v>6</v>
      </c>
      <c r="E10" s="43">
        <v>6.3</v>
      </c>
      <c r="F10" s="43">
        <v>2.7</v>
      </c>
      <c r="G10" s="43">
        <v>7.84</v>
      </c>
      <c r="H10" s="43">
        <v>2.2999999999999998</v>
      </c>
      <c r="I10" s="43">
        <v>2.4</v>
      </c>
      <c r="J10" s="43">
        <v>-1.8</v>
      </c>
      <c r="K10" s="43">
        <v>-1</v>
      </c>
      <c r="L10" s="43">
        <v>-1.3</v>
      </c>
      <c r="M10" s="43">
        <v>-1.5</v>
      </c>
      <c r="N10" s="43">
        <v>0.8</v>
      </c>
      <c r="O10" s="43">
        <v>3.69</v>
      </c>
      <c r="P10" s="43">
        <v>3</v>
      </c>
      <c r="Q10" s="43">
        <v>1.5</v>
      </c>
      <c r="R10" s="43">
        <v>2.1</v>
      </c>
      <c r="S10" s="43">
        <v>2.5</v>
      </c>
      <c r="T10" s="43">
        <v>0.9</v>
      </c>
      <c r="U10" s="43">
        <v>2.2000000000000002</v>
      </c>
      <c r="V10" s="43">
        <v>1</v>
      </c>
      <c r="W10" s="43">
        <v>-2.7</v>
      </c>
      <c r="X10" s="43">
        <v>-0.93</v>
      </c>
      <c r="Y10" s="43">
        <v>0.7</v>
      </c>
      <c r="Z10" s="43">
        <v>4</v>
      </c>
      <c r="AA10" s="43">
        <v>2.6</v>
      </c>
      <c r="AB10" s="43">
        <v>1.4</v>
      </c>
      <c r="AC10" s="43">
        <v>-0.01</v>
      </c>
      <c r="AD10" s="43">
        <v>-0.01</v>
      </c>
      <c r="AE10" s="43">
        <v>-0.3</v>
      </c>
      <c r="AF10" s="43">
        <v>-0.1</v>
      </c>
    </row>
    <row r="11" spans="1:32" x14ac:dyDescent="0.25">
      <c r="A11" s="10">
        <v>18</v>
      </c>
      <c r="B11" s="43">
        <v>7.9</v>
      </c>
      <c r="C11" s="43">
        <v>5.22</v>
      </c>
      <c r="D11" s="43">
        <v>4.4000000000000004</v>
      </c>
      <c r="E11" s="43">
        <v>5.7</v>
      </c>
      <c r="F11" s="43">
        <v>1</v>
      </c>
      <c r="G11" s="43">
        <v>7.02</v>
      </c>
      <c r="H11" s="43">
        <v>1.4</v>
      </c>
      <c r="I11" s="43">
        <v>0.2</v>
      </c>
      <c r="J11" s="43">
        <v>-3</v>
      </c>
      <c r="K11" s="43">
        <v>-1.74</v>
      </c>
      <c r="L11" s="43">
        <v>-2</v>
      </c>
      <c r="M11" s="43">
        <v>-1.8</v>
      </c>
      <c r="N11" s="43">
        <v>1.05</v>
      </c>
      <c r="O11" s="43">
        <v>0.61</v>
      </c>
      <c r="P11" s="43">
        <v>1.5</v>
      </c>
      <c r="Q11" s="43">
        <v>0.9</v>
      </c>
      <c r="R11" s="43">
        <v>2.1</v>
      </c>
      <c r="S11" s="43">
        <v>0.7</v>
      </c>
      <c r="T11" s="43">
        <v>0.8</v>
      </c>
      <c r="U11" s="43">
        <v>2</v>
      </c>
      <c r="V11" s="43">
        <v>0.7</v>
      </c>
      <c r="W11" s="43">
        <v>-4.33</v>
      </c>
      <c r="X11" s="43">
        <v>-0.6</v>
      </c>
      <c r="Y11" s="43">
        <v>0.8</v>
      </c>
      <c r="Z11" s="43">
        <v>3.2</v>
      </c>
      <c r="AA11" s="43">
        <v>2.4</v>
      </c>
      <c r="AB11" s="43">
        <v>1</v>
      </c>
      <c r="AC11" s="43">
        <v>-0.7</v>
      </c>
      <c r="AD11" s="43">
        <v>-0.1</v>
      </c>
      <c r="AE11" s="43">
        <v>-0.5</v>
      </c>
      <c r="AF11" s="43">
        <v>-0.1</v>
      </c>
    </row>
    <row r="12" spans="1:32" x14ac:dyDescent="0.25">
      <c r="A12" s="10">
        <v>20</v>
      </c>
      <c r="B12" s="43">
        <v>7.2</v>
      </c>
      <c r="C12" s="43">
        <v>5.5</v>
      </c>
      <c r="D12" s="43">
        <v>2.78</v>
      </c>
      <c r="E12" s="43">
        <v>5.3</v>
      </c>
      <c r="F12" s="43">
        <v>1.1000000000000001</v>
      </c>
      <c r="G12" s="43">
        <v>5.3</v>
      </c>
      <c r="H12" s="43">
        <v>1.83</v>
      </c>
      <c r="I12" s="43">
        <v>0.2</v>
      </c>
      <c r="J12" s="43">
        <v>-3.5</v>
      </c>
      <c r="K12" s="43">
        <v>-2.7</v>
      </c>
      <c r="L12" s="43">
        <v>-2.06</v>
      </c>
      <c r="M12" s="43">
        <v>-2.1</v>
      </c>
      <c r="N12" s="43">
        <v>0.9</v>
      </c>
      <c r="O12" s="43">
        <v>-0.5</v>
      </c>
      <c r="P12" s="43">
        <v>0.56999999999999995</v>
      </c>
      <c r="Q12" s="43">
        <v>0.9</v>
      </c>
      <c r="R12" s="43">
        <v>2.2000000000000002</v>
      </c>
      <c r="S12" s="43">
        <v>-0.68</v>
      </c>
      <c r="T12" s="43">
        <v>0.45</v>
      </c>
      <c r="U12" s="43">
        <v>2.2000000000000002</v>
      </c>
      <c r="V12" s="43">
        <v>0.1</v>
      </c>
      <c r="W12" s="43">
        <v>-5.2</v>
      </c>
      <c r="X12" s="43">
        <v>-0.1</v>
      </c>
      <c r="Y12" s="43">
        <v>1.2</v>
      </c>
      <c r="Z12" s="43">
        <v>2.95</v>
      </c>
      <c r="AA12" s="43">
        <v>2.2000000000000002</v>
      </c>
      <c r="AB12" s="43">
        <v>0.2</v>
      </c>
      <c r="AC12" s="43">
        <v>-1.2</v>
      </c>
      <c r="AD12" s="43">
        <v>-0.3</v>
      </c>
      <c r="AE12" s="43">
        <v>-0.57999999999999996</v>
      </c>
      <c r="AF12" s="43">
        <v>-0.27</v>
      </c>
    </row>
    <row r="13" spans="1:32" x14ac:dyDescent="0.25">
      <c r="A13" s="10">
        <v>22</v>
      </c>
      <c r="B13" s="43">
        <v>6.6</v>
      </c>
      <c r="C13" s="43">
        <v>5.6</v>
      </c>
      <c r="D13" s="43">
        <v>2.34</v>
      </c>
      <c r="E13" s="43">
        <v>6.2</v>
      </c>
      <c r="F13" s="43">
        <v>1.4</v>
      </c>
      <c r="G13" s="43">
        <v>5.5</v>
      </c>
      <c r="H13" s="43">
        <v>1.66</v>
      </c>
      <c r="I13" s="43">
        <v>0.4</v>
      </c>
      <c r="J13" s="43">
        <v>-2.8</v>
      </c>
      <c r="K13" s="43">
        <v>-2.8</v>
      </c>
      <c r="L13" s="43">
        <v>-2.2799999999999998</v>
      </c>
      <c r="M13" s="43">
        <v>-2.2999999999999998</v>
      </c>
      <c r="N13" s="43">
        <v>1.4</v>
      </c>
      <c r="O13" s="43">
        <v>-1.2</v>
      </c>
      <c r="P13" s="43">
        <v>-7.0000000000000007E-2</v>
      </c>
      <c r="Q13" s="43">
        <v>0.8</v>
      </c>
      <c r="R13" s="43">
        <v>2</v>
      </c>
      <c r="S13" s="43">
        <v>-1.4</v>
      </c>
      <c r="T13" s="43">
        <v>0.34</v>
      </c>
      <c r="U13" s="43">
        <v>2.1</v>
      </c>
      <c r="V13" s="43">
        <v>0.2</v>
      </c>
      <c r="W13" s="43">
        <v>-5.5</v>
      </c>
      <c r="X13" s="43">
        <v>-0.1</v>
      </c>
      <c r="Y13" s="43">
        <v>1.77</v>
      </c>
      <c r="Z13" s="43">
        <v>2.58</v>
      </c>
      <c r="AA13" s="43">
        <v>2</v>
      </c>
      <c r="AB13" s="43">
        <v>-0.1</v>
      </c>
      <c r="AC13" s="43">
        <v>-1.4</v>
      </c>
      <c r="AD13" s="43">
        <v>-0.3</v>
      </c>
      <c r="AE13" s="43">
        <v>-0.74</v>
      </c>
      <c r="AF13" s="43">
        <v>-0.19</v>
      </c>
    </row>
    <row r="14" spans="1:32" x14ac:dyDescent="0.25">
      <c r="A14" s="10">
        <v>24</v>
      </c>
      <c r="B14" s="43">
        <v>5.4</v>
      </c>
      <c r="C14" s="43">
        <v>3.1</v>
      </c>
      <c r="D14" s="43">
        <v>1.65</v>
      </c>
      <c r="E14" s="43">
        <v>5.5</v>
      </c>
      <c r="F14" s="43">
        <v>2</v>
      </c>
      <c r="G14" s="43">
        <v>3.2</v>
      </c>
      <c r="H14" s="43">
        <v>1.65</v>
      </c>
      <c r="I14" s="43">
        <v>0.2</v>
      </c>
      <c r="J14" s="43">
        <v>-2.9</v>
      </c>
      <c r="K14" s="43">
        <v>-3.1</v>
      </c>
      <c r="L14" s="43">
        <v>-1.89</v>
      </c>
      <c r="M14" s="43">
        <v>-2.4</v>
      </c>
      <c r="N14" s="43">
        <v>1.2</v>
      </c>
      <c r="O14" s="43">
        <v>-2.2000000000000002</v>
      </c>
      <c r="P14" s="43">
        <v>0.37</v>
      </c>
      <c r="Q14" s="43">
        <v>0.1</v>
      </c>
      <c r="R14" s="43">
        <v>1.5</v>
      </c>
      <c r="S14" s="43">
        <v>-1.32</v>
      </c>
      <c r="T14" s="43">
        <v>0.31</v>
      </c>
      <c r="U14" s="43">
        <v>1.8</v>
      </c>
      <c r="V14" s="43">
        <v>0.2</v>
      </c>
      <c r="W14" s="43">
        <v>-4.5</v>
      </c>
      <c r="X14" s="43">
        <v>0.1</v>
      </c>
      <c r="Y14" s="43">
        <v>1.95</v>
      </c>
      <c r="Z14" s="43">
        <v>2.57</v>
      </c>
      <c r="AA14" s="43">
        <v>2.2000000000000002</v>
      </c>
      <c r="AB14" s="43">
        <v>-0.3</v>
      </c>
      <c r="AC14" s="43">
        <v>-1.5</v>
      </c>
      <c r="AD14" s="43">
        <v>-0.4</v>
      </c>
      <c r="AE14" s="43">
        <v>-0.76</v>
      </c>
      <c r="AF14" s="43">
        <v>-0.14000000000000001</v>
      </c>
    </row>
    <row r="15" spans="1:32" x14ac:dyDescent="0.25">
      <c r="A15" s="10">
        <v>2</v>
      </c>
      <c r="B15" s="43">
        <v>5.27</v>
      </c>
      <c r="C15" s="43">
        <v>2.31</v>
      </c>
      <c r="D15" s="43">
        <v>1.93</v>
      </c>
      <c r="E15" s="43">
        <v>2.6</v>
      </c>
      <c r="F15" s="43">
        <v>1.74</v>
      </c>
      <c r="G15" s="43">
        <v>2.09</v>
      </c>
      <c r="H15" s="43">
        <v>1.17</v>
      </c>
      <c r="I15" s="43">
        <v>0.3</v>
      </c>
      <c r="J15" s="43">
        <v>-2.98</v>
      </c>
      <c r="K15" s="43">
        <v>-2.78</v>
      </c>
      <c r="L15" s="43">
        <v>-2.16</v>
      </c>
      <c r="M15" s="43">
        <v>-3.9</v>
      </c>
      <c r="N15" s="43">
        <v>0.98</v>
      </c>
      <c r="O15" s="43">
        <v>-1</v>
      </c>
      <c r="P15" s="43">
        <v>-1</v>
      </c>
      <c r="Q15" s="43">
        <v>0.3</v>
      </c>
      <c r="R15" s="43">
        <v>0.5</v>
      </c>
      <c r="S15" s="43">
        <v>-1.5</v>
      </c>
      <c r="T15" s="43">
        <v>0.55000000000000004</v>
      </c>
      <c r="U15" s="43">
        <v>1.2</v>
      </c>
      <c r="V15" s="43">
        <v>-1</v>
      </c>
      <c r="W15" s="43">
        <v>-3.9</v>
      </c>
      <c r="X15" s="43">
        <v>0.1</v>
      </c>
      <c r="Y15" s="43">
        <v>2.1</v>
      </c>
      <c r="Z15" s="43">
        <v>2.2999999999999998</v>
      </c>
      <c r="AA15" s="43">
        <v>1.8</v>
      </c>
      <c r="AB15" s="43">
        <v>-1</v>
      </c>
      <c r="AC15" s="43">
        <v>-1.9</v>
      </c>
      <c r="AD15" s="43">
        <v>-0.7</v>
      </c>
      <c r="AE15" s="43">
        <v>-0.7</v>
      </c>
      <c r="AF15" s="43">
        <v>0.1</v>
      </c>
    </row>
    <row r="16" spans="1:32" ht="30" x14ac:dyDescent="0.25">
      <c r="A16" s="11" t="s">
        <v>2</v>
      </c>
      <c r="B16" s="42">
        <f t="shared" ref="B16:G16" si="0">AVERAGE(B4+B5+B6+B7+B8+B9+B10+B11+B12+B13+B14+B15)/12</f>
        <v>7.105833333333333</v>
      </c>
      <c r="C16" s="42">
        <f t="shared" si="0"/>
        <v>4.940833333333333</v>
      </c>
      <c r="D16" s="42">
        <f t="shared" si="0"/>
        <v>3.2999999999999994</v>
      </c>
      <c r="E16" s="42">
        <f t="shared" si="0"/>
        <v>4.6500000000000004</v>
      </c>
      <c r="F16" s="42">
        <f t="shared" si="0"/>
        <v>2.2616666666666663</v>
      </c>
      <c r="G16" s="42">
        <f t="shared" si="0"/>
        <v>5.0508333333333333</v>
      </c>
      <c r="H16" s="42">
        <f>AVERAGE(H4+H5+H6+H7+H8+H9+H10+H11+H12+H13+H14+H15)/12</f>
        <v>1.9674999999999994</v>
      </c>
      <c r="I16" s="42">
        <f>AVERAGE(I4+I5+I6+I7+I8+I9+I10+I11+I12+I13+I14+I15)/12</f>
        <v>0.89999999999999991</v>
      </c>
      <c r="J16" s="42">
        <f t="shared" ref="J16:O16" si="1">AVERAGE(J4+J5+J6+J7+J8+J9+J10+J11+J12+J13+J14+J15)/12</f>
        <v>-2.74</v>
      </c>
      <c r="K16" s="42">
        <f t="shared" si="1"/>
        <v>-2.5983333333333332</v>
      </c>
      <c r="L16" s="42">
        <f t="shared" si="1"/>
        <v>-1.8908333333333338</v>
      </c>
      <c r="M16" s="42">
        <f t="shared" si="1"/>
        <v>-1.9499999999999995</v>
      </c>
      <c r="N16" s="42">
        <f t="shared" si="1"/>
        <v>2.4999999999998912E-3</v>
      </c>
      <c r="O16" s="42">
        <f t="shared" si="1"/>
        <v>0.79999999999999982</v>
      </c>
      <c r="P16" s="42">
        <f>AVERAGE(P4+P5+P6+P7+P8+P9+P10+P11+P12+P13+P14+P15)/12</f>
        <v>1.1391666666666667</v>
      </c>
      <c r="Q16" s="42">
        <f>AVERAGE(Q4+Q5+Q6+Q7+Q8+Q9+Q10+Q11+Q12+Q13+Q14+Q15)/12</f>
        <v>0.39166666666666661</v>
      </c>
      <c r="R16" s="42">
        <f>AVERAGE(R4+R5+R6+R7+R8+R9+R10+R11+R12+R13+R14+R15)/12</f>
        <v>1.2333333333333334</v>
      </c>
      <c r="S16" s="42">
        <f t="shared" ref="S16:U16" si="2">AVERAGE(S4+S5+S6+S7+S8+S9+S10+S11+S12+S13+S14+S15)/12</f>
        <v>-2.5000000000000116E-2</v>
      </c>
      <c r="T16" s="42">
        <f t="shared" si="2"/>
        <v>0.24416666666666664</v>
      </c>
      <c r="U16" s="42">
        <f t="shared" si="2"/>
        <v>1.6666666666666667</v>
      </c>
      <c r="V16" s="42">
        <f t="shared" ref="V16:AB16" si="3">AVERAGE(V4+V5+V6+V7+V8+V9+V10+V11+V12+V13+V14+V15)/12</f>
        <v>0.41666666666666674</v>
      </c>
      <c r="W16" s="42">
        <f t="shared" si="3"/>
        <v>-3.3608333333333325</v>
      </c>
      <c r="X16" s="42">
        <f t="shared" si="3"/>
        <v>-1.4216666666666669</v>
      </c>
      <c r="Y16" s="42">
        <f t="shared" si="3"/>
        <v>0.80750000000000011</v>
      </c>
      <c r="Z16" s="42">
        <f t="shared" si="3"/>
        <v>3.1199999999999997</v>
      </c>
      <c r="AA16" s="42">
        <f t="shared" si="3"/>
        <v>2.2158333333333329</v>
      </c>
      <c r="AB16" s="42">
        <f t="shared" si="3"/>
        <v>0.8833333333333333</v>
      </c>
      <c r="AC16" s="42">
        <f>AVERAGE(AC4+AC5+AC6+AC7+AC8+AC9+AC10+AC11+AC12+AC13+AC14+AC15)/12</f>
        <v>-0.70416666666666672</v>
      </c>
      <c r="AD16" s="42">
        <f>AVERAGE(AD4+AD5+AD6+AD7+AD8+AD9+AD10+AD11+AD12+AD13+AD14+AD15)/12</f>
        <v>-0.60916666666666652</v>
      </c>
      <c r="AE16" s="42">
        <f>AVERAGE(AE4+AE5+AE6+AE7+AE8+AE9+AE10+AE11+AE12+AE13+AE14+AE15)/12</f>
        <v>-0.56500000000000006</v>
      </c>
      <c r="AF16" s="42">
        <f>AVERAGE(AF4+AF5+AF6+AF7+AF8+AF9+AF10+AF11+AF12+AF13+AF14+AF15)/12</f>
        <v>-0.17666666666666667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1" t="s">
        <v>64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41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43">
        <v>6.4</v>
      </c>
      <c r="C24" s="43">
        <v>4.9000000000000004</v>
      </c>
      <c r="D24" s="43">
        <v>1.5</v>
      </c>
      <c r="E24" s="43">
        <v>2.6</v>
      </c>
      <c r="F24" s="43">
        <v>1.9</v>
      </c>
      <c r="G24" s="43">
        <v>1.4</v>
      </c>
      <c r="H24" s="43">
        <v>0.9</v>
      </c>
      <c r="I24" s="43">
        <v>0.1</v>
      </c>
      <c r="J24" s="43">
        <v>-1.5</v>
      </c>
      <c r="K24" s="43">
        <v>-3.2</v>
      </c>
      <c r="L24" s="43">
        <v>-3</v>
      </c>
      <c r="M24" s="43">
        <v>-2.1</v>
      </c>
      <c r="N24" s="43">
        <v>-3.7</v>
      </c>
      <c r="O24" s="43">
        <v>0.8</v>
      </c>
      <c r="P24" s="43">
        <v>-0.8</v>
      </c>
      <c r="Q24" s="43">
        <v>-2.1</v>
      </c>
      <c r="R24" s="43">
        <v>-0.4</v>
      </c>
      <c r="S24" s="43">
        <v>-0.6</v>
      </c>
      <c r="T24" s="43">
        <v>-0.9</v>
      </c>
      <c r="U24" s="43">
        <v>0.3</v>
      </c>
      <c r="V24" s="43">
        <v>0.9</v>
      </c>
      <c r="W24" s="43">
        <v>-2.2000000000000002</v>
      </c>
      <c r="X24" s="43">
        <v>-3.8</v>
      </c>
      <c r="Y24" s="43">
        <v>-0.2</v>
      </c>
      <c r="Z24" s="43">
        <v>2.1</v>
      </c>
      <c r="AA24" s="43">
        <v>2</v>
      </c>
      <c r="AB24" s="43">
        <v>1.2</v>
      </c>
      <c r="AC24" s="43">
        <v>-1</v>
      </c>
      <c r="AD24" s="43">
        <v>-1.9</v>
      </c>
      <c r="AE24" s="43">
        <v>-2.2000000000000002</v>
      </c>
      <c r="AF24" s="43">
        <v>-0.6</v>
      </c>
    </row>
    <row r="25" spans="1:32" x14ac:dyDescent="0.25">
      <c r="A25" s="10">
        <v>6</v>
      </c>
      <c r="B25" s="43">
        <v>5.4</v>
      </c>
      <c r="C25" s="43">
        <v>4.5</v>
      </c>
      <c r="D25" s="43">
        <v>1.1000000000000001</v>
      </c>
      <c r="E25" s="43">
        <v>2.8</v>
      </c>
      <c r="F25" s="43">
        <v>1.8</v>
      </c>
      <c r="G25" s="43">
        <v>2.6</v>
      </c>
      <c r="H25" s="43">
        <v>2.2999999999999998</v>
      </c>
      <c r="I25" s="43">
        <v>-0.9</v>
      </c>
      <c r="J25" s="43">
        <v>-1.5</v>
      </c>
      <c r="K25" s="43">
        <v>-4.3</v>
      </c>
      <c r="L25" s="43">
        <v>-2.9</v>
      </c>
      <c r="M25" s="43">
        <v>-2</v>
      </c>
      <c r="N25" s="43">
        <v>-3.4</v>
      </c>
      <c r="O25" s="43">
        <v>0.1</v>
      </c>
      <c r="P25" s="43">
        <v>0.2</v>
      </c>
      <c r="Q25" s="43">
        <v>-2</v>
      </c>
      <c r="R25" s="43">
        <v>-0.4</v>
      </c>
      <c r="S25" s="43">
        <v>-1.6</v>
      </c>
      <c r="T25" s="43">
        <v>-0.82</v>
      </c>
      <c r="U25" s="43">
        <v>0.4</v>
      </c>
      <c r="V25" s="43">
        <v>0.2</v>
      </c>
      <c r="W25" s="43">
        <v>-2.5</v>
      </c>
      <c r="X25" s="43">
        <v>-3.8</v>
      </c>
      <c r="Y25" s="43">
        <v>-0.2</v>
      </c>
      <c r="Z25" s="43">
        <v>2.2999999999999998</v>
      </c>
      <c r="AA25" s="43">
        <v>2</v>
      </c>
      <c r="AB25" s="43">
        <v>1.6</v>
      </c>
      <c r="AC25" s="43">
        <v>-1.7</v>
      </c>
      <c r="AD25" s="43">
        <v>-2</v>
      </c>
      <c r="AE25" s="43">
        <v>-3.1</v>
      </c>
      <c r="AF25" s="43">
        <v>-0.3</v>
      </c>
    </row>
    <row r="26" spans="1:32" x14ac:dyDescent="0.25">
      <c r="A26" s="10">
        <v>8</v>
      </c>
      <c r="B26" s="43">
        <v>6.6</v>
      </c>
      <c r="C26" s="43">
        <v>4</v>
      </c>
      <c r="D26" s="43">
        <v>1.7</v>
      </c>
      <c r="E26" s="43">
        <v>3</v>
      </c>
      <c r="F26" s="43">
        <v>1.2</v>
      </c>
      <c r="G26" s="43">
        <v>3.4</v>
      </c>
      <c r="H26" s="43">
        <v>3</v>
      </c>
      <c r="I26" s="43">
        <v>-0.5</v>
      </c>
      <c r="J26" s="43">
        <v>-2.7</v>
      </c>
      <c r="K26" s="43">
        <v>-3.9</v>
      </c>
      <c r="L26" s="43">
        <v>-2.2999999999999998</v>
      </c>
      <c r="M26" s="43">
        <v>-1.9</v>
      </c>
      <c r="N26" s="43">
        <v>-2.6</v>
      </c>
      <c r="O26" s="43">
        <v>0.8</v>
      </c>
      <c r="P26" s="43">
        <v>1</v>
      </c>
      <c r="Q26" s="43">
        <v>0</v>
      </c>
      <c r="R26" s="43">
        <v>-0.2</v>
      </c>
      <c r="S26" s="43">
        <v>-1.9</v>
      </c>
      <c r="T26" s="43">
        <v>0.1</v>
      </c>
      <c r="U26" s="43">
        <v>0.7</v>
      </c>
      <c r="V26" s="43">
        <v>0.3</v>
      </c>
      <c r="W26" s="43">
        <v>-3.4</v>
      </c>
      <c r="X26" s="43">
        <v>-3</v>
      </c>
      <c r="Y26" s="43">
        <v>-0.3</v>
      </c>
      <c r="Z26" s="43">
        <v>2.2999999999999998</v>
      </c>
      <c r="AA26" s="43">
        <v>1.9</v>
      </c>
      <c r="AB26" s="43">
        <v>1.8</v>
      </c>
      <c r="AC26" s="43">
        <v>-1</v>
      </c>
      <c r="AD26" s="43">
        <v>-1.9</v>
      </c>
      <c r="AE26" s="43">
        <v>-3.3</v>
      </c>
      <c r="AF26" s="43">
        <v>-0.4</v>
      </c>
    </row>
    <row r="27" spans="1:32" x14ac:dyDescent="0.25">
      <c r="A27" s="10">
        <v>10</v>
      </c>
      <c r="B27" s="43">
        <v>8.6</v>
      </c>
      <c r="C27" s="43">
        <v>4.8</v>
      </c>
      <c r="D27" s="43">
        <v>3.1</v>
      </c>
      <c r="E27" s="43">
        <v>4.9000000000000004</v>
      </c>
      <c r="F27" s="43">
        <v>2.9</v>
      </c>
      <c r="G27" s="43">
        <v>4.7</v>
      </c>
      <c r="H27" s="43">
        <v>3.1</v>
      </c>
      <c r="I27" s="43">
        <v>0.5</v>
      </c>
      <c r="J27" s="43">
        <v>-4.0999999999999996</v>
      </c>
      <c r="K27" s="43">
        <v>-2.5</v>
      </c>
      <c r="L27" s="43">
        <v>-1.2</v>
      </c>
      <c r="M27" s="43">
        <v>-1.2</v>
      </c>
      <c r="N27" s="43">
        <v>-1.1000000000000001</v>
      </c>
      <c r="O27" s="43">
        <v>1.5</v>
      </c>
      <c r="P27" s="43">
        <v>2</v>
      </c>
      <c r="Q27" s="43">
        <v>0.5</v>
      </c>
      <c r="R27" s="43">
        <v>1.2</v>
      </c>
      <c r="S27" s="43">
        <v>-0.1</v>
      </c>
      <c r="T27" s="43">
        <v>0.2</v>
      </c>
      <c r="U27" s="43">
        <v>1.3</v>
      </c>
      <c r="V27" s="43">
        <v>0.3</v>
      </c>
      <c r="W27" s="43">
        <v>-3.8</v>
      </c>
      <c r="X27" s="43">
        <v>-2.7</v>
      </c>
      <c r="Y27" s="43">
        <v>0.2</v>
      </c>
      <c r="Z27" s="43">
        <v>3</v>
      </c>
      <c r="AA27" s="43">
        <v>1.9</v>
      </c>
      <c r="AB27" s="43">
        <v>2.5</v>
      </c>
      <c r="AC27" s="43">
        <v>0</v>
      </c>
      <c r="AD27" s="43">
        <v>-1.1000000000000001</v>
      </c>
      <c r="AE27" s="43">
        <v>-1.3</v>
      </c>
      <c r="AF27" s="43">
        <v>-0.4</v>
      </c>
    </row>
    <row r="28" spans="1:32" x14ac:dyDescent="0.25">
      <c r="A28" s="10">
        <v>12</v>
      </c>
      <c r="B28" s="43">
        <v>9.6</v>
      </c>
      <c r="C28" s="43">
        <v>5.4</v>
      </c>
      <c r="D28" s="43">
        <v>5.9</v>
      </c>
      <c r="E28" s="43">
        <v>5.8</v>
      </c>
      <c r="F28" s="43">
        <v>4</v>
      </c>
      <c r="G28" s="43">
        <v>7.2</v>
      </c>
      <c r="H28" s="43">
        <v>3.2</v>
      </c>
      <c r="I28" s="43">
        <v>2.9</v>
      </c>
      <c r="J28" s="43">
        <v>-3.8</v>
      </c>
      <c r="K28" s="43">
        <v>-1.5</v>
      </c>
      <c r="L28" s="43">
        <v>-1.4</v>
      </c>
      <c r="M28" s="43">
        <v>-0.7</v>
      </c>
      <c r="N28" s="43">
        <v>-0.2</v>
      </c>
      <c r="O28" s="43">
        <v>2.8</v>
      </c>
      <c r="P28" s="43">
        <v>2.9</v>
      </c>
      <c r="Q28" s="43">
        <v>1.1000000000000001</v>
      </c>
      <c r="R28" s="43">
        <v>3.4</v>
      </c>
      <c r="S28" s="43">
        <v>2.6</v>
      </c>
      <c r="T28" s="43">
        <v>0.4</v>
      </c>
      <c r="U28" s="43">
        <v>1.6</v>
      </c>
      <c r="V28" s="43">
        <v>0.8</v>
      </c>
      <c r="W28" s="43">
        <v>-2.5</v>
      </c>
      <c r="X28" s="43">
        <v>-2.2000000000000002</v>
      </c>
      <c r="Y28" s="43">
        <v>0.6</v>
      </c>
      <c r="Z28" s="43">
        <v>3.6</v>
      </c>
      <c r="AA28" s="43">
        <v>2.7</v>
      </c>
      <c r="AB28" s="43">
        <v>2.6</v>
      </c>
      <c r="AC28" s="43">
        <v>0.5</v>
      </c>
      <c r="AD28" s="43">
        <v>-0.2</v>
      </c>
      <c r="AE28" s="43">
        <v>1.2</v>
      </c>
      <c r="AF28" s="43">
        <v>0.1</v>
      </c>
    </row>
    <row r="29" spans="1:32" x14ac:dyDescent="0.25">
      <c r="A29" s="10">
        <v>14</v>
      </c>
      <c r="B29" s="43">
        <v>9.6999999999999993</v>
      </c>
      <c r="C29" s="43">
        <v>5.9</v>
      </c>
      <c r="D29" s="43">
        <v>6.4</v>
      </c>
      <c r="E29" s="43">
        <v>7.1</v>
      </c>
      <c r="F29" s="43">
        <v>4.7</v>
      </c>
      <c r="G29" s="43">
        <v>7.5</v>
      </c>
      <c r="H29" s="43">
        <v>2.2000000000000002</v>
      </c>
      <c r="I29" s="43">
        <v>3.9</v>
      </c>
      <c r="J29" s="43">
        <v>-3.4</v>
      </c>
      <c r="K29" s="43">
        <v>-0.7</v>
      </c>
      <c r="L29" s="43">
        <v>-1.4</v>
      </c>
      <c r="M29" s="43">
        <v>-0.9</v>
      </c>
      <c r="N29" s="43">
        <v>0.4</v>
      </c>
      <c r="O29" s="43">
        <v>3.6</v>
      </c>
      <c r="P29" s="43">
        <v>3.4</v>
      </c>
      <c r="Q29" s="43">
        <v>1</v>
      </c>
      <c r="R29" s="43">
        <v>3.2</v>
      </c>
      <c r="S29" s="43">
        <v>4.0999999999999996</v>
      </c>
      <c r="T29" s="43">
        <v>0.6</v>
      </c>
      <c r="U29" s="43">
        <v>2</v>
      </c>
      <c r="V29" s="43">
        <v>1.1000000000000001</v>
      </c>
      <c r="W29" s="43">
        <v>-1.3</v>
      </c>
      <c r="X29" s="43">
        <v>-1.4</v>
      </c>
      <c r="Y29" s="43">
        <v>0.5</v>
      </c>
      <c r="Z29" s="43">
        <v>3.9</v>
      </c>
      <c r="AA29" s="43">
        <v>2.7</v>
      </c>
      <c r="AB29" s="43">
        <v>2.5</v>
      </c>
      <c r="AC29" s="43">
        <v>0.6</v>
      </c>
      <c r="AD29" s="43">
        <v>0</v>
      </c>
      <c r="AE29" s="43">
        <v>-0.5</v>
      </c>
      <c r="AF29" s="43">
        <v>0.1</v>
      </c>
    </row>
    <row r="30" spans="1:32" x14ac:dyDescent="0.25">
      <c r="A30" s="10">
        <v>16</v>
      </c>
      <c r="B30" s="43">
        <v>8.5</v>
      </c>
      <c r="C30" s="43">
        <v>6</v>
      </c>
      <c r="D30" s="43">
        <v>5.6</v>
      </c>
      <c r="E30" s="43">
        <v>7</v>
      </c>
      <c r="F30" s="43">
        <v>3.2</v>
      </c>
      <c r="G30" s="43">
        <v>7.7</v>
      </c>
      <c r="H30" s="43">
        <v>2.1</v>
      </c>
      <c r="I30" s="43">
        <v>2.5</v>
      </c>
      <c r="J30" s="43">
        <v>-2.8</v>
      </c>
      <c r="K30" s="43">
        <v>-1.5</v>
      </c>
      <c r="L30" s="43">
        <v>-1.6</v>
      </c>
      <c r="M30" s="43">
        <v>-1.3</v>
      </c>
      <c r="N30" s="43">
        <v>0.8</v>
      </c>
      <c r="O30" s="43">
        <v>3.4</v>
      </c>
      <c r="P30" s="43">
        <v>2.6</v>
      </c>
      <c r="Q30" s="43">
        <v>1.2</v>
      </c>
      <c r="R30" s="43">
        <v>3.1</v>
      </c>
      <c r="S30" s="43">
        <v>2.2999999999999998</v>
      </c>
      <c r="T30" s="43">
        <v>0.9</v>
      </c>
      <c r="U30" s="43">
        <v>2</v>
      </c>
      <c r="V30" s="43">
        <v>0.8</v>
      </c>
      <c r="W30" s="43">
        <v>-2.7</v>
      </c>
      <c r="X30" s="43">
        <v>-1.2</v>
      </c>
      <c r="Y30" s="43">
        <v>0.3</v>
      </c>
      <c r="Z30" s="43">
        <v>3</v>
      </c>
      <c r="AA30" s="43">
        <v>2.6</v>
      </c>
      <c r="AB30" s="43">
        <v>1.6</v>
      </c>
      <c r="AC30" s="43">
        <v>-0.1</v>
      </c>
      <c r="AD30" s="43">
        <v>-0.3</v>
      </c>
      <c r="AE30" s="43">
        <v>-0.1</v>
      </c>
      <c r="AF30" s="43">
        <v>-0.1</v>
      </c>
    </row>
    <row r="31" spans="1:32" x14ac:dyDescent="0.25">
      <c r="A31" s="10">
        <v>18</v>
      </c>
      <c r="B31" s="43">
        <v>6.4</v>
      </c>
      <c r="C31" s="43">
        <v>5</v>
      </c>
      <c r="D31" s="43">
        <v>4.2</v>
      </c>
      <c r="E31" s="43">
        <v>6</v>
      </c>
      <c r="F31" s="43">
        <v>0.8</v>
      </c>
      <c r="G31" s="43">
        <v>7.8</v>
      </c>
      <c r="H31" s="43">
        <v>0.5</v>
      </c>
      <c r="I31" s="43">
        <v>0.2</v>
      </c>
      <c r="J31" s="43">
        <v>-3.7</v>
      </c>
      <c r="K31" s="43">
        <v>-2.1</v>
      </c>
      <c r="L31" s="43">
        <v>-2.2999999999999998</v>
      </c>
      <c r="M31" s="43">
        <v>-1.8</v>
      </c>
      <c r="N31" s="43">
        <v>0.7</v>
      </c>
      <c r="O31" s="43">
        <v>-0.3</v>
      </c>
      <c r="P31" s="43">
        <v>1.5</v>
      </c>
      <c r="Q31" s="43">
        <v>0.7</v>
      </c>
      <c r="R31" s="43">
        <v>2</v>
      </c>
      <c r="S31" s="43">
        <v>0.9</v>
      </c>
      <c r="T31" s="43">
        <v>0.8</v>
      </c>
      <c r="U31" s="43">
        <v>2</v>
      </c>
      <c r="V31" s="43">
        <v>0.6</v>
      </c>
      <c r="W31" s="43">
        <v>-5.4</v>
      </c>
      <c r="X31" s="43">
        <v>-1.1000000000000001</v>
      </c>
      <c r="Y31" s="43">
        <v>0.5</v>
      </c>
      <c r="Z31" s="43">
        <v>2.5</v>
      </c>
      <c r="AA31" s="43">
        <v>2.2999999999999998</v>
      </c>
      <c r="AB31" s="43">
        <v>0.9</v>
      </c>
      <c r="AC31" s="43">
        <v>-0.5</v>
      </c>
      <c r="AD31" s="43">
        <v>-0.4</v>
      </c>
      <c r="AE31" s="43">
        <v>-0.6</v>
      </c>
      <c r="AF31" s="43">
        <v>-0.2</v>
      </c>
    </row>
    <row r="32" spans="1:32" x14ac:dyDescent="0.25">
      <c r="A32" s="10">
        <v>20</v>
      </c>
      <c r="B32" s="43">
        <v>5.9</v>
      </c>
      <c r="C32" s="43">
        <v>4.5</v>
      </c>
      <c r="D32" s="43">
        <v>2.2999999999999998</v>
      </c>
      <c r="E32" s="43">
        <v>5.4</v>
      </c>
      <c r="F32" s="43">
        <v>1.3</v>
      </c>
      <c r="G32" s="43">
        <v>5.5</v>
      </c>
      <c r="H32" s="43">
        <v>1.7</v>
      </c>
      <c r="I32" s="43">
        <v>0.2</v>
      </c>
      <c r="J32" s="43">
        <v>-4.3</v>
      </c>
      <c r="K32" s="43">
        <v>-2.5</v>
      </c>
      <c r="L32" s="43">
        <v>-2.2999999999999998</v>
      </c>
      <c r="M32" s="43">
        <v>-2.2000000000000002</v>
      </c>
      <c r="N32" s="43">
        <v>1</v>
      </c>
      <c r="O32" s="43">
        <v>-1.1000000000000001</v>
      </c>
      <c r="P32" s="43">
        <v>0.5</v>
      </c>
      <c r="Q32" s="43">
        <v>0.6</v>
      </c>
      <c r="R32" s="43">
        <v>2.2000000000000002</v>
      </c>
      <c r="S32" s="43">
        <v>-0.4</v>
      </c>
      <c r="T32" s="43">
        <v>0.45</v>
      </c>
      <c r="U32" s="43">
        <v>2</v>
      </c>
      <c r="V32" s="43">
        <v>0.3</v>
      </c>
      <c r="W32" s="43">
        <v>-6.7</v>
      </c>
      <c r="X32" s="43">
        <v>-0.9</v>
      </c>
      <c r="Y32" s="43">
        <v>1</v>
      </c>
      <c r="Z32" s="43">
        <v>2.6</v>
      </c>
      <c r="AA32" s="43">
        <v>2</v>
      </c>
      <c r="AB32" s="43">
        <v>0.7</v>
      </c>
      <c r="AC32" s="43">
        <v>-0.9</v>
      </c>
      <c r="AD32" s="43">
        <v>-0.5</v>
      </c>
      <c r="AE32" s="43">
        <v>-0.6</v>
      </c>
      <c r="AF32" s="43">
        <v>-0.3</v>
      </c>
    </row>
    <row r="33" spans="1:32" x14ac:dyDescent="0.25">
      <c r="A33" s="10">
        <v>22</v>
      </c>
      <c r="B33" s="43">
        <v>5.6</v>
      </c>
      <c r="C33" s="43">
        <v>4.9000000000000004</v>
      </c>
      <c r="D33" s="43">
        <v>2.2000000000000002</v>
      </c>
      <c r="E33" s="43">
        <v>5.5</v>
      </c>
      <c r="F33" s="43">
        <v>1.5</v>
      </c>
      <c r="G33" s="43">
        <v>5.2</v>
      </c>
      <c r="H33" s="43">
        <v>1.3</v>
      </c>
      <c r="I33" s="43">
        <v>0.2</v>
      </c>
      <c r="J33" s="43">
        <v>-3.3</v>
      </c>
      <c r="K33" s="43">
        <v>-2.8</v>
      </c>
      <c r="L33" s="43">
        <v>-2.2000000000000002</v>
      </c>
      <c r="M33" s="43">
        <v>-2.4</v>
      </c>
      <c r="N33" s="43">
        <v>0.9</v>
      </c>
      <c r="O33" s="43">
        <v>-1.9</v>
      </c>
      <c r="P33" s="43">
        <v>0.4</v>
      </c>
      <c r="Q33" s="43">
        <v>0.6</v>
      </c>
      <c r="R33" s="43">
        <v>1.9</v>
      </c>
      <c r="S33" s="43">
        <v>-1.9</v>
      </c>
      <c r="T33" s="43">
        <v>0.34</v>
      </c>
      <c r="U33" s="43">
        <v>2</v>
      </c>
      <c r="V33" s="43">
        <v>0</v>
      </c>
      <c r="W33" s="43">
        <v>-6</v>
      </c>
      <c r="X33" s="43">
        <v>-0.6</v>
      </c>
      <c r="Y33" s="43">
        <v>1.3</v>
      </c>
      <c r="Z33" s="43">
        <v>2.5</v>
      </c>
      <c r="AA33" s="43">
        <v>1.7</v>
      </c>
      <c r="AB33" s="43">
        <v>0.3</v>
      </c>
      <c r="AC33" s="43">
        <v>-1.8</v>
      </c>
      <c r="AD33" s="43">
        <v>-0.8</v>
      </c>
      <c r="AE33" s="43">
        <v>-0.6</v>
      </c>
      <c r="AF33" s="43">
        <v>-0.3</v>
      </c>
    </row>
    <row r="34" spans="1:32" x14ac:dyDescent="0.25">
      <c r="A34" s="10">
        <v>24</v>
      </c>
      <c r="B34" s="43">
        <v>5.8</v>
      </c>
      <c r="C34" s="43">
        <v>3.5</v>
      </c>
      <c r="D34" s="43">
        <v>2.1</v>
      </c>
      <c r="E34" s="43">
        <v>5.4</v>
      </c>
      <c r="F34" s="43">
        <v>1.4</v>
      </c>
      <c r="G34" s="43">
        <v>3.8</v>
      </c>
      <c r="H34" s="43">
        <v>1.6</v>
      </c>
      <c r="I34" s="43">
        <v>0.2</v>
      </c>
      <c r="J34" s="43">
        <v>-3.1</v>
      </c>
      <c r="K34" s="43">
        <v>-3.1</v>
      </c>
      <c r="L34" s="43">
        <v>-2.2000000000000002</v>
      </c>
      <c r="M34" s="43">
        <v>-2.8</v>
      </c>
      <c r="N34" s="43">
        <v>1.5</v>
      </c>
      <c r="O34" s="43">
        <v>-2.5</v>
      </c>
      <c r="P34" s="43">
        <v>0.2</v>
      </c>
      <c r="Q34" s="43">
        <v>0</v>
      </c>
      <c r="R34" s="43">
        <v>1.7</v>
      </c>
      <c r="S34" s="43">
        <v>-2.2000000000000002</v>
      </c>
      <c r="T34" s="43">
        <v>0.31</v>
      </c>
      <c r="U34" s="43">
        <v>1.8</v>
      </c>
      <c r="V34" s="43">
        <v>0.1</v>
      </c>
      <c r="W34" s="43">
        <v>-6.8</v>
      </c>
      <c r="X34" s="43">
        <v>-0.5</v>
      </c>
      <c r="Y34" s="43">
        <v>1.6</v>
      </c>
      <c r="Z34" s="43">
        <v>2.2000000000000002</v>
      </c>
      <c r="AA34" s="43">
        <v>1.7</v>
      </c>
      <c r="AB34" s="43">
        <v>-0.1</v>
      </c>
      <c r="AC34" s="43">
        <v>-2</v>
      </c>
      <c r="AD34" s="43">
        <v>-1</v>
      </c>
      <c r="AE34" s="43">
        <v>-0.5</v>
      </c>
      <c r="AF34" s="43">
        <v>-0.5</v>
      </c>
    </row>
    <row r="35" spans="1:32" x14ac:dyDescent="0.25">
      <c r="A35" s="10">
        <v>2</v>
      </c>
      <c r="B35" s="43">
        <v>4.8</v>
      </c>
      <c r="C35" s="43">
        <v>2.5</v>
      </c>
      <c r="D35" s="43">
        <v>2.7</v>
      </c>
      <c r="E35" s="43">
        <v>2.8</v>
      </c>
      <c r="F35" s="43">
        <v>1.1000000000000001</v>
      </c>
      <c r="G35" s="43">
        <v>1.7</v>
      </c>
      <c r="H35" s="43">
        <v>1.3</v>
      </c>
      <c r="I35" s="43">
        <v>-0.4</v>
      </c>
      <c r="J35" s="43">
        <v>-3.4</v>
      </c>
      <c r="K35" s="43">
        <v>-2.7</v>
      </c>
      <c r="L35" s="43">
        <v>-2.2000000000000002</v>
      </c>
      <c r="M35" s="43">
        <v>-3.5</v>
      </c>
      <c r="N35" s="43">
        <v>1</v>
      </c>
      <c r="O35" s="43">
        <v>-1.8</v>
      </c>
      <c r="P35" s="43">
        <v>0.6</v>
      </c>
      <c r="Q35" s="43">
        <v>0</v>
      </c>
      <c r="R35" s="43">
        <v>0.3</v>
      </c>
      <c r="S35" s="43">
        <v>-2.2999999999999998</v>
      </c>
      <c r="T35" s="43">
        <v>0.55000000000000004</v>
      </c>
      <c r="U35" s="43">
        <v>1.5</v>
      </c>
      <c r="V35" s="43">
        <v>-0.9</v>
      </c>
      <c r="W35" s="43">
        <v>-4.5</v>
      </c>
      <c r="X35" s="43">
        <v>0</v>
      </c>
      <c r="Y35" s="43">
        <v>1.9</v>
      </c>
      <c r="Z35" s="43">
        <v>2</v>
      </c>
      <c r="AA35" s="43">
        <v>1.5</v>
      </c>
      <c r="AB35" s="43">
        <v>-0.5</v>
      </c>
      <c r="AC35" s="43">
        <v>-2.2999999999999998</v>
      </c>
      <c r="AD35" s="43">
        <v>-1.3</v>
      </c>
      <c r="AE35" s="43">
        <v>-0.6</v>
      </c>
      <c r="AF35" s="43">
        <v>-0.4</v>
      </c>
    </row>
    <row r="36" spans="1:32" ht="30" x14ac:dyDescent="0.25">
      <c r="A36" s="11" t="s">
        <v>2</v>
      </c>
      <c r="B36" s="42">
        <f t="shared" ref="B36:G36" si="4">AVERAGE(B24+B25+B26+B27+B28+B29+B30+B31+B32+B33+B34+B35)/12</f>
        <v>6.9416666666666655</v>
      </c>
      <c r="C36" s="42">
        <f t="shared" si="4"/>
        <v>4.6583333333333332</v>
      </c>
      <c r="D36" s="42">
        <f t="shared" si="4"/>
        <v>3.2333333333333343</v>
      </c>
      <c r="E36" s="42">
        <f t="shared" si="4"/>
        <v>4.8583333333333334</v>
      </c>
      <c r="F36" s="42">
        <f t="shared" si="4"/>
        <v>2.15</v>
      </c>
      <c r="G36" s="42">
        <f t="shared" si="4"/>
        <v>4.875</v>
      </c>
      <c r="H36" s="42">
        <f>AVERAGE(H24+H25+H26+H27+H28+H29+H30+H31+H32+H33+H34+H35)/12</f>
        <v>1.9333333333333336</v>
      </c>
      <c r="I36" s="42">
        <f>AVERAGE(I24+I25+I26+I27+I28+I29+I30+I31+I32+I33+I34+I35)/12</f>
        <v>0.74166666666666636</v>
      </c>
      <c r="J36" s="42">
        <f>AVERAGE(J24+J25+J26+J27+J28+J29+J30+J31+J32+J33+J34+J35)/12</f>
        <v>-3.1333333333333333</v>
      </c>
      <c r="K36" s="42">
        <f>AVERAGE(K24+K25+K26+K27+K28+K29+K30+K31+K32+K33+K34+K35)/12</f>
        <v>-2.5666666666666669</v>
      </c>
      <c r="L36" s="42">
        <f t="shared" ref="L36:O36" si="5">AVERAGE(L24+L25+L26+L27+L28+L29+L30+L31+L32+L33+L34+L35)/12</f>
        <v>-2.083333333333333</v>
      </c>
      <c r="M36" s="42">
        <f t="shared" si="5"/>
        <v>-1.9000000000000001</v>
      </c>
      <c r="N36" s="42">
        <f t="shared" si="5"/>
        <v>-0.39166666666666644</v>
      </c>
      <c r="O36" s="42">
        <f t="shared" si="5"/>
        <v>0.44999999999999996</v>
      </c>
      <c r="P36" s="44">
        <f>AVERAGE(P24+P25+P26+P27+P28+P29+P30+P31+P32+P33+P34+P35)/12</f>
        <v>1.2083333333333333</v>
      </c>
      <c r="Q36" s="42">
        <f>AVERAGE(Q24+Q25+Q26+Q27+Q28+Q29+Q30+Q31+Q32+Q33+Q34+Q35)/12</f>
        <v>0.13333333333333339</v>
      </c>
      <c r="R36" s="42">
        <f>AVERAGE(R24+R25+R26+R27+R28+R29+R30+R31+R32+R33+R34+R35)/12</f>
        <v>1.5</v>
      </c>
      <c r="S36" s="42">
        <f t="shared" ref="S36:U36" si="6">AVERAGE(S24+S25+S26+S27+S28+S29+S30+S31+S32+S33+S34+S35)/12</f>
        <v>-9.1666666666666605E-2</v>
      </c>
      <c r="T36" s="42">
        <f t="shared" si="6"/>
        <v>0.24416666666666664</v>
      </c>
      <c r="U36" s="42">
        <f t="shared" si="6"/>
        <v>1.4666666666666668</v>
      </c>
      <c r="V36" s="42">
        <f t="shared" ref="V36:AB36" si="7">AVERAGE(V24+V25+V26+V27+V28+V29+V30+V31+V32+V33+V34+V35)/12</f>
        <v>0.37499999999999994</v>
      </c>
      <c r="W36" s="42">
        <f t="shared" si="7"/>
        <v>-3.9833333333333329</v>
      </c>
      <c r="X36" s="42">
        <f t="shared" si="7"/>
        <v>-1.7666666666666666</v>
      </c>
      <c r="Y36" s="42">
        <f t="shared" si="7"/>
        <v>0.60000000000000009</v>
      </c>
      <c r="Z36" s="42">
        <f t="shared" si="7"/>
        <v>2.6666666666666665</v>
      </c>
      <c r="AA36" s="42">
        <f t="shared" si="7"/>
        <v>2.083333333333333</v>
      </c>
      <c r="AB36" s="42">
        <f t="shared" si="7"/>
        <v>1.2583333333333333</v>
      </c>
      <c r="AC36" s="42">
        <f>AVERAGE(AC24+AC25+AC26+AC27+AC28+AC29+AC30+AC31+AC32+AC33+AC34+AC35)/12</f>
        <v>-0.85</v>
      </c>
      <c r="AD36" s="42">
        <f>AVERAGE(AD24+AD25+AD26+AD27+AD28+AD29+AD30+AD31+AD32+AD33+AD34+AD35)/12</f>
        <v>-0.95000000000000018</v>
      </c>
      <c r="AE36" s="42">
        <f>AVERAGE(AE24+AE25+AE26+AE27+AE28+AE29+AE30+AE31+AE32+AE33+AE34+AE35)/12</f>
        <v>-1.0166666666666668</v>
      </c>
      <c r="AF36" s="45">
        <f>AVERAGE(AF24+AF25+AF26+AF27+AF28+AF29+AF30+AF31+AF32+AF33+AF34+AF35)/12</f>
        <v>-0.27499999999999997</v>
      </c>
    </row>
  </sheetData>
  <mergeCells count="2">
    <mergeCell ref="B2:AE2"/>
    <mergeCell ref="B22:AE2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opLeftCell="D1" zoomScale="90" zoomScaleNormal="90" workbookViewId="0">
      <selection activeCell="AG11" sqref="AG11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1" ht="15.75" x14ac:dyDescent="0.25">
      <c r="A1" s="4" t="s">
        <v>8</v>
      </c>
      <c r="B1" s="23" t="s">
        <v>3</v>
      </c>
    </row>
    <row r="2" spans="1:31" x14ac:dyDescent="0.25">
      <c r="B2" s="131" t="s">
        <v>65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</row>
    <row r="3" spans="1:31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</row>
    <row r="4" spans="1:31" x14ac:dyDescent="0.25">
      <c r="A4" s="10">
        <v>4</v>
      </c>
      <c r="B4" s="43">
        <v>-0.02</v>
      </c>
      <c r="C4" s="43">
        <v>-1.8</v>
      </c>
      <c r="D4" s="43">
        <v>0.3</v>
      </c>
      <c r="E4" s="43">
        <v>-1.7</v>
      </c>
      <c r="F4" s="43">
        <v>-2.2000000000000002</v>
      </c>
      <c r="G4" s="43">
        <v>-7.66</v>
      </c>
      <c r="H4" s="43">
        <v>-7.1</v>
      </c>
      <c r="I4" s="43">
        <v>-9</v>
      </c>
      <c r="J4" s="43">
        <v>-7.6</v>
      </c>
      <c r="K4" s="43">
        <v>-5.5</v>
      </c>
      <c r="L4" s="43">
        <v>-16.100000000000001</v>
      </c>
      <c r="M4" s="43">
        <v>-15.01</v>
      </c>
      <c r="N4" s="43">
        <v>-22.25</v>
      </c>
      <c r="O4" s="43">
        <v>-22</v>
      </c>
      <c r="P4" s="43">
        <v>-19.3</v>
      </c>
      <c r="Q4" s="46">
        <v>-1.4</v>
      </c>
      <c r="R4" s="47">
        <v>-1.6</v>
      </c>
      <c r="S4" s="47">
        <v>0.15</v>
      </c>
      <c r="T4" s="47">
        <v>0.09</v>
      </c>
      <c r="U4" s="47">
        <v>0.5</v>
      </c>
      <c r="V4" s="47">
        <v>-0.3</v>
      </c>
      <c r="W4" s="47">
        <v>-21.8</v>
      </c>
      <c r="X4" s="47">
        <v>-9.9</v>
      </c>
      <c r="Y4" s="47">
        <v>-6.31</v>
      </c>
      <c r="Z4" s="47">
        <v>-2</v>
      </c>
      <c r="AA4" s="47">
        <v>-8.4</v>
      </c>
      <c r="AB4" s="47">
        <v>-1</v>
      </c>
      <c r="AC4" s="47">
        <v>-0.3</v>
      </c>
      <c r="AD4" s="47">
        <v>-0.55000000000000004</v>
      </c>
      <c r="AE4" s="47">
        <v>-11</v>
      </c>
    </row>
    <row r="5" spans="1:31" x14ac:dyDescent="0.25">
      <c r="A5" s="10">
        <v>6</v>
      </c>
      <c r="B5" s="43">
        <v>-0.26</v>
      </c>
      <c r="C5" s="43">
        <v>-2</v>
      </c>
      <c r="D5" s="43">
        <v>0.7</v>
      </c>
      <c r="E5" s="43">
        <v>-2.2999999999999998</v>
      </c>
      <c r="F5" s="43">
        <v>-1.6</v>
      </c>
      <c r="G5" s="43">
        <v>-8.36</v>
      </c>
      <c r="H5" s="43">
        <v>-6.97</v>
      </c>
      <c r="I5" s="43">
        <v>-7.7</v>
      </c>
      <c r="J5" s="43">
        <v>-7.4</v>
      </c>
      <c r="K5" s="43">
        <v>-6.5</v>
      </c>
      <c r="L5" s="43">
        <v>-18.100000000000001</v>
      </c>
      <c r="M5" s="43">
        <v>-16.850000000000001</v>
      </c>
      <c r="N5" s="43">
        <v>-22.3</v>
      </c>
      <c r="O5" s="43">
        <v>-20.2</v>
      </c>
      <c r="P5" s="43">
        <v>-18.100000000000001</v>
      </c>
      <c r="Q5" s="46">
        <v>-1.1000000000000001</v>
      </c>
      <c r="R5" s="47">
        <v>-1.7</v>
      </c>
      <c r="S5" s="47">
        <v>0.2</v>
      </c>
      <c r="T5" s="47">
        <v>0.13</v>
      </c>
      <c r="U5" s="47">
        <v>0.6</v>
      </c>
      <c r="V5" s="47">
        <v>-0.4</v>
      </c>
      <c r="W5" s="47">
        <v>-23.5</v>
      </c>
      <c r="X5" s="47">
        <v>-9.3000000000000007</v>
      </c>
      <c r="Y5" s="47">
        <v>-7.54</v>
      </c>
      <c r="Z5" s="47">
        <v>-2.19</v>
      </c>
      <c r="AA5" s="47">
        <v>-9.1</v>
      </c>
      <c r="AB5" s="47">
        <v>-1</v>
      </c>
      <c r="AC5" s="47">
        <v>-0.4</v>
      </c>
      <c r="AD5" s="47">
        <v>-0.59</v>
      </c>
      <c r="AE5" s="47">
        <v>-10.8</v>
      </c>
    </row>
    <row r="6" spans="1:31" x14ac:dyDescent="0.25">
      <c r="A6" s="10">
        <v>8</v>
      </c>
      <c r="B6" s="43">
        <v>-0.33</v>
      </c>
      <c r="C6" s="43">
        <v>-1.9</v>
      </c>
      <c r="D6" s="43">
        <v>0.84</v>
      </c>
      <c r="E6" s="43">
        <v>-2.5</v>
      </c>
      <c r="F6" s="43">
        <v>-1.3</v>
      </c>
      <c r="G6" s="43">
        <v>-8.6999999999999993</v>
      </c>
      <c r="H6" s="43">
        <v>-6.54</v>
      </c>
      <c r="I6" s="43">
        <v>-7</v>
      </c>
      <c r="J6" s="43">
        <v>-6.58</v>
      </c>
      <c r="K6" s="43">
        <v>-8.33</v>
      </c>
      <c r="L6" s="43">
        <v>-17.3</v>
      </c>
      <c r="M6" s="43">
        <v>-18.8</v>
      </c>
      <c r="N6" s="43">
        <v>-22.6</v>
      </c>
      <c r="O6" s="43">
        <v>-18.100000000000001</v>
      </c>
      <c r="P6" s="43">
        <v>-17.399999999999999</v>
      </c>
      <c r="Q6" s="46">
        <v>-1.18</v>
      </c>
      <c r="R6" s="47">
        <v>-1.6</v>
      </c>
      <c r="S6" s="47">
        <v>0.2</v>
      </c>
      <c r="T6" s="47">
        <v>0.13</v>
      </c>
      <c r="U6" s="47">
        <v>0.66</v>
      </c>
      <c r="V6" s="47">
        <v>-0.47</v>
      </c>
      <c r="W6" s="47">
        <v>-24.11</v>
      </c>
      <c r="X6" s="47">
        <v>-8.4</v>
      </c>
      <c r="Y6" s="47">
        <v>-7.6</v>
      </c>
      <c r="Z6" s="47">
        <v>-2.8</v>
      </c>
      <c r="AA6" s="47">
        <v>-9.1999999999999993</v>
      </c>
      <c r="AB6" s="47">
        <v>-1.06</v>
      </c>
      <c r="AC6" s="47">
        <v>-0.4</v>
      </c>
      <c r="AD6" s="47">
        <v>-1.3</v>
      </c>
      <c r="AE6" s="47">
        <v>-9.6999999999999993</v>
      </c>
    </row>
    <row r="7" spans="1:31" x14ac:dyDescent="0.25">
      <c r="A7" s="10">
        <v>10</v>
      </c>
      <c r="B7" s="43">
        <v>-0.5</v>
      </c>
      <c r="C7" s="43">
        <v>-1.3</v>
      </c>
      <c r="D7" s="43">
        <v>1.1599999999999999</v>
      </c>
      <c r="E7" s="43">
        <v>-2.1</v>
      </c>
      <c r="F7" s="43">
        <v>-0.5</v>
      </c>
      <c r="G7" s="43">
        <v>-7.4</v>
      </c>
      <c r="H7" s="43">
        <v>-6.6</v>
      </c>
      <c r="I7" s="43">
        <v>-6.6</v>
      </c>
      <c r="J7" s="43">
        <v>-6.19</v>
      </c>
      <c r="K7" s="43">
        <v>-8.27</v>
      </c>
      <c r="L7" s="43">
        <v>-14.8</v>
      </c>
      <c r="M7" s="43">
        <v>-17.7</v>
      </c>
      <c r="N7" s="43">
        <v>-20</v>
      </c>
      <c r="O7" s="43">
        <v>-16.559999999999999</v>
      </c>
      <c r="P7" s="43">
        <v>-17</v>
      </c>
      <c r="Q7" s="46">
        <v>-1.19</v>
      </c>
      <c r="R7" s="47">
        <v>-1.3</v>
      </c>
      <c r="S7" s="47">
        <v>0.4</v>
      </c>
      <c r="T7" s="47">
        <v>0.2</v>
      </c>
      <c r="U7" s="47">
        <v>0.8</v>
      </c>
      <c r="V7" s="47">
        <v>-0.33</v>
      </c>
      <c r="W7" s="47">
        <v>-23.53</v>
      </c>
      <c r="X7" s="47">
        <v>-6.8</v>
      </c>
      <c r="Y7" s="47">
        <v>-6.6</v>
      </c>
      <c r="Z7" s="47">
        <v>-2.2999999999999998</v>
      </c>
      <c r="AA7" s="47">
        <v>-8.8000000000000007</v>
      </c>
      <c r="AB7" s="47">
        <v>-0.68</v>
      </c>
      <c r="AC7" s="47">
        <v>-0.5</v>
      </c>
      <c r="AD7" s="47">
        <v>-2.2000000000000002</v>
      </c>
      <c r="AE7" s="47">
        <v>-8</v>
      </c>
    </row>
    <row r="8" spans="1:31" x14ac:dyDescent="0.25">
      <c r="A8" s="10">
        <v>12</v>
      </c>
      <c r="B8" s="43">
        <v>-0.8</v>
      </c>
      <c r="C8" s="43">
        <v>-0.8</v>
      </c>
      <c r="D8" s="43">
        <v>0.73</v>
      </c>
      <c r="E8" s="43">
        <v>-2.8</v>
      </c>
      <c r="F8" s="43">
        <v>-0.3</v>
      </c>
      <c r="G8" s="43">
        <v>-7.7</v>
      </c>
      <c r="H8" s="43">
        <v>-6.4</v>
      </c>
      <c r="I8" s="43">
        <v>-5.8</v>
      </c>
      <c r="J8" s="43">
        <v>-5.16</v>
      </c>
      <c r="K8" s="43">
        <v>-8.73</v>
      </c>
      <c r="L8" s="43">
        <v>-9.9</v>
      </c>
      <c r="M8" s="43">
        <v>-15.7</v>
      </c>
      <c r="N8" s="43">
        <v>-18.8</v>
      </c>
      <c r="O8" s="43">
        <v>-15.55</v>
      </c>
      <c r="P8" s="43">
        <v>-15.6</v>
      </c>
      <c r="Q8" s="46">
        <v>-1.5</v>
      </c>
      <c r="R8" s="47">
        <v>-1.6</v>
      </c>
      <c r="S8" s="47">
        <v>0.8</v>
      </c>
      <c r="T8" s="47">
        <v>0.4</v>
      </c>
      <c r="U8" s="47">
        <v>0.8</v>
      </c>
      <c r="V8" s="47">
        <v>-0.37</v>
      </c>
      <c r="W8" s="47">
        <v>-21.03</v>
      </c>
      <c r="X8" s="47">
        <v>-5</v>
      </c>
      <c r="Y8" s="47">
        <v>-5.3</v>
      </c>
      <c r="Z8" s="47">
        <v>-1.9</v>
      </c>
      <c r="AA8" s="47">
        <v>-6.2</v>
      </c>
      <c r="AB8" s="47">
        <v>0.06</v>
      </c>
      <c r="AC8" s="47">
        <v>-0.3</v>
      </c>
      <c r="AD8" s="47">
        <v>-3.2</v>
      </c>
      <c r="AE8" s="47">
        <v>-7.5</v>
      </c>
    </row>
    <row r="9" spans="1:31" x14ac:dyDescent="0.25">
      <c r="A9" s="10">
        <v>14</v>
      </c>
      <c r="B9" s="43">
        <v>-1.8</v>
      </c>
      <c r="C9" s="43">
        <v>-0.8</v>
      </c>
      <c r="D9" s="43">
        <v>0.46</v>
      </c>
      <c r="E9" s="43">
        <v>-2.78</v>
      </c>
      <c r="F9" s="43">
        <v>-0.7</v>
      </c>
      <c r="G9" s="43">
        <v>-6.3</v>
      </c>
      <c r="H9" s="43">
        <v>-6.7</v>
      </c>
      <c r="I9" s="43">
        <v>-6.3</v>
      </c>
      <c r="J9" s="43">
        <v>-4.83</v>
      </c>
      <c r="K9" s="43">
        <v>-9</v>
      </c>
      <c r="L9" s="43">
        <v>-11.8</v>
      </c>
      <c r="M9" s="43">
        <v>-14.6</v>
      </c>
      <c r="N9" s="43">
        <v>-18.7</v>
      </c>
      <c r="O9" s="43">
        <v>-15.32</v>
      </c>
      <c r="P9" s="43">
        <v>-14.6</v>
      </c>
      <c r="Q9" s="46">
        <v>-1.7</v>
      </c>
      <c r="R9" s="47">
        <v>-1.3</v>
      </c>
      <c r="S9" s="47">
        <v>0.4</v>
      </c>
      <c r="T9" s="47">
        <v>0.3</v>
      </c>
      <c r="U9" s="47">
        <v>0.8</v>
      </c>
      <c r="V9" s="47">
        <v>-1.05</v>
      </c>
      <c r="W9" s="47">
        <v>-20.83</v>
      </c>
      <c r="X9" s="47">
        <v>-4.5999999999999996</v>
      </c>
      <c r="Y9" s="47">
        <v>-4</v>
      </c>
      <c r="Z9" s="47">
        <v>-2.2999999999999998</v>
      </c>
      <c r="AA9" s="47">
        <v>-5.0999999999999996</v>
      </c>
      <c r="AB9" s="47">
        <v>0.5</v>
      </c>
      <c r="AC9" s="47">
        <v>0.7</v>
      </c>
      <c r="AD9" s="47">
        <v>-5.5</v>
      </c>
      <c r="AE9" s="47">
        <v>-6.3</v>
      </c>
    </row>
    <row r="10" spans="1:31" x14ac:dyDescent="0.25">
      <c r="A10" s="10">
        <v>16</v>
      </c>
      <c r="B10" s="43">
        <v>-2.1</v>
      </c>
      <c r="C10" s="43">
        <v>-0.3</v>
      </c>
      <c r="D10" s="43">
        <v>0.9</v>
      </c>
      <c r="E10" s="43">
        <v>-2.83</v>
      </c>
      <c r="F10" s="43">
        <v>-1.4</v>
      </c>
      <c r="G10" s="43">
        <v>-6.6</v>
      </c>
      <c r="H10" s="43">
        <v>-7</v>
      </c>
      <c r="I10" s="43">
        <v>-7</v>
      </c>
      <c r="J10" s="43">
        <v>-5.17</v>
      </c>
      <c r="K10" s="43">
        <v>-8.9</v>
      </c>
      <c r="L10" s="43">
        <v>-13.1</v>
      </c>
      <c r="M10" s="43">
        <v>-17.399999999999999</v>
      </c>
      <c r="N10" s="43">
        <v>-18.5</v>
      </c>
      <c r="O10" s="43">
        <v>-15.1</v>
      </c>
      <c r="P10" s="43">
        <v>-13.4</v>
      </c>
      <c r="Q10" s="46">
        <v>-2.0299999999999998</v>
      </c>
      <c r="R10" s="47">
        <v>-1.3</v>
      </c>
      <c r="S10" s="47">
        <v>0.1</v>
      </c>
      <c r="T10" s="47">
        <v>0.6</v>
      </c>
      <c r="U10" s="47">
        <v>0.7</v>
      </c>
      <c r="V10" s="47">
        <v>-2.8</v>
      </c>
      <c r="W10" s="47">
        <v>-20.49</v>
      </c>
      <c r="X10" s="47">
        <v>-5.0999999999999996</v>
      </c>
      <c r="Y10" s="47">
        <v>-2.8</v>
      </c>
      <c r="Z10" s="47">
        <v>-3.8</v>
      </c>
      <c r="AA10" s="47">
        <v>-3.1</v>
      </c>
      <c r="AB10" s="47">
        <v>0.32</v>
      </c>
      <c r="AC10" s="47">
        <v>-0.1</v>
      </c>
      <c r="AD10" s="47">
        <v>-7.1</v>
      </c>
      <c r="AE10" s="47">
        <v>-7.7</v>
      </c>
    </row>
    <row r="11" spans="1:31" x14ac:dyDescent="0.25">
      <c r="A11" s="10">
        <v>18</v>
      </c>
      <c r="B11" s="43">
        <v>-1.9</v>
      </c>
      <c r="C11" s="43">
        <v>0.2</v>
      </c>
      <c r="D11" s="43">
        <v>1.2</v>
      </c>
      <c r="E11" s="43">
        <v>-3.5</v>
      </c>
      <c r="F11" s="43">
        <v>-2.2000000000000002</v>
      </c>
      <c r="G11" s="43">
        <v>-6.9</v>
      </c>
      <c r="H11" s="43">
        <v>-8.4</v>
      </c>
      <c r="I11" s="43">
        <v>-6.9</v>
      </c>
      <c r="J11" s="43">
        <v>-5.5</v>
      </c>
      <c r="K11" s="43">
        <v>-13.22</v>
      </c>
      <c r="L11" s="43">
        <v>-12.95</v>
      </c>
      <c r="M11" s="43">
        <v>-18.72</v>
      </c>
      <c r="N11" s="43">
        <v>-20.190000000000001</v>
      </c>
      <c r="O11" s="43">
        <v>-16.86</v>
      </c>
      <c r="P11" s="43">
        <v>-11.9</v>
      </c>
      <c r="Q11" s="46">
        <v>-2.165</v>
      </c>
      <c r="R11" s="47">
        <v>-1.08</v>
      </c>
      <c r="S11" s="47">
        <v>-0.5</v>
      </c>
      <c r="T11" s="47">
        <v>0.7</v>
      </c>
      <c r="U11" s="47">
        <v>0.61</v>
      </c>
      <c r="V11" s="47">
        <v>-11</v>
      </c>
      <c r="W11" s="47">
        <v>-19.8</v>
      </c>
      <c r="X11" s="47">
        <v>-5.6</v>
      </c>
      <c r="Y11" s="47">
        <v>-2.02</v>
      </c>
      <c r="Z11" s="47">
        <v>-4.75</v>
      </c>
      <c r="AA11" s="47">
        <v>-2.17</v>
      </c>
      <c r="AB11" s="47">
        <v>0.21</v>
      </c>
      <c r="AC11" s="47">
        <v>0.03</v>
      </c>
      <c r="AD11" s="47">
        <v>-8.17</v>
      </c>
      <c r="AE11" s="47">
        <v>-6.99</v>
      </c>
    </row>
    <row r="12" spans="1:31" x14ac:dyDescent="0.25">
      <c r="A12" s="10">
        <v>20</v>
      </c>
      <c r="B12" s="43">
        <v>-1.4</v>
      </c>
      <c r="C12" s="43">
        <v>0.2</v>
      </c>
      <c r="D12" s="43">
        <v>0.9</v>
      </c>
      <c r="E12" s="43">
        <v>-3.5</v>
      </c>
      <c r="F12" s="43">
        <v>-2.59</v>
      </c>
      <c r="G12" s="43">
        <v>-8.1</v>
      </c>
      <c r="H12" s="43">
        <v>-8.5</v>
      </c>
      <c r="I12" s="43">
        <v>-5.9</v>
      </c>
      <c r="J12" s="43">
        <v>-5.5</v>
      </c>
      <c r="K12" s="43">
        <v>-15.2</v>
      </c>
      <c r="L12" s="43">
        <v>-13.42</v>
      </c>
      <c r="M12" s="43">
        <v>-19.72</v>
      </c>
      <c r="N12" s="43">
        <v>-21.3</v>
      </c>
      <c r="O12" s="43">
        <v>-20.100000000000001</v>
      </c>
      <c r="P12" s="43">
        <v>-8.5</v>
      </c>
      <c r="Q12" s="46">
        <v>-1.9</v>
      </c>
      <c r="R12" s="47">
        <v>-1.05</v>
      </c>
      <c r="S12" s="47">
        <v>-3.11</v>
      </c>
      <c r="T12" s="47">
        <v>0.9</v>
      </c>
      <c r="U12" s="47">
        <v>0.5</v>
      </c>
      <c r="V12" s="47">
        <v>-17.5</v>
      </c>
      <c r="W12" s="47">
        <v>-16.8</v>
      </c>
      <c r="X12" s="47">
        <v>-6.78</v>
      </c>
      <c r="Y12" s="47">
        <v>-1.87</v>
      </c>
      <c r="Z12" s="47">
        <v>-5.0999999999999996</v>
      </c>
      <c r="AA12" s="47">
        <v>-1.86</v>
      </c>
      <c r="AB12" s="47">
        <v>0.8</v>
      </c>
      <c r="AC12" s="47">
        <v>-0.01</v>
      </c>
      <c r="AD12" s="47">
        <v>-9.6</v>
      </c>
      <c r="AE12" s="47">
        <v>-6.1</v>
      </c>
    </row>
    <row r="13" spans="1:31" x14ac:dyDescent="0.25">
      <c r="A13" s="10">
        <v>22</v>
      </c>
      <c r="B13" s="43">
        <v>-1.1000000000000001</v>
      </c>
      <c r="C13" s="43">
        <v>0.2</v>
      </c>
      <c r="D13" s="43">
        <v>-0.5</v>
      </c>
      <c r="E13" s="43">
        <v>-3.2</v>
      </c>
      <c r="F13" s="43">
        <v>-3.63</v>
      </c>
      <c r="G13" s="43">
        <v>-9.34</v>
      </c>
      <c r="H13" s="43">
        <v>-9.4</v>
      </c>
      <c r="I13" s="43">
        <v>-6.2</v>
      </c>
      <c r="J13" s="43">
        <v>-5.3</v>
      </c>
      <c r="K13" s="43">
        <v>-13.9</v>
      </c>
      <c r="L13" s="43">
        <v>-14.77</v>
      </c>
      <c r="M13" s="43">
        <v>-20.239999999999998</v>
      </c>
      <c r="N13" s="43">
        <v>-20.8</v>
      </c>
      <c r="O13" s="43">
        <v>-22.4</v>
      </c>
      <c r="P13" s="43">
        <v>-5.3</v>
      </c>
      <c r="Q13" s="46">
        <v>-1.4</v>
      </c>
      <c r="R13" s="47">
        <v>-1.1000000000000001</v>
      </c>
      <c r="S13" s="47">
        <v>-1.75</v>
      </c>
      <c r="T13" s="47">
        <v>0.6</v>
      </c>
      <c r="U13" s="47">
        <v>0.4</v>
      </c>
      <c r="V13" s="47">
        <v>-18.5</v>
      </c>
      <c r="W13" s="47">
        <v>-13.7</v>
      </c>
      <c r="X13" s="47">
        <v>-6.63</v>
      </c>
      <c r="Y13" s="47">
        <v>-1.44</v>
      </c>
      <c r="Z13" s="47">
        <v>-5.5</v>
      </c>
      <c r="AA13" s="47">
        <v>-1.6</v>
      </c>
      <c r="AB13" s="47">
        <v>0.4</v>
      </c>
      <c r="AC13" s="47">
        <v>0.3</v>
      </c>
      <c r="AD13" s="47">
        <v>-11</v>
      </c>
      <c r="AE13" s="47">
        <v>-5.6</v>
      </c>
    </row>
    <row r="14" spans="1:31" x14ac:dyDescent="0.25">
      <c r="A14" s="10">
        <v>24</v>
      </c>
      <c r="B14" s="43">
        <v>-1.5</v>
      </c>
      <c r="C14" s="43">
        <v>0.1</v>
      </c>
      <c r="D14" s="43">
        <v>-0.6</v>
      </c>
      <c r="E14" s="43">
        <v>-2.8</v>
      </c>
      <c r="F14" s="43">
        <v>-4.87</v>
      </c>
      <c r="G14" s="43">
        <v>-9.32</v>
      </c>
      <c r="H14" s="43">
        <v>-10</v>
      </c>
      <c r="I14" s="43">
        <v>-7</v>
      </c>
      <c r="J14" s="43">
        <v>-4.9000000000000004</v>
      </c>
      <c r="K14" s="43">
        <v>-14.7</v>
      </c>
      <c r="L14" s="43">
        <v>-16.149999999999999</v>
      </c>
      <c r="M14" s="43">
        <v>-21.19</v>
      </c>
      <c r="N14" s="43">
        <v>-19.399999999999999</v>
      </c>
      <c r="O14" s="43">
        <v>-21.7</v>
      </c>
      <c r="P14" s="43">
        <v>-3</v>
      </c>
      <c r="Q14" s="46">
        <v>-1.7</v>
      </c>
      <c r="R14" s="47">
        <v>-0.96</v>
      </c>
      <c r="S14" s="47">
        <v>-0.51</v>
      </c>
      <c r="T14" s="47">
        <v>0.5</v>
      </c>
      <c r="U14" s="47">
        <v>0.3</v>
      </c>
      <c r="V14" s="47">
        <v>-19.899999999999999</v>
      </c>
      <c r="W14" s="47">
        <v>-11.7</v>
      </c>
      <c r="X14" s="47">
        <v>-6.53</v>
      </c>
      <c r="Y14" s="47">
        <v>-0.97</v>
      </c>
      <c r="Z14" s="47">
        <v>-6.4</v>
      </c>
      <c r="AA14" s="47">
        <v>-1</v>
      </c>
      <c r="AB14" s="47">
        <v>0</v>
      </c>
      <c r="AC14" s="47">
        <v>0.28000000000000003</v>
      </c>
      <c r="AD14" s="47">
        <v>-12</v>
      </c>
      <c r="AE14" s="47">
        <v>-6.1</v>
      </c>
    </row>
    <row r="15" spans="1:31" x14ac:dyDescent="0.25">
      <c r="A15" s="10">
        <v>2</v>
      </c>
      <c r="B15" s="43">
        <v>-1.5</v>
      </c>
      <c r="C15" s="43">
        <v>-0.1</v>
      </c>
      <c r="D15" s="43">
        <v>-1</v>
      </c>
      <c r="E15" s="43">
        <v>-2.4</v>
      </c>
      <c r="F15" s="43">
        <v>-5.8</v>
      </c>
      <c r="G15" s="43">
        <v>-7.7</v>
      </c>
      <c r="H15" s="43">
        <v>-10.199999999999999</v>
      </c>
      <c r="I15" s="43">
        <v>-7.4</v>
      </c>
      <c r="J15" s="43">
        <v>-4.5</v>
      </c>
      <c r="K15" s="43">
        <v>-17.05</v>
      </c>
      <c r="L15" s="43">
        <v>16.84</v>
      </c>
      <c r="M15" s="43">
        <v>-21.82</v>
      </c>
      <c r="N15" s="43">
        <v>-20.72</v>
      </c>
      <c r="O15" s="43">
        <v>-20.58</v>
      </c>
      <c r="P15" s="43">
        <v>-1.9</v>
      </c>
      <c r="Q15" s="46">
        <v>-1.62</v>
      </c>
      <c r="R15" s="47">
        <v>-0.24</v>
      </c>
      <c r="S15" s="47">
        <v>-0.11</v>
      </c>
      <c r="T15" s="47">
        <v>0.42</v>
      </c>
      <c r="U15" s="47">
        <v>0.2</v>
      </c>
      <c r="V15" s="47">
        <v>-21.33</v>
      </c>
      <c r="W15" s="47">
        <v>-10.5</v>
      </c>
      <c r="X15" s="47">
        <v>-6.54</v>
      </c>
      <c r="Y15" s="47">
        <v>-1.1299999999999999</v>
      </c>
      <c r="Z15" s="47">
        <v>-6.48</v>
      </c>
      <c r="AA15" s="47">
        <v>-0.51</v>
      </c>
      <c r="AB15" s="47">
        <v>-0.3</v>
      </c>
      <c r="AC15" s="47">
        <v>0.4</v>
      </c>
      <c r="AD15" s="47">
        <v>-13.9</v>
      </c>
      <c r="AE15" s="47">
        <v>-6.85</v>
      </c>
    </row>
    <row r="16" spans="1:31" ht="30" x14ac:dyDescent="0.25">
      <c r="A16" s="11" t="s">
        <v>2</v>
      </c>
      <c r="B16" s="45">
        <f>AVERAGE(B4+B5+B6+B7+B8+B9+B10+B11+B12+B13+B14+B15)/12</f>
        <v>-1.1008333333333333</v>
      </c>
      <c r="C16" s="42">
        <v>-0.69166666666666687</v>
      </c>
      <c r="D16" s="42">
        <v>0.4241666666666668</v>
      </c>
      <c r="E16" s="42">
        <v>-2.7008333333333332</v>
      </c>
      <c r="F16" s="45">
        <f>AVERAGE(F4+F5+F6+F7+F8+F9+F10+F11+F12+F13+F14+F15)/12</f>
        <v>-2.2574999999999998</v>
      </c>
      <c r="G16" s="42">
        <f t="shared" ref="G16" si="0">AVERAGE(G4+G5+G6+G7+G8+G9+G10+G11+G12+G13+G14+G15)/12</f>
        <v>-7.84</v>
      </c>
      <c r="H16" s="42">
        <f>AVERAGE(H4+H5+H6+H7+H8+H9+H10+H11+H12+H13+H14+H15)/12</f>
        <v>-7.8175000000000017</v>
      </c>
      <c r="I16" s="42">
        <f>AVERAGE(I4+I5+I6+I7+I8+I9+I10+I11+I12+I13+I14+I15)/12</f>
        <v>-6.8999999999999995</v>
      </c>
      <c r="J16" s="42">
        <f t="shared" ref="J16:O16" si="1">AVERAGE(J4+J5+J6+J7+J8+J9+J10+J11+J12+J13+J14+J15)/12</f>
        <v>-5.7191666666666663</v>
      </c>
      <c r="K16" s="42">
        <f t="shared" si="1"/>
        <v>-10.775</v>
      </c>
      <c r="L16" s="42">
        <f t="shared" si="1"/>
        <v>-11.795833333333334</v>
      </c>
      <c r="M16" s="42">
        <f t="shared" si="1"/>
        <v>-18.145833333333332</v>
      </c>
      <c r="N16" s="42">
        <f t="shared" si="1"/>
        <v>-20.463333333333335</v>
      </c>
      <c r="O16" s="42">
        <f t="shared" si="1"/>
        <v>-18.705833333333331</v>
      </c>
      <c r="P16" s="42">
        <f>AVERAGE(P4+P5+P6+P7+P8+P9+P10+P11+P12+P13+P14+P15)/12</f>
        <v>-12.16666666666667</v>
      </c>
      <c r="Q16" s="42">
        <f>AVERAGE(Q4+Q5+Q6+Q7+Q8+Q9+Q10+Q11+Q12+Q13+Q14+Q15)/12</f>
        <v>-1.5737499999999998</v>
      </c>
      <c r="R16" s="42">
        <f>AVERAGE(R4+R5+R6+R7+R8+R9+R10+R11+R12+R13+R14+R15)/12</f>
        <v>-1.2358333333333336</v>
      </c>
      <c r="S16" s="42">
        <f t="shared" ref="S16:AB16" si="2">AVERAGE(S4+S5+S6+S7+S8+S9+S10+S11+S12+S13+S14+S15)/12</f>
        <v>-0.31083333333333335</v>
      </c>
      <c r="T16" s="42">
        <f t="shared" si="2"/>
        <v>0.41416666666666663</v>
      </c>
      <c r="U16" s="42">
        <f t="shared" si="2"/>
        <v>0.57250000000000012</v>
      </c>
      <c r="V16" s="42">
        <f t="shared" si="2"/>
        <v>-7.8291666666666666</v>
      </c>
      <c r="W16" s="42">
        <f t="shared" si="2"/>
        <v>-18.982500000000002</v>
      </c>
      <c r="X16" s="42">
        <f t="shared" si="2"/>
        <v>-6.7650000000000006</v>
      </c>
      <c r="Y16" s="42">
        <f t="shared" si="2"/>
        <v>-3.9649999999999994</v>
      </c>
      <c r="Z16" s="42">
        <f t="shared" si="2"/>
        <v>-3.793333333333333</v>
      </c>
      <c r="AA16" s="42">
        <f t="shared" si="2"/>
        <v>-4.7533333333333339</v>
      </c>
      <c r="AB16" s="42">
        <f t="shared" si="2"/>
        <v>-0.14583333333333334</v>
      </c>
      <c r="AC16" s="42">
        <f>AVERAGE(AC4+AC5+AC6+AC7+AC8+AC9+AC10+AC11+AC12+AC13+AC14+AC15)/12</f>
        <v>-2.5000000000000012E-2</v>
      </c>
      <c r="AD16" s="42">
        <f>AVERAGE(AD4+AD5+AD6+AD7+AD8+AD9+AD10+AD11+AD12+AD13+AD14+AD15)/12</f>
        <v>-6.2591666666666663</v>
      </c>
      <c r="AE16" s="42">
        <f>AVERAGE(AE4+AE5+AE6+AE7+AE8+AE9+AE10+AE11+AE12+AE13+AE14+AE15)/12</f>
        <v>-7.719999999999998</v>
      </c>
    </row>
    <row r="21" spans="1:31" ht="15.75" x14ac:dyDescent="0.25">
      <c r="A21" s="4" t="s">
        <v>7</v>
      </c>
      <c r="B21" s="23" t="s">
        <v>1</v>
      </c>
    </row>
    <row r="22" spans="1:31" x14ac:dyDescent="0.25">
      <c r="B22" s="131" t="s">
        <v>65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</row>
    <row r="23" spans="1:31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1" x14ac:dyDescent="0.25">
      <c r="A24" s="10">
        <v>4</v>
      </c>
      <c r="B24" s="43">
        <v>-0.2</v>
      </c>
      <c r="C24" s="43">
        <v>-2.2999999999999998</v>
      </c>
      <c r="D24" s="43">
        <v>0.6</v>
      </c>
      <c r="E24" s="43">
        <v>-1.1000000000000001</v>
      </c>
      <c r="F24" s="43">
        <v>-2.2999999999999998</v>
      </c>
      <c r="G24" s="43">
        <v>-6.8</v>
      </c>
      <c r="H24" s="43">
        <v>-6.9</v>
      </c>
      <c r="I24" s="43">
        <v>-10.7</v>
      </c>
      <c r="J24" s="43">
        <v>-7.6</v>
      </c>
      <c r="K24" s="43">
        <v>-4.5999999999999996</v>
      </c>
      <c r="L24" s="43">
        <v>-19.3</v>
      </c>
      <c r="M24" s="43">
        <v>-17</v>
      </c>
      <c r="N24" s="43">
        <v>-23</v>
      </c>
      <c r="O24" s="43">
        <v>-23.1</v>
      </c>
      <c r="P24" s="43">
        <v>-19.2</v>
      </c>
      <c r="Q24" s="47">
        <v>-1.8</v>
      </c>
      <c r="R24" s="47">
        <v>-1.2</v>
      </c>
      <c r="S24" s="47">
        <v>0.2</v>
      </c>
      <c r="T24" s="47">
        <v>-0.1</v>
      </c>
      <c r="U24" s="47">
        <v>0.4</v>
      </c>
      <c r="V24" s="47">
        <v>0.5</v>
      </c>
      <c r="W24" s="47">
        <v>-21.9</v>
      </c>
      <c r="X24" s="47">
        <v>-10.6</v>
      </c>
      <c r="Y24" s="47">
        <v>-6.4</v>
      </c>
      <c r="Z24" s="47">
        <v>-3.2</v>
      </c>
      <c r="AA24" s="47">
        <v>-7.1</v>
      </c>
      <c r="AB24" s="47">
        <v>-0.2</v>
      </c>
      <c r="AC24" s="47">
        <v>-0.1</v>
      </c>
      <c r="AD24" s="47">
        <v>-0.5</v>
      </c>
      <c r="AE24" s="47">
        <v>-13.6</v>
      </c>
    </row>
    <row r="25" spans="1:31" x14ac:dyDescent="0.25">
      <c r="A25" s="10">
        <v>6</v>
      </c>
      <c r="B25" s="43">
        <v>-0.3</v>
      </c>
      <c r="C25" s="43">
        <v>-2.2999999999999998</v>
      </c>
      <c r="D25" s="43">
        <v>0.7</v>
      </c>
      <c r="E25" s="43">
        <v>-2.2999999999999998</v>
      </c>
      <c r="F25" s="43">
        <v>-1.9</v>
      </c>
      <c r="G25" s="43">
        <v>-7.6</v>
      </c>
      <c r="H25" s="43">
        <v>-6.8</v>
      </c>
      <c r="I25" s="43">
        <v>-10.3</v>
      </c>
      <c r="J25" s="43">
        <v>-7.5</v>
      </c>
      <c r="K25" s="43">
        <v>-4</v>
      </c>
      <c r="L25" s="43">
        <v>-18.8</v>
      </c>
      <c r="M25" s="43">
        <v>-15.1</v>
      </c>
      <c r="N25" s="43">
        <v>-23.4</v>
      </c>
      <c r="O25" s="43">
        <v>-23.8</v>
      </c>
      <c r="P25" s="43">
        <v>-18.399999999999999</v>
      </c>
      <c r="Q25" s="47">
        <v>-1.3</v>
      </c>
      <c r="R25" s="47">
        <v>-1.5</v>
      </c>
      <c r="S25" s="47">
        <v>0.2</v>
      </c>
      <c r="T25" s="47">
        <v>0</v>
      </c>
      <c r="U25" s="47">
        <v>0.6</v>
      </c>
      <c r="V25" s="47">
        <v>-0.1</v>
      </c>
      <c r="W25" s="47">
        <v>-23.1</v>
      </c>
      <c r="X25" s="47">
        <v>-9.6999999999999993</v>
      </c>
      <c r="Y25" s="47">
        <v>-6.6</v>
      </c>
      <c r="Z25" s="47">
        <v>-1.9</v>
      </c>
      <c r="AA25" s="47">
        <v>-7.9</v>
      </c>
      <c r="AB25" s="47">
        <v>-0.9</v>
      </c>
      <c r="AC25" s="47">
        <v>-0.2</v>
      </c>
      <c r="AD25" s="47">
        <v>-0.8</v>
      </c>
      <c r="AE25" s="47">
        <v>-12.1</v>
      </c>
    </row>
    <row r="26" spans="1:31" x14ac:dyDescent="0.25">
      <c r="A26" s="10">
        <v>8</v>
      </c>
      <c r="B26" s="43">
        <v>-0.4</v>
      </c>
      <c r="C26" s="43">
        <v>-2</v>
      </c>
      <c r="D26" s="43">
        <v>0.6</v>
      </c>
      <c r="E26" s="43">
        <v>-2.1</v>
      </c>
      <c r="F26" s="43">
        <v>-1.9</v>
      </c>
      <c r="G26" s="43">
        <v>-8.1999999999999993</v>
      </c>
      <c r="H26" s="43">
        <v>-6.7</v>
      </c>
      <c r="I26" s="43">
        <v>-7.9</v>
      </c>
      <c r="J26" s="43">
        <v>-6.8</v>
      </c>
      <c r="K26" s="43">
        <v>-6.2</v>
      </c>
      <c r="L26" s="43">
        <v>-16.3</v>
      </c>
      <c r="M26" s="43">
        <v>-17.3</v>
      </c>
      <c r="N26" s="43">
        <v>-23.3</v>
      </c>
      <c r="O26" s="43">
        <v>-21.8</v>
      </c>
      <c r="P26" s="43">
        <v>-18.100000000000001</v>
      </c>
      <c r="Q26" s="47">
        <v>-0.9</v>
      </c>
      <c r="R26" s="47">
        <v>-1.5</v>
      </c>
      <c r="S26" s="47">
        <v>0.2</v>
      </c>
      <c r="T26" s="47">
        <v>0.2</v>
      </c>
      <c r="U26" s="47">
        <v>0.7</v>
      </c>
      <c r="V26" s="47">
        <v>-0.1</v>
      </c>
      <c r="W26" s="47">
        <v>-24.2</v>
      </c>
      <c r="X26" s="47">
        <v>-8.6999999999999993</v>
      </c>
      <c r="Y26" s="47">
        <v>-6.9</v>
      </c>
      <c r="Z26" s="47">
        <v>-2.7</v>
      </c>
      <c r="AA26" s="47">
        <v>-8.1999999999999993</v>
      </c>
      <c r="AB26" s="47">
        <v>-0.8</v>
      </c>
      <c r="AC26" s="47">
        <v>0</v>
      </c>
      <c r="AD26" s="47">
        <v>-1.5</v>
      </c>
      <c r="AE26" s="47">
        <v>-11.4</v>
      </c>
    </row>
    <row r="27" spans="1:31" x14ac:dyDescent="0.25">
      <c r="A27" s="10">
        <v>10</v>
      </c>
      <c r="B27" s="43">
        <v>-0.7</v>
      </c>
      <c r="C27" s="43">
        <v>-1.2</v>
      </c>
      <c r="D27" s="43">
        <v>0.7</v>
      </c>
      <c r="E27" s="43">
        <v>-2.2000000000000002</v>
      </c>
      <c r="F27" s="43">
        <v>-0.9</v>
      </c>
      <c r="G27" s="43">
        <v>-6.9</v>
      </c>
      <c r="H27" s="43">
        <v>-6.3</v>
      </c>
      <c r="I27" s="43">
        <v>-7.4</v>
      </c>
      <c r="J27" s="43">
        <v>-6.2</v>
      </c>
      <c r="K27" s="43">
        <v>-8.4</v>
      </c>
      <c r="L27" s="43">
        <v>-14.3</v>
      </c>
      <c r="M27" s="43">
        <v>-18.3</v>
      </c>
      <c r="N27" s="43">
        <v>-21.5</v>
      </c>
      <c r="O27" s="43">
        <v>-20</v>
      </c>
      <c r="P27" s="43">
        <v>-17.5</v>
      </c>
      <c r="Q27" s="47">
        <v>-0.8</v>
      </c>
      <c r="R27" s="47">
        <v>-1.1000000000000001</v>
      </c>
      <c r="S27" s="47">
        <v>0.3</v>
      </c>
      <c r="T27" s="47">
        <v>0.3</v>
      </c>
      <c r="U27" s="47">
        <v>0.9</v>
      </c>
      <c r="V27" s="47">
        <v>-0.2</v>
      </c>
      <c r="W27" s="47">
        <v>-22.3</v>
      </c>
      <c r="X27" s="47">
        <v>-7.8</v>
      </c>
      <c r="Y27" s="47">
        <v>-6.2</v>
      </c>
      <c r="Z27" s="47">
        <v>-2.7</v>
      </c>
      <c r="AA27" s="47">
        <v>-7.3</v>
      </c>
      <c r="AB27" s="47">
        <v>-0.8</v>
      </c>
      <c r="AC27" s="47">
        <v>0</v>
      </c>
      <c r="AD27" s="47">
        <v>-2.8</v>
      </c>
      <c r="AE27" s="47">
        <v>-10.9</v>
      </c>
    </row>
    <row r="28" spans="1:31" x14ac:dyDescent="0.25">
      <c r="A28" s="10">
        <v>12</v>
      </c>
      <c r="B28" s="43">
        <v>-0.7</v>
      </c>
      <c r="C28" s="43">
        <v>-0.7</v>
      </c>
      <c r="D28" s="43">
        <v>1</v>
      </c>
      <c r="E28" s="43">
        <v>-2.1</v>
      </c>
      <c r="F28" s="43">
        <v>-0.2</v>
      </c>
      <c r="G28" s="43">
        <v>-5.8</v>
      </c>
      <c r="H28" s="43">
        <v>-6.3</v>
      </c>
      <c r="I28" s="43">
        <v>-6.3</v>
      </c>
      <c r="J28" s="43">
        <v>-5.4</v>
      </c>
      <c r="K28" s="43">
        <v>-8</v>
      </c>
      <c r="L28" s="43">
        <v>-12.7</v>
      </c>
      <c r="M28" s="43">
        <v>-16.7</v>
      </c>
      <c r="N28" s="43">
        <v>-19.100000000000001</v>
      </c>
      <c r="O28" s="43">
        <v>-16.600000000000001</v>
      </c>
      <c r="P28" s="43">
        <v>-16.399999999999999</v>
      </c>
      <c r="Q28" s="47">
        <v>-1.1000000000000001</v>
      </c>
      <c r="R28" s="47">
        <v>-1.1000000000000001</v>
      </c>
      <c r="S28" s="47">
        <v>1</v>
      </c>
      <c r="T28" s="47">
        <v>0.4</v>
      </c>
      <c r="U28" s="47">
        <v>0.9</v>
      </c>
      <c r="V28" s="47">
        <v>-0.1</v>
      </c>
      <c r="W28" s="47">
        <v>-22.1</v>
      </c>
      <c r="X28" s="47">
        <v>-6.2</v>
      </c>
      <c r="Y28" s="47">
        <v>-5.5</v>
      </c>
      <c r="Z28" s="47">
        <v>-1.8</v>
      </c>
      <c r="AA28" s="47">
        <v>-6.4</v>
      </c>
      <c r="AB28" s="47">
        <v>-0.2</v>
      </c>
      <c r="AC28" s="47">
        <v>0</v>
      </c>
      <c r="AD28" s="47">
        <v>-4.5999999999999996</v>
      </c>
      <c r="AE28" s="47">
        <v>-8.5</v>
      </c>
    </row>
    <row r="29" spans="1:31" x14ac:dyDescent="0.25">
      <c r="A29" s="10">
        <v>14</v>
      </c>
      <c r="B29" s="43">
        <v>-1.7</v>
      </c>
      <c r="C29" s="43">
        <v>-1.1000000000000001</v>
      </c>
      <c r="D29" s="43">
        <v>0.8</v>
      </c>
      <c r="E29" s="43">
        <v>-2.2000000000000002</v>
      </c>
      <c r="F29" s="43">
        <v>-0.5</v>
      </c>
      <c r="G29" s="43">
        <v>-6</v>
      </c>
      <c r="H29" s="43">
        <v>-6.6</v>
      </c>
      <c r="I29" s="43">
        <v>-5.8</v>
      </c>
      <c r="J29" s="43">
        <v>-4.9000000000000004</v>
      </c>
      <c r="K29" s="43">
        <v>-9</v>
      </c>
      <c r="L29" s="43">
        <v>-9.3699999999999992</v>
      </c>
      <c r="M29" s="43">
        <v>-16.100000000000001</v>
      </c>
      <c r="N29" s="43">
        <v>-18.8</v>
      </c>
      <c r="O29" s="43">
        <v>-16</v>
      </c>
      <c r="P29" s="43">
        <v>-15.3</v>
      </c>
      <c r="Q29" s="47">
        <v>-1.5</v>
      </c>
      <c r="R29" s="47">
        <v>-1.1000000000000001</v>
      </c>
      <c r="S29" s="47">
        <v>0.4</v>
      </c>
      <c r="T29" s="47">
        <v>0.4</v>
      </c>
      <c r="U29" s="47">
        <v>0.9</v>
      </c>
      <c r="V29" s="47">
        <v>-0.6</v>
      </c>
      <c r="W29" s="47">
        <v>-20.9</v>
      </c>
      <c r="X29" s="47">
        <v>-5</v>
      </c>
      <c r="Y29" s="47">
        <v>-4.2</v>
      </c>
      <c r="Z29" s="47">
        <v>-2.2000000000000002</v>
      </c>
      <c r="AA29" s="47">
        <v>-5.2</v>
      </c>
      <c r="AB29" s="47">
        <v>0.2</v>
      </c>
      <c r="AC29" s="47">
        <v>0.4</v>
      </c>
      <c r="AD29" s="47">
        <v>-5.9</v>
      </c>
      <c r="AE29" s="47">
        <v>-9.6</v>
      </c>
    </row>
    <row r="30" spans="1:31" x14ac:dyDescent="0.25">
      <c r="A30" s="10">
        <v>16</v>
      </c>
      <c r="B30" s="43">
        <v>-1.9</v>
      </c>
      <c r="C30" s="43">
        <v>-0.8</v>
      </c>
      <c r="D30" s="43">
        <v>0.3</v>
      </c>
      <c r="E30" s="43">
        <v>-2.6</v>
      </c>
      <c r="F30" s="43">
        <v>-1.1000000000000001</v>
      </c>
      <c r="G30" s="43">
        <v>-7</v>
      </c>
      <c r="H30" s="43">
        <v>-7.2</v>
      </c>
      <c r="I30" s="43">
        <v>-7</v>
      </c>
      <c r="J30" s="43">
        <v>-5.0999999999999996</v>
      </c>
      <c r="K30" s="43">
        <v>-9.1999999999999993</v>
      </c>
      <c r="L30" s="43">
        <v>-12.5</v>
      </c>
      <c r="M30" s="43">
        <v>-17.7</v>
      </c>
      <c r="N30" s="43">
        <v>-19.3</v>
      </c>
      <c r="O30" s="43">
        <v>-18.5</v>
      </c>
      <c r="P30" s="43">
        <v>-14.1</v>
      </c>
      <c r="Q30" s="47">
        <v>-1.9</v>
      </c>
      <c r="R30" s="47">
        <v>-1.2</v>
      </c>
      <c r="S30" s="47">
        <v>0.1</v>
      </c>
      <c r="T30" s="47">
        <v>0.5</v>
      </c>
      <c r="U30" s="47">
        <v>0.8</v>
      </c>
      <c r="V30" s="47">
        <v>-2.9</v>
      </c>
      <c r="W30" s="47">
        <v>-20.8</v>
      </c>
      <c r="X30" s="47">
        <v>-4.7</v>
      </c>
      <c r="Y30" s="47">
        <v>-2.9</v>
      </c>
      <c r="Z30" s="47">
        <v>-3.7</v>
      </c>
      <c r="AA30" s="47">
        <v>-4</v>
      </c>
      <c r="AB30" s="47">
        <v>0.1</v>
      </c>
      <c r="AC30" s="47">
        <v>0.4</v>
      </c>
      <c r="AD30" s="47">
        <v>-7.4</v>
      </c>
      <c r="AE30" s="47">
        <v>-9.9</v>
      </c>
    </row>
    <row r="31" spans="1:31" x14ac:dyDescent="0.25">
      <c r="A31" s="10">
        <v>18</v>
      </c>
      <c r="B31" s="43">
        <v>-1.8</v>
      </c>
      <c r="C31" s="43">
        <v>0</v>
      </c>
      <c r="D31" s="43">
        <v>0.5</v>
      </c>
      <c r="E31" s="43">
        <v>-3.2</v>
      </c>
      <c r="F31" s="43">
        <v>-2</v>
      </c>
      <c r="G31" s="43">
        <v>-8.1</v>
      </c>
      <c r="H31" s="43">
        <v>-7.8</v>
      </c>
      <c r="I31" s="43">
        <v>-6.9</v>
      </c>
      <c r="J31" s="43">
        <v>-5.4</v>
      </c>
      <c r="K31" s="43">
        <v>-9.1999999999999993</v>
      </c>
      <c r="L31" s="43">
        <v>-13.5</v>
      </c>
      <c r="M31" s="43">
        <v>-18.899999999999999</v>
      </c>
      <c r="N31" s="43">
        <v>-20.5</v>
      </c>
      <c r="O31" s="43">
        <v>-16.899999999999999</v>
      </c>
      <c r="P31" s="43">
        <v>-13.2</v>
      </c>
      <c r="Q31" s="47">
        <v>-1.8</v>
      </c>
      <c r="R31" s="47">
        <v>-1</v>
      </c>
      <c r="S31" s="47">
        <v>-0.9</v>
      </c>
      <c r="T31" s="47">
        <v>0.7</v>
      </c>
      <c r="U31" s="47">
        <v>0.6</v>
      </c>
      <c r="V31" s="47">
        <v>-9</v>
      </c>
      <c r="W31" s="47">
        <v>-19.600000000000001</v>
      </c>
      <c r="X31" s="47">
        <v>-5.8</v>
      </c>
      <c r="Y31" s="47">
        <v>-2.4</v>
      </c>
      <c r="Z31" s="47">
        <v>-5.0999999999999996</v>
      </c>
      <c r="AA31" s="47">
        <v>-2.4</v>
      </c>
      <c r="AB31" s="47">
        <v>0.3</v>
      </c>
      <c r="AC31" s="47">
        <v>0.2</v>
      </c>
      <c r="AD31" s="47">
        <v>-9.8000000000000007</v>
      </c>
      <c r="AE31" s="47">
        <v>-8.8000000000000007</v>
      </c>
    </row>
    <row r="32" spans="1:31" x14ac:dyDescent="0.25">
      <c r="A32" s="10">
        <v>20</v>
      </c>
      <c r="B32" s="43">
        <v>-1.3</v>
      </c>
      <c r="C32" s="43">
        <v>0.6</v>
      </c>
      <c r="D32" s="43">
        <v>1.3</v>
      </c>
      <c r="E32" s="43">
        <v>-3.6</v>
      </c>
      <c r="F32" s="43">
        <v>-2.2999999999999998</v>
      </c>
      <c r="G32" s="43">
        <v>-9.5</v>
      </c>
      <c r="H32" s="43">
        <v>-8.5</v>
      </c>
      <c r="I32" s="43">
        <v>-6.7</v>
      </c>
      <c r="J32" s="43">
        <v>-5.3</v>
      </c>
      <c r="K32" s="43">
        <v>-12.3</v>
      </c>
      <c r="L32" s="43">
        <v>-14.1</v>
      </c>
      <c r="M32" s="43">
        <v>-20.2</v>
      </c>
      <c r="N32" s="43">
        <v>-21.2</v>
      </c>
      <c r="O32" s="43">
        <v>-17</v>
      </c>
      <c r="P32" s="43">
        <v>-11.5</v>
      </c>
      <c r="Q32" s="47">
        <v>-1.8</v>
      </c>
      <c r="R32" s="47">
        <v>-1</v>
      </c>
      <c r="S32" s="47">
        <v>-1.2</v>
      </c>
      <c r="T32" s="47">
        <v>0.8</v>
      </c>
      <c r="U32" s="47">
        <v>0.7</v>
      </c>
      <c r="V32" s="47">
        <v>-14.7</v>
      </c>
      <c r="W32" s="47">
        <v>-17.2</v>
      </c>
      <c r="X32" s="47">
        <v>-6.9</v>
      </c>
      <c r="Y32" s="47">
        <v>-1.6</v>
      </c>
      <c r="Z32" s="47">
        <v>-5.4</v>
      </c>
      <c r="AA32" s="47">
        <v>-1.6</v>
      </c>
      <c r="AB32" s="47">
        <v>0.7</v>
      </c>
      <c r="AC32" s="47">
        <v>0.3</v>
      </c>
      <c r="AD32" s="47">
        <v>-11.5</v>
      </c>
      <c r="AE32" s="47">
        <v>-7.4</v>
      </c>
    </row>
    <row r="33" spans="1:31" x14ac:dyDescent="0.25">
      <c r="A33" s="10">
        <v>22</v>
      </c>
      <c r="B33" s="43">
        <v>-1.2</v>
      </c>
      <c r="C33" s="43">
        <v>0.6</v>
      </c>
      <c r="D33" s="43">
        <v>0.7</v>
      </c>
      <c r="E33" s="43">
        <v>-3.4</v>
      </c>
      <c r="F33" s="43">
        <v>-2.7</v>
      </c>
      <c r="G33" s="43">
        <v>-9.6999999999999993</v>
      </c>
      <c r="H33" s="43">
        <v>-9.5</v>
      </c>
      <c r="I33" s="43">
        <v>-6.4</v>
      </c>
      <c r="J33" s="43">
        <v>-5.5</v>
      </c>
      <c r="K33" s="43">
        <v>-14.8</v>
      </c>
      <c r="L33" s="43">
        <v>-14.9</v>
      </c>
      <c r="M33" s="43">
        <v>-20.9</v>
      </c>
      <c r="N33" s="43">
        <v>-22.2</v>
      </c>
      <c r="O33" s="43">
        <v>-19</v>
      </c>
      <c r="P33" s="43">
        <v>-8.6</v>
      </c>
      <c r="Q33" s="47">
        <v>-1.6</v>
      </c>
      <c r="R33" s="47">
        <v>-1</v>
      </c>
      <c r="S33" s="47">
        <v>-2.2999999999999998</v>
      </c>
      <c r="T33" s="47">
        <v>0.7</v>
      </c>
      <c r="U33" s="47">
        <v>0.6</v>
      </c>
      <c r="V33" s="47">
        <v>-16.100000000000001</v>
      </c>
      <c r="W33" s="47">
        <v>-14.7</v>
      </c>
      <c r="X33" s="47">
        <v>-6.4</v>
      </c>
      <c r="Y33" s="47">
        <v>-1</v>
      </c>
      <c r="Z33" s="47">
        <v>-6</v>
      </c>
      <c r="AA33" s="47">
        <v>-1.5</v>
      </c>
      <c r="AB33" s="47">
        <v>0.9</v>
      </c>
      <c r="AC33" s="47">
        <v>0.3</v>
      </c>
      <c r="AD33" s="47">
        <v>-12.3</v>
      </c>
      <c r="AE33" s="47">
        <v>-6.4</v>
      </c>
    </row>
    <row r="34" spans="1:31" x14ac:dyDescent="0.25">
      <c r="A34" s="10">
        <v>24</v>
      </c>
      <c r="B34" s="43">
        <v>-1.7</v>
      </c>
      <c r="C34" s="43">
        <v>0.3</v>
      </c>
      <c r="D34" s="43">
        <v>-0.5</v>
      </c>
      <c r="E34" s="43">
        <v>-3.1</v>
      </c>
      <c r="F34" s="43">
        <v>-4.2</v>
      </c>
      <c r="G34" s="43">
        <v>-8.6</v>
      </c>
      <c r="H34" s="43">
        <v>-9.6999999999999993</v>
      </c>
      <c r="I34" s="43">
        <v>-6.8</v>
      </c>
      <c r="J34" s="43">
        <v>-5.2</v>
      </c>
      <c r="K34" s="43">
        <v>-16.899999999999999</v>
      </c>
      <c r="L34" s="43">
        <v>-16.600000000000001</v>
      </c>
      <c r="M34" s="43">
        <v>-22.1</v>
      </c>
      <c r="N34" s="43">
        <v>-22.6</v>
      </c>
      <c r="O34" s="43">
        <v>-20.8</v>
      </c>
      <c r="P34" s="43">
        <v>-6.7</v>
      </c>
      <c r="Q34" s="47">
        <v>-1.4</v>
      </c>
      <c r="R34" s="47">
        <v>-1</v>
      </c>
      <c r="S34" s="47">
        <v>-1.2</v>
      </c>
      <c r="T34" s="47">
        <v>0.6</v>
      </c>
      <c r="U34" s="47">
        <v>0.6</v>
      </c>
      <c r="V34" s="47">
        <v>-18.899999999999999</v>
      </c>
      <c r="W34" s="47">
        <v>-12.6</v>
      </c>
      <c r="X34" s="47">
        <v>-6.4</v>
      </c>
      <c r="Y34" s="47">
        <v>-1.9</v>
      </c>
      <c r="Z34" s="47">
        <v>-6.1</v>
      </c>
      <c r="AA34" s="47">
        <v>-1.3</v>
      </c>
      <c r="AB34" s="47">
        <v>0.2</v>
      </c>
      <c r="AC34" s="47">
        <v>0.2</v>
      </c>
      <c r="AD34" s="47">
        <v>-13.2</v>
      </c>
      <c r="AE34" s="47">
        <v>-5.7</v>
      </c>
    </row>
    <row r="35" spans="1:31" x14ac:dyDescent="0.25">
      <c r="A35" s="10">
        <v>2</v>
      </c>
      <c r="B35" s="43">
        <v>-1.8</v>
      </c>
      <c r="C35" s="43">
        <v>0.5</v>
      </c>
      <c r="D35" s="43">
        <v>-0.7</v>
      </c>
      <c r="E35" s="43">
        <v>-2.7</v>
      </c>
      <c r="F35" s="43">
        <v>-5.3</v>
      </c>
      <c r="G35" s="43">
        <v>-7.8</v>
      </c>
      <c r="H35" s="43">
        <v>-9.5</v>
      </c>
      <c r="I35" s="43">
        <v>-6.8</v>
      </c>
      <c r="J35" s="43">
        <v>-4.8</v>
      </c>
      <c r="K35" s="43">
        <v>-17.8</v>
      </c>
      <c r="L35" s="43">
        <v>-16.3</v>
      </c>
      <c r="M35" s="43">
        <v>-22.2</v>
      </c>
      <c r="N35" s="43">
        <v>-22.3</v>
      </c>
      <c r="O35" s="43">
        <v>-20.7</v>
      </c>
      <c r="P35" s="43">
        <v>-4.3</v>
      </c>
      <c r="Q35" s="47">
        <v>-1.3</v>
      </c>
      <c r="R35" s="47">
        <v>-0.6</v>
      </c>
      <c r="S35" s="47">
        <v>-0.5</v>
      </c>
      <c r="T35" s="47">
        <v>0.5</v>
      </c>
      <c r="U35" s="47">
        <v>0.5</v>
      </c>
      <c r="V35" s="47">
        <v>-20.9</v>
      </c>
      <c r="W35" s="47">
        <v>-10.7</v>
      </c>
      <c r="X35" s="47">
        <v>-6.7</v>
      </c>
      <c r="Y35" s="47">
        <v>-2.2999999999999998</v>
      </c>
      <c r="Z35" s="47">
        <v>-6.2</v>
      </c>
      <c r="AA35" s="47">
        <v>-0.7</v>
      </c>
      <c r="AB35" s="47">
        <v>-0.1</v>
      </c>
      <c r="AC35" s="47">
        <v>-0.4</v>
      </c>
      <c r="AD35" s="47">
        <v>-12.6</v>
      </c>
      <c r="AE35" s="47">
        <v>-6</v>
      </c>
    </row>
    <row r="36" spans="1:31" ht="30" x14ac:dyDescent="0.25">
      <c r="A36" s="11" t="s">
        <v>2</v>
      </c>
      <c r="B36" s="45">
        <f>AVERAGE(B24+B25+B26+B27+B28+B29+B30+B31+B32+B33+B34+B35)/12</f>
        <v>-1.1416666666666666</v>
      </c>
      <c r="C36" s="45">
        <f>AVERAGE(C24+C25+C26+C27+C28+C29+C30+C31+C32+C33+C34+C35)/12</f>
        <v>-0.70000000000000007</v>
      </c>
      <c r="D36" s="42">
        <v>0.49999999999999994</v>
      </c>
      <c r="E36" s="42">
        <v>-2.5500000000000003</v>
      </c>
      <c r="F36" s="42">
        <f t="shared" ref="F36:G36" si="3">AVERAGE(F24+F25+F26+F27+F28+F29+F30+F31+F32+F33+F34+F35)/12</f>
        <v>-2.1083333333333334</v>
      </c>
      <c r="G36" s="42">
        <f t="shared" si="3"/>
        <v>-7.666666666666667</v>
      </c>
      <c r="H36" s="42">
        <f>AVERAGE(H24+H25+H26+H27+H28+H29+H30+H31+H32+H33+H34+H35)/12</f>
        <v>-7.6499999999999995</v>
      </c>
      <c r="I36" s="42">
        <f>AVERAGE(I24+I25+I26+I27+I28+I29+I30+I31+I32+I33+I34+I35)/12</f>
        <v>-7.4166666666666652</v>
      </c>
      <c r="J36" s="42">
        <f>AVERAGE(J24+J25+J26+J27+J28+J29+J30+J31+J32+J33+J34+J35)/12</f>
        <v>-5.8083333333333327</v>
      </c>
      <c r="K36" s="42">
        <f>AVERAGE(K24+K25+K26+K27+K28+K29+K30+K31+K32+K33+K34+K35)/12</f>
        <v>-10.033333333333333</v>
      </c>
      <c r="L36" s="42">
        <f t="shared" ref="L36:O36" si="4">AVERAGE(L24+L25+L26+L27+L28+L29+L30+L31+L32+L33+L34+L35)/12</f>
        <v>-14.889166666666668</v>
      </c>
      <c r="M36" s="42">
        <f t="shared" si="4"/>
        <v>-18.541666666666664</v>
      </c>
      <c r="N36" s="42">
        <f t="shared" si="4"/>
        <v>-21.433333333333334</v>
      </c>
      <c r="O36" s="42">
        <f t="shared" si="4"/>
        <v>-19.516666666666669</v>
      </c>
      <c r="P36" s="44">
        <f>AVERAGE(P24+P25+P26+P27+P28+P29+P30+P31+P32+P33+P34+P35)/12</f>
        <v>-13.608333333333333</v>
      </c>
      <c r="Q36" s="42">
        <f>AVERAGE(Q24+Q25+Q26+Q27+Q28+Q29+Q30+Q31+Q32+Q33+Q34+Q35)/12</f>
        <v>-1.4333333333333336</v>
      </c>
      <c r="R36" s="42">
        <f>AVERAGE(R24+R25+R26+R27+R28+R29+R30+R31+R32+R33+R34+R35)/12</f>
        <v>-1.1083333333333332</v>
      </c>
      <c r="S36" s="42">
        <f t="shared" ref="S36:AB36" si="5">AVERAGE(S24+S25+S26+S27+S28+S29+S30+S31+S32+S33+S34+S35)/12</f>
        <v>-0.30833333333333329</v>
      </c>
      <c r="T36" s="42">
        <f t="shared" si="5"/>
        <v>0.41666666666666669</v>
      </c>
      <c r="U36" s="42">
        <f t="shared" si="5"/>
        <v>0.68333333333333324</v>
      </c>
      <c r="V36" s="42">
        <f t="shared" si="5"/>
        <v>-6.9249999999999998</v>
      </c>
      <c r="W36" s="42">
        <f t="shared" si="5"/>
        <v>-19.174999999999997</v>
      </c>
      <c r="X36" s="42">
        <f t="shared" si="5"/>
        <v>-7.075000000000002</v>
      </c>
      <c r="Y36" s="42">
        <f t="shared" si="5"/>
        <v>-3.9916666666666658</v>
      </c>
      <c r="Z36" s="42">
        <f t="shared" si="5"/>
        <v>-3.9166666666666665</v>
      </c>
      <c r="AA36" s="42">
        <f t="shared" si="5"/>
        <v>-4.4666666666666668</v>
      </c>
      <c r="AB36" s="42">
        <f t="shared" si="5"/>
        <v>-5.0000000000000017E-2</v>
      </c>
      <c r="AC36" s="42">
        <f>AVERAGE(AC24+AC25+AC26+AC27+AC28+AC29+AC30+AC31+AC32+AC33+AC34+AC35)/12</f>
        <v>9.1666666666666674E-2</v>
      </c>
      <c r="AD36" s="42">
        <f>AVERAGE(AD24+AD25+AD26+AD27+AD28+AD29+AD30+AD31+AD32+AD33+AD34+AD35)/12</f>
        <v>-6.9083333333333323</v>
      </c>
      <c r="AE36" s="42">
        <f>AVERAGE(AE24+AE25+AE26+AE27+AE28+AE29+AE30+AE31+AE32+AE33+AE34+AE35)/12</f>
        <v>-9.1916666666666682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B1" zoomScale="90" zoomScaleNormal="90" workbookViewId="0">
      <selection activeCell="R45" sqref="R45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A2" s="134" t="s">
        <v>0</v>
      </c>
      <c r="B2" s="131" t="s">
        <v>67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41"/>
    </row>
    <row r="3" spans="1:32" x14ac:dyDescent="0.25">
      <c r="A3" s="134"/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47">
        <v>-7.8</v>
      </c>
      <c r="C4" s="47">
        <v>-10.1</v>
      </c>
      <c r="D4" s="47">
        <v>-16</v>
      </c>
      <c r="E4" s="47">
        <v>-2.6</v>
      </c>
      <c r="F4" s="47">
        <v>-2.7</v>
      </c>
      <c r="G4" s="47">
        <v>-7.3</v>
      </c>
      <c r="H4" s="47">
        <v>-7.3</v>
      </c>
      <c r="I4" s="47">
        <v>-15.1</v>
      </c>
      <c r="J4" s="47">
        <v>-17.600000000000001</v>
      </c>
      <c r="K4" s="47">
        <v>-13.8</v>
      </c>
      <c r="L4" s="47">
        <v>-14.98</v>
      </c>
      <c r="M4" s="47">
        <v>-5.5</v>
      </c>
      <c r="N4" s="47">
        <v>-4.5</v>
      </c>
      <c r="O4" s="47">
        <v>-6.1</v>
      </c>
      <c r="P4" s="47">
        <v>-6.8</v>
      </c>
      <c r="Q4" s="47">
        <v>-15.72</v>
      </c>
      <c r="R4" s="47">
        <v>-17</v>
      </c>
      <c r="S4" s="47">
        <v>-9.11</v>
      </c>
      <c r="T4" s="47">
        <v>-15</v>
      </c>
      <c r="U4" s="47">
        <v>-11.5</v>
      </c>
      <c r="V4" s="47">
        <v>-11.9</v>
      </c>
      <c r="W4" s="47">
        <v>-11.2</v>
      </c>
      <c r="X4" s="47">
        <v>-10.7</v>
      </c>
      <c r="Y4" s="48">
        <v>-10.8</v>
      </c>
      <c r="Z4" s="49">
        <v>-5.2</v>
      </c>
      <c r="AA4" s="50">
        <v>-9.84</v>
      </c>
      <c r="AB4" s="50">
        <v>-7</v>
      </c>
      <c r="AC4" s="50">
        <v>-8.59</v>
      </c>
      <c r="AD4" s="50">
        <v>-4.4000000000000004</v>
      </c>
      <c r="AE4" s="50">
        <v>-6.3</v>
      </c>
      <c r="AF4" s="50">
        <v>-8.5</v>
      </c>
    </row>
    <row r="5" spans="1:32" x14ac:dyDescent="0.25">
      <c r="A5" s="10">
        <v>6</v>
      </c>
      <c r="B5" s="47">
        <v>-7.8</v>
      </c>
      <c r="C5" s="47">
        <v>-9.9</v>
      </c>
      <c r="D5" s="47">
        <v>-10.51</v>
      </c>
      <c r="E5" s="47">
        <v>-2.8</v>
      </c>
      <c r="F5" s="47">
        <v>-2.2000000000000002</v>
      </c>
      <c r="G5" s="47">
        <v>-11.8</v>
      </c>
      <c r="H5" s="47">
        <v>-11.8</v>
      </c>
      <c r="I5" s="47">
        <v>-14.5</v>
      </c>
      <c r="J5" s="47">
        <v>-16.899999999999999</v>
      </c>
      <c r="K5" s="47">
        <v>-14.4</v>
      </c>
      <c r="L5" s="47">
        <v>-10.57</v>
      </c>
      <c r="M5" s="47">
        <v>-5.4</v>
      </c>
      <c r="N5" s="47">
        <v>-5.2</v>
      </c>
      <c r="O5" s="47">
        <v>-6.8</v>
      </c>
      <c r="P5" s="47">
        <v>-6.8</v>
      </c>
      <c r="Q5" s="47">
        <v>-17.010000000000002</v>
      </c>
      <c r="R5" s="47">
        <v>-17</v>
      </c>
      <c r="S5" s="47">
        <v>-9.49</v>
      </c>
      <c r="T5" s="47">
        <v>-14.5</v>
      </c>
      <c r="U5" s="47">
        <v>-11.5</v>
      </c>
      <c r="V5" s="47">
        <v>-12.52</v>
      </c>
      <c r="W5" s="47">
        <v>-12.8</v>
      </c>
      <c r="X5" s="47">
        <v>-10.1</v>
      </c>
      <c r="Y5" s="48">
        <v>-10.4</v>
      </c>
      <c r="Z5" s="49">
        <v>-5</v>
      </c>
      <c r="AA5" s="50">
        <v>-9.98</v>
      </c>
      <c r="AB5" s="50">
        <v>-7</v>
      </c>
      <c r="AC5" s="50">
        <v>-8.76</v>
      </c>
      <c r="AD5" s="50">
        <v>-4.0999999999999996</v>
      </c>
      <c r="AE5" s="50">
        <v>-6.4</v>
      </c>
      <c r="AF5" s="50">
        <v>-8.5</v>
      </c>
    </row>
    <row r="6" spans="1:32" x14ac:dyDescent="0.25">
      <c r="A6" s="10">
        <v>8</v>
      </c>
      <c r="B6" s="47">
        <v>-7.87</v>
      </c>
      <c r="C6" s="47">
        <v>-10.4</v>
      </c>
      <c r="D6" s="47">
        <v>-9.9</v>
      </c>
      <c r="E6" s="47">
        <v>-3</v>
      </c>
      <c r="F6" s="47">
        <v>-2.4</v>
      </c>
      <c r="G6" s="47">
        <v>-13.6</v>
      </c>
      <c r="H6" s="47">
        <v>-13.6</v>
      </c>
      <c r="I6" s="47">
        <v>-17.600000000000001</v>
      </c>
      <c r="J6" s="47">
        <v>-15.85</v>
      </c>
      <c r="K6" s="47">
        <v>-13.1</v>
      </c>
      <c r="L6" s="47">
        <v>-9.6199999999999992</v>
      </c>
      <c r="M6" s="47">
        <v>-5.7</v>
      </c>
      <c r="N6" s="47">
        <v>-5.15</v>
      </c>
      <c r="O6" s="47">
        <v>-6.5</v>
      </c>
      <c r="P6" s="47">
        <v>-6.7</v>
      </c>
      <c r="Q6" s="47">
        <v>-18.690000000000001</v>
      </c>
      <c r="R6" s="47">
        <v>-14.3</v>
      </c>
      <c r="S6" s="47">
        <v>-12.34</v>
      </c>
      <c r="T6" s="47">
        <v>-13.9</v>
      </c>
      <c r="U6" s="47">
        <v>-10</v>
      </c>
      <c r="V6" s="47">
        <v>-11.8</v>
      </c>
      <c r="W6" s="47">
        <v>-14</v>
      </c>
      <c r="X6" s="47">
        <v>-10.4</v>
      </c>
      <c r="Y6" s="48">
        <v>-9.7899999999999991</v>
      </c>
      <c r="Z6" s="49">
        <v>-4.2</v>
      </c>
      <c r="AA6" s="50">
        <v>-10.199999999999999</v>
      </c>
      <c r="AB6" s="50">
        <v>-7.8</v>
      </c>
      <c r="AC6" s="50">
        <v>-9</v>
      </c>
      <c r="AD6" s="50">
        <v>-4.3</v>
      </c>
      <c r="AE6" s="50">
        <v>-5.66</v>
      </c>
      <c r="AF6" s="50">
        <v>-7.7</v>
      </c>
    </row>
    <row r="7" spans="1:32" x14ac:dyDescent="0.25">
      <c r="A7" s="10">
        <v>10</v>
      </c>
      <c r="B7" s="47">
        <v>-7.66</v>
      </c>
      <c r="C7" s="47">
        <v>-9.6999999999999993</v>
      </c>
      <c r="D7" s="47">
        <v>-8.4</v>
      </c>
      <c r="E7" s="47">
        <v>-3.2</v>
      </c>
      <c r="F7" s="47">
        <v>-2.36</v>
      </c>
      <c r="G7" s="47">
        <v>-15.4</v>
      </c>
      <c r="H7" s="47">
        <v>-15.4</v>
      </c>
      <c r="I7" s="47">
        <v>-18.7</v>
      </c>
      <c r="J7" s="47">
        <v>-14.68</v>
      </c>
      <c r="K7" s="47">
        <v>-12.5</v>
      </c>
      <c r="L7" s="47">
        <v>-8.9</v>
      </c>
      <c r="M7" s="47">
        <v>-5.9</v>
      </c>
      <c r="N7" s="47">
        <v>-6.1</v>
      </c>
      <c r="O7" s="47">
        <v>-6.4</v>
      </c>
      <c r="P7" s="47">
        <v>-7.7</v>
      </c>
      <c r="Q7" s="47">
        <v>-19.8</v>
      </c>
      <c r="R7" s="47">
        <v>-10.9</v>
      </c>
      <c r="S7" s="47">
        <v>-12.8</v>
      </c>
      <c r="T7" s="47">
        <v>-12.9</v>
      </c>
      <c r="U7" s="47">
        <v>-9</v>
      </c>
      <c r="V7" s="47">
        <v>-11.5</v>
      </c>
      <c r="W7" s="47">
        <v>-10.3</v>
      </c>
      <c r="X7" s="47">
        <v>-11.1</v>
      </c>
      <c r="Y7" s="48">
        <v>-9.31</v>
      </c>
      <c r="Z7" s="49">
        <v>-3</v>
      </c>
      <c r="AA7" s="50">
        <v>-8.1</v>
      </c>
      <c r="AB7" s="50">
        <v>-8.4</v>
      </c>
      <c r="AC7" s="50">
        <v>-9.5</v>
      </c>
      <c r="AD7" s="50">
        <v>-7.7</v>
      </c>
      <c r="AE7" s="50">
        <v>-5.0999999999999996</v>
      </c>
      <c r="AF7" s="50">
        <v>-7.4</v>
      </c>
    </row>
    <row r="8" spans="1:32" x14ac:dyDescent="0.25">
      <c r="A8" s="10">
        <v>12</v>
      </c>
      <c r="B8" s="47">
        <v>-7.05</v>
      </c>
      <c r="C8" s="47">
        <v>-9.1</v>
      </c>
      <c r="D8" s="47">
        <v>-6.6</v>
      </c>
      <c r="E8" s="47">
        <v>-3</v>
      </c>
      <c r="F8" s="47">
        <v>-2.08</v>
      </c>
      <c r="G8" s="47">
        <v>-13.2</v>
      </c>
      <c r="H8" s="47">
        <v>-13.2</v>
      </c>
      <c r="I8" s="47">
        <v>-17.8</v>
      </c>
      <c r="J8" s="47">
        <v>-13.77</v>
      </c>
      <c r="K8" s="47">
        <v>-11.6</v>
      </c>
      <c r="L8" s="47">
        <v>-9</v>
      </c>
      <c r="M8" s="47">
        <v>-6.2</v>
      </c>
      <c r="N8" s="47">
        <v>-8.7200000000000006</v>
      </c>
      <c r="O8" s="47">
        <v>-6</v>
      </c>
      <c r="P8" s="47">
        <v>-7</v>
      </c>
      <c r="Q8" s="47">
        <v>-19.899999999999999</v>
      </c>
      <c r="R8" s="47">
        <v>-7.6</v>
      </c>
      <c r="S8" s="47">
        <v>-10.7</v>
      </c>
      <c r="T8" s="47">
        <v>-13.3</v>
      </c>
      <c r="U8" s="47">
        <v>-8.1999999999999993</v>
      </c>
      <c r="V8" s="47">
        <v>-12</v>
      </c>
      <c r="W8" s="47">
        <v>-9.6</v>
      </c>
      <c r="X8" s="47">
        <v>-11.2</v>
      </c>
      <c r="Y8" s="48">
        <v>-9.58</v>
      </c>
      <c r="Z8" s="49">
        <v>-3.3</v>
      </c>
      <c r="AA8" s="50">
        <v>-6.1</v>
      </c>
      <c r="AB8" s="50">
        <v>-8.5</v>
      </c>
      <c r="AC8" s="50">
        <v>-10.6</v>
      </c>
      <c r="AD8" s="50">
        <v>-5.4</v>
      </c>
      <c r="AE8" s="50">
        <v>-5.87</v>
      </c>
      <c r="AF8" s="50">
        <v>-7</v>
      </c>
    </row>
    <row r="9" spans="1:32" x14ac:dyDescent="0.25">
      <c r="A9" s="10">
        <v>14</v>
      </c>
      <c r="B9" s="47">
        <v>-6.55</v>
      </c>
      <c r="C9" s="47">
        <v>-9.1999999999999993</v>
      </c>
      <c r="D9" s="47">
        <v>-5</v>
      </c>
      <c r="E9" s="47">
        <v>-3.4</v>
      </c>
      <c r="F9" s="47">
        <v>-2.02</v>
      </c>
      <c r="G9" s="47">
        <v>-10.3</v>
      </c>
      <c r="H9" s="47">
        <v>-10.3</v>
      </c>
      <c r="I9" s="47">
        <v>-20</v>
      </c>
      <c r="J9" s="47">
        <v>-13.47</v>
      </c>
      <c r="K9" s="47">
        <v>-12</v>
      </c>
      <c r="L9" s="47">
        <v>-9.1</v>
      </c>
      <c r="M9" s="47">
        <v>-5.8</v>
      </c>
      <c r="N9" s="47">
        <v>-9.8800000000000008</v>
      </c>
      <c r="O9" s="47">
        <v>-5.6</v>
      </c>
      <c r="P9" s="47">
        <v>-6.5</v>
      </c>
      <c r="Q9" s="47">
        <v>-20.8</v>
      </c>
      <c r="R9" s="47">
        <v>-6.1</v>
      </c>
      <c r="S9" s="47">
        <v>-11.9</v>
      </c>
      <c r="T9" s="47">
        <v>-12.1</v>
      </c>
      <c r="U9" s="47">
        <v>-7.1</v>
      </c>
      <c r="V9" s="47">
        <v>-14.5</v>
      </c>
      <c r="W9" s="47">
        <v>-9.5</v>
      </c>
      <c r="X9" s="47">
        <v>-11.1</v>
      </c>
      <c r="Y9" s="48">
        <v>-9.86</v>
      </c>
      <c r="Z9" s="49">
        <v>-3.7</v>
      </c>
      <c r="AA9" s="50">
        <v>-4.9000000000000004</v>
      </c>
      <c r="AB9" s="50">
        <v>-8.4</v>
      </c>
      <c r="AC9" s="50">
        <v>-9.6999999999999993</v>
      </c>
      <c r="AD9" s="50">
        <v>-5.23</v>
      </c>
      <c r="AE9" s="50">
        <v>-6.63</v>
      </c>
      <c r="AF9" s="50">
        <v>-6.3</v>
      </c>
    </row>
    <row r="10" spans="1:32" x14ac:dyDescent="0.25">
      <c r="A10" s="10">
        <v>16</v>
      </c>
      <c r="B10" s="47">
        <v>-6.11</v>
      </c>
      <c r="C10" s="47">
        <v>-12.7</v>
      </c>
      <c r="D10" s="47">
        <v>-2.9</v>
      </c>
      <c r="E10" s="47">
        <v>-3.4</v>
      </c>
      <c r="F10" s="47">
        <v>-2.2400000000000002</v>
      </c>
      <c r="G10" s="47">
        <v>-11.8</v>
      </c>
      <c r="H10" s="47">
        <v>-11.8</v>
      </c>
      <c r="I10" s="47">
        <v>-18.7</v>
      </c>
      <c r="J10" s="47">
        <v>-12.59</v>
      </c>
      <c r="K10" s="47">
        <v>-12</v>
      </c>
      <c r="L10" s="47">
        <v>-8.3000000000000007</v>
      </c>
      <c r="M10" s="47">
        <v>-5.2</v>
      </c>
      <c r="N10" s="47">
        <v>-7.58</v>
      </c>
      <c r="O10" s="47">
        <v>-7.7</v>
      </c>
      <c r="P10" s="47">
        <v>-7</v>
      </c>
      <c r="Q10" s="47">
        <v>-22</v>
      </c>
      <c r="R10" s="47">
        <v>-5.2</v>
      </c>
      <c r="S10" s="47">
        <v>-12.9</v>
      </c>
      <c r="T10" s="47">
        <v>-12.9</v>
      </c>
      <c r="U10" s="47">
        <v>-6.6</v>
      </c>
      <c r="V10" s="47">
        <v>-17.8</v>
      </c>
      <c r="W10" s="47">
        <v>-10.5</v>
      </c>
      <c r="X10" s="47">
        <v>-10.4</v>
      </c>
      <c r="Y10" s="48">
        <v>-9.99</v>
      </c>
      <c r="Z10" s="49">
        <v>-3.8</v>
      </c>
      <c r="AA10" s="50">
        <v>-4.0999999999999996</v>
      </c>
      <c r="AB10" s="50">
        <v>-8.8000000000000007</v>
      </c>
      <c r="AC10" s="50">
        <v>-9.8000000000000007</v>
      </c>
      <c r="AD10" s="50">
        <v>-4.5</v>
      </c>
      <c r="AE10" s="50">
        <v>-9.64</v>
      </c>
      <c r="AF10" s="50">
        <v>-7</v>
      </c>
    </row>
    <row r="11" spans="1:32" x14ac:dyDescent="0.25">
      <c r="A11" s="10">
        <v>18</v>
      </c>
      <c r="B11" s="47">
        <v>-5.55</v>
      </c>
      <c r="C11" s="47">
        <v>-15.2</v>
      </c>
      <c r="D11" s="47">
        <v>-1.7</v>
      </c>
      <c r="E11" s="47">
        <v>-3.4</v>
      </c>
      <c r="F11" s="47">
        <v>-2.5</v>
      </c>
      <c r="G11" s="47">
        <v>-14.2</v>
      </c>
      <c r="H11" s="47">
        <v>-14.2</v>
      </c>
      <c r="I11" s="47">
        <v>-16</v>
      </c>
      <c r="J11" s="47">
        <v>-11.7</v>
      </c>
      <c r="K11" s="47">
        <v>-12.5</v>
      </c>
      <c r="L11" s="47">
        <v>-7.6</v>
      </c>
      <c r="M11" s="47">
        <v>-4.5999999999999996</v>
      </c>
      <c r="N11" s="47">
        <v>-5.5</v>
      </c>
      <c r="O11" s="47">
        <v>-8.4</v>
      </c>
      <c r="P11" s="47">
        <v>-4.5999999999999996</v>
      </c>
      <c r="Q11" s="47">
        <v>-24.4</v>
      </c>
      <c r="R11" s="47">
        <v>-5.8</v>
      </c>
      <c r="S11" s="47">
        <v>-10.6</v>
      </c>
      <c r="T11" s="47">
        <v>-13.9</v>
      </c>
      <c r="U11" s="47">
        <v>-6</v>
      </c>
      <c r="V11" s="47">
        <v>-19.7</v>
      </c>
      <c r="W11" s="47">
        <v>-10.5</v>
      </c>
      <c r="X11" s="47">
        <v>-10.8</v>
      </c>
      <c r="Y11" s="48">
        <v>-9.8000000000000007</v>
      </c>
      <c r="Z11" s="49">
        <v>-4.9000000000000004</v>
      </c>
      <c r="AA11" s="50">
        <v>-3.2</v>
      </c>
      <c r="AB11" s="50">
        <v>-9.1</v>
      </c>
      <c r="AC11" s="50">
        <v>-8.9</v>
      </c>
      <c r="AD11" s="50">
        <v>-3.9</v>
      </c>
      <c r="AE11" s="50">
        <v>-9.3000000000000007</v>
      </c>
      <c r="AF11" s="50">
        <v>-8</v>
      </c>
    </row>
    <row r="12" spans="1:32" x14ac:dyDescent="0.25">
      <c r="A12" s="10">
        <v>20</v>
      </c>
      <c r="B12" s="47">
        <v>-5.9</v>
      </c>
      <c r="C12" s="47">
        <v>-18</v>
      </c>
      <c r="D12" s="47">
        <v>-0.5</v>
      </c>
      <c r="E12" s="47">
        <v>-2.8</v>
      </c>
      <c r="F12" s="47">
        <v>-2.5</v>
      </c>
      <c r="G12" s="47">
        <v>-15.47</v>
      </c>
      <c r="H12" s="47">
        <v>-15.47</v>
      </c>
      <c r="I12" s="47">
        <v>-16.3</v>
      </c>
      <c r="J12" s="47">
        <v>-11.8</v>
      </c>
      <c r="K12" s="47">
        <v>-12.72</v>
      </c>
      <c r="L12" s="47">
        <v>-7.3</v>
      </c>
      <c r="M12" s="47">
        <v>-4.0999999999999996</v>
      </c>
      <c r="N12" s="47">
        <v>-4.7</v>
      </c>
      <c r="O12" s="47">
        <v>-8.6999999999999993</v>
      </c>
      <c r="P12" s="47">
        <v>-9.35</v>
      </c>
      <c r="Q12" s="47">
        <v>-21</v>
      </c>
      <c r="R12" s="47">
        <v>-6.3</v>
      </c>
      <c r="S12" s="47">
        <v>-11.4</v>
      </c>
      <c r="T12" s="47">
        <v>-12.7</v>
      </c>
      <c r="U12" s="47">
        <v>-5.78</v>
      </c>
      <c r="V12" s="47">
        <v>-18.399999999999999</v>
      </c>
      <c r="W12" s="47">
        <v>-10.6</v>
      </c>
      <c r="X12" s="47">
        <v>-11.1</v>
      </c>
      <c r="Y12" s="48">
        <v>-9.6999999999999993</v>
      </c>
      <c r="Z12" s="49">
        <v>-6.04</v>
      </c>
      <c r="AA12" s="50">
        <v>-3</v>
      </c>
      <c r="AB12" s="50">
        <v>-9.1999999999999993</v>
      </c>
      <c r="AC12" s="50">
        <v>-7.6</v>
      </c>
      <c r="AD12" s="50">
        <v>-4.0999999999999996</v>
      </c>
      <c r="AE12" s="50">
        <v>-8.6999999999999993</v>
      </c>
      <c r="AF12" s="50">
        <v>-8.9700000000000006</v>
      </c>
    </row>
    <row r="13" spans="1:32" x14ac:dyDescent="0.25">
      <c r="A13" s="10">
        <v>22</v>
      </c>
      <c r="B13" s="47">
        <v>-6.6</v>
      </c>
      <c r="C13" s="47">
        <v>-20.66</v>
      </c>
      <c r="D13" s="47">
        <v>-1.4</v>
      </c>
      <c r="E13" s="47">
        <v>-2.9</v>
      </c>
      <c r="F13" s="47">
        <v>-2.6</v>
      </c>
      <c r="G13" s="47">
        <v>-16.899999999999999</v>
      </c>
      <c r="H13" s="47">
        <v>-16.899999999999999</v>
      </c>
      <c r="I13" s="47">
        <v>-16.399999999999999</v>
      </c>
      <c r="J13" s="47">
        <v>-12.8</v>
      </c>
      <c r="K13" s="47">
        <v>-13.41</v>
      </c>
      <c r="L13" s="47">
        <v>-6.7</v>
      </c>
      <c r="M13" s="47">
        <v>-3.8</v>
      </c>
      <c r="N13" s="47">
        <v>-4.9000000000000004</v>
      </c>
      <c r="O13" s="47">
        <v>-8.6999999999999993</v>
      </c>
      <c r="P13" s="47">
        <v>-12.47</v>
      </c>
      <c r="Q13" s="47">
        <v>-22</v>
      </c>
      <c r="R13" s="47">
        <v>-6.91</v>
      </c>
      <c r="S13" s="47">
        <v>-13</v>
      </c>
      <c r="T13" s="47">
        <v>-13.1</v>
      </c>
      <c r="U13" s="47">
        <v>-7.62</v>
      </c>
      <c r="V13" s="47">
        <v>-16.2</v>
      </c>
      <c r="W13" s="47">
        <v>-10.7</v>
      </c>
      <c r="X13" s="47">
        <v>-11.5</v>
      </c>
      <c r="Y13" s="48">
        <v>-7.9</v>
      </c>
      <c r="Z13" s="49">
        <v>-6.83</v>
      </c>
      <c r="AA13" s="50">
        <v>-4</v>
      </c>
      <c r="AB13" s="50">
        <v>-9.06</v>
      </c>
      <c r="AC13" s="50">
        <v>-5.7</v>
      </c>
      <c r="AD13" s="50">
        <v>-4.0999999999999996</v>
      </c>
      <c r="AE13" s="50">
        <v>-8.6999999999999993</v>
      </c>
      <c r="AF13" s="50">
        <v>-8.8800000000000008</v>
      </c>
    </row>
    <row r="14" spans="1:32" x14ac:dyDescent="0.25">
      <c r="A14" s="10">
        <v>24</v>
      </c>
      <c r="B14" s="47">
        <v>-8.6999999999999993</v>
      </c>
      <c r="C14" s="47">
        <v>-21.35</v>
      </c>
      <c r="D14" s="47">
        <v>-1.6</v>
      </c>
      <c r="E14" s="47">
        <v>-2.7</v>
      </c>
      <c r="F14" s="47">
        <v>-4</v>
      </c>
      <c r="G14" s="47">
        <v>-16.88</v>
      </c>
      <c r="H14" s="47">
        <v>-16.88</v>
      </c>
      <c r="I14" s="47">
        <v>-16.600000000000001</v>
      </c>
      <c r="J14" s="47">
        <v>-12.9</v>
      </c>
      <c r="K14" s="47">
        <v>-13.68</v>
      </c>
      <c r="L14" s="47">
        <v>-6.3</v>
      </c>
      <c r="M14" s="47">
        <v>-3.9</v>
      </c>
      <c r="N14" s="47">
        <v>-4.7</v>
      </c>
      <c r="O14" s="47">
        <v>-8.5</v>
      </c>
      <c r="P14" s="47">
        <v>-14.17</v>
      </c>
      <c r="Q14" s="47">
        <v>-20.5</v>
      </c>
      <c r="R14" s="47">
        <v>-7.33</v>
      </c>
      <c r="S14" s="47">
        <v>-14.7</v>
      </c>
      <c r="T14" s="47">
        <v>-12.6</v>
      </c>
      <c r="U14" s="47">
        <v>-8.9700000000000006</v>
      </c>
      <c r="V14" s="47">
        <v>-15</v>
      </c>
      <c r="W14" s="47">
        <v>-10.6</v>
      </c>
      <c r="X14" s="47">
        <v>-11.5</v>
      </c>
      <c r="Y14" s="48">
        <v>-7.1</v>
      </c>
      <c r="Z14" s="49">
        <v>-7.21</v>
      </c>
      <c r="AA14" s="50">
        <v>-6</v>
      </c>
      <c r="AB14" s="50">
        <v>-9.32</v>
      </c>
      <c r="AC14" s="50">
        <v>-4.7</v>
      </c>
      <c r="AD14" s="50">
        <v>-4.2</v>
      </c>
      <c r="AE14" s="50">
        <v>-8.9</v>
      </c>
      <c r="AF14" s="50">
        <v>-8.7200000000000006</v>
      </c>
    </row>
    <row r="15" spans="1:32" x14ac:dyDescent="0.25">
      <c r="A15" s="10">
        <v>2</v>
      </c>
      <c r="B15" s="47">
        <v>-8.57</v>
      </c>
      <c r="C15" s="47">
        <v>-21</v>
      </c>
      <c r="D15" s="47">
        <v>-2.4700000000000002</v>
      </c>
      <c r="E15" s="47">
        <v>-2.37</v>
      </c>
      <c r="F15" s="47">
        <v>-6.29</v>
      </c>
      <c r="G15" s="47">
        <v>-15.4</v>
      </c>
      <c r="H15" s="47">
        <v>-15.4</v>
      </c>
      <c r="I15" s="47">
        <v>-17.329999999999998</v>
      </c>
      <c r="J15" s="47">
        <v>-14</v>
      </c>
      <c r="K15" s="47">
        <v>-14</v>
      </c>
      <c r="L15" s="47">
        <v>-6.2</v>
      </c>
      <c r="M15" s="47">
        <v>-4</v>
      </c>
      <c r="N15" s="47">
        <v>-5.7</v>
      </c>
      <c r="O15" s="47">
        <v>-7.8</v>
      </c>
      <c r="P15" s="47">
        <v>-14.88</v>
      </c>
      <c r="Q15" s="47">
        <v>-18.7</v>
      </c>
      <c r="R15" s="47">
        <v>-8.3000000000000007</v>
      </c>
      <c r="S15" s="47">
        <v>-16.2</v>
      </c>
      <c r="T15" s="47">
        <v>-11.9</v>
      </c>
      <c r="U15" s="47">
        <v>-10</v>
      </c>
      <c r="V15" s="47">
        <v>-13.5</v>
      </c>
      <c r="W15" s="47">
        <v>-10.7</v>
      </c>
      <c r="X15" s="47">
        <v>-11.6</v>
      </c>
      <c r="Y15" s="48">
        <v>-6.3</v>
      </c>
      <c r="Z15" s="49">
        <v>-8.6</v>
      </c>
      <c r="AA15" s="50">
        <v>-6</v>
      </c>
      <c r="AB15" s="50">
        <v>-8.4</v>
      </c>
      <c r="AC15" s="50">
        <v>-3.9</v>
      </c>
      <c r="AD15" s="50">
        <v>-5.2</v>
      </c>
      <c r="AE15" s="50">
        <v>-9.1999999999999993</v>
      </c>
      <c r="AF15" s="50">
        <v>-8.6999999999999993</v>
      </c>
    </row>
    <row r="16" spans="1:32" ht="30" x14ac:dyDescent="0.25">
      <c r="A16" s="11" t="s">
        <v>2</v>
      </c>
      <c r="B16" s="45">
        <f>AVERAGE(B4+B5+B6+B7+B8+B9+B10+B11+B12+B13+B14+B15)/12</f>
        <v>-7.18</v>
      </c>
      <c r="C16" s="42">
        <v>-0.69166666666666687</v>
      </c>
      <c r="D16" s="42">
        <v>0.4241666666666668</v>
      </c>
      <c r="E16" s="42">
        <v>-2.7008333333333332</v>
      </c>
      <c r="F16" s="45">
        <f>AVERAGE(F4+F5+F6+F7+F8+F9+F10+F11+F12+F13+F14+F15)/12</f>
        <v>-2.8241666666666667</v>
      </c>
      <c r="G16" s="42">
        <f t="shared" ref="G16" si="0">AVERAGE(G4+G5+G6+G7+G8+G9+G10+G11+G12+G13+G14+G15)/12</f>
        <v>-13.520833333333334</v>
      </c>
      <c r="H16" s="42">
        <f>AVERAGE(H4+H5+H6+H7+H8+H9+H10+H11+H12+H13+H14+H15)/12</f>
        <v>-13.520833333333334</v>
      </c>
      <c r="I16" s="42">
        <f>AVERAGE(I4+I5+I6+I7+I8+I9+I10+I11+I12+I13+I14+I15)/12</f>
        <v>-17.085833333333337</v>
      </c>
      <c r="J16" s="42">
        <f t="shared" ref="J16:O16" si="1">AVERAGE(J4+J5+J6+J7+J8+J9+J10+J11+J12+J13+J14+J15)/12</f>
        <v>-14.005000000000003</v>
      </c>
      <c r="K16" s="42">
        <f t="shared" si="1"/>
        <v>-12.975833333333334</v>
      </c>
      <c r="L16" s="42">
        <f t="shared" si="1"/>
        <v>-8.7141666666666655</v>
      </c>
      <c r="M16" s="42">
        <f t="shared" si="1"/>
        <v>-5.0083333333333337</v>
      </c>
      <c r="N16" s="42">
        <f t="shared" si="1"/>
        <v>-6.0525000000000011</v>
      </c>
      <c r="O16" s="42">
        <f t="shared" si="1"/>
        <v>-7.2666666666666666</v>
      </c>
      <c r="P16" s="42">
        <f>AVERAGE(P4+P5+P6+P7+P8+P9+P10+P11+P12+P13+P14+P15)/12</f>
        <v>-8.6641666666666666</v>
      </c>
      <c r="Q16" s="42">
        <f>AVERAGE(Q4+Q5+Q6+Q7+Q8+Q9+Q10+Q11+Q12+Q13+Q14+Q15)/12</f>
        <v>-20.043333333333333</v>
      </c>
      <c r="R16" s="42">
        <f>AVERAGE(R4+R5+R6+R7+R8+R9+R10+R11+R12+R13+R14+R15)/12</f>
        <v>-9.3949999999999978</v>
      </c>
      <c r="S16" s="42">
        <f t="shared" ref="S16:AB16" si="2">AVERAGE(S4+S5+S6+S7+S8+S9+S10+S11+S12+S13+S14+S15)/12</f>
        <v>-12.094999999999999</v>
      </c>
      <c r="T16" s="42">
        <f t="shared" si="2"/>
        <v>-13.233333333333334</v>
      </c>
      <c r="U16" s="42">
        <f t="shared" si="2"/>
        <v>-8.5225000000000009</v>
      </c>
      <c r="V16" s="42">
        <f t="shared" si="2"/>
        <v>-14.568333333333333</v>
      </c>
      <c r="W16" s="42">
        <f t="shared" si="2"/>
        <v>-10.916666666666666</v>
      </c>
      <c r="X16" s="42">
        <f t="shared" si="2"/>
        <v>-10.958333333333334</v>
      </c>
      <c r="Y16" s="42">
        <f t="shared" si="2"/>
        <v>-9.2108333333333334</v>
      </c>
      <c r="Z16" s="42">
        <f t="shared" si="2"/>
        <v>-5.1483333333333334</v>
      </c>
      <c r="AA16" s="42">
        <f t="shared" si="2"/>
        <v>-6.2850000000000001</v>
      </c>
      <c r="AB16" s="42">
        <f t="shared" si="2"/>
        <v>-8.4150000000000009</v>
      </c>
      <c r="AC16" s="42">
        <f>AVERAGE(AC4+AC5+AC6+AC7+AC8+AC9+AC10+AC11+AC12+AC13+AC14+AC15)/12</f>
        <v>-8.0625000000000018</v>
      </c>
      <c r="AD16" s="42">
        <f>AVERAGE(AD4+AD5+AD6+AD7+AD8+AD9+AD10+AD11+AD12+AD13+AD14+AD15)/12</f>
        <v>-4.7608333333333333</v>
      </c>
      <c r="AE16" s="42">
        <f>AVERAGE(AE4+AE5+AE6+AE7+AE8+AE9+AE10+AE11+AE12+AE13+AE14+AE15)/12</f>
        <v>-7.533333333333335</v>
      </c>
      <c r="AF16" s="42">
        <f>AVERAGE(AF4+AF5+AF6+AF7+AF8+AF9+AF10+AF11+AF12+AF13+AF14+AF15)/12</f>
        <v>-7.9725000000000001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A22" s="134" t="s">
        <v>0</v>
      </c>
      <c r="B22" s="131" t="s">
        <v>67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41"/>
    </row>
    <row r="23" spans="1:32" x14ac:dyDescent="0.25">
      <c r="A23" s="134"/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47">
        <v>-6.8</v>
      </c>
      <c r="C24" s="47">
        <v>-9</v>
      </c>
      <c r="D24" s="47">
        <v>-13.8</v>
      </c>
      <c r="E24" s="47">
        <v>-2.4</v>
      </c>
      <c r="F24" s="47">
        <v>-2.2000000000000002</v>
      </c>
      <c r="G24" s="47">
        <v>-7.2</v>
      </c>
      <c r="H24" s="47">
        <v>-17</v>
      </c>
      <c r="I24" s="47">
        <v>-16.3</v>
      </c>
      <c r="J24" s="47">
        <v>-17</v>
      </c>
      <c r="K24" s="47">
        <v>-14.2</v>
      </c>
      <c r="L24" s="47">
        <v>-16.100000000000001</v>
      </c>
      <c r="M24" s="47">
        <v>-6</v>
      </c>
      <c r="N24" s="47">
        <v>-4.5999999999999996</v>
      </c>
      <c r="O24" s="47">
        <v>-6.5</v>
      </c>
      <c r="P24" s="47">
        <v>-6.8</v>
      </c>
      <c r="Q24" s="47">
        <v>-14.9</v>
      </c>
      <c r="R24" s="47">
        <v>-18.8</v>
      </c>
      <c r="S24" s="47">
        <v>-8.3000000000000007</v>
      </c>
      <c r="T24" s="47">
        <v>-15.1</v>
      </c>
      <c r="U24" s="47">
        <v>-12.8</v>
      </c>
      <c r="V24" s="47">
        <v>-7.2</v>
      </c>
      <c r="W24" s="47">
        <v>-10.9</v>
      </c>
      <c r="X24" s="48">
        <v>-10</v>
      </c>
      <c r="Y24" s="48">
        <v>-11.2</v>
      </c>
      <c r="Z24" s="50">
        <v>-6.1</v>
      </c>
      <c r="AA24" s="50">
        <v>-8.6</v>
      </c>
      <c r="AB24" s="50">
        <v>-5.9</v>
      </c>
      <c r="AC24" s="50">
        <v>-8.6999999999999993</v>
      </c>
      <c r="AD24" s="50">
        <v>-4</v>
      </c>
      <c r="AE24" s="50">
        <v>-7.8</v>
      </c>
      <c r="AF24" s="50">
        <v>-9.3000000000000007</v>
      </c>
    </row>
    <row r="25" spans="1:32" x14ac:dyDescent="0.25">
      <c r="A25" s="10">
        <v>6</v>
      </c>
      <c r="B25" s="47">
        <v>-7.4</v>
      </c>
      <c r="C25" s="47">
        <v>-10.199999999999999</v>
      </c>
      <c r="D25" s="47">
        <v>-11.7</v>
      </c>
      <c r="E25" s="47">
        <v>-2.5</v>
      </c>
      <c r="F25" s="47">
        <v>-2</v>
      </c>
      <c r="G25" s="47">
        <v>-9.4</v>
      </c>
      <c r="H25" s="47">
        <v>-14.6</v>
      </c>
      <c r="I25" s="47">
        <v>-15</v>
      </c>
      <c r="J25" s="47">
        <v>-16.7</v>
      </c>
      <c r="K25" s="47">
        <v>-13.9</v>
      </c>
      <c r="L25" s="47">
        <v>-14.2</v>
      </c>
      <c r="M25" s="47">
        <v>-5.7</v>
      </c>
      <c r="N25" s="47">
        <v>-4.8</v>
      </c>
      <c r="O25" s="47">
        <v>-7.1</v>
      </c>
      <c r="P25" s="47">
        <v>-6.7</v>
      </c>
      <c r="Q25" s="47">
        <v>-16.5</v>
      </c>
      <c r="R25" s="47">
        <v>-18.100000000000001</v>
      </c>
      <c r="S25" s="47">
        <v>-9.1999999999999993</v>
      </c>
      <c r="T25" s="47">
        <v>-13.9</v>
      </c>
      <c r="U25" s="47">
        <v>-10.5</v>
      </c>
      <c r="V25" s="47">
        <v>-8.4</v>
      </c>
      <c r="W25" s="47">
        <v>-12.7</v>
      </c>
      <c r="X25" s="48">
        <v>-10.6</v>
      </c>
      <c r="Y25" s="48">
        <v>-10.6</v>
      </c>
      <c r="Z25" s="50">
        <v>-5.5</v>
      </c>
      <c r="AA25" s="50">
        <v>-9.8000000000000007</v>
      </c>
      <c r="AB25" s="50">
        <v>-6.7</v>
      </c>
      <c r="AC25" s="50">
        <v>-8.4</v>
      </c>
      <c r="AD25" s="50">
        <v>-4.5</v>
      </c>
      <c r="AE25" s="50">
        <v>-6.4</v>
      </c>
      <c r="AF25" s="50">
        <v>-9.4</v>
      </c>
    </row>
    <row r="26" spans="1:32" x14ac:dyDescent="0.25">
      <c r="A26" s="10">
        <v>8</v>
      </c>
      <c r="B26" s="47">
        <v>-7.7</v>
      </c>
      <c r="C26" s="47">
        <v>-9.8000000000000007</v>
      </c>
      <c r="D26" s="47">
        <v>-10.6</v>
      </c>
      <c r="E26" s="47">
        <v>-3</v>
      </c>
      <c r="F26" s="47">
        <v>-2</v>
      </c>
      <c r="G26" s="47">
        <v>-13.1</v>
      </c>
      <c r="H26" s="47">
        <v>-13.7</v>
      </c>
      <c r="I26" s="47">
        <v>-15.9</v>
      </c>
      <c r="J26" s="47">
        <v>-16.3</v>
      </c>
      <c r="K26" s="47">
        <v>-13.8</v>
      </c>
      <c r="L26" s="47">
        <v>-10.7</v>
      </c>
      <c r="M26" s="47">
        <v>-5.7</v>
      </c>
      <c r="N26" s="47">
        <v>-5.5</v>
      </c>
      <c r="O26" s="47">
        <v>-6.7</v>
      </c>
      <c r="P26" s="47">
        <v>-6.6</v>
      </c>
      <c r="Q26" s="47">
        <v>-17.600000000000001</v>
      </c>
      <c r="R26" s="47">
        <v>-14.5</v>
      </c>
      <c r="S26" s="47">
        <v>-10.9</v>
      </c>
      <c r="T26" s="47">
        <v>-13.2</v>
      </c>
      <c r="U26" s="47">
        <v>-9.8000000000000007</v>
      </c>
      <c r="V26" s="47">
        <v>-9.5</v>
      </c>
      <c r="W26" s="47">
        <v>-13.2</v>
      </c>
      <c r="X26" s="48">
        <v>-11</v>
      </c>
      <c r="Y26" s="48">
        <v>-10.199999999999999</v>
      </c>
      <c r="Z26" s="50">
        <v>-4.8</v>
      </c>
      <c r="AA26" s="50">
        <v>-9.9</v>
      </c>
      <c r="AB26" s="50">
        <v>-7.3</v>
      </c>
      <c r="AC26" s="50">
        <v>-8.9</v>
      </c>
      <c r="AD26" s="50">
        <v>-4.4000000000000004</v>
      </c>
      <c r="AE26" s="50">
        <v>-6.5</v>
      </c>
      <c r="AF26" s="50">
        <v>-8.5</v>
      </c>
    </row>
    <row r="27" spans="1:32" x14ac:dyDescent="0.25">
      <c r="A27" s="10">
        <v>10</v>
      </c>
      <c r="B27" s="47">
        <v>-8</v>
      </c>
      <c r="C27" s="47">
        <v>-9.3000000000000007</v>
      </c>
      <c r="D27" s="47">
        <v>-9.5</v>
      </c>
      <c r="E27" s="47">
        <v>-3.2</v>
      </c>
      <c r="F27" s="47">
        <v>-2.1</v>
      </c>
      <c r="G27" s="47">
        <v>-15.2</v>
      </c>
      <c r="H27" s="47">
        <v>-13.2</v>
      </c>
      <c r="I27" s="47">
        <v>-17.899999999999999</v>
      </c>
      <c r="J27" s="47">
        <v>-15.3</v>
      </c>
      <c r="K27" s="47">
        <v>-12.6</v>
      </c>
      <c r="L27" s="47">
        <v>-9.5</v>
      </c>
      <c r="M27" s="47">
        <v>-5.9</v>
      </c>
      <c r="N27" s="47">
        <v>-5.7</v>
      </c>
      <c r="O27" s="47">
        <v>-6.7</v>
      </c>
      <c r="P27" s="47">
        <v>-7.1</v>
      </c>
      <c r="Q27" s="47">
        <v>-18.399999999999999</v>
      </c>
      <c r="R27" s="47">
        <v>-12.1</v>
      </c>
      <c r="S27" s="47">
        <v>-11.4</v>
      </c>
      <c r="T27" s="47">
        <v>-12.7</v>
      </c>
      <c r="U27" s="47">
        <v>-8.8000000000000007</v>
      </c>
      <c r="V27" s="47">
        <v>-9.9</v>
      </c>
      <c r="W27" s="47">
        <v>-10</v>
      </c>
      <c r="X27" s="48">
        <v>-11.3</v>
      </c>
      <c r="Y27" s="48">
        <v>-9.6</v>
      </c>
      <c r="Z27" s="50">
        <v>-4</v>
      </c>
      <c r="AA27" s="50">
        <v>-9.4</v>
      </c>
      <c r="AB27" s="50">
        <v>-8.1</v>
      </c>
      <c r="AC27" s="50">
        <v>-9.1999999999999993</v>
      </c>
      <c r="AD27" s="50">
        <v>-4.7</v>
      </c>
      <c r="AE27" s="50">
        <v>-5.8</v>
      </c>
      <c r="AF27" s="50">
        <v>-8.4</v>
      </c>
    </row>
    <row r="28" spans="1:32" x14ac:dyDescent="0.25">
      <c r="A28" s="10">
        <v>12</v>
      </c>
      <c r="B28" s="47">
        <v>-7.5</v>
      </c>
      <c r="C28" s="47">
        <v>-9.1</v>
      </c>
      <c r="D28" s="47">
        <v>-7.9</v>
      </c>
      <c r="E28" s="47">
        <v>-3.2</v>
      </c>
      <c r="F28" s="47">
        <v>-1.9</v>
      </c>
      <c r="G28" s="47">
        <v>-14.3</v>
      </c>
      <c r="H28" s="47">
        <v>-12.4</v>
      </c>
      <c r="I28" s="47">
        <v>-16.8</v>
      </c>
      <c r="J28" s="47">
        <v>-14.4</v>
      </c>
      <c r="K28" s="47">
        <v>-11.8</v>
      </c>
      <c r="L28" s="47">
        <v>-8.8000000000000007</v>
      </c>
      <c r="M28" s="47">
        <v>-6.3</v>
      </c>
      <c r="N28" s="47">
        <v>-6.7</v>
      </c>
      <c r="O28" s="47">
        <v>-5.9</v>
      </c>
      <c r="P28" s="47">
        <v>-6.8</v>
      </c>
      <c r="Q28" s="47">
        <v>-19.100000000000001</v>
      </c>
      <c r="R28" s="47">
        <v>-8.3000000000000007</v>
      </c>
      <c r="S28" s="47">
        <v>-10.4</v>
      </c>
      <c r="T28" s="47">
        <v>-12.7</v>
      </c>
      <c r="U28" s="47">
        <v>-7.4</v>
      </c>
      <c r="V28" s="47">
        <v>-10.1</v>
      </c>
      <c r="W28" s="47">
        <v>-9.3000000000000007</v>
      </c>
      <c r="X28" s="48">
        <v>-11.3</v>
      </c>
      <c r="Y28" s="48">
        <v>-10</v>
      </c>
      <c r="Z28" s="50">
        <v>-3.3</v>
      </c>
      <c r="AA28" s="50">
        <v>-5.9</v>
      </c>
      <c r="AB28" s="50">
        <v>-8.6</v>
      </c>
      <c r="AC28" s="50">
        <v>-10.199999999999999</v>
      </c>
      <c r="AD28" s="50">
        <v>-4.5999999999999996</v>
      </c>
      <c r="AE28" s="50">
        <v>-5.2</v>
      </c>
      <c r="AF28" s="50">
        <v>-7.4</v>
      </c>
    </row>
    <row r="29" spans="1:32" x14ac:dyDescent="0.25">
      <c r="A29" s="10">
        <v>14</v>
      </c>
      <c r="B29" s="47">
        <v>-7.2</v>
      </c>
      <c r="C29" s="47">
        <v>-10.4</v>
      </c>
      <c r="D29" s="47">
        <v>-6.4</v>
      </c>
      <c r="E29" s="47">
        <v>-2.9</v>
      </c>
      <c r="F29" s="47">
        <v>-2</v>
      </c>
      <c r="G29" s="47">
        <v>-11.1</v>
      </c>
      <c r="H29" s="47">
        <v>-14.6</v>
      </c>
      <c r="I29" s="47">
        <v>-17.399999999999999</v>
      </c>
      <c r="J29" s="47">
        <v>-13.9</v>
      </c>
      <c r="K29" s="47">
        <v>-11.4</v>
      </c>
      <c r="L29" s="47">
        <v>-8.6999999999999993</v>
      </c>
      <c r="M29" s="47">
        <v>-6.2</v>
      </c>
      <c r="N29" s="47">
        <v>-10.3</v>
      </c>
      <c r="O29" s="47">
        <v>-5.8</v>
      </c>
      <c r="P29" s="47">
        <v>-7.3</v>
      </c>
      <c r="Q29" s="47">
        <v>-20</v>
      </c>
      <c r="R29" s="47">
        <v>-7</v>
      </c>
      <c r="S29" s="47">
        <v>-11.1</v>
      </c>
      <c r="T29" s="47">
        <v>-12.9</v>
      </c>
      <c r="U29" s="47">
        <v>-6.1</v>
      </c>
      <c r="V29" s="47">
        <v>-12</v>
      </c>
      <c r="W29" s="47">
        <v>-9.6999999999999993</v>
      </c>
      <c r="X29" s="48">
        <v>-11.2</v>
      </c>
      <c r="Y29" s="48">
        <v>-10.1</v>
      </c>
      <c r="Z29" s="50">
        <v>-3.6</v>
      </c>
      <c r="AA29" s="50">
        <v>-4.5</v>
      </c>
      <c r="AB29" s="50">
        <v>-8.4</v>
      </c>
      <c r="AC29" s="50">
        <v>-10.3</v>
      </c>
      <c r="AD29" s="50">
        <v>-5.4</v>
      </c>
      <c r="AE29" s="50">
        <v>-6</v>
      </c>
      <c r="AF29" s="50">
        <v>-7.1</v>
      </c>
    </row>
    <row r="30" spans="1:32" x14ac:dyDescent="0.25">
      <c r="A30" s="10">
        <v>16</v>
      </c>
      <c r="B30" s="47">
        <v>-6.8</v>
      </c>
      <c r="C30" s="47">
        <v>-15.6</v>
      </c>
      <c r="D30" s="47">
        <v>-5</v>
      </c>
      <c r="E30" s="47">
        <v>-3.1</v>
      </c>
      <c r="F30" s="47">
        <v>-2.1</v>
      </c>
      <c r="G30" s="47">
        <v>-11.3</v>
      </c>
      <c r="H30" s="47">
        <v>-17.100000000000001</v>
      </c>
      <c r="I30" s="47">
        <v>-19.899999999999999</v>
      </c>
      <c r="J30" s="47">
        <v>-13.2</v>
      </c>
      <c r="K30" s="47">
        <v>-12.3</v>
      </c>
      <c r="L30" s="47">
        <v>-8.3000000000000007</v>
      </c>
      <c r="M30" s="47">
        <v>-5.6</v>
      </c>
      <c r="N30" s="47">
        <v>-8.6</v>
      </c>
      <c r="O30" s="47">
        <v>-7.5</v>
      </c>
      <c r="P30" s="47">
        <v>-7.7</v>
      </c>
      <c r="Q30" s="47">
        <v>-20.7</v>
      </c>
      <c r="R30" s="47">
        <v>-5.0999999999999996</v>
      </c>
      <c r="S30" s="47">
        <v>-11.4</v>
      </c>
      <c r="T30" s="47">
        <v>-11.7</v>
      </c>
      <c r="U30" s="47">
        <v>-5.5</v>
      </c>
      <c r="V30" s="47">
        <v>-15</v>
      </c>
      <c r="W30" s="47">
        <v>-11.1</v>
      </c>
      <c r="X30" s="48">
        <v>-10.9</v>
      </c>
      <c r="Y30" s="48">
        <v>-10.3</v>
      </c>
      <c r="Z30" s="50">
        <v>-3.7</v>
      </c>
      <c r="AA30" s="50">
        <v>-4.0999999999999996</v>
      </c>
      <c r="AB30" s="50">
        <v>-8.8000000000000007</v>
      </c>
      <c r="AC30" s="50">
        <v>-11.2</v>
      </c>
      <c r="AD30" s="50">
        <v>-5.3</v>
      </c>
      <c r="AE30" s="50">
        <v>-7</v>
      </c>
      <c r="AF30" s="50">
        <v>-6.5</v>
      </c>
    </row>
    <row r="31" spans="1:32" x14ac:dyDescent="0.25">
      <c r="A31" s="10">
        <v>18</v>
      </c>
      <c r="B31" s="47">
        <v>-5.8</v>
      </c>
      <c r="C31" s="47">
        <v>-16.2</v>
      </c>
      <c r="D31" s="47">
        <v>-2.9</v>
      </c>
      <c r="E31" s="47">
        <v>-3.4</v>
      </c>
      <c r="F31" s="47">
        <v>-2.4</v>
      </c>
      <c r="G31" s="47">
        <v>-13</v>
      </c>
      <c r="H31" s="47">
        <v>-17.399999999999999</v>
      </c>
      <c r="I31" s="47">
        <v>-18.399999999999999</v>
      </c>
      <c r="J31" s="47">
        <v>-12.3</v>
      </c>
      <c r="K31" s="47">
        <v>-12.5</v>
      </c>
      <c r="L31" s="47">
        <v>-8</v>
      </c>
      <c r="M31" s="47">
        <v>-4.8</v>
      </c>
      <c r="N31" s="47">
        <v>-5.7</v>
      </c>
      <c r="O31" s="47">
        <v>-8.6999999999999993</v>
      </c>
      <c r="P31" s="47">
        <v>-7.1</v>
      </c>
      <c r="Q31" s="47">
        <v>-20.5</v>
      </c>
      <c r="R31" s="47">
        <v>-5.5</v>
      </c>
      <c r="S31" s="47">
        <v>-10.4</v>
      </c>
      <c r="T31" s="47">
        <v>-13.1</v>
      </c>
      <c r="U31" s="47">
        <v>-5.5</v>
      </c>
      <c r="V31" s="47">
        <v>-17.399999999999999</v>
      </c>
      <c r="W31" s="47">
        <v>-11.4</v>
      </c>
      <c r="X31" s="48">
        <v>-11.1</v>
      </c>
      <c r="Y31" s="48">
        <v>-9.9</v>
      </c>
      <c r="Z31" s="50">
        <v>-4.7</v>
      </c>
      <c r="AA31" s="50">
        <v>-3.1</v>
      </c>
      <c r="AB31" s="50">
        <v>-8.6</v>
      </c>
      <c r="AC31" s="50">
        <v>-9.6</v>
      </c>
      <c r="AD31" s="50">
        <v>-4.4000000000000004</v>
      </c>
      <c r="AE31" s="50">
        <v>-9.1</v>
      </c>
      <c r="AF31" s="50">
        <v>-7.7</v>
      </c>
    </row>
    <row r="32" spans="1:32" x14ac:dyDescent="0.25">
      <c r="A32" s="10">
        <v>20</v>
      </c>
      <c r="B32" s="47">
        <v>-5.8</v>
      </c>
      <c r="C32" s="47">
        <v>-19.399999999999999</v>
      </c>
      <c r="D32" s="47">
        <v>-0.9</v>
      </c>
      <c r="E32" s="47">
        <v>-3.1</v>
      </c>
      <c r="F32" s="47">
        <v>-2.7</v>
      </c>
      <c r="G32" s="47">
        <v>-15.1</v>
      </c>
      <c r="H32" s="47">
        <v>-18</v>
      </c>
      <c r="I32" s="47">
        <v>-16.899999999999999</v>
      </c>
      <c r="J32" s="47">
        <v>-11.9</v>
      </c>
      <c r="K32" s="47">
        <v>-12.9</v>
      </c>
      <c r="L32" s="47">
        <v>-7.2</v>
      </c>
      <c r="M32" s="47">
        <v>-4.2</v>
      </c>
      <c r="N32" s="47">
        <v>-4.7</v>
      </c>
      <c r="O32" s="47">
        <v>-8.8000000000000007</v>
      </c>
      <c r="P32" s="47">
        <v>-8.3000000000000007</v>
      </c>
      <c r="Q32" s="47">
        <v>-21</v>
      </c>
      <c r="R32" s="47">
        <v>-6</v>
      </c>
      <c r="S32" s="47">
        <v>-11.6</v>
      </c>
      <c r="T32" s="47">
        <v>-13.4</v>
      </c>
      <c r="U32" s="47">
        <v>-6</v>
      </c>
      <c r="V32" s="47">
        <v>-16.7</v>
      </c>
      <c r="W32" s="47">
        <v>-11.1</v>
      </c>
      <c r="X32" s="48">
        <v>-11.7</v>
      </c>
      <c r="Y32" s="48">
        <v>-9.8000000000000007</v>
      </c>
      <c r="Z32" s="50">
        <v>-5.4</v>
      </c>
      <c r="AA32" s="50">
        <v>-2.6</v>
      </c>
      <c r="AB32" s="50">
        <v>-8.9</v>
      </c>
      <c r="AC32" s="50">
        <v>-8.6999999999999993</v>
      </c>
      <c r="AD32" s="50">
        <v>-4</v>
      </c>
      <c r="AE32" s="50">
        <v>-8.6999999999999993</v>
      </c>
      <c r="AF32" s="50">
        <v>-8.4</v>
      </c>
    </row>
    <row r="33" spans="1:32" x14ac:dyDescent="0.25">
      <c r="A33" s="10">
        <v>22</v>
      </c>
      <c r="B33" s="47">
        <v>-6.2</v>
      </c>
      <c r="C33" s="47">
        <v>-19.3</v>
      </c>
      <c r="D33" s="47">
        <v>-1</v>
      </c>
      <c r="E33" s="47">
        <v>-2.5</v>
      </c>
      <c r="F33" s="47">
        <v>-2.4</v>
      </c>
      <c r="G33" s="47">
        <v>-16.100000000000001</v>
      </c>
      <c r="H33" s="47">
        <v>-19.100000000000001</v>
      </c>
      <c r="I33" s="47">
        <v>-17.399999999999999</v>
      </c>
      <c r="J33" s="47">
        <v>-12.6</v>
      </c>
      <c r="K33" s="47">
        <v>-13.3</v>
      </c>
      <c r="L33" s="47">
        <v>-7</v>
      </c>
      <c r="M33" s="47">
        <v>-3.8</v>
      </c>
      <c r="N33" s="47">
        <v>-4.9000000000000004</v>
      </c>
      <c r="O33" s="47">
        <v>-8</v>
      </c>
      <c r="P33" s="47">
        <v>-10.7</v>
      </c>
      <c r="Q33" s="47">
        <v>-21.8</v>
      </c>
      <c r="R33" s="47">
        <v>-6.8</v>
      </c>
      <c r="S33" s="47">
        <v>-11.9</v>
      </c>
      <c r="T33" s="47">
        <v>-12.4</v>
      </c>
      <c r="U33" s="47">
        <v>-6</v>
      </c>
      <c r="V33" s="47">
        <v>-15.9</v>
      </c>
      <c r="W33" s="47">
        <v>-11</v>
      </c>
      <c r="X33" s="48">
        <v>-11.8</v>
      </c>
      <c r="Y33" s="48">
        <v>8.3000000000000007</v>
      </c>
      <c r="Z33" s="50">
        <v>-6.1</v>
      </c>
      <c r="AA33" s="50">
        <v>-3.1</v>
      </c>
      <c r="AB33" s="50">
        <v>-8.9</v>
      </c>
      <c r="AC33" s="50">
        <v>-7.7</v>
      </c>
      <c r="AD33" s="50">
        <v>-4.3</v>
      </c>
      <c r="AE33" s="50">
        <v>-8.1999999999999993</v>
      </c>
      <c r="AF33" s="50">
        <v>-8.8000000000000007</v>
      </c>
    </row>
    <row r="34" spans="1:32" x14ac:dyDescent="0.25">
      <c r="A34" s="10">
        <v>24</v>
      </c>
      <c r="B34" s="47">
        <v>-7.2</v>
      </c>
      <c r="C34" s="47">
        <v>-21</v>
      </c>
      <c r="D34" s="47">
        <v>-1.6</v>
      </c>
      <c r="E34" s="47">
        <v>-2.5</v>
      </c>
      <c r="F34" s="47">
        <v>-3.1</v>
      </c>
      <c r="G34" s="47">
        <v>-16.600000000000001</v>
      </c>
      <c r="H34" s="47">
        <v>-18.600000000000001</v>
      </c>
      <c r="I34" s="47">
        <v>-16.2</v>
      </c>
      <c r="J34" s="47">
        <v>-13.1</v>
      </c>
      <c r="K34" s="47">
        <v>-14.6</v>
      </c>
      <c r="L34" s="47">
        <v>-6.1</v>
      </c>
      <c r="M34" s="47">
        <v>-3.9</v>
      </c>
      <c r="N34" s="47">
        <v>-4.8</v>
      </c>
      <c r="O34" s="47">
        <v>-10</v>
      </c>
      <c r="P34" s="47">
        <v>-11.6</v>
      </c>
      <c r="Q34" s="47">
        <v>-20.6</v>
      </c>
      <c r="R34" s="47">
        <v>-7.2</v>
      </c>
      <c r="S34" s="47">
        <v>-14.1</v>
      </c>
      <c r="T34" s="47">
        <v>-12.5</v>
      </c>
      <c r="U34" s="47">
        <v>-6.5</v>
      </c>
      <c r="V34" s="47">
        <v>-13.7</v>
      </c>
      <c r="W34" s="47">
        <v>-10.9</v>
      </c>
      <c r="X34" s="48">
        <v>-11.9</v>
      </c>
      <c r="Y34" s="48">
        <v>-6.9</v>
      </c>
      <c r="Z34" s="50">
        <v>-6.8</v>
      </c>
      <c r="AA34" s="50">
        <v>-4.7</v>
      </c>
      <c r="AB34" s="50">
        <v>-8.6</v>
      </c>
      <c r="AC34" s="50">
        <v>-6.2</v>
      </c>
      <c r="AD34" s="50">
        <v>-4.9000000000000004</v>
      </c>
      <c r="AE34" s="50">
        <v>-8.6</v>
      </c>
      <c r="AF34" s="50">
        <v>-8.6</v>
      </c>
    </row>
    <row r="35" spans="1:32" x14ac:dyDescent="0.25">
      <c r="A35" s="10">
        <v>2</v>
      </c>
      <c r="B35" s="47">
        <v>-8.5</v>
      </c>
      <c r="C35" s="47">
        <v>-17.8</v>
      </c>
      <c r="D35" s="47">
        <v>-2</v>
      </c>
      <c r="E35" s="47">
        <v>-2.4</v>
      </c>
      <c r="F35" s="47">
        <v>-4.5999999999999996</v>
      </c>
      <c r="G35" s="47">
        <v>-17</v>
      </c>
      <c r="H35" s="47">
        <v>-17.399999999999999</v>
      </c>
      <c r="I35" s="47">
        <v>-16.5</v>
      </c>
      <c r="J35" s="47">
        <v>-13.4</v>
      </c>
      <c r="K35" s="47">
        <v>-14.6</v>
      </c>
      <c r="L35" s="47">
        <v>-6</v>
      </c>
      <c r="M35" s="47">
        <v>-4.3</v>
      </c>
      <c r="N35" s="47">
        <v>-5.3</v>
      </c>
      <c r="O35" s="47">
        <v>-8.5</v>
      </c>
      <c r="P35" s="47">
        <v>-14.2</v>
      </c>
      <c r="Q35" s="47">
        <v>-19.8</v>
      </c>
      <c r="R35" s="47">
        <v>-7.7</v>
      </c>
      <c r="S35" s="47">
        <v>-15.3</v>
      </c>
      <c r="T35" s="47">
        <v>-11.6</v>
      </c>
      <c r="U35" s="47">
        <v>-6.5</v>
      </c>
      <c r="V35" s="47">
        <v>-11.8</v>
      </c>
      <c r="W35" s="47">
        <v>-10.8</v>
      </c>
      <c r="X35" s="48">
        <v>-11.7</v>
      </c>
      <c r="Y35" s="48">
        <v>-6.4</v>
      </c>
      <c r="Z35" s="50">
        <v>-7.2</v>
      </c>
      <c r="AA35" s="50">
        <v>-5.3</v>
      </c>
      <c r="AB35" s="50">
        <v>-8.9</v>
      </c>
      <c r="AC35" s="50">
        <v>-4.7</v>
      </c>
      <c r="AD35" s="50">
        <v>-5</v>
      </c>
      <c r="AE35" s="50">
        <v>-9.5</v>
      </c>
      <c r="AF35" s="50">
        <v>-8.4</v>
      </c>
    </row>
    <row r="36" spans="1:32" ht="30" x14ac:dyDescent="0.25">
      <c r="A36" s="11" t="s">
        <v>2</v>
      </c>
      <c r="B36" s="45">
        <f>AVERAGE(B24+B25+B26+B27+B28+B29+B30+B31+B32+B33+B34+B35)/12</f>
        <v>-7.0749999999999993</v>
      </c>
      <c r="C36" s="45">
        <f>AVERAGE(C24+C25+C26+C27+C28+C29+C30+C31+C32+C33+C34+C35)/12</f>
        <v>-13.925000000000002</v>
      </c>
      <c r="D36" s="42">
        <v>0.49999999999999994</v>
      </c>
      <c r="E36" s="42">
        <v>-2.5500000000000003</v>
      </c>
      <c r="F36" s="42">
        <f t="shared" ref="F36:G36" si="3">AVERAGE(F24+F25+F26+F27+F28+F29+F30+F31+F32+F33+F34+F35)/12</f>
        <v>-2.4583333333333335</v>
      </c>
      <c r="G36" s="42">
        <f t="shared" si="3"/>
        <v>-13.283333333333331</v>
      </c>
      <c r="H36" s="42">
        <f>AVERAGE(H24+H25+H26+H27+H28+H29+H30+H31+H32+H33+H34+H35)/12</f>
        <v>-16.091666666666665</v>
      </c>
      <c r="I36" s="42">
        <f>AVERAGE(I24+I25+I26+I27+I28+I29+I30+I31+I32+I33+I34+I35)/12</f>
        <v>-17.05</v>
      </c>
      <c r="J36" s="42">
        <f>AVERAGE(J24+J25+J26+J27+J28+J29+J30+J31+J32+J33+J34+J35)/12</f>
        <v>-14.174999999999999</v>
      </c>
      <c r="K36" s="42">
        <f>AVERAGE(K24+K25+K26+K27+K28+K29+K30+K31+K32+K33+K34+K35)/12</f>
        <v>-13.158333333333333</v>
      </c>
      <c r="L36" s="42">
        <f t="shared" ref="L36:O36" si="4">AVERAGE(L24+L25+L26+L27+L28+L29+L30+L31+L32+L33+L34+L35)/12</f>
        <v>-9.2166666666666668</v>
      </c>
      <c r="M36" s="42">
        <f t="shared" si="4"/>
        <v>-5.1999999999999993</v>
      </c>
      <c r="N36" s="42">
        <f t="shared" si="4"/>
        <v>-5.9666666666666659</v>
      </c>
      <c r="O36" s="42">
        <f t="shared" si="4"/>
        <v>-7.5166666666666657</v>
      </c>
      <c r="P36" s="44">
        <f>AVERAGE(P24+P25+P26+P27+P28+P29+P30+P31+P32+P33+P34+P35)/12</f>
        <v>-8.4083333333333332</v>
      </c>
      <c r="Q36" s="42">
        <f>AVERAGE(Q24+Q25+Q26+Q27+Q28+Q29+Q30+Q31+Q32+Q33+Q34+Q35)/12</f>
        <v>-19.241666666666667</v>
      </c>
      <c r="R36" s="42">
        <f>AVERAGE(R24+R25+R26+R27+R28+R29+R30+R31+R32+R33+R34+R35)/12</f>
        <v>-9.7583333333333346</v>
      </c>
      <c r="S36" s="42">
        <f t="shared" ref="S36:AB36" si="5">AVERAGE(S24+S25+S26+S27+S28+S29+S30+S31+S32+S33+S34+S35)/12</f>
        <v>-11.333333333333334</v>
      </c>
      <c r="T36" s="42">
        <f t="shared" si="5"/>
        <v>-12.933333333333335</v>
      </c>
      <c r="U36" s="42">
        <f t="shared" si="5"/>
        <v>-7.6166666666666671</v>
      </c>
      <c r="V36" s="42">
        <f t="shared" si="5"/>
        <v>-12.300000000000002</v>
      </c>
      <c r="W36" s="42">
        <f t="shared" si="5"/>
        <v>-11.008333333333333</v>
      </c>
      <c r="X36" s="42">
        <f t="shared" si="5"/>
        <v>-11.208333333333334</v>
      </c>
      <c r="Y36" s="42">
        <f t="shared" si="5"/>
        <v>-8.0583333333333353</v>
      </c>
      <c r="Z36" s="42">
        <f t="shared" si="5"/>
        <v>-5.1000000000000005</v>
      </c>
      <c r="AA36" s="42">
        <f t="shared" si="5"/>
        <v>-5.916666666666667</v>
      </c>
      <c r="AB36" s="42">
        <f t="shared" si="5"/>
        <v>-8.1416666666666675</v>
      </c>
      <c r="AC36" s="42">
        <f>AVERAGE(AC24+AC25+AC26+AC27+AC28+AC29+AC30+AC31+AC32+AC33+AC34+AC35)/12</f>
        <v>-8.65</v>
      </c>
      <c r="AD36" s="42">
        <f>AVERAGE(AD24+AD25+AD26+AD27+AD28+AD29+AD30+AD31+AD32+AD33+AD34+AD35)/12</f>
        <v>-4.6249999999999991</v>
      </c>
      <c r="AE36" s="42">
        <f>AVERAGE(AE24+AE25+AE26+AE27+AE28+AE29+AE30+AE31+AE32+AE33+AE34+AE35)/12</f>
        <v>-7.3999999999999995</v>
      </c>
      <c r="AF36" s="45">
        <f>AVERAGE(AF24+AF25+AF26+AF27+AF28+AF29+AF30+AF31+AF32+AF33+AF34+AF35)/12</f>
        <v>-8.2083333333333339</v>
      </c>
    </row>
  </sheetData>
  <mergeCells count="4">
    <mergeCell ref="B2:AE2"/>
    <mergeCell ref="B22:AE22"/>
    <mergeCell ref="A22:A23"/>
    <mergeCell ref="A2:A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B1" zoomScale="90" zoomScaleNormal="90" workbookViewId="0">
      <selection activeCell="AF19" sqref="AF19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A2" s="135" t="s">
        <v>0</v>
      </c>
      <c r="B2" s="131" t="s">
        <v>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41"/>
    </row>
    <row r="3" spans="1:32" x14ac:dyDescent="0.25">
      <c r="A3" s="136"/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50">
        <v>-8.1</v>
      </c>
      <c r="C4" s="50">
        <v>-6.5</v>
      </c>
      <c r="D4" s="50">
        <v>-10.4</v>
      </c>
      <c r="E4" s="50">
        <v>-12</v>
      </c>
      <c r="F4" s="50">
        <v>-22</v>
      </c>
      <c r="G4" s="50">
        <v>-1.62</v>
      </c>
      <c r="H4" s="50">
        <v>-12.9</v>
      </c>
      <c r="I4" s="50">
        <v>-18.5</v>
      </c>
      <c r="J4" s="50">
        <v>-18.3</v>
      </c>
      <c r="K4" s="50">
        <v>-14</v>
      </c>
      <c r="L4" s="50">
        <v>-9.52</v>
      </c>
      <c r="M4" s="50">
        <v>-12.7</v>
      </c>
      <c r="N4" s="50">
        <v>-8.6</v>
      </c>
      <c r="O4" s="50">
        <v>-6.3</v>
      </c>
      <c r="P4" s="50">
        <v>-6</v>
      </c>
      <c r="Q4" s="50">
        <v>-7.88</v>
      </c>
      <c r="R4" s="50">
        <v>-24.3</v>
      </c>
      <c r="S4" s="50">
        <v>-16.899999999999999</v>
      </c>
      <c r="T4" s="50">
        <v>-13.3</v>
      </c>
      <c r="U4" s="50">
        <v>-8</v>
      </c>
      <c r="V4" s="50">
        <v>-9.23</v>
      </c>
      <c r="W4" s="50">
        <v>-24.1</v>
      </c>
      <c r="X4" s="50">
        <v>-26.7</v>
      </c>
      <c r="Y4" s="50">
        <v>-23.5</v>
      </c>
      <c r="Z4" s="50">
        <v>-11</v>
      </c>
      <c r="AA4" s="50">
        <v>-23.47</v>
      </c>
      <c r="AB4" s="50">
        <v>-20.399999999999999</v>
      </c>
      <c r="AC4" s="50">
        <v>-17.399999999999999</v>
      </c>
      <c r="AD4" s="50">
        <v>-23.6</v>
      </c>
      <c r="AE4" s="50">
        <v>-30</v>
      </c>
      <c r="AF4" s="50">
        <v>-24.84</v>
      </c>
    </row>
    <row r="5" spans="1:32" x14ac:dyDescent="0.25">
      <c r="A5" s="10">
        <v>6</v>
      </c>
      <c r="B5" s="50">
        <v>-8.09</v>
      </c>
      <c r="C5" s="50">
        <v>-6.7</v>
      </c>
      <c r="D5" s="50">
        <v>-9.8000000000000007</v>
      </c>
      <c r="E5" s="50">
        <v>-11.9</v>
      </c>
      <c r="F5" s="50">
        <v>-21.3</v>
      </c>
      <c r="G5" s="50">
        <v>-1.48</v>
      </c>
      <c r="H5" s="50">
        <v>-12.7</v>
      </c>
      <c r="I5" s="50">
        <v>-17.5</v>
      </c>
      <c r="J5" s="50">
        <v>-18.3</v>
      </c>
      <c r="K5" s="50">
        <v>-14</v>
      </c>
      <c r="L5" s="50">
        <v>-11.24</v>
      </c>
      <c r="M5" s="50">
        <v>-12.5</v>
      </c>
      <c r="N5" s="50">
        <v>-7.3</v>
      </c>
      <c r="O5" s="50">
        <v>-6.3</v>
      </c>
      <c r="P5" s="50">
        <v>-5.0999999999999996</v>
      </c>
      <c r="Q5" s="50">
        <v>-8.57</v>
      </c>
      <c r="R5" s="50">
        <v>-22.3</v>
      </c>
      <c r="S5" s="50">
        <v>-16.5</v>
      </c>
      <c r="T5" s="50">
        <v>-13.3</v>
      </c>
      <c r="U5" s="50">
        <v>-7.9</v>
      </c>
      <c r="V5" s="50">
        <v>-11.9</v>
      </c>
      <c r="W5" s="50">
        <v>-24.7</v>
      </c>
      <c r="X5" s="50">
        <v>-26.3</v>
      </c>
      <c r="Y5" s="50">
        <v>-23.3</v>
      </c>
      <c r="Z5" s="50">
        <v>-11.2</v>
      </c>
      <c r="AA5" s="50">
        <v>-18.52</v>
      </c>
      <c r="AB5" s="50">
        <v>-21</v>
      </c>
      <c r="AC5" s="50">
        <v>-17.3</v>
      </c>
      <c r="AD5" s="50">
        <v>-23.6</v>
      </c>
      <c r="AE5" s="50">
        <v>-29.9</v>
      </c>
      <c r="AF5" s="50">
        <v>-27</v>
      </c>
    </row>
    <row r="6" spans="1:32" x14ac:dyDescent="0.25">
      <c r="A6" s="10">
        <v>8</v>
      </c>
      <c r="B6" s="50">
        <v>-9.3800000000000008</v>
      </c>
      <c r="C6" s="50">
        <v>-7.3</v>
      </c>
      <c r="D6" s="50">
        <v>-9.6</v>
      </c>
      <c r="E6" s="50">
        <v>-13.4</v>
      </c>
      <c r="F6" s="50">
        <v>-20.7</v>
      </c>
      <c r="G6" s="50">
        <v>-2.3199999999999998</v>
      </c>
      <c r="H6" s="50">
        <v>-15.3</v>
      </c>
      <c r="I6" s="50">
        <v>-16.3</v>
      </c>
      <c r="J6" s="50">
        <v>-18.28</v>
      </c>
      <c r="K6" s="50">
        <v>-12.4</v>
      </c>
      <c r="L6" s="50">
        <v>-9.9700000000000006</v>
      </c>
      <c r="M6" s="50">
        <v>-15.2</v>
      </c>
      <c r="N6" s="50">
        <v>-7.4</v>
      </c>
      <c r="O6" s="50">
        <v>-5.9</v>
      </c>
      <c r="P6" s="50">
        <v>-4.9000000000000004</v>
      </c>
      <c r="Q6" s="50">
        <v>-8.85</v>
      </c>
      <c r="R6" s="50">
        <v>-20.399999999999999</v>
      </c>
      <c r="S6" s="50">
        <v>-17.100000000000001</v>
      </c>
      <c r="T6" s="50">
        <v>-12.72</v>
      </c>
      <c r="U6" s="50">
        <v>-7.9</v>
      </c>
      <c r="V6" s="50">
        <v>-13.51</v>
      </c>
      <c r="W6" s="50">
        <v>-25.7</v>
      </c>
      <c r="X6" s="50">
        <v>-24.8</v>
      </c>
      <c r="Y6" s="50">
        <v>-20.72</v>
      </c>
      <c r="Z6" s="50">
        <v>-12.2</v>
      </c>
      <c r="AA6" s="50">
        <v>-22.57</v>
      </c>
      <c r="AB6" s="50">
        <v>-20.7</v>
      </c>
      <c r="AC6" s="50">
        <v>-17.7</v>
      </c>
      <c r="AD6" s="50">
        <v>-21.22</v>
      </c>
      <c r="AE6" s="50">
        <v>-29.3</v>
      </c>
      <c r="AF6" s="50">
        <v>-27.9</v>
      </c>
    </row>
    <row r="7" spans="1:32" x14ac:dyDescent="0.25">
      <c r="A7" s="10">
        <v>10</v>
      </c>
      <c r="B7" s="50">
        <v>-9.3000000000000007</v>
      </c>
      <c r="C7" s="50">
        <v>-7.7</v>
      </c>
      <c r="D7" s="50">
        <v>-9.1</v>
      </c>
      <c r="E7" s="50">
        <v>-11.5</v>
      </c>
      <c r="F7" s="50">
        <v>-19.2</v>
      </c>
      <c r="G7" s="50">
        <v>-3.1</v>
      </c>
      <c r="H7" s="50">
        <v>-16.2</v>
      </c>
      <c r="I7" s="50">
        <v>-16.7</v>
      </c>
      <c r="J7" s="50">
        <v>-13.94</v>
      </c>
      <c r="K7" s="50">
        <v>-11.8</v>
      </c>
      <c r="L7" s="50">
        <v>-9.9</v>
      </c>
      <c r="M7" s="50">
        <v>-15.4</v>
      </c>
      <c r="N7" s="50">
        <v>-4.5999999999999996</v>
      </c>
      <c r="O7" s="50">
        <v>-7.7</v>
      </c>
      <c r="P7" s="50">
        <v>-4.9000000000000004</v>
      </c>
      <c r="Q7" s="50">
        <v>-8.3000000000000007</v>
      </c>
      <c r="R7" s="50">
        <v>-20.6</v>
      </c>
      <c r="S7" s="50">
        <v>-15.6</v>
      </c>
      <c r="T7" s="50">
        <v>-12.4</v>
      </c>
      <c r="U7" s="50">
        <v>-7.8</v>
      </c>
      <c r="V7" s="50">
        <v>-15.2</v>
      </c>
      <c r="W7" s="50">
        <v>-26.5</v>
      </c>
      <c r="X7" s="50">
        <v>-23.9</v>
      </c>
      <c r="Y7" s="50">
        <v>-19.43</v>
      </c>
      <c r="Z7" s="50">
        <v>-11.6</v>
      </c>
      <c r="AA7" s="50">
        <v>-20.7</v>
      </c>
      <c r="AB7" s="50">
        <v>-19.8</v>
      </c>
      <c r="AC7" s="50">
        <v>-17.100000000000001</v>
      </c>
      <c r="AD7" s="50">
        <v>-22.88</v>
      </c>
      <c r="AE7" s="50">
        <v>-28</v>
      </c>
      <c r="AF7" s="50">
        <v>-27.4</v>
      </c>
    </row>
    <row r="8" spans="1:32" x14ac:dyDescent="0.25">
      <c r="A8" s="10">
        <v>12</v>
      </c>
      <c r="B8" s="50">
        <v>-9.6999999999999993</v>
      </c>
      <c r="C8" s="50">
        <v>-8.1</v>
      </c>
      <c r="D8" s="50">
        <v>-8.6</v>
      </c>
      <c r="E8" s="50">
        <v>-11.6</v>
      </c>
      <c r="F8" s="50">
        <v>-18.3</v>
      </c>
      <c r="G8" s="50">
        <v>-3.3</v>
      </c>
      <c r="H8" s="50">
        <v>-16.399999999999999</v>
      </c>
      <c r="I8" s="50">
        <v>-16</v>
      </c>
      <c r="J8" s="50">
        <v>-18.5</v>
      </c>
      <c r="K8" s="50">
        <v>-11.8</v>
      </c>
      <c r="L8" s="50">
        <v>-8.6999999999999993</v>
      </c>
      <c r="M8" s="50">
        <v>-13.4</v>
      </c>
      <c r="N8" s="50">
        <v>-3.7</v>
      </c>
      <c r="O8" s="50">
        <v>-7.3</v>
      </c>
      <c r="P8" s="50">
        <v>-5.3</v>
      </c>
      <c r="Q8" s="50">
        <v>-7.4</v>
      </c>
      <c r="R8" s="50">
        <v>-19.100000000000001</v>
      </c>
      <c r="S8" s="50">
        <v>-14.8</v>
      </c>
      <c r="T8" s="50">
        <v>-11.5</v>
      </c>
      <c r="U8" s="50">
        <v>-7.8</v>
      </c>
      <c r="V8" s="50">
        <v>-15.9</v>
      </c>
      <c r="W8" s="50">
        <v>-26.4</v>
      </c>
      <c r="X8" s="50">
        <v>-22.37</v>
      </c>
      <c r="Y8" s="50">
        <v>-18.12</v>
      </c>
      <c r="Z8" s="50">
        <v>-10.51</v>
      </c>
      <c r="AA8" s="50">
        <v>-18.2</v>
      </c>
      <c r="AB8" s="50">
        <v>-18</v>
      </c>
      <c r="AC8" s="50">
        <v>-15.8</v>
      </c>
      <c r="AD8" s="50">
        <v>-22.74</v>
      </c>
      <c r="AE8" s="50">
        <v>-23.3</v>
      </c>
      <c r="AF8" s="50">
        <v>-23.6</v>
      </c>
    </row>
    <row r="9" spans="1:32" x14ac:dyDescent="0.25">
      <c r="A9" s="10">
        <v>14</v>
      </c>
      <c r="B9" s="50">
        <v>-9.1999999999999993</v>
      </c>
      <c r="C9" s="50">
        <v>-8.5</v>
      </c>
      <c r="D9" s="50">
        <v>-11.2</v>
      </c>
      <c r="E9" s="50">
        <v>-13.7</v>
      </c>
      <c r="F9" s="50">
        <v>-15.4</v>
      </c>
      <c r="G9" s="50">
        <v>-3.1</v>
      </c>
      <c r="H9" s="50">
        <v>-16.100000000000001</v>
      </c>
      <c r="I9" s="50">
        <v>-14.8</v>
      </c>
      <c r="J9" s="50">
        <v>-16.2</v>
      </c>
      <c r="K9" s="50">
        <v>-10.8</v>
      </c>
      <c r="L9" s="50">
        <v>-8.3000000000000007</v>
      </c>
      <c r="M9" s="50">
        <v>-16.7</v>
      </c>
      <c r="N9" s="50">
        <v>-3.3</v>
      </c>
      <c r="O9" s="50">
        <v>-7.7</v>
      </c>
      <c r="P9" s="50">
        <v>-5.9</v>
      </c>
      <c r="Q9" s="50">
        <v>-8.3000000000000007</v>
      </c>
      <c r="R9" s="50">
        <v>-19.600000000000001</v>
      </c>
      <c r="S9" s="50">
        <v>-14.6</v>
      </c>
      <c r="T9" s="50">
        <v>-10.7</v>
      </c>
      <c r="U9" s="50">
        <v>-7.5</v>
      </c>
      <c r="V9" s="50">
        <v>-16.899999999999999</v>
      </c>
      <c r="W9" s="50">
        <v>-26.1</v>
      </c>
      <c r="X9" s="50">
        <v>-20</v>
      </c>
      <c r="Y9" s="50">
        <v>-16.579999999999998</v>
      </c>
      <c r="Z9" s="50">
        <v>-10.4</v>
      </c>
      <c r="AA9" s="50">
        <v>-17.100000000000001</v>
      </c>
      <c r="AB9" s="50">
        <v>-17.8</v>
      </c>
      <c r="AC9" s="50">
        <v>-17.05</v>
      </c>
      <c r="AD9" s="50">
        <v>-23.49</v>
      </c>
      <c r="AE9" s="50">
        <v>-24.1</v>
      </c>
      <c r="AF9" s="50">
        <v>-23.2</v>
      </c>
    </row>
    <row r="10" spans="1:32" x14ac:dyDescent="0.25">
      <c r="A10" s="10">
        <v>16</v>
      </c>
      <c r="B10" s="50">
        <v>-8.5</v>
      </c>
      <c r="C10" s="50">
        <v>-9</v>
      </c>
      <c r="D10" s="50">
        <v>-13.4</v>
      </c>
      <c r="E10" s="50">
        <v>-15.3</v>
      </c>
      <c r="F10" s="50">
        <v>-11.2</v>
      </c>
      <c r="G10" s="50">
        <v>-7.5</v>
      </c>
      <c r="H10" s="50">
        <v>-18.5</v>
      </c>
      <c r="I10" s="50">
        <v>-15.7</v>
      </c>
      <c r="J10" s="50">
        <v>-21.5</v>
      </c>
      <c r="K10" s="50">
        <v>-8.8000000000000007</v>
      </c>
      <c r="L10" s="50">
        <v>-8.9</v>
      </c>
      <c r="M10" s="50">
        <v>-18.899999999999999</v>
      </c>
      <c r="N10" s="50">
        <v>-3.9</v>
      </c>
      <c r="O10" s="50">
        <v>-8.1999999999999993</v>
      </c>
      <c r="P10" s="50">
        <v>-7.3</v>
      </c>
      <c r="Q10" s="50">
        <v>-9.1999999999999993</v>
      </c>
      <c r="R10" s="50">
        <v>-20.100000000000001</v>
      </c>
      <c r="S10" s="50">
        <v>-14.6</v>
      </c>
      <c r="T10" s="50">
        <v>-10.8</v>
      </c>
      <c r="U10" s="50">
        <v>-7.5</v>
      </c>
      <c r="V10" s="50">
        <v>-18.100000000000001</v>
      </c>
      <c r="W10" s="50">
        <v>-25.3</v>
      </c>
      <c r="X10" s="50">
        <v>-19.600000000000001</v>
      </c>
      <c r="Y10" s="50">
        <v>-16.489999999999998</v>
      </c>
      <c r="Z10" s="50">
        <v>-11.2</v>
      </c>
      <c r="AA10" s="50">
        <v>-16.399999999999999</v>
      </c>
      <c r="AB10" s="50">
        <v>-17.2</v>
      </c>
      <c r="AC10" s="50">
        <v>-17.899999999999999</v>
      </c>
      <c r="AD10" s="50">
        <v>-25.58</v>
      </c>
      <c r="AE10" s="50">
        <v>-27.4</v>
      </c>
      <c r="AF10" s="50">
        <v>-26.9</v>
      </c>
    </row>
    <row r="11" spans="1:32" x14ac:dyDescent="0.25">
      <c r="A11" s="10">
        <v>18</v>
      </c>
      <c r="B11" s="50">
        <v>-7.7</v>
      </c>
      <c r="C11" s="50">
        <v>-9.6</v>
      </c>
      <c r="D11" s="50">
        <v>-13.8</v>
      </c>
      <c r="E11" s="50">
        <v>-15.2</v>
      </c>
      <c r="F11" s="50">
        <v>-7.6</v>
      </c>
      <c r="G11" s="50">
        <v>-7.4</v>
      </c>
      <c r="H11" s="50">
        <v>-19.600000000000001</v>
      </c>
      <c r="I11" s="50">
        <v>-16.7</v>
      </c>
      <c r="J11" s="50">
        <v>-22.11</v>
      </c>
      <c r="K11" s="50">
        <v>-9.6999999999999993</v>
      </c>
      <c r="L11" s="50">
        <v>-8.9</v>
      </c>
      <c r="M11" s="50">
        <v>-19.7</v>
      </c>
      <c r="N11" s="50">
        <v>-4.5999999999999996</v>
      </c>
      <c r="O11" s="50">
        <v>-8.1</v>
      </c>
      <c r="P11" s="50">
        <v>-8</v>
      </c>
      <c r="Q11" s="50">
        <v>-10</v>
      </c>
      <c r="R11" s="50">
        <v>-21.6</v>
      </c>
      <c r="S11" s="50">
        <v>-13.4</v>
      </c>
      <c r="T11" s="50">
        <v>-10.220000000000001</v>
      </c>
      <c r="U11" s="50">
        <v>-7.32</v>
      </c>
      <c r="V11" s="50">
        <v>-18.95</v>
      </c>
      <c r="W11" s="50">
        <v>-25.4</v>
      </c>
      <c r="X11" s="50">
        <v>-22.5</v>
      </c>
      <c r="Y11" s="50">
        <v>-14.2</v>
      </c>
      <c r="Z11" s="50">
        <v>-14.52</v>
      </c>
      <c r="AA11" s="50">
        <v>-15.57</v>
      </c>
      <c r="AB11" s="50">
        <v>-16.7</v>
      </c>
      <c r="AC11" s="50">
        <v>-19.399999999999999</v>
      </c>
      <c r="AD11" s="50">
        <v>-25.7</v>
      </c>
      <c r="AE11" s="50">
        <v>-26.8</v>
      </c>
      <c r="AF11" s="50">
        <v>-29.4</v>
      </c>
    </row>
    <row r="12" spans="1:32" x14ac:dyDescent="0.25">
      <c r="A12" s="10">
        <v>20</v>
      </c>
      <c r="B12" s="50">
        <v>-5.9</v>
      </c>
      <c r="C12" s="50">
        <v>-9.8000000000000007</v>
      </c>
      <c r="D12" s="50">
        <v>-12.8</v>
      </c>
      <c r="E12" s="50">
        <v>-13.7</v>
      </c>
      <c r="F12" s="50">
        <v>-5.94</v>
      </c>
      <c r="G12" s="50">
        <v>-7.8</v>
      </c>
      <c r="H12" s="50">
        <v>-19.899999999999999</v>
      </c>
      <c r="I12" s="50">
        <v>-16</v>
      </c>
      <c r="J12" s="50">
        <v>-21</v>
      </c>
      <c r="K12" s="50">
        <v>-11.9</v>
      </c>
      <c r="L12" s="50">
        <v>-10.6</v>
      </c>
      <c r="M12" s="50">
        <v>-20.2</v>
      </c>
      <c r="N12" s="50">
        <v>-4.8</v>
      </c>
      <c r="O12" s="50">
        <v>-7.2</v>
      </c>
      <c r="P12" s="50">
        <v>-5.89</v>
      </c>
      <c r="Q12" s="50">
        <v>-15.8</v>
      </c>
      <c r="R12" s="50">
        <v>-21</v>
      </c>
      <c r="S12" s="50">
        <v>-12.8</v>
      </c>
      <c r="T12" s="50">
        <v>-9.6</v>
      </c>
      <c r="U12" s="50">
        <v>-6.87</v>
      </c>
      <c r="V12" s="50">
        <v>-20.8</v>
      </c>
      <c r="W12" s="50">
        <v>-25.9</v>
      </c>
      <c r="X12" s="50">
        <v>-24.6</v>
      </c>
      <c r="Y12" s="50">
        <v>-12.7</v>
      </c>
      <c r="Z12" s="50">
        <v>-17.829999999999998</v>
      </c>
      <c r="AA12" s="50">
        <v>-16.5</v>
      </c>
      <c r="AB12" s="50">
        <v>-16.600000000000001</v>
      </c>
      <c r="AC12" s="50">
        <v>-20.8</v>
      </c>
      <c r="AD12" s="50">
        <v>-26.8</v>
      </c>
      <c r="AE12" s="50">
        <v>-25.49</v>
      </c>
      <c r="AF12" s="50">
        <v>-28.6</v>
      </c>
    </row>
    <row r="13" spans="1:32" x14ac:dyDescent="0.25">
      <c r="A13" s="10">
        <v>22</v>
      </c>
      <c r="B13" s="50">
        <v>-4.7</v>
      </c>
      <c r="C13" s="50">
        <v>-10</v>
      </c>
      <c r="D13" s="50">
        <v>-12.4</v>
      </c>
      <c r="E13" s="50">
        <v>-17.3</v>
      </c>
      <c r="F13" s="50">
        <v>-2.91</v>
      </c>
      <c r="G13" s="50">
        <v>-8.6</v>
      </c>
      <c r="H13" s="50">
        <v>-18.600000000000001</v>
      </c>
      <c r="I13" s="50">
        <v>-20.399999999999999</v>
      </c>
      <c r="J13" s="50">
        <v>-20.8</v>
      </c>
      <c r="K13" s="50">
        <v>-12.58</v>
      </c>
      <c r="L13" s="50">
        <v>-11.8</v>
      </c>
      <c r="M13" s="50">
        <v>-16.899999999999999</v>
      </c>
      <c r="N13" s="50">
        <v>-5.0999999999999996</v>
      </c>
      <c r="O13" s="50">
        <v>-6.4</v>
      </c>
      <c r="P13" s="50">
        <v>-5.94</v>
      </c>
      <c r="Q13" s="50">
        <v>-19.399999999999999</v>
      </c>
      <c r="R13" s="50">
        <v>-21</v>
      </c>
      <c r="S13" s="50">
        <v>-13.2</v>
      </c>
      <c r="T13" s="50">
        <v>-9.6</v>
      </c>
      <c r="U13" s="50">
        <v>-6.44</v>
      </c>
      <c r="V13" s="50">
        <v>-22.2</v>
      </c>
      <c r="W13" s="50">
        <v>-25.3</v>
      </c>
      <c r="X13" s="50">
        <v>-23.4</v>
      </c>
      <c r="Y13" s="50">
        <v>-11.7</v>
      </c>
      <c r="Z13" s="50">
        <v>-21.69</v>
      </c>
      <c r="AA13" s="50">
        <v>-18.2</v>
      </c>
      <c r="AB13" s="50">
        <v>-16.399999999999999</v>
      </c>
      <c r="AC13" s="50">
        <v>-21.8</v>
      </c>
      <c r="AD13" s="50">
        <v>-26.9</v>
      </c>
      <c r="AE13" s="50">
        <v>-24.83</v>
      </c>
      <c r="AF13" s="50">
        <v>-27.2</v>
      </c>
    </row>
    <row r="14" spans="1:32" x14ac:dyDescent="0.25">
      <c r="A14" s="10">
        <v>24</v>
      </c>
      <c r="B14" s="50">
        <v>-3.9</v>
      </c>
      <c r="C14" s="50">
        <v>-10.3</v>
      </c>
      <c r="D14" s="50">
        <v>-12.5</v>
      </c>
      <c r="E14" s="50">
        <v>-18.600000000000001</v>
      </c>
      <c r="F14" s="50">
        <v>-1.72</v>
      </c>
      <c r="G14" s="50">
        <v>-10.1</v>
      </c>
      <c r="H14" s="50">
        <v>-17.899999999999999</v>
      </c>
      <c r="I14" s="50">
        <v>-19.899999999999999</v>
      </c>
      <c r="J14" s="50">
        <v>-20</v>
      </c>
      <c r="K14" s="50">
        <v>-11.2</v>
      </c>
      <c r="L14" s="50">
        <v>-11.4</v>
      </c>
      <c r="M14" s="50">
        <v>-12.8</v>
      </c>
      <c r="N14" s="50">
        <v>-5.0999999999999996</v>
      </c>
      <c r="O14" s="50">
        <v>-6.4</v>
      </c>
      <c r="P14" s="50">
        <v>-6.3</v>
      </c>
      <c r="Q14" s="50">
        <v>-21.4</v>
      </c>
      <c r="R14" s="50">
        <v>-20.3</v>
      </c>
      <c r="S14" s="50">
        <v>-13.1</v>
      </c>
      <c r="T14" s="50">
        <v>-9.1</v>
      </c>
      <c r="U14" s="50">
        <v>-6.05</v>
      </c>
      <c r="V14" s="50">
        <v>-22.6</v>
      </c>
      <c r="W14" s="50">
        <v>-24.9</v>
      </c>
      <c r="X14" s="50">
        <v>-24.1</v>
      </c>
      <c r="Y14" s="50">
        <v>-11.3</v>
      </c>
      <c r="Z14" s="50">
        <v>-22.36</v>
      </c>
      <c r="AA14" s="50">
        <v>-19.3</v>
      </c>
      <c r="AB14" s="50">
        <v>-16.399999999999999</v>
      </c>
      <c r="AC14" s="50">
        <v>-23.1</v>
      </c>
      <c r="AD14" s="50">
        <v>-27.5</v>
      </c>
      <c r="AE14" s="50">
        <v>-23.55</v>
      </c>
      <c r="AF14" s="50">
        <v>-26.4</v>
      </c>
    </row>
    <row r="15" spans="1:32" x14ac:dyDescent="0.25">
      <c r="A15" s="10">
        <v>2</v>
      </c>
      <c r="B15" s="50">
        <v>-5.2</v>
      </c>
      <c r="C15" s="50">
        <v>-11</v>
      </c>
      <c r="D15" s="50">
        <v>-12.6</v>
      </c>
      <c r="E15" s="50">
        <v>-19.2</v>
      </c>
      <c r="F15" s="50">
        <v>-1.5</v>
      </c>
      <c r="G15" s="50">
        <v>-11.8</v>
      </c>
      <c r="H15" s="50">
        <v>-18.5</v>
      </c>
      <c r="I15" s="50">
        <v>-21.16</v>
      </c>
      <c r="J15" s="50">
        <v>-17.079999999999998</v>
      </c>
      <c r="K15" s="50">
        <v>-9.65</v>
      </c>
      <c r="L15" s="50">
        <v>-11.27</v>
      </c>
      <c r="M15" s="50">
        <v>-9.44</v>
      </c>
      <c r="N15" s="50">
        <v>-6.7</v>
      </c>
      <c r="O15" s="50">
        <v>-6.25</v>
      </c>
      <c r="P15" s="50">
        <v>-7.2</v>
      </c>
      <c r="Q15" s="50">
        <v>-23.77</v>
      </c>
      <c r="R15" s="50">
        <v>-18.760000000000002</v>
      </c>
      <c r="S15" s="50">
        <v>-13</v>
      </c>
      <c r="T15" s="50">
        <v>-8.6199999999999992</v>
      </c>
      <c r="U15" s="50">
        <v>-5.76</v>
      </c>
      <c r="V15" s="50">
        <v>-22.95</v>
      </c>
      <c r="W15" s="50">
        <v>-25.1</v>
      </c>
      <c r="X15" s="50">
        <v>-25.3</v>
      </c>
      <c r="Y15" s="50">
        <v>-10.75</v>
      </c>
      <c r="Z15" s="50">
        <v>-22.95</v>
      </c>
      <c r="AA15" s="50">
        <v>-19.809999999999999</v>
      </c>
      <c r="AB15" s="50">
        <v>-16.899999999999999</v>
      </c>
      <c r="AC15" s="50">
        <v>-22.9</v>
      </c>
      <c r="AD15" s="50">
        <v>-28.97</v>
      </c>
      <c r="AE15" s="50">
        <v>-23.99</v>
      </c>
      <c r="AF15" s="50">
        <v>-24.4</v>
      </c>
    </row>
    <row r="16" spans="1:32" ht="30" x14ac:dyDescent="0.25">
      <c r="A16" s="11" t="s">
        <v>2</v>
      </c>
      <c r="B16" s="45">
        <f>AVERAGE(B4+B5+B6+B7+B8+B9+B10+B11+B12+B13+B14+B15)/12</f>
        <v>-7.4725000000000028</v>
      </c>
      <c r="C16" s="45">
        <f t="shared" ref="C16:AF16" si="0">AVERAGE(C4+C5+C6+C7+C8+C9+C10+C11+C12+C13+C14+C15)/12</f>
        <v>-8.7083333333333339</v>
      </c>
      <c r="D16" s="45">
        <f t="shared" si="0"/>
        <v>-11.350000000000001</v>
      </c>
      <c r="E16" s="45">
        <f t="shared" si="0"/>
        <v>-14.449999999999998</v>
      </c>
      <c r="F16" s="45">
        <f t="shared" si="0"/>
        <v>-12.314166666666665</v>
      </c>
      <c r="G16" s="45">
        <f t="shared" si="0"/>
        <v>-5.6766666666666667</v>
      </c>
      <c r="H16" s="45">
        <f t="shared" si="0"/>
        <v>-16.883333333333333</v>
      </c>
      <c r="I16" s="45">
        <f t="shared" si="0"/>
        <v>-17.471666666666668</v>
      </c>
      <c r="J16" s="45">
        <f t="shared" si="0"/>
        <v>-18.834166666666665</v>
      </c>
      <c r="K16" s="45">
        <f t="shared" si="0"/>
        <v>-11.5525</v>
      </c>
      <c r="L16" s="45">
        <f t="shared" si="0"/>
        <v>-10.041666666666666</v>
      </c>
      <c r="M16" s="45">
        <f t="shared" si="0"/>
        <v>-15.320000000000002</v>
      </c>
      <c r="N16" s="45">
        <f t="shared" si="0"/>
        <v>-5.4249999999999998</v>
      </c>
      <c r="O16" s="45">
        <f t="shared" si="0"/>
        <v>-6.9791666666666679</v>
      </c>
      <c r="P16" s="45">
        <f t="shared" si="0"/>
        <v>-6.060833333333334</v>
      </c>
      <c r="Q16" s="45">
        <f t="shared" si="0"/>
        <v>-12.405833333333334</v>
      </c>
      <c r="R16" s="45">
        <f t="shared" si="0"/>
        <v>-20.754999999999999</v>
      </c>
      <c r="S16" s="45">
        <f t="shared" si="0"/>
        <v>-14.633333333333331</v>
      </c>
      <c r="T16" s="45">
        <f t="shared" si="0"/>
        <v>-10.988333333333332</v>
      </c>
      <c r="U16" s="45">
        <f t="shared" si="0"/>
        <v>-7.2366666666666672</v>
      </c>
      <c r="V16" s="45">
        <f t="shared" si="0"/>
        <v>-17.353333333333332</v>
      </c>
      <c r="W16" s="45">
        <f t="shared" si="0"/>
        <v>-25.450000000000003</v>
      </c>
      <c r="X16" s="45">
        <f t="shared" si="0"/>
        <v>-23.630833333333332</v>
      </c>
      <c r="Y16" s="45">
        <f t="shared" si="0"/>
        <v>-16.56583333333333</v>
      </c>
      <c r="Z16" s="45">
        <f t="shared" si="0"/>
        <v>-14.788333333333332</v>
      </c>
      <c r="AA16" s="45">
        <f t="shared" si="0"/>
        <v>-18.861666666666668</v>
      </c>
      <c r="AB16" s="45">
        <f t="shared" si="0"/>
        <v>-18.158333333333331</v>
      </c>
      <c r="AC16" s="45">
        <f t="shared" si="0"/>
        <v>-19.020833333333336</v>
      </c>
      <c r="AD16" s="45">
        <f t="shared" si="0"/>
        <v>-24.915000000000003</v>
      </c>
      <c r="AE16" s="45">
        <f t="shared" si="0"/>
        <v>-26.388333333333335</v>
      </c>
      <c r="AF16" s="45">
        <f t="shared" si="0"/>
        <v>-26.403333333333332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A22" s="134" t="s">
        <v>0</v>
      </c>
      <c r="B22" s="131" t="s">
        <v>4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41"/>
    </row>
    <row r="23" spans="1:32" x14ac:dyDescent="0.25">
      <c r="A23" s="134"/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50">
        <v>-8.1999999999999993</v>
      </c>
      <c r="C24" s="50">
        <v>-5.4</v>
      </c>
      <c r="D24" s="50">
        <v>-11.7</v>
      </c>
      <c r="E24" s="50">
        <v>-12.5</v>
      </c>
      <c r="F24" s="50">
        <v>-19.3</v>
      </c>
      <c r="G24" s="50">
        <v>-1.5</v>
      </c>
      <c r="H24" s="50">
        <v>-11.2</v>
      </c>
      <c r="I24" s="50">
        <v>-17.8</v>
      </c>
      <c r="J24" s="50">
        <v>-24.4</v>
      </c>
      <c r="K24" s="50">
        <v>-16.3</v>
      </c>
      <c r="L24" s="50">
        <v>-10.3</v>
      </c>
      <c r="M24" s="50">
        <v>-12.7</v>
      </c>
      <c r="N24" s="50">
        <v>-9</v>
      </c>
      <c r="O24" s="50">
        <v>-6.4</v>
      </c>
      <c r="P24" s="50">
        <v>-6.1</v>
      </c>
      <c r="Q24" s="50">
        <v>-7.5</v>
      </c>
      <c r="R24" s="50">
        <v>-23.3</v>
      </c>
      <c r="S24" s="50">
        <v>-18.3</v>
      </c>
      <c r="T24" s="50">
        <v>-13.2</v>
      </c>
      <c r="U24" s="50">
        <v>-8.1</v>
      </c>
      <c r="V24" s="50">
        <v>-10</v>
      </c>
      <c r="W24" s="50">
        <v>-24.3</v>
      </c>
      <c r="X24" s="50">
        <v>-25.4</v>
      </c>
      <c r="Y24" s="50">
        <v>-24.9</v>
      </c>
      <c r="Z24" s="50">
        <v>-11.3</v>
      </c>
      <c r="AA24" s="50">
        <v>-25.2</v>
      </c>
      <c r="AB24" s="50">
        <v>-21</v>
      </c>
      <c r="AC24" s="50">
        <v>-18</v>
      </c>
      <c r="AD24" s="50">
        <v>-21.4</v>
      </c>
      <c r="AE24" s="50">
        <v>-29.5</v>
      </c>
      <c r="AF24" s="50">
        <v>-28.4</v>
      </c>
    </row>
    <row r="25" spans="1:32" x14ac:dyDescent="0.25">
      <c r="A25" s="10">
        <v>6</v>
      </c>
      <c r="B25" s="50">
        <v>-8</v>
      </c>
      <c r="C25" s="50">
        <v>-6.9</v>
      </c>
      <c r="D25" s="50">
        <v>-11.4</v>
      </c>
      <c r="E25" s="50">
        <v>-11.7</v>
      </c>
      <c r="F25" s="50">
        <v>-19.8</v>
      </c>
      <c r="G25" s="50">
        <v>-1.5</v>
      </c>
      <c r="H25" s="50">
        <v>-12.1</v>
      </c>
      <c r="I25" s="50">
        <v>-17.399999999999999</v>
      </c>
      <c r="J25" s="50">
        <v>-25.3</v>
      </c>
      <c r="K25" s="50">
        <v>-14.9</v>
      </c>
      <c r="L25" s="50">
        <v>-9.9</v>
      </c>
      <c r="M25" s="50">
        <v>-12.5</v>
      </c>
      <c r="N25" s="50">
        <v>-7.5</v>
      </c>
      <c r="O25" s="50">
        <v>-5.8</v>
      </c>
      <c r="P25" s="50">
        <v>-5.5</v>
      </c>
      <c r="Q25" s="50">
        <v>-8.1</v>
      </c>
      <c r="R25" s="50">
        <v>-21.7</v>
      </c>
      <c r="S25" s="50">
        <v>-16.899999999999999</v>
      </c>
      <c r="T25" s="50">
        <v>-13.3</v>
      </c>
      <c r="U25" s="50">
        <v>-8</v>
      </c>
      <c r="V25" s="50">
        <v>-12.3</v>
      </c>
      <c r="W25" s="50">
        <v>-24.4</v>
      </c>
      <c r="X25" s="50">
        <v>-26.1</v>
      </c>
      <c r="Y25" s="50">
        <v>-24.3</v>
      </c>
      <c r="Z25" s="50">
        <v>-10.9</v>
      </c>
      <c r="AA25" s="50">
        <v>-26.5</v>
      </c>
      <c r="AB25" s="50">
        <v>-21.2</v>
      </c>
      <c r="AC25" s="50">
        <v>-17.7</v>
      </c>
      <c r="AD25" s="50">
        <v>-21.5</v>
      </c>
      <c r="AE25" s="50">
        <v>-29.9</v>
      </c>
      <c r="AF25" s="50">
        <v>-28.4</v>
      </c>
    </row>
    <row r="26" spans="1:32" x14ac:dyDescent="0.25">
      <c r="A26" s="10">
        <v>8</v>
      </c>
      <c r="B26" s="50">
        <v>-9.1</v>
      </c>
      <c r="C26" s="50">
        <v>-7.6</v>
      </c>
      <c r="D26" s="50">
        <v>-10.3</v>
      </c>
      <c r="E26" s="50">
        <v>-12.4</v>
      </c>
      <c r="F26" s="50">
        <v>-20.100000000000001</v>
      </c>
      <c r="G26" s="50">
        <v>-1.5</v>
      </c>
      <c r="H26" s="50">
        <v>-13.2</v>
      </c>
      <c r="I26" s="50">
        <v>-16.899999999999999</v>
      </c>
      <c r="J26" s="50">
        <v>-22.8</v>
      </c>
      <c r="K26" s="50">
        <v>-13.2</v>
      </c>
      <c r="L26" s="50">
        <v>-11.5</v>
      </c>
      <c r="M26" s="50">
        <v>-15.2</v>
      </c>
      <c r="N26" s="50">
        <v>-5.8</v>
      </c>
      <c r="O26" s="50">
        <v>-8.1</v>
      </c>
      <c r="P26" s="50">
        <v>-5.0999999999999996</v>
      </c>
      <c r="Q26" s="50">
        <v>-8.6999999999999993</v>
      </c>
      <c r="R26" s="50">
        <v>-20.3</v>
      </c>
      <c r="S26" s="50">
        <v>-16.8</v>
      </c>
      <c r="T26" s="50">
        <v>-12.9</v>
      </c>
      <c r="U26" s="50">
        <v>-8</v>
      </c>
      <c r="V26" s="50">
        <v>-14</v>
      </c>
      <c r="W26" s="50">
        <v>-24.6</v>
      </c>
      <c r="X26" s="50">
        <v>-24.7</v>
      </c>
      <c r="Y26" s="50">
        <v>-21.9</v>
      </c>
      <c r="Z26" s="50">
        <v>-11.3</v>
      </c>
      <c r="AA26" s="50">
        <v>-24.8</v>
      </c>
      <c r="AB26" s="50">
        <v>-21.3</v>
      </c>
      <c r="AC26" s="50">
        <v>-17.7</v>
      </c>
      <c r="AD26" s="50">
        <v>-23</v>
      </c>
      <c r="AE26" s="50">
        <v>-29.7</v>
      </c>
      <c r="AF26" s="50">
        <v>-28.5</v>
      </c>
    </row>
    <row r="27" spans="1:32" x14ac:dyDescent="0.25">
      <c r="A27" s="10">
        <v>10</v>
      </c>
      <c r="B27" s="50">
        <v>-9.5</v>
      </c>
      <c r="C27" s="50">
        <v>-8.4</v>
      </c>
      <c r="D27" s="50">
        <v>-9.9</v>
      </c>
      <c r="E27" s="50">
        <v>-12.1</v>
      </c>
      <c r="F27" s="50">
        <v>-21.3</v>
      </c>
      <c r="G27" s="50">
        <v>-2.8</v>
      </c>
      <c r="H27" s="50">
        <v>-14.3</v>
      </c>
      <c r="I27" s="50">
        <v>-16.399999999999999</v>
      </c>
      <c r="J27" s="50">
        <v>-20.6</v>
      </c>
      <c r="K27" s="50">
        <v>-12.5</v>
      </c>
      <c r="L27" s="50">
        <v>-11.8</v>
      </c>
      <c r="M27" s="50">
        <v>-15.4</v>
      </c>
      <c r="N27" s="50">
        <v>-5.3</v>
      </c>
      <c r="O27" s="50">
        <v>-7.5</v>
      </c>
      <c r="P27" s="50">
        <v>-4.9000000000000004</v>
      </c>
      <c r="Q27" s="50">
        <v>-8.6999999999999993</v>
      </c>
      <c r="R27" s="50">
        <v>-20.6</v>
      </c>
      <c r="S27" s="50">
        <v>-16</v>
      </c>
      <c r="T27" s="50">
        <v>-12.5</v>
      </c>
      <c r="U27" s="50">
        <v>-7.8</v>
      </c>
      <c r="V27" s="50">
        <v>-15.5</v>
      </c>
      <c r="W27" s="50">
        <v>-25.4</v>
      </c>
      <c r="X27" s="50">
        <v>-24.3</v>
      </c>
      <c r="Y27" s="50">
        <v>-20.9</v>
      </c>
      <c r="Z27" s="50">
        <v>-11.5</v>
      </c>
      <c r="AA27" s="50">
        <v>-23.2</v>
      </c>
      <c r="AB27" s="50">
        <v>-20.8</v>
      </c>
      <c r="AC27" s="50">
        <v>-17</v>
      </c>
      <c r="AD27" s="50">
        <v>-24.4</v>
      </c>
      <c r="AE27" s="50">
        <v>-29.4</v>
      </c>
      <c r="AF27" s="50">
        <v>-29.5</v>
      </c>
    </row>
    <row r="28" spans="1:32" x14ac:dyDescent="0.25">
      <c r="A28" s="10">
        <v>12</v>
      </c>
      <c r="B28" s="50">
        <v>-10</v>
      </c>
      <c r="C28" s="50">
        <v>-8.6</v>
      </c>
      <c r="D28" s="50">
        <v>-9.1999999999999993</v>
      </c>
      <c r="E28" s="50">
        <v>-11</v>
      </c>
      <c r="F28" s="50">
        <v>-20.2</v>
      </c>
      <c r="G28" s="50">
        <v>-3.1</v>
      </c>
      <c r="H28" s="50">
        <v>-14.4</v>
      </c>
      <c r="I28" s="50">
        <v>-15.1</v>
      </c>
      <c r="J28" s="50">
        <v>-18.899999999999999</v>
      </c>
      <c r="K28" s="50">
        <v>-11.7</v>
      </c>
      <c r="L28" s="50">
        <v>-9.4</v>
      </c>
      <c r="M28" s="50">
        <v>-13.4</v>
      </c>
      <c r="N28" s="50">
        <v>-4.0999999999999996</v>
      </c>
      <c r="O28" s="50">
        <v>-7.1</v>
      </c>
      <c r="P28" s="50">
        <v>-5.4</v>
      </c>
      <c r="Q28" s="50">
        <v>-7.9</v>
      </c>
      <c r="R28" s="50">
        <v>-20</v>
      </c>
      <c r="S28" s="50">
        <v>-14.8</v>
      </c>
      <c r="T28" s="50">
        <v>-11.8</v>
      </c>
      <c r="U28" s="50">
        <v>-7.8</v>
      </c>
      <c r="V28" s="50">
        <v>-15.9</v>
      </c>
      <c r="W28" s="50">
        <v>-25.9</v>
      </c>
      <c r="X28" s="50">
        <v>-22.6</v>
      </c>
      <c r="Y28" s="50">
        <v>-18.899999999999999</v>
      </c>
      <c r="Z28" s="50">
        <v>-11</v>
      </c>
      <c r="AA28" s="50">
        <v>-21</v>
      </c>
      <c r="AB28" s="50">
        <v>-20.100000000000001</v>
      </c>
      <c r="AC28" s="50">
        <v>-16.3</v>
      </c>
      <c r="AD28" s="50">
        <v>-23.8</v>
      </c>
      <c r="AE28" s="50">
        <v>-26.7</v>
      </c>
      <c r="AF28" s="50">
        <v>-27.5</v>
      </c>
    </row>
    <row r="29" spans="1:32" x14ac:dyDescent="0.25">
      <c r="A29" s="10">
        <v>14</v>
      </c>
      <c r="B29" s="50">
        <v>-9.9</v>
      </c>
      <c r="C29" s="50">
        <v>-9.4</v>
      </c>
      <c r="D29" s="50">
        <v>-8.9</v>
      </c>
      <c r="E29" s="50">
        <v>-13</v>
      </c>
      <c r="F29" s="50">
        <v>-16.399999999999999</v>
      </c>
      <c r="G29" s="50">
        <v>-3</v>
      </c>
      <c r="H29" s="50">
        <v>-15.6</v>
      </c>
      <c r="I29" s="50">
        <v>-14.6</v>
      </c>
      <c r="J29" s="50">
        <v>-18.100000000000001</v>
      </c>
      <c r="K29" s="50">
        <v>-11.3</v>
      </c>
      <c r="L29" s="50">
        <v>-8.6999999999999993</v>
      </c>
      <c r="M29" s="50">
        <v>-16.7</v>
      </c>
      <c r="N29" s="50">
        <v>-3.2</v>
      </c>
      <c r="O29" s="50">
        <v>-7.7</v>
      </c>
      <c r="P29" s="50">
        <v>-5.4</v>
      </c>
      <c r="Q29" s="50">
        <v>-7.9</v>
      </c>
      <c r="R29" s="50">
        <v>-19.3</v>
      </c>
      <c r="S29" s="50">
        <v>-14.6</v>
      </c>
      <c r="T29" s="50">
        <v>-10.9</v>
      </c>
      <c r="U29" s="50">
        <v>-7.6</v>
      </c>
      <c r="V29" s="50">
        <v>-16.5</v>
      </c>
      <c r="W29" s="50">
        <v>-25.8</v>
      </c>
      <c r="X29" s="50">
        <v>-20.9</v>
      </c>
      <c r="Y29" s="50">
        <v>-17.399999999999999</v>
      </c>
      <c r="Z29" s="50">
        <v>-10.5</v>
      </c>
      <c r="AA29" s="50">
        <v>-19.2</v>
      </c>
      <c r="AB29" s="50">
        <v>-18.8</v>
      </c>
      <c r="AC29" s="50">
        <v>-15.7</v>
      </c>
      <c r="AD29" s="50">
        <v>-23</v>
      </c>
      <c r="AE29" s="50">
        <v>-25.6</v>
      </c>
      <c r="AF29" s="50">
        <v>-27.7</v>
      </c>
    </row>
    <row r="30" spans="1:32" x14ac:dyDescent="0.25">
      <c r="A30" s="10">
        <v>16</v>
      </c>
      <c r="B30" s="50">
        <v>-9.6999999999999993</v>
      </c>
      <c r="C30" s="50">
        <v>-9.8000000000000007</v>
      </c>
      <c r="D30" s="50">
        <v>-12.7</v>
      </c>
      <c r="E30" s="50">
        <v>-15</v>
      </c>
      <c r="F30" s="50">
        <v>-12.4</v>
      </c>
      <c r="G30" s="50">
        <v>-6</v>
      </c>
      <c r="H30" s="50">
        <v>-18.399999999999999</v>
      </c>
      <c r="I30" s="50">
        <v>-15.7</v>
      </c>
      <c r="J30" s="50">
        <v>-22.2</v>
      </c>
      <c r="K30" s="50">
        <v>-10.6</v>
      </c>
      <c r="L30" s="50">
        <v>-8.9</v>
      </c>
      <c r="M30" s="50">
        <v>-18.899999999999999</v>
      </c>
      <c r="N30" s="50">
        <v>-3.5</v>
      </c>
      <c r="O30" s="50">
        <v>-8.3000000000000007</v>
      </c>
      <c r="P30" s="50">
        <v>-6.2</v>
      </c>
      <c r="Q30" s="50">
        <v>-9.3000000000000007</v>
      </c>
      <c r="R30" s="50">
        <v>-20.399999999999999</v>
      </c>
      <c r="S30" s="50">
        <v>-13.9</v>
      </c>
      <c r="T30" s="50">
        <v>-10.6</v>
      </c>
      <c r="U30" s="50">
        <v>-7.7</v>
      </c>
      <c r="V30" s="50">
        <v>-17.8</v>
      </c>
      <c r="W30" s="50">
        <v>-25.4</v>
      </c>
      <c r="X30" s="50">
        <v>-19.3</v>
      </c>
      <c r="Y30" s="50">
        <v>-17.399999999999999</v>
      </c>
      <c r="Z30" s="50">
        <v>-11.4</v>
      </c>
      <c r="AA30" s="50">
        <v>-17.600000000000001</v>
      </c>
      <c r="AB30" s="50">
        <v>-17.5</v>
      </c>
      <c r="AC30" s="50">
        <v>-18.5</v>
      </c>
      <c r="AD30" s="50">
        <v>-24.6</v>
      </c>
      <c r="AE30" s="50">
        <v>-27.4</v>
      </c>
      <c r="AF30" s="50">
        <v>-29.7</v>
      </c>
    </row>
    <row r="31" spans="1:32" x14ac:dyDescent="0.25">
      <c r="A31" s="10">
        <v>18</v>
      </c>
      <c r="B31" s="50">
        <v>-8</v>
      </c>
      <c r="C31" s="50">
        <v>-10</v>
      </c>
      <c r="D31" s="50">
        <v>-12.4</v>
      </c>
      <c r="E31" s="50">
        <v>-16.399999999999999</v>
      </c>
      <c r="F31" s="50">
        <v>-9.3000000000000007</v>
      </c>
      <c r="G31" s="50">
        <v>-7.6</v>
      </c>
      <c r="H31" s="50">
        <v>-18.3</v>
      </c>
      <c r="I31" s="50">
        <v>-15</v>
      </c>
      <c r="J31" s="50">
        <v>-22.3</v>
      </c>
      <c r="K31" s="50">
        <v>-9</v>
      </c>
      <c r="L31" s="50">
        <v>-8.6</v>
      </c>
      <c r="M31" s="50">
        <v>-19.7</v>
      </c>
      <c r="N31" s="50">
        <v>-4.5</v>
      </c>
      <c r="O31" s="50">
        <v>-8.1999999999999993</v>
      </c>
      <c r="P31" s="50">
        <v>-6.8</v>
      </c>
      <c r="Q31" s="50">
        <v>-9.5</v>
      </c>
      <c r="R31" s="50">
        <v>-20.5</v>
      </c>
      <c r="S31" s="50">
        <v>-13.1</v>
      </c>
      <c r="T31" s="50">
        <v>-10.199999999999999</v>
      </c>
      <c r="U31" s="50">
        <v>-7.6</v>
      </c>
      <c r="V31" s="50">
        <v>-18.8</v>
      </c>
      <c r="W31" s="50">
        <v>-26.4</v>
      </c>
      <c r="X31" s="50">
        <v>-19.5</v>
      </c>
      <c r="Y31" s="50">
        <v>-15.5</v>
      </c>
      <c r="Z31" s="50">
        <v>-13</v>
      </c>
      <c r="AA31" s="50">
        <v>-17.3</v>
      </c>
      <c r="AB31" s="50">
        <v>-17.5</v>
      </c>
      <c r="AC31" s="50">
        <v>-19.8</v>
      </c>
      <c r="AD31" s="50">
        <v>-26.1</v>
      </c>
      <c r="AE31" s="50">
        <v>-25.5</v>
      </c>
      <c r="AF31" s="50">
        <v>-31.6</v>
      </c>
    </row>
    <row r="32" spans="1:32" x14ac:dyDescent="0.25">
      <c r="A32" s="10">
        <v>20</v>
      </c>
      <c r="B32" s="50">
        <v>-6.2</v>
      </c>
      <c r="C32" s="50">
        <v>-10.199999999999999</v>
      </c>
      <c r="D32" s="50">
        <v>-12</v>
      </c>
      <c r="E32" s="50">
        <v>-13.7</v>
      </c>
      <c r="F32" s="50">
        <v>-7.3</v>
      </c>
      <c r="G32" s="50">
        <v>-7.7</v>
      </c>
      <c r="H32" s="50">
        <v>-19.3</v>
      </c>
      <c r="I32" s="50">
        <v>-16.3</v>
      </c>
      <c r="J32" s="50">
        <v>-22</v>
      </c>
      <c r="K32" s="50">
        <v>-10.8</v>
      </c>
      <c r="L32" s="50">
        <v>-9.6999999999999993</v>
      </c>
      <c r="M32" s="50">
        <v>-20.2</v>
      </c>
      <c r="N32" s="50">
        <v>-4.8</v>
      </c>
      <c r="O32" s="50">
        <v>-7.4</v>
      </c>
      <c r="P32" s="50">
        <v>-5.9</v>
      </c>
      <c r="Q32" s="50">
        <v>-12.5</v>
      </c>
      <c r="R32" s="50">
        <v>-20.100000000000001</v>
      </c>
      <c r="S32" s="50">
        <v>-12.7</v>
      </c>
      <c r="T32" s="50">
        <v>-9.8000000000000007</v>
      </c>
      <c r="U32" s="50">
        <v>-6.9</v>
      </c>
      <c r="V32" s="50">
        <v>-20</v>
      </c>
      <c r="W32" s="50">
        <v>-25.4</v>
      </c>
      <c r="X32" s="50">
        <v>-23.7</v>
      </c>
      <c r="Y32" s="50">
        <v>-12.8</v>
      </c>
      <c r="Z32" s="50">
        <v>-17.399999999999999</v>
      </c>
      <c r="AA32" s="50">
        <v>-17.8</v>
      </c>
      <c r="AB32" s="50">
        <v>-17</v>
      </c>
      <c r="AC32" s="50">
        <v>-21.1</v>
      </c>
      <c r="AD32" s="50">
        <v>-26.6</v>
      </c>
      <c r="AE32" s="50">
        <v>-25.4</v>
      </c>
      <c r="AF32" s="50">
        <v>-30</v>
      </c>
    </row>
    <row r="33" spans="1:32" x14ac:dyDescent="0.25">
      <c r="A33" s="10">
        <v>22</v>
      </c>
      <c r="B33" s="50">
        <v>-4.8</v>
      </c>
      <c r="C33" s="50">
        <v>-10.5</v>
      </c>
      <c r="D33" s="50">
        <v>-12.1</v>
      </c>
      <c r="E33" s="50">
        <v>-14.1</v>
      </c>
      <c r="F33" s="50">
        <v>-5.3</v>
      </c>
      <c r="G33" s="50">
        <v>-7.7</v>
      </c>
      <c r="H33" s="50">
        <v>-19.5</v>
      </c>
      <c r="I33" s="50">
        <v>-18.8</v>
      </c>
      <c r="J33" s="50">
        <v>-20.399999999999999</v>
      </c>
      <c r="K33" s="50">
        <v>-12.8</v>
      </c>
      <c r="L33" s="50">
        <v>-11.8</v>
      </c>
      <c r="M33" s="50">
        <v>-16.899999999999999</v>
      </c>
      <c r="N33" s="50">
        <v>-4.4000000000000004</v>
      </c>
      <c r="O33" s="50">
        <v>-6.6</v>
      </c>
      <c r="P33" s="50">
        <v>-5.4</v>
      </c>
      <c r="Q33" s="50">
        <v>-17.3</v>
      </c>
      <c r="R33" s="50">
        <v>-20.8</v>
      </c>
      <c r="S33" s="50">
        <v>-13.2</v>
      </c>
      <c r="T33" s="50">
        <v>-9.9</v>
      </c>
      <c r="U33" s="50">
        <v>-6.6</v>
      </c>
      <c r="V33" s="50">
        <v>-20.8</v>
      </c>
      <c r="W33" s="50">
        <v>-24.7</v>
      </c>
      <c r="X33" s="50">
        <v>-23.9</v>
      </c>
      <c r="Y33" s="50">
        <v>-12.2</v>
      </c>
      <c r="Z33" s="50">
        <v>-21.1</v>
      </c>
      <c r="AA33" s="50">
        <v>-18.5</v>
      </c>
      <c r="AB33" s="50">
        <v>-16.8</v>
      </c>
      <c r="AC33" s="50">
        <v>-22</v>
      </c>
      <c r="AD33" s="50">
        <v>-27.6</v>
      </c>
      <c r="AE33" s="50">
        <v>-25.5</v>
      </c>
      <c r="AF33" s="50">
        <v>-29</v>
      </c>
    </row>
    <row r="34" spans="1:32" x14ac:dyDescent="0.25">
      <c r="A34" s="10">
        <v>24</v>
      </c>
      <c r="B34" s="50">
        <v>-4.2</v>
      </c>
      <c r="C34" s="50">
        <v>-10.9</v>
      </c>
      <c r="D34" s="50">
        <v>-11.8</v>
      </c>
      <c r="E34" s="50">
        <v>-17.7</v>
      </c>
      <c r="F34" s="50">
        <v>-2.8</v>
      </c>
      <c r="G34" s="50">
        <v>-8.8000000000000007</v>
      </c>
      <c r="H34" s="50">
        <v>-18.899999999999999</v>
      </c>
      <c r="I34" s="50">
        <v>-20.6</v>
      </c>
      <c r="J34" s="50">
        <v>-20.2</v>
      </c>
      <c r="K34" s="50">
        <v>-11.7</v>
      </c>
      <c r="L34" s="50">
        <v>-13.4</v>
      </c>
      <c r="M34" s="50">
        <v>-12.8</v>
      </c>
      <c r="N34" s="50">
        <v>-5</v>
      </c>
      <c r="O34" s="50">
        <v>-6.4</v>
      </c>
      <c r="P34" s="50">
        <v>-5.9</v>
      </c>
      <c r="Q34" s="50">
        <v>-19.600000000000001</v>
      </c>
      <c r="R34" s="50">
        <v>-21</v>
      </c>
      <c r="S34" s="50">
        <v>-13.1</v>
      </c>
      <c r="T34" s="50">
        <v>-9.5</v>
      </c>
      <c r="U34" s="50">
        <v>-6.1</v>
      </c>
      <c r="V34" s="50">
        <v>-22.4</v>
      </c>
      <c r="W34" s="50">
        <v>-24.8</v>
      </c>
      <c r="X34" s="50">
        <v>-22.8</v>
      </c>
      <c r="Y34" s="50">
        <v>-11.3</v>
      </c>
      <c r="Z34" s="50">
        <v>-23.6</v>
      </c>
      <c r="AA34" s="50">
        <v>-19.100000000000001</v>
      </c>
      <c r="AB34" s="50">
        <v>-17</v>
      </c>
      <c r="AC34" s="50">
        <v>-22.6</v>
      </c>
      <c r="AD34" s="50">
        <v>-28.3</v>
      </c>
      <c r="AE34" s="50">
        <v>-24.9</v>
      </c>
      <c r="AF34" s="50">
        <v>-27.5</v>
      </c>
    </row>
    <row r="35" spans="1:32" x14ac:dyDescent="0.25">
      <c r="A35" s="10">
        <v>2</v>
      </c>
      <c r="B35" s="50">
        <v>-4.8</v>
      </c>
      <c r="C35" s="50">
        <v>-11.1</v>
      </c>
      <c r="D35" s="50">
        <v>-13.7</v>
      </c>
      <c r="E35" s="50">
        <v>-19.3</v>
      </c>
      <c r="F35" s="50">
        <v>-1.4</v>
      </c>
      <c r="G35" s="50">
        <v>-10.1</v>
      </c>
      <c r="H35" s="50">
        <v>-18</v>
      </c>
      <c r="I35" s="50">
        <v>-23</v>
      </c>
      <c r="J35" s="50">
        <v>-19.100000000000001</v>
      </c>
      <c r="K35" s="50">
        <v>-11.7</v>
      </c>
      <c r="L35" s="50">
        <v>-11.3</v>
      </c>
      <c r="M35" s="50">
        <v>-9.44</v>
      </c>
      <c r="N35" s="50">
        <v>-6.2</v>
      </c>
      <c r="O35" s="50">
        <v>-6.2</v>
      </c>
      <c r="P35" s="50">
        <v>-6.7</v>
      </c>
      <c r="Q35" s="50">
        <v>-22.1</v>
      </c>
      <c r="R35" s="50">
        <v>-19.899999999999999</v>
      </c>
      <c r="S35" s="50">
        <v>-13</v>
      </c>
      <c r="T35" s="50">
        <v>-8.9</v>
      </c>
      <c r="U35" s="50">
        <v>-5.6</v>
      </c>
      <c r="V35" s="50">
        <v>-23.8</v>
      </c>
      <c r="W35" s="50">
        <v>-25</v>
      </c>
      <c r="X35" s="50">
        <v>-23.5</v>
      </c>
      <c r="Y35" s="50">
        <v>-11.5</v>
      </c>
      <c r="Z35" s="50">
        <v>-24.6</v>
      </c>
      <c r="AA35" s="50">
        <v>-20.3</v>
      </c>
      <c r="AB35" s="50">
        <v>-17.7</v>
      </c>
      <c r="AC35" s="50">
        <v>-23</v>
      </c>
      <c r="AD35" s="50">
        <v>-29</v>
      </c>
      <c r="AE35" s="50">
        <v>-26.3</v>
      </c>
      <c r="AF35" s="50">
        <v>-25.5</v>
      </c>
    </row>
    <row r="36" spans="1:32" ht="30" x14ac:dyDescent="0.25">
      <c r="A36" s="11" t="s">
        <v>2</v>
      </c>
      <c r="B36" s="45">
        <f>AVERAGE(B24+B25+B26+B27+B28+B29+B30+B31+B32+B33+B34+B35)/12</f>
        <v>-7.6999999999999993</v>
      </c>
      <c r="C36" s="45">
        <f t="shared" ref="C36:J36" si="1">AVERAGE(C24+C25+C26+C27+C28+C29+C30+C31+C32+C33+C34+C35)/12</f>
        <v>-9.0666666666666664</v>
      </c>
      <c r="D36" s="45">
        <f t="shared" si="1"/>
        <v>-11.341666666666667</v>
      </c>
      <c r="E36" s="45">
        <f t="shared" si="1"/>
        <v>-14.075000000000001</v>
      </c>
      <c r="F36" s="45">
        <f t="shared" si="1"/>
        <v>-12.96666666666667</v>
      </c>
      <c r="G36" s="45">
        <f t="shared" si="1"/>
        <v>-5.1083333333333334</v>
      </c>
      <c r="H36" s="45">
        <f t="shared" si="1"/>
        <v>-16.099999999999998</v>
      </c>
      <c r="I36" s="45">
        <f t="shared" si="1"/>
        <v>-17.3</v>
      </c>
      <c r="J36" s="45">
        <f t="shared" si="1"/>
        <v>-21.358333333333334</v>
      </c>
      <c r="K36" s="45">
        <f t="shared" ref="K36" si="2">AVERAGE(K24+K25+K26+K27+K28+K29+K30+K31+K32+K33+K34+K35)/12</f>
        <v>-12.20833333333333</v>
      </c>
      <c r="L36" s="45">
        <f t="shared" ref="L36" si="3">AVERAGE(L24+L25+L26+L27+L28+L29+L30+L31+L32+L33+L34+L35)/12</f>
        <v>-10.441666666666666</v>
      </c>
      <c r="M36" s="45">
        <f t="shared" ref="M36" si="4">AVERAGE(M24+M25+M26+M27+M28+M29+M30+M31+M32+M33+M34+M35)/12</f>
        <v>-15.320000000000002</v>
      </c>
      <c r="N36" s="45">
        <f t="shared" ref="N36" si="5">AVERAGE(N24+N25+N26+N27+N28+N29+N30+N31+N32+N33+N34+N35)/12</f>
        <v>-5.2750000000000004</v>
      </c>
      <c r="O36" s="45">
        <f t="shared" ref="O36" si="6">AVERAGE(O24+O25+O26+O27+O28+O29+O30+O31+O32+O33+O34+O35)/12</f>
        <v>-7.1416666666666684</v>
      </c>
      <c r="P36" s="45">
        <f t="shared" ref="P36" si="7">AVERAGE(P24+P25+P26+P27+P28+P29+P30+P31+P32+P33+P34+P35)/12</f>
        <v>-5.7749999999999995</v>
      </c>
      <c r="Q36" s="45">
        <f t="shared" ref="Q36:R36" si="8">AVERAGE(Q24+Q25+Q26+Q27+Q28+Q29+Q30+Q31+Q32+Q33+Q34+Q35)/12</f>
        <v>-11.591666666666667</v>
      </c>
      <c r="R36" s="45">
        <f t="shared" si="8"/>
        <v>-20.658333333333335</v>
      </c>
      <c r="S36" s="45">
        <f t="shared" ref="S36" si="9">AVERAGE(S24+S25+S26+S27+S28+S29+S30+S31+S32+S33+S34+S35)/12</f>
        <v>-14.699999999999998</v>
      </c>
      <c r="T36" s="45">
        <f t="shared" ref="T36" si="10">AVERAGE(T24+T25+T26+T27+T28+T29+T30+T31+T32+T33+T34+T35)/12</f>
        <v>-11.125</v>
      </c>
      <c r="U36" s="45">
        <f t="shared" ref="U36" si="11">AVERAGE(U24+U25+U26+U27+U28+U29+U30+U31+U32+U33+U34+U35)/12</f>
        <v>-7.3166666666666664</v>
      </c>
      <c r="V36" s="45">
        <f t="shared" ref="V36" si="12">AVERAGE(V24+V25+V26+V27+V28+V29+V30+V31+V32+V33+V34+V35)/12</f>
        <v>-17.31666666666667</v>
      </c>
      <c r="W36" s="45">
        <f t="shared" ref="W36" si="13">AVERAGE(W24+W25+W26+W27+W28+W29+W30+W31+W32+W33+W34+W35)/12</f>
        <v>-25.175000000000001</v>
      </c>
      <c r="X36" s="45">
        <f t="shared" ref="X36" si="14">AVERAGE(X24+X25+X26+X27+X28+X29+X30+X31+X32+X33+X34+X35)/12</f>
        <v>-23.058333333333337</v>
      </c>
      <c r="Y36" s="45">
        <f t="shared" ref="Y36:Z36" si="15">AVERAGE(Y24+Y25+Y26+Y27+Y28+Y29+Y30+Y31+Y32+Y33+Y34+Y35)/12</f>
        <v>-17.416666666666668</v>
      </c>
      <c r="Z36" s="45">
        <f t="shared" si="15"/>
        <v>-14.799999999999999</v>
      </c>
      <c r="AA36" s="45">
        <f t="shared" ref="AA36" si="16">AVERAGE(AA24+AA25+AA26+AA27+AA28+AA29+AA30+AA31+AA32+AA33+AA34+AA35)/12</f>
        <v>-20.875000000000004</v>
      </c>
      <c r="AB36" s="45">
        <f t="shared" ref="AB36" si="17">AVERAGE(AB24+AB25+AB26+AB27+AB28+AB29+AB30+AB31+AB32+AB33+AB34+AB35)/12</f>
        <v>-18.891666666666666</v>
      </c>
      <c r="AC36" s="45">
        <f t="shared" ref="AC36" si="18">AVERAGE(AC24+AC25+AC26+AC27+AC28+AC29+AC30+AC31+AC32+AC33+AC34+AC35)/12</f>
        <v>-19.116666666666667</v>
      </c>
      <c r="AD36" s="45">
        <f t="shared" ref="AD36" si="19">AVERAGE(AD24+AD25+AD26+AD27+AD28+AD29+AD30+AD31+AD32+AD33+AD34+AD35)/12</f>
        <v>-24.941666666666666</v>
      </c>
      <c r="AE36" s="45">
        <f t="shared" ref="AE36" si="20">AVERAGE(AE24+AE25+AE26+AE27+AE28+AE29+AE30+AE31+AE32+AE33+AE34+AE35)/12</f>
        <v>-27.150000000000002</v>
      </c>
      <c r="AF36" s="45">
        <f t="shared" ref="AF36" si="21">AVERAGE(AF24+AF25+AF26+AF27+AF28+AF29+AF30+AF31+AF32+AF33+AF34+AF35)/12</f>
        <v>-28.608333333333331</v>
      </c>
    </row>
  </sheetData>
  <mergeCells count="4">
    <mergeCell ref="B2:AE2"/>
    <mergeCell ref="B22:AE22"/>
    <mergeCell ref="A2:A3"/>
    <mergeCell ref="A22:A2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opLeftCell="B1" workbookViewId="0">
      <selection activeCell="AD19" sqref="AD19"/>
    </sheetView>
  </sheetViews>
  <sheetFormatPr defaultRowHeight="15" x14ac:dyDescent="0.25"/>
  <cols>
    <col min="1" max="1" width="24.7109375" style="9" customWidth="1"/>
    <col min="2" max="16384" width="9.140625" style="9"/>
  </cols>
  <sheetData>
    <row r="1" spans="1:29" ht="15.75" x14ac:dyDescent="0.25">
      <c r="A1" s="4" t="s">
        <v>8</v>
      </c>
      <c r="B1" s="137" t="s">
        <v>3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</row>
    <row r="2" spans="1:29" x14ac:dyDescent="0.25">
      <c r="A2" s="135" t="s">
        <v>0</v>
      </c>
      <c r="B2" s="131" t="s">
        <v>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</row>
    <row r="3" spans="1:29" x14ac:dyDescent="0.25">
      <c r="A3" s="136"/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</row>
    <row r="4" spans="1:29" x14ac:dyDescent="0.25">
      <c r="A4" s="10">
        <v>4</v>
      </c>
      <c r="B4" s="50">
        <v>-23.7</v>
      </c>
      <c r="C4" s="50">
        <v>-28.7</v>
      </c>
      <c r="D4" s="50">
        <v>-19.3</v>
      </c>
      <c r="E4" s="50">
        <v>-17.2</v>
      </c>
      <c r="F4" s="50">
        <v>-13.21</v>
      </c>
      <c r="G4" s="50">
        <v>-11.2</v>
      </c>
      <c r="H4" s="50">
        <v>-8.4</v>
      </c>
      <c r="I4" s="50">
        <v>-11.2</v>
      </c>
      <c r="J4" s="50">
        <v>-2.35</v>
      </c>
      <c r="K4" s="50">
        <v>-1.4</v>
      </c>
      <c r="L4" s="50">
        <v>-8.6</v>
      </c>
      <c r="M4" s="50">
        <v>-11.5</v>
      </c>
      <c r="N4" s="50">
        <v>-12.5</v>
      </c>
      <c r="O4" s="50">
        <v>-26.7</v>
      </c>
      <c r="P4" s="50">
        <v>-30.1</v>
      </c>
      <c r="Q4" s="50">
        <v>-26.8</v>
      </c>
      <c r="R4" s="50">
        <v>-15.51</v>
      </c>
      <c r="S4" s="50">
        <v>-10.7</v>
      </c>
      <c r="T4" s="50">
        <v>-17.2</v>
      </c>
      <c r="U4" s="50">
        <v>-20.2</v>
      </c>
      <c r="V4" s="50">
        <v>-21.4</v>
      </c>
      <c r="W4" s="50">
        <v>21</v>
      </c>
      <c r="X4" s="50">
        <v>-16.3</v>
      </c>
      <c r="Y4" s="50">
        <v>-11.3</v>
      </c>
      <c r="Z4" s="50">
        <v>-10.5</v>
      </c>
      <c r="AA4" s="50">
        <v>-6</v>
      </c>
      <c r="AB4" s="50">
        <v>-26.8</v>
      </c>
      <c r="AC4" s="50">
        <v>-24.9</v>
      </c>
    </row>
    <row r="5" spans="1:29" x14ac:dyDescent="0.25">
      <c r="A5" s="10">
        <v>6</v>
      </c>
      <c r="B5" s="50">
        <v>-23.3</v>
      </c>
      <c r="C5" s="50">
        <v>-28.8</v>
      </c>
      <c r="D5" s="50">
        <v>-19.2</v>
      </c>
      <c r="E5" s="50">
        <v>-17.100000000000001</v>
      </c>
      <c r="F5" s="50">
        <v>-12.67</v>
      </c>
      <c r="G5" s="50">
        <v>-10.199999999999999</v>
      </c>
      <c r="H5" s="50">
        <v>-8.5</v>
      </c>
      <c r="I5" s="50">
        <v>-10.6</v>
      </c>
      <c r="J5" s="50">
        <v>-2.04</v>
      </c>
      <c r="K5" s="50">
        <v>-2.9</v>
      </c>
      <c r="L5" s="50">
        <v>-7.4</v>
      </c>
      <c r="M5" s="50">
        <v>-11.1</v>
      </c>
      <c r="N5" s="50">
        <v>-12.3</v>
      </c>
      <c r="O5" s="50">
        <v>-27.7</v>
      </c>
      <c r="P5" s="50">
        <v>-29.9</v>
      </c>
      <c r="Q5" s="50">
        <v>-25.9</v>
      </c>
      <c r="R5" s="50">
        <v>-15.4</v>
      </c>
      <c r="S5" s="50">
        <v>-11.2</v>
      </c>
      <c r="T5" s="50">
        <v>-18.5</v>
      </c>
      <c r="U5" s="50">
        <v>-22.3</v>
      </c>
      <c r="V5" s="50">
        <v>-22.5</v>
      </c>
      <c r="W5" s="50">
        <v>21.31</v>
      </c>
      <c r="X5" s="50">
        <v>-17.3</v>
      </c>
      <c r="Y5" s="50">
        <v>-11.1</v>
      </c>
      <c r="Z5" s="50">
        <v>-10.7</v>
      </c>
      <c r="AA5" s="50">
        <v>-6.1</v>
      </c>
      <c r="AB5" s="50">
        <v>-26.8</v>
      </c>
      <c r="AC5" s="50">
        <v>-26.2</v>
      </c>
    </row>
    <row r="6" spans="1:29" x14ac:dyDescent="0.25">
      <c r="A6" s="10">
        <v>8</v>
      </c>
      <c r="B6" s="50">
        <v>-22.5</v>
      </c>
      <c r="C6" s="50">
        <v>-27.7</v>
      </c>
      <c r="D6" s="50">
        <v>-18.600000000000001</v>
      </c>
      <c r="E6" s="50">
        <v>-17.3</v>
      </c>
      <c r="F6" s="50">
        <v>-12.1</v>
      </c>
      <c r="G6" s="50">
        <v>-9.5</v>
      </c>
      <c r="H6" s="50">
        <v>-9.76</v>
      </c>
      <c r="I6" s="50">
        <v>-9.6</v>
      </c>
      <c r="J6" s="50">
        <v>-2.2999999999999998</v>
      </c>
      <c r="K6" s="50">
        <v>-2.6</v>
      </c>
      <c r="L6" s="50">
        <v>-8.1</v>
      </c>
      <c r="M6" s="50">
        <v>-9.6999999999999993</v>
      </c>
      <c r="N6" s="50">
        <v>-13.5</v>
      </c>
      <c r="O6" s="50">
        <v>-28.6</v>
      </c>
      <c r="P6" s="50">
        <v>-30.4</v>
      </c>
      <c r="Q6" s="50">
        <v>-24.1</v>
      </c>
      <c r="R6" s="50">
        <v>-14.6</v>
      </c>
      <c r="S6" s="50">
        <v>-11.3</v>
      </c>
      <c r="T6" s="50">
        <v>-20.2</v>
      </c>
      <c r="U6" s="50">
        <v>-21.26</v>
      </c>
      <c r="V6" s="50">
        <v>-22.4</v>
      </c>
      <c r="W6" s="50">
        <v>-20.97</v>
      </c>
      <c r="X6" s="50">
        <v>-17.7</v>
      </c>
      <c r="Y6" s="50">
        <v>-10.8</v>
      </c>
      <c r="Z6" s="50">
        <v>-11.1</v>
      </c>
      <c r="AA6" s="50">
        <v>-4.8</v>
      </c>
      <c r="AB6" s="50">
        <v>-26.7</v>
      </c>
      <c r="AC6" s="50">
        <v>-23.8</v>
      </c>
    </row>
    <row r="7" spans="1:29" x14ac:dyDescent="0.25">
      <c r="A7" s="10">
        <v>10</v>
      </c>
      <c r="B7" s="50">
        <v>-21.1</v>
      </c>
      <c r="C7" s="50">
        <v>-26.5</v>
      </c>
      <c r="D7" s="50">
        <v>-17.899999999999999</v>
      </c>
      <c r="E7" s="50">
        <v>-16.399999999999999</v>
      </c>
      <c r="F7" s="50">
        <v>-11.6</v>
      </c>
      <c r="G7" s="50">
        <v>-9.6</v>
      </c>
      <c r="H7" s="50">
        <v>-9.92</v>
      </c>
      <c r="I7" s="50">
        <v>-8.6999999999999993</v>
      </c>
      <c r="J7" s="50">
        <v>-2.5</v>
      </c>
      <c r="K7" s="50">
        <v>-2.9</v>
      </c>
      <c r="L7" s="50">
        <v>-8.9</v>
      </c>
      <c r="M7" s="50">
        <v>-9.4</v>
      </c>
      <c r="N7" s="50">
        <v>-16.3</v>
      </c>
      <c r="O7" s="50">
        <v>-27.1</v>
      </c>
      <c r="P7" s="50">
        <v>-27.2</v>
      </c>
      <c r="Q7" s="50">
        <v>-22.2</v>
      </c>
      <c r="R7" s="50">
        <v>-13.4</v>
      </c>
      <c r="S7" s="50">
        <v>-11</v>
      </c>
      <c r="T7" s="50">
        <v>-18.399999999999999</v>
      </c>
      <c r="U7" s="50">
        <v>-19.12</v>
      </c>
      <c r="V7" s="50">
        <v>-19.7</v>
      </c>
      <c r="W7" s="50">
        <v>-17.8</v>
      </c>
      <c r="X7" s="50">
        <v>-15.5</v>
      </c>
      <c r="Y7" s="50">
        <v>-9.33</v>
      </c>
      <c r="Z7" s="50">
        <v>-10.3</v>
      </c>
      <c r="AA7" s="50">
        <v>-4.2</v>
      </c>
      <c r="AB7" s="50">
        <v>-23.4</v>
      </c>
      <c r="AC7" s="50">
        <v>-20</v>
      </c>
    </row>
    <row r="8" spans="1:29" x14ac:dyDescent="0.25">
      <c r="A8" s="10">
        <v>12</v>
      </c>
      <c r="B8" s="50">
        <v>-20</v>
      </c>
      <c r="C8" s="50">
        <v>-22.6</v>
      </c>
      <c r="D8" s="50">
        <v>-17.600000000000001</v>
      </c>
      <c r="E8" s="50">
        <v>-15.3</v>
      </c>
      <c r="F8" s="50">
        <v>-10.8</v>
      </c>
      <c r="G8" s="50">
        <v>-9.4</v>
      </c>
      <c r="H8" s="50">
        <v>-10.78</v>
      </c>
      <c r="I8" s="50">
        <v>-7.6</v>
      </c>
      <c r="J8" s="50">
        <v>-2.5</v>
      </c>
      <c r="K8" s="50">
        <v>-3</v>
      </c>
      <c r="L8" s="50">
        <v>-9.4</v>
      </c>
      <c r="M8" s="50">
        <v>-8.5</v>
      </c>
      <c r="N8" s="50">
        <v>-17.5</v>
      </c>
      <c r="O8" s="50">
        <v>-25.6</v>
      </c>
      <c r="P8" s="50">
        <v>-26</v>
      </c>
      <c r="Q8" s="50">
        <v>-20.2</v>
      </c>
      <c r="R8" s="50">
        <v>-11.6</v>
      </c>
      <c r="S8" s="50">
        <v>-9.8000000000000007</v>
      </c>
      <c r="T8" s="50">
        <v>-15.5</v>
      </c>
      <c r="U8" s="50">
        <v>-16.98</v>
      </c>
      <c r="V8" s="50">
        <v>-17.2</v>
      </c>
      <c r="W8" s="50">
        <v>-13.8</v>
      </c>
      <c r="X8" s="50">
        <v>-14.1</v>
      </c>
      <c r="Y8" s="50">
        <v>-7.38</v>
      </c>
      <c r="Z8" s="50">
        <v>-8.1999999999999993</v>
      </c>
      <c r="AA8" s="50">
        <v>-2.7</v>
      </c>
      <c r="AB8" s="50">
        <v>-19.399999999999999</v>
      </c>
      <c r="AC8" s="50">
        <v>-16.5</v>
      </c>
    </row>
    <row r="9" spans="1:29" x14ac:dyDescent="0.25">
      <c r="A9" s="10">
        <v>14</v>
      </c>
      <c r="B9" s="50">
        <v>-19.899999999999999</v>
      </c>
      <c r="C9" s="50">
        <v>-21.5</v>
      </c>
      <c r="D9" s="50">
        <v>-17.899999999999999</v>
      </c>
      <c r="E9" s="50">
        <v>-14.8</v>
      </c>
      <c r="F9" s="50">
        <v>-8.1</v>
      </c>
      <c r="G9" s="50">
        <v>-9.9</v>
      </c>
      <c r="H9" s="50">
        <v>-11.22</v>
      </c>
      <c r="I9" s="50">
        <v>-4.4000000000000004</v>
      </c>
      <c r="J9" s="50">
        <v>-2.5</v>
      </c>
      <c r="K9" s="50">
        <v>-2.9</v>
      </c>
      <c r="L9" s="50">
        <v>-8.6</v>
      </c>
      <c r="M9" s="50">
        <v>-7.5</v>
      </c>
      <c r="N9" s="50">
        <v>-16.3</v>
      </c>
      <c r="O9" s="50">
        <v>-23.7</v>
      </c>
      <c r="P9" s="50">
        <v>-21</v>
      </c>
      <c r="Q9" s="50">
        <v>-19.5</v>
      </c>
      <c r="R9" s="50">
        <v>-9.6</v>
      </c>
      <c r="S9" s="50">
        <v>-9.5</v>
      </c>
      <c r="T9" s="50">
        <v>-13.9</v>
      </c>
      <c r="U9" s="50">
        <v>-15.33</v>
      </c>
      <c r="V9" s="50">
        <v>-14.6</v>
      </c>
      <c r="W9" s="50">
        <v>-12.4</v>
      </c>
      <c r="X9" s="50">
        <v>-11.2</v>
      </c>
      <c r="Y9" s="50">
        <v>-6.01</v>
      </c>
      <c r="Z9" s="50">
        <v>-7.4</v>
      </c>
      <c r="AA9" s="50">
        <v>-6</v>
      </c>
      <c r="AB9" s="50">
        <v>-18.5</v>
      </c>
      <c r="AC9" s="50">
        <v>-15.4</v>
      </c>
    </row>
    <row r="10" spans="1:29" x14ac:dyDescent="0.25">
      <c r="A10" s="10">
        <v>16</v>
      </c>
      <c r="B10" s="50">
        <v>-20.7</v>
      </c>
      <c r="C10" s="50">
        <v>-24.1</v>
      </c>
      <c r="D10" s="50">
        <v>-18.3</v>
      </c>
      <c r="E10" s="50">
        <v>-15</v>
      </c>
      <c r="F10" s="50">
        <v>-10.6</v>
      </c>
      <c r="G10" s="50">
        <v>-11.8</v>
      </c>
      <c r="H10" s="50">
        <v>-11.87</v>
      </c>
      <c r="I10" s="50">
        <v>-3.1</v>
      </c>
      <c r="J10" s="50">
        <v>-3.1</v>
      </c>
      <c r="K10" s="50">
        <v>-5.2</v>
      </c>
      <c r="L10" s="50">
        <v>-6.7</v>
      </c>
      <c r="M10" s="50">
        <v>-6.6</v>
      </c>
      <c r="N10" s="50">
        <v>-18.399999999999999</v>
      </c>
      <c r="O10" s="50">
        <v>-25</v>
      </c>
      <c r="P10" s="50">
        <v>-22.2</v>
      </c>
      <c r="Q10" s="50">
        <v>-19.399999999999999</v>
      </c>
      <c r="R10" s="50">
        <v>-8.6</v>
      </c>
      <c r="S10" s="50">
        <v>-10.7</v>
      </c>
      <c r="T10" s="50">
        <v>-14.9</v>
      </c>
      <c r="U10" s="50">
        <v>-14.85</v>
      </c>
      <c r="V10" s="50">
        <v>-15.1</v>
      </c>
      <c r="W10" s="50">
        <v>-12.7</v>
      </c>
      <c r="X10" s="50">
        <v>-12</v>
      </c>
      <c r="Y10" s="50">
        <v>-6.5</v>
      </c>
      <c r="Z10" s="50">
        <v>-7.2</v>
      </c>
      <c r="AA10" s="50">
        <v>-8.6</v>
      </c>
      <c r="AB10" s="50">
        <v>-18.600000000000001</v>
      </c>
      <c r="AC10" s="50">
        <v>-14.7</v>
      </c>
    </row>
    <row r="11" spans="1:29" x14ac:dyDescent="0.25">
      <c r="A11" s="10">
        <v>18</v>
      </c>
      <c r="B11" s="50">
        <v>-23.37</v>
      </c>
      <c r="C11" s="50">
        <v>-24.4</v>
      </c>
      <c r="D11" s="50">
        <v>-18.899999999999999</v>
      </c>
      <c r="E11" s="50">
        <v>-15</v>
      </c>
      <c r="F11" s="50">
        <v>-13.81</v>
      </c>
      <c r="G11" s="50">
        <v>-11.9</v>
      </c>
      <c r="H11" s="50">
        <v>-11.38</v>
      </c>
      <c r="I11" s="50">
        <v>-3.47</v>
      </c>
      <c r="J11" s="50">
        <v>-1.8</v>
      </c>
      <c r="K11" s="50">
        <v>-7.55</v>
      </c>
      <c r="L11" s="50">
        <v>-6.2</v>
      </c>
      <c r="M11" s="50">
        <v>-6.6</v>
      </c>
      <c r="N11" s="50">
        <v>-21.3</v>
      </c>
      <c r="O11" s="50">
        <v>-27.2</v>
      </c>
      <c r="P11" s="50">
        <v>-26.2</v>
      </c>
      <c r="Q11" s="50">
        <v>-17.600000000000001</v>
      </c>
      <c r="R11" s="50">
        <v>-7.1</v>
      </c>
      <c r="S11" s="50">
        <v>-12.5</v>
      </c>
      <c r="T11" s="50">
        <v>-18.3</v>
      </c>
      <c r="U11" s="50">
        <v>-17.53</v>
      </c>
      <c r="V11" s="50">
        <v>-18.100000000000001</v>
      </c>
      <c r="W11" s="50">
        <v>-12.95</v>
      </c>
      <c r="X11" s="50">
        <v>-14.8</v>
      </c>
      <c r="Y11" s="50">
        <v>-7.47</v>
      </c>
      <c r="Z11" s="50">
        <v>-6.5</v>
      </c>
      <c r="AA11" s="50">
        <v>-11.6</v>
      </c>
      <c r="AB11" s="50">
        <v>-20.8</v>
      </c>
      <c r="AC11" s="50">
        <v>-18.7</v>
      </c>
    </row>
    <row r="12" spans="1:29" x14ac:dyDescent="0.25">
      <c r="A12" s="10">
        <v>20</v>
      </c>
      <c r="B12" s="50">
        <v>-24.3</v>
      </c>
      <c r="C12" s="50">
        <v>-25.4</v>
      </c>
      <c r="D12" s="50">
        <v>-20.399999999999999</v>
      </c>
      <c r="E12" s="50">
        <v>-14.8</v>
      </c>
      <c r="F12" s="50">
        <v>-12.5</v>
      </c>
      <c r="G12" s="50">
        <v>-10.5</v>
      </c>
      <c r="H12" s="50">
        <v>-12</v>
      </c>
      <c r="I12" s="50">
        <v>-1.7</v>
      </c>
      <c r="J12" s="50">
        <v>-0.9</v>
      </c>
      <c r="K12" s="50">
        <v>-8.5</v>
      </c>
      <c r="L12" s="50">
        <v>-7.6</v>
      </c>
      <c r="M12" s="50">
        <v>-6</v>
      </c>
      <c r="N12" s="50">
        <v>-22.78</v>
      </c>
      <c r="O12" s="50">
        <v>-28.1</v>
      </c>
      <c r="P12" s="50">
        <v>-27.4</v>
      </c>
      <c r="Q12" s="50">
        <v>-15.22</v>
      </c>
      <c r="R12" s="50">
        <v>-6</v>
      </c>
      <c r="S12" s="50">
        <v>-13.6</v>
      </c>
      <c r="T12" s="50">
        <v>-18.399999999999999</v>
      </c>
      <c r="U12" s="50">
        <v>-16.399999999999999</v>
      </c>
      <c r="V12" s="50">
        <v>-19.8</v>
      </c>
      <c r="W12" s="50">
        <v>-12.6</v>
      </c>
      <c r="X12" s="50">
        <v>-15.1</v>
      </c>
      <c r="Y12" s="50">
        <v>-8</v>
      </c>
      <c r="Z12" s="50">
        <v>-6.4</v>
      </c>
      <c r="AA12" s="50">
        <v>-17.7</v>
      </c>
      <c r="AB12" s="50">
        <v>-22.2</v>
      </c>
      <c r="AC12" s="50">
        <v>-15</v>
      </c>
    </row>
    <row r="13" spans="1:29" x14ac:dyDescent="0.25">
      <c r="A13" s="10">
        <v>22</v>
      </c>
      <c r="B13" s="50">
        <v>-25.4</v>
      </c>
      <c r="C13" s="50">
        <v>-24.6</v>
      </c>
      <c r="D13" s="50">
        <v>-19</v>
      </c>
      <c r="E13" s="50">
        <v>-14.36</v>
      </c>
      <c r="F13" s="50">
        <v>-11.9</v>
      </c>
      <c r="G13" s="50">
        <v>-9.6999999999999993</v>
      </c>
      <c r="H13" s="50">
        <v>-13.6</v>
      </c>
      <c r="I13" s="50">
        <v>-1.2</v>
      </c>
      <c r="J13" s="50">
        <v>0.5</v>
      </c>
      <c r="K13" s="50">
        <v>-8.5</v>
      </c>
      <c r="L13" s="50">
        <v>-8.9</v>
      </c>
      <c r="M13" s="50">
        <v>-4.8</v>
      </c>
      <c r="N13" s="50">
        <v>-24.39</v>
      </c>
      <c r="O13" s="50">
        <v>-29.2</v>
      </c>
      <c r="P13" s="50">
        <v>-27.9</v>
      </c>
      <c r="Q13" s="50">
        <v>-15.56</v>
      </c>
      <c r="R13" s="50">
        <v>-5.2</v>
      </c>
      <c r="S13" s="50">
        <v>-14.7</v>
      </c>
      <c r="T13" s="50">
        <v>-18.3</v>
      </c>
      <c r="U13" s="50">
        <v>-18</v>
      </c>
      <c r="V13" s="50">
        <v>-19.190000000000001</v>
      </c>
      <c r="W13" s="50">
        <v>-14.2</v>
      </c>
      <c r="X13" s="50">
        <v>-13.5</v>
      </c>
      <c r="Y13" s="50">
        <v>-8.1</v>
      </c>
      <c r="Z13" s="50">
        <v>-6.44</v>
      </c>
      <c r="AA13" s="50">
        <v>-19.8</v>
      </c>
      <c r="AB13" s="50">
        <v>-23</v>
      </c>
      <c r="AC13" s="50">
        <v>-14.4</v>
      </c>
    </row>
    <row r="14" spans="1:29" x14ac:dyDescent="0.25">
      <c r="A14" s="10">
        <v>24</v>
      </c>
      <c r="B14" s="50">
        <v>-26.5</v>
      </c>
      <c r="C14" s="50">
        <v>-21.8</v>
      </c>
      <c r="D14" s="50">
        <v>-16.7</v>
      </c>
      <c r="E14" s="50">
        <v>-14.01</v>
      </c>
      <c r="F14" s="50">
        <v>-11.3</v>
      </c>
      <c r="G14" s="50">
        <v>-9.8000000000000007</v>
      </c>
      <c r="H14" s="50">
        <v>-14.7</v>
      </c>
      <c r="I14" s="50">
        <v>-0.55000000000000004</v>
      </c>
      <c r="J14" s="50">
        <v>-0.2</v>
      </c>
      <c r="K14" s="50">
        <v>-8.8000000000000007</v>
      </c>
      <c r="L14" s="50">
        <v>-9</v>
      </c>
      <c r="M14" s="50">
        <v>-4.5999999999999996</v>
      </c>
      <c r="N14" s="50">
        <v>-24.9</v>
      </c>
      <c r="O14" s="50">
        <v>-29.6</v>
      </c>
      <c r="P14" s="50">
        <v>-28.6</v>
      </c>
      <c r="Q14" s="50">
        <v>-15.96</v>
      </c>
      <c r="R14" s="50">
        <v>-4.7</v>
      </c>
      <c r="S14" s="50">
        <v>-13.7</v>
      </c>
      <c r="T14" s="50">
        <v>-19.3</v>
      </c>
      <c r="U14" s="50">
        <v>-19.2</v>
      </c>
      <c r="V14" s="50">
        <v>-19.47</v>
      </c>
      <c r="W14" s="50">
        <v>-15.9</v>
      </c>
      <c r="X14" s="50">
        <v>-12.1</v>
      </c>
      <c r="Y14" s="50">
        <v>-7.8</v>
      </c>
      <c r="Z14" s="50">
        <v>-6.28</v>
      </c>
      <c r="AA14" s="50">
        <v>-22.8</v>
      </c>
      <c r="AB14" s="50">
        <v>-23.1</v>
      </c>
      <c r="AC14" s="50">
        <v>-13.6</v>
      </c>
    </row>
    <row r="15" spans="1:29" x14ac:dyDescent="0.25">
      <c r="A15" s="10">
        <v>2</v>
      </c>
      <c r="B15" s="50">
        <v>-27.4</v>
      </c>
      <c r="C15" s="50">
        <v>-18.5</v>
      </c>
      <c r="D15" s="50">
        <v>-16.7</v>
      </c>
      <c r="E15" s="50">
        <v>-13.5</v>
      </c>
      <c r="F15" s="50">
        <v>-11.1</v>
      </c>
      <c r="G15" s="50">
        <v>-9.9</v>
      </c>
      <c r="H15" s="50">
        <v>-13.9</v>
      </c>
      <c r="I15" s="50">
        <v>-2.9</v>
      </c>
      <c r="J15" s="50">
        <v>-0.9</v>
      </c>
      <c r="K15" s="50">
        <v>-8.6</v>
      </c>
      <c r="L15" s="50">
        <v>-12.1</v>
      </c>
      <c r="M15" s="50">
        <v>-7</v>
      </c>
      <c r="N15" s="50">
        <v>-25.6</v>
      </c>
      <c r="O15" s="50">
        <v>-29.9</v>
      </c>
      <c r="P15" s="50">
        <v>-28.6</v>
      </c>
      <c r="Q15" s="50">
        <v>-16.100000000000001</v>
      </c>
      <c r="R15" s="50">
        <v>-8.1</v>
      </c>
      <c r="S15" s="50">
        <v>-16.7</v>
      </c>
      <c r="T15" s="50">
        <v>-20.3</v>
      </c>
      <c r="U15" s="50">
        <v>-20.399999999999999</v>
      </c>
      <c r="V15" s="50">
        <v>-20.9</v>
      </c>
      <c r="W15" s="50">
        <v>-15</v>
      </c>
      <c r="X15" s="50">
        <v>-11.5</v>
      </c>
      <c r="Y15" s="50">
        <v>-8.5</v>
      </c>
      <c r="Z15" s="50">
        <v>-6.9</v>
      </c>
      <c r="AA15" s="50">
        <v>-24.1</v>
      </c>
      <c r="AB15" s="50">
        <v>-24.7</v>
      </c>
      <c r="AC15" s="50">
        <v>-12.6</v>
      </c>
    </row>
    <row r="16" spans="1:29" ht="30" x14ac:dyDescent="0.25">
      <c r="A16" s="11" t="s">
        <v>2</v>
      </c>
      <c r="B16" s="45">
        <f>AVERAGE(B4+B5+B6+B7+B8+B9+B10+B11+B12+B13+B14+B15)/12</f>
        <v>-23.180833333333336</v>
      </c>
      <c r="C16" s="45">
        <f t="shared" ref="C16:AC16" si="0">AVERAGE(C4+C5+C6+C7+C8+C9+C10+C11+C12+C13+C14+C15)/12</f>
        <v>-24.55</v>
      </c>
      <c r="D16" s="45">
        <f t="shared" si="0"/>
        <v>-18.375</v>
      </c>
      <c r="E16" s="45">
        <f t="shared" si="0"/>
        <v>-15.397499999999999</v>
      </c>
      <c r="F16" s="45">
        <f t="shared" si="0"/>
        <v>-11.640833333333333</v>
      </c>
      <c r="G16" s="45">
        <f t="shared" si="0"/>
        <v>-10.283333333333333</v>
      </c>
      <c r="H16" s="45">
        <f t="shared" si="0"/>
        <v>-11.335833333333333</v>
      </c>
      <c r="I16" s="45">
        <f t="shared" si="0"/>
        <v>-5.418333333333333</v>
      </c>
      <c r="J16" s="45">
        <f t="shared" si="0"/>
        <v>-1.7158333333333333</v>
      </c>
      <c r="K16" s="45">
        <f t="shared" si="0"/>
        <v>-5.2374999999999998</v>
      </c>
      <c r="L16" s="45">
        <f t="shared" si="0"/>
        <v>-8.4583333333333339</v>
      </c>
      <c r="M16" s="45">
        <f t="shared" si="0"/>
        <v>-7.7749999999999986</v>
      </c>
      <c r="N16" s="45">
        <f t="shared" si="0"/>
        <v>-18.814166666666665</v>
      </c>
      <c r="O16" s="45">
        <f t="shared" si="0"/>
        <v>-27.366666666666664</v>
      </c>
      <c r="P16" s="45">
        <f t="shared" si="0"/>
        <v>-27.125000000000004</v>
      </c>
      <c r="Q16" s="45">
        <f t="shared" si="0"/>
        <v>-19.878333333333334</v>
      </c>
      <c r="R16" s="45">
        <f t="shared" si="0"/>
        <v>-9.9841666666666651</v>
      </c>
      <c r="S16" s="45">
        <f t="shared" si="0"/>
        <v>-12.116666666666665</v>
      </c>
      <c r="T16" s="45">
        <f t="shared" si="0"/>
        <v>-17.766666666666673</v>
      </c>
      <c r="U16" s="45">
        <f t="shared" si="0"/>
        <v>-18.464166666666667</v>
      </c>
      <c r="V16" s="45">
        <f t="shared" si="0"/>
        <v>-19.196666666666669</v>
      </c>
      <c r="W16" s="45">
        <f t="shared" si="0"/>
        <v>-8.8341666666666665</v>
      </c>
      <c r="X16" s="45">
        <f t="shared" si="0"/>
        <v>-14.258333333333333</v>
      </c>
      <c r="Y16" s="45">
        <f t="shared" si="0"/>
        <v>-8.524166666666666</v>
      </c>
      <c r="Z16" s="45">
        <f t="shared" si="0"/>
        <v>-8.16</v>
      </c>
      <c r="AA16" s="45">
        <f t="shared" si="0"/>
        <v>-11.200000000000001</v>
      </c>
      <c r="AB16" s="45">
        <f t="shared" si="0"/>
        <v>-22.833333333333332</v>
      </c>
      <c r="AC16" s="45">
        <f t="shared" si="0"/>
        <v>-17.983333333333331</v>
      </c>
    </row>
    <row r="21" spans="1:29" ht="15.75" x14ac:dyDescent="0.25">
      <c r="A21" s="4" t="s">
        <v>7</v>
      </c>
      <c r="B21" s="137" t="s">
        <v>1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</row>
    <row r="22" spans="1:29" x14ac:dyDescent="0.25">
      <c r="A22" s="134" t="s">
        <v>0</v>
      </c>
      <c r="B22" s="131" t="s">
        <v>5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</row>
    <row r="23" spans="1:29" x14ac:dyDescent="0.25">
      <c r="A23" s="134"/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</row>
    <row r="24" spans="1:29" x14ac:dyDescent="0.25">
      <c r="A24" s="10">
        <v>4</v>
      </c>
      <c r="B24" s="50">
        <v>-23.8</v>
      </c>
      <c r="C24" s="50">
        <v>-27.8</v>
      </c>
      <c r="D24" s="50">
        <v>-19.899999999999999</v>
      </c>
      <c r="E24" s="50">
        <v>-18.2</v>
      </c>
      <c r="F24" s="50">
        <v>-13.1</v>
      </c>
      <c r="G24" s="50">
        <v>-11</v>
      </c>
      <c r="H24" s="50">
        <v>-8.6</v>
      </c>
      <c r="I24" s="50">
        <v>-12.9</v>
      </c>
      <c r="J24" s="50">
        <v>-1.9</v>
      </c>
      <c r="K24" s="50">
        <v>-1.3</v>
      </c>
      <c r="L24" s="50">
        <v>-8.3000000000000007</v>
      </c>
      <c r="M24" s="50">
        <v>-12.6</v>
      </c>
      <c r="N24" s="50">
        <v>-7.3</v>
      </c>
      <c r="O24" s="50">
        <v>-27.1</v>
      </c>
      <c r="P24" s="50">
        <v>-32.6</v>
      </c>
      <c r="Q24" s="50">
        <v>-28.3</v>
      </c>
      <c r="R24" s="50">
        <v>-15.9</v>
      </c>
      <c r="S24" s="50">
        <v>-9.5</v>
      </c>
      <c r="T24" s="50">
        <v>-18.8</v>
      </c>
      <c r="U24" s="50">
        <v>-20.7</v>
      </c>
      <c r="V24" s="50">
        <v>-18.8</v>
      </c>
      <c r="W24" s="50">
        <v>-19.8</v>
      </c>
      <c r="X24" s="50">
        <v>-18</v>
      </c>
      <c r="Y24" s="50">
        <v>-11</v>
      </c>
      <c r="Z24" s="50">
        <v>-8.9</v>
      </c>
      <c r="AA24" s="50">
        <v>-7</v>
      </c>
      <c r="AB24" s="50">
        <v>-27.5</v>
      </c>
      <c r="AC24" s="50">
        <v>-26.3</v>
      </c>
    </row>
    <row r="25" spans="1:29" x14ac:dyDescent="0.25">
      <c r="A25" s="10">
        <v>6</v>
      </c>
      <c r="B25" s="50">
        <v>-23.7</v>
      </c>
      <c r="C25" s="50">
        <v>-28.7</v>
      </c>
      <c r="D25" s="50">
        <v>-18.600000000000001</v>
      </c>
      <c r="E25" s="50">
        <v>-18.3</v>
      </c>
      <c r="F25" s="50">
        <v>-12.8</v>
      </c>
      <c r="G25" s="50">
        <v>-10.8</v>
      </c>
      <c r="H25" s="50">
        <v>-7.9</v>
      </c>
      <c r="I25" s="50">
        <v>-11</v>
      </c>
      <c r="J25" s="50">
        <v>-2.1</v>
      </c>
      <c r="K25" s="50">
        <v>-1.5</v>
      </c>
      <c r="L25" s="50">
        <v>-8.1</v>
      </c>
      <c r="M25" s="50">
        <v>-11.5</v>
      </c>
      <c r="N25" s="50">
        <v>-10.4</v>
      </c>
      <c r="O25" s="50">
        <v>-27.7</v>
      </c>
      <c r="P25" s="50">
        <v>-32.9</v>
      </c>
      <c r="Q25" s="50">
        <v>-26.4</v>
      </c>
      <c r="R25" s="50">
        <v>-15.7</v>
      </c>
      <c r="S25" s="50">
        <v>-10.1</v>
      </c>
      <c r="T25" s="50">
        <v>-20.5</v>
      </c>
      <c r="U25" s="50">
        <v>-22.2</v>
      </c>
      <c r="V25" s="50">
        <v>-19.7</v>
      </c>
      <c r="W25" s="50">
        <v>-19.600000000000001</v>
      </c>
      <c r="X25" s="50">
        <v>-19.100000000000001</v>
      </c>
      <c r="Y25" s="50">
        <v>-11.1</v>
      </c>
      <c r="Z25" s="50">
        <v>-10.3</v>
      </c>
      <c r="AA25" s="50">
        <v>-6.9</v>
      </c>
      <c r="AB25" s="50">
        <v>-28.4</v>
      </c>
      <c r="AC25" s="50">
        <v>-26.7</v>
      </c>
    </row>
    <row r="26" spans="1:29" x14ac:dyDescent="0.25">
      <c r="A26" s="10">
        <v>8</v>
      </c>
      <c r="B26" s="50">
        <v>-22.8</v>
      </c>
      <c r="C26" s="50">
        <v>-29.2</v>
      </c>
      <c r="D26" s="50">
        <v>-18.399999999999999</v>
      </c>
      <c r="E26" s="50">
        <v>-17.399999999999999</v>
      </c>
      <c r="F26" s="50">
        <v>-12.5</v>
      </c>
      <c r="G26" s="50">
        <v>-10.6</v>
      </c>
      <c r="H26" s="50">
        <v>-9.4</v>
      </c>
      <c r="I26" s="50">
        <v>-10.1</v>
      </c>
      <c r="J26" s="50">
        <v>-2.1</v>
      </c>
      <c r="K26" s="50">
        <v>-3.5</v>
      </c>
      <c r="L26" s="50">
        <v>-8.1999999999999993</v>
      </c>
      <c r="M26" s="50">
        <v>-10.3</v>
      </c>
      <c r="N26" s="50">
        <v>-13.2</v>
      </c>
      <c r="O26" s="50">
        <v>-29</v>
      </c>
      <c r="P26" s="50">
        <v>-33.299999999999997</v>
      </c>
      <c r="Q26" s="50">
        <v>-24</v>
      </c>
      <c r="R26" s="50">
        <v>-15.6</v>
      </c>
      <c r="S26" s="50">
        <v>-10.199999999999999</v>
      </c>
      <c r="T26" s="50">
        <v>-21.3</v>
      </c>
      <c r="U26" s="50">
        <v>-21.7</v>
      </c>
      <c r="V26" s="50">
        <v>-21.8</v>
      </c>
      <c r="W26" s="50">
        <v>-19.5</v>
      </c>
      <c r="X26" s="50">
        <v>-20.3</v>
      </c>
      <c r="Y26" s="50">
        <v>-10.7</v>
      </c>
      <c r="Z26" s="50">
        <v>-10.9</v>
      </c>
      <c r="AA26" s="50">
        <v>-5.9</v>
      </c>
      <c r="AB26" s="50">
        <v>-27.4</v>
      </c>
      <c r="AC26" s="50">
        <v>-23.9</v>
      </c>
    </row>
    <row r="27" spans="1:29" x14ac:dyDescent="0.25">
      <c r="A27" s="10">
        <v>10</v>
      </c>
      <c r="B27" s="50">
        <v>-22.4</v>
      </c>
      <c r="C27" s="50">
        <v>-25.9</v>
      </c>
      <c r="D27" s="50">
        <v>-18.399999999999999</v>
      </c>
      <c r="E27" s="50">
        <v>-16.2</v>
      </c>
      <c r="F27" s="50">
        <v>-11.9</v>
      </c>
      <c r="G27" s="50">
        <v>-9.4</v>
      </c>
      <c r="H27" s="50">
        <v>-9.8000000000000007</v>
      </c>
      <c r="I27" s="50">
        <v>-9</v>
      </c>
      <c r="J27" s="50">
        <v>-2.2000000000000002</v>
      </c>
      <c r="K27" s="50">
        <v>-2.8</v>
      </c>
      <c r="L27" s="50">
        <v>-8.9</v>
      </c>
      <c r="M27" s="50">
        <v>-9</v>
      </c>
      <c r="N27" s="50">
        <v>-16.3</v>
      </c>
      <c r="O27" s="50">
        <v>-27.8</v>
      </c>
      <c r="P27" s="50">
        <v>-29.7</v>
      </c>
      <c r="Q27" s="50">
        <v>-22.3</v>
      </c>
      <c r="R27" s="50">
        <v>-14.3</v>
      </c>
      <c r="S27" s="50">
        <v>-9.8000000000000007</v>
      </c>
      <c r="T27" s="50">
        <v>-17.399999999999999</v>
      </c>
      <c r="U27" s="50">
        <v>-18.3</v>
      </c>
      <c r="V27" s="50">
        <v>-18.7</v>
      </c>
      <c r="W27" s="50">
        <v>-17.7</v>
      </c>
      <c r="X27" s="50">
        <v>-16.5</v>
      </c>
      <c r="Y27" s="50">
        <v>-8.8000000000000007</v>
      </c>
      <c r="Z27" s="50">
        <v>-10.5</v>
      </c>
      <c r="AA27" s="50">
        <v>-4</v>
      </c>
      <c r="AB27" s="50">
        <v>-23.3</v>
      </c>
      <c r="AC27" s="50">
        <v>-21.9</v>
      </c>
    </row>
    <row r="28" spans="1:29" x14ac:dyDescent="0.25">
      <c r="A28" s="10">
        <v>12</v>
      </c>
      <c r="B28" s="50">
        <v>-21</v>
      </c>
      <c r="C28" s="50">
        <v>-19.8</v>
      </c>
      <c r="D28" s="50">
        <v>-18</v>
      </c>
      <c r="E28" s="50">
        <v>-15.8</v>
      </c>
      <c r="F28" s="50">
        <v>-11.3</v>
      </c>
      <c r="G28" s="50">
        <v>-9</v>
      </c>
      <c r="H28" s="50">
        <v>-9.6</v>
      </c>
      <c r="I28" s="50">
        <v>-7.8</v>
      </c>
      <c r="J28" s="50">
        <v>-2.2000000000000002</v>
      </c>
      <c r="K28" s="50">
        <v>-2.5</v>
      </c>
      <c r="L28" s="50">
        <v>-9</v>
      </c>
      <c r="M28" s="50">
        <v>-8.1</v>
      </c>
      <c r="N28" s="50">
        <v>-17.600000000000001</v>
      </c>
      <c r="O28" s="50">
        <v>-25.8</v>
      </c>
      <c r="P28" s="50">
        <v>-26.9</v>
      </c>
      <c r="Q28" s="50">
        <v>-20.3</v>
      </c>
      <c r="R28" s="50">
        <v>-11.9</v>
      </c>
      <c r="S28" s="50">
        <v>-8.6</v>
      </c>
      <c r="T28" s="50">
        <v>-13.7</v>
      </c>
      <c r="U28" s="50">
        <v>-14.8</v>
      </c>
      <c r="V28" s="50">
        <v>-16.5</v>
      </c>
      <c r="W28" s="50">
        <v>-13</v>
      </c>
      <c r="X28" s="50">
        <v>-13.5</v>
      </c>
      <c r="Y28" s="50">
        <v>-6.8</v>
      </c>
      <c r="Z28" s="50">
        <v>-8.5</v>
      </c>
      <c r="AA28" s="50">
        <v>-1.9</v>
      </c>
      <c r="AB28" s="50">
        <v>-20.5</v>
      </c>
      <c r="AC28" s="50">
        <v>-18.899999999999999</v>
      </c>
    </row>
    <row r="29" spans="1:29" x14ac:dyDescent="0.25">
      <c r="A29" s="10">
        <v>14</v>
      </c>
      <c r="B29" s="50">
        <v>-21</v>
      </c>
      <c r="C29" s="50">
        <v>-18.899999999999999</v>
      </c>
      <c r="D29" s="50">
        <v>-17.3</v>
      </c>
      <c r="E29" s="50">
        <v>-15.6</v>
      </c>
      <c r="F29" s="50">
        <v>-10.3</v>
      </c>
      <c r="G29" s="50">
        <v>-9.1999999999999993</v>
      </c>
      <c r="H29" s="50">
        <v>-10.5</v>
      </c>
      <c r="I29" s="50">
        <v>-7.6</v>
      </c>
      <c r="J29" s="50">
        <v>-2.4</v>
      </c>
      <c r="K29" s="50">
        <v>-2.5</v>
      </c>
      <c r="L29" s="50">
        <v>-9.1999999999999993</v>
      </c>
      <c r="M29" s="50">
        <v>-7.4</v>
      </c>
      <c r="N29" s="50">
        <v>-16.2</v>
      </c>
      <c r="O29" s="50">
        <v>-24.9</v>
      </c>
      <c r="P29" s="50">
        <v>-22.3</v>
      </c>
      <c r="Q29" s="50">
        <v>-19.5</v>
      </c>
      <c r="R29" s="50">
        <v>-10.6</v>
      </c>
      <c r="S29" s="50">
        <v>-8.4</v>
      </c>
      <c r="T29" s="50">
        <v>-12.5</v>
      </c>
      <c r="U29" s="50">
        <v>-12.8</v>
      </c>
      <c r="V29" s="50">
        <v>-13.5</v>
      </c>
      <c r="W29" s="50">
        <v>-11.8</v>
      </c>
      <c r="X29" s="50">
        <v>-11.8</v>
      </c>
      <c r="Y29" s="50">
        <v>-5.5</v>
      </c>
      <c r="Z29" s="50">
        <v>-7.5</v>
      </c>
      <c r="AA29" s="50">
        <v>-7.9</v>
      </c>
      <c r="AB29" s="50">
        <v>-17.8</v>
      </c>
      <c r="AC29" s="50">
        <v>-17.5</v>
      </c>
    </row>
    <row r="30" spans="1:29" x14ac:dyDescent="0.25">
      <c r="A30" s="10">
        <v>16</v>
      </c>
      <c r="B30" s="50">
        <v>-21</v>
      </c>
      <c r="C30" s="50">
        <v>-21.9</v>
      </c>
      <c r="D30" s="50">
        <v>-18.2</v>
      </c>
      <c r="E30" s="50">
        <v>-15.6</v>
      </c>
      <c r="F30" s="50">
        <v>-10.5</v>
      </c>
      <c r="G30" s="50">
        <v>-11</v>
      </c>
      <c r="H30" s="50">
        <v>-11.9</v>
      </c>
      <c r="I30" s="50">
        <v>-3.4</v>
      </c>
      <c r="J30" s="50">
        <v>-3.3</v>
      </c>
      <c r="K30" s="50">
        <v>-2.9</v>
      </c>
      <c r="L30" s="50">
        <v>-8.8000000000000007</v>
      </c>
      <c r="M30" s="50">
        <v>-6.9</v>
      </c>
      <c r="N30" s="50">
        <v>-17.100000000000001</v>
      </c>
      <c r="O30" s="50">
        <v>-26.1</v>
      </c>
      <c r="P30" s="50">
        <v>-25.5</v>
      </c>
      <c r="Q30" s="50">
        <v>-19.2</v>
      </c>
      <c r="R30" s="50">
        <v>-9.8000000000000007</v>
      </c>
      <c r="S30" s="50">
        <v>-8.6999999999999993</v>
      </c>
      <c r="T30" s="50">
        <v>-16.100000000000001</v>
      </c>
      <c r="U30" s="50">
        <v>-15.8</v>
      </c>
      <c r="V30" s="50">
        <v>-13.5</v>
      </c>
      <c r="W30" s="50">
        <v>-12.2</v>
      </c>
      <c r="X30" s="50">
        <v>-11.6</v>
      </c>
      <c r="Y30" s="50">
        <v>-5.3</v>
      </c>
      <c r="Z30" s="50">
        <v>-7.3</v>
      </c>
      <c r="AA30" s="50">
        <v>-9.4</v>
      </c>
      <c r="AB30" s="50">
        <v>-17.600000000000001</v>
      </c>
      <c r="AC30" s="50">
        <v>-17</v>
      </c>
    </row>
    <row r="31" spans="1:29" x14ac:dyDescent="0.25">
      <c r="A31" s="10">
        <v>18</v>
      </c>
      <c r="B31" s="50">
        <v>-22.8</v>
      </c>
      <c r="C31" s="50">
        <v>-24.2</v>
      </c>
      <c r="D31" s="50">
        <v>-19.3</v>
      </c>
      <c r="E31" s="50">
        <v>-15.3</v>
      </c>
      <c r="F31" s="50">
        <v>-11.2</v>
      </c>
      <c r="G31" s="50">
        <v>-12.6</v>
      </c>
      <c r="H31" s="50">
        <v>-11.9</v>
      </c>
      <c r="I31" s="50">
        <v>-3.3</v>
      </c>
      <c r="J31" s="50">
        <v>-5.6</v>
      </c>
      <c r="K31" s="50">
        <v>-6</v>
      </c>
      <c r="L31" s="50">
        <v>-6.2</v>
      </c>
      <c r="M31" s="50">
        <v>-6.4</v>
      </c>
      <c r="N31" s="50">
        <v>-20.2</v>
      </c>
      <c r="O31" s="50">
        <v>-28</v>
      </c>
      <c r="P31" s="50">
        <v>-27.8</v>
      </c>
      <c r="Q31" s="50">
        <v>-17.8</v>
      </c>
      <c r="R31" s="50">
        <v>-7.9</v>
      </c>
      <c r="S31" s="50">
        <v>-12.3</v>
      </c>
      <c r="T31" s="50">
        <v>-18.100000000000001</v>
      </c>
      <c r="U31" s="50">
        <v>-16.3</v>
      </c>
      <c r="V31" s="50">
        <v>-17</v>
      </c>
      <c r="W31" s="50">
        <v>-12.9</v>
      </c>
      <c r="X31" s="50">
        <v>-13.7</v>
      </c>
      <c r="Y31" s="50">
        <v>-7</v>
      </c>
      <c r="Z31" s="50">
        <v>-7</v>
      </c>
      <c r="AA31" s="50">
        <v>-14</v>
      </c>
      <c r="AB31" s="50">
        <v>-21.4</v>
      </c>
      <c r="AC31" s="50">
        <v>-15.7</v>
      </c>
    </row>
    <row r="32" spans="1:29" x14ac:dyDescent="0.25">
      <c r="A32" s="10">
        <v>20</v>
      </c>
      <c r="B32" s="50">
        <v>-25.2</v>
      </c>
      <c r="C32" s="50">
        <v>-24.6</v>
      </c>
      <c r="D32" s="50">
        <v>-19.3</v>
      </c>
      <c r="E32" s="50">
        <v>-15.1</v>
      </c>
      <c r="F32" s="50">
        <v>-12.6</v>
      </c>
      <c r="G32" s="50">
        <v>-11.5</v>
      </c>
      <c r="H32" s="50">
        <v>-12.3</v>
      </c>
      <c r="I32" s="50">
        <v>-1.6</v>
      </c>
      <c r="J32" s="50">
        <v>-1.9</v>
      </c>
      <c r="K32" s="50">
        <v>-8.3000000000000007</v>
      </c>
      <c r="L32" s="50">
        <v>-7</v>
      </c>
      <c r="M32" s="50">
        <v>-6.6</v>
      </c>
      <c r="N32" s="50">
        <v>-22.6</v>
      </c>
      <c r="O32" s="50">
        <v>-28.9</v>
      </c>
      <c r="P32" s="50">
        <v>-28.8</v>
      </c>
      <c r="Q32" s="50">
        <v>-15.9</v>
      </c>
      <c r="R32" s="50">
        <v>-6.6</v>
      </c>
      <c r="S32" s="50">
        <v>-12.7</v>
      </c>
      <c r="T32" s="50">
        <v>-17</v>
      </c>
      <c r="U32" s="50">
        <v>-17.2</v>
      </c>
      <c r="V32" s="50">
        <v>-17.399999999999999</v>
      </c>
      <c r="W32" s="50">
        <v>-12.8</v>
      </c>
      <c r="X32" s="50">
        <v>-12.9</v>
      </c>
      <c r="Y32" s="50">
        <v>-7.5</v>
      </c>
      <c r="Z32" s="50">
        <v>-6</v>
      </c>
      <c r="AA32" s="50">
        <v>-18.399999999999999</v>
      </c>
      <c r="AB32" s="50">
        <v>-22.1</v>
      </c>
      <c r="AC32" s="50">
        <v>-14.6</v>
      </c>
    </row>
    <row r="33" spans="1:29" x14ac:dyDescent="0.25">
      <c r="A33" s="10">
        <v>22</v>
      </c>
      <c r="B33" s="50">
        <v>-26.9</v>
      </c>
      <c r="C33" s="50">
        <v>-22.4</v>
      </c>
      <c r="D33" s="50">
        <v>-17.8</v>
      </c>
      <c r="E33" s="50">
        <v>-14.7</v>
      </c>
      <c r="F33" s="50">
        <v>-13.8</v>
      </c>
      <c r="G33" s="50">
        <v>-10</v>
      </c>
      <c r="H33" s="50">
        <v>-12.9</v>
      </c>
      <c r="I33" s="50">
        <v>-0.2</v>
      </c>
      <c r="J33" s="50">
        <v>-1.1000000000000001</v>
      </c>
      <c r="K33" s="50">
        <v>-8.1999999999999993</v>
      </c>
      <c r="L33" s="50">
        <v>-8.5</v>
      </c>
      <c r="M33" s="50">
        <v>-6.1</v>
      </c>
      <c r="N33" s="50">
        <v>-24.1</v>
      </c>
      <c r="O33" s="50">
        <v>-30.6</v>
      </c>
      <c r="P33" s="50">
        <v>-29.2</v>
      </c>
      <c r="Q33" s="50">
        <v>-15.3</v>
      </c>
      <c r="R33" s="50">
        <v>-5.8</v>
      </c>
      <c r="S33" s="50">
        <v>-12.9</v>
      </c>
      <c r="T33" s="50">
        <v>-17.899999999999999</v>
      </c>
      <c r="U33" s="50">
        <v>-18.100000000000001</v>
      </c>
      <c r="V33" s="50">
        <v>-16.5</v>
      </c>
      <c r="W33" s="50">
        <v>-15.1</v>
      </c>
      <c r="X33" s="50">
        <v>-13.8</v>
      </c>
      <c r="Y33" s="50">
        <v>-7.9</v>
      </c>
      <c r="Z33" s="50">
        <v>-5.9</v>
      </c>
      <c r="AA33" s="50">
        <v>-20.9</v>
      </c>
      <c r="AB33" s="50">
        <v>-22.3</v>
      </c>
      <c r="AC33" s="50">
        <v>-14.6</v>
      </c>
    </row>
    <row r="34" spans="1:29" x14ac:dyDescent="0.25">
      <c r="A34" s="10">
        <v>24</v>
      </c>
      <c r="B34" s="50">
        <v>-26.9</v>
      </c>
      <c r="C34" s="50">
        <v>-18.899999999999999</v>
      </c>
      <c r="D34" s="50">
        <v>-17.100000000000001</v>
      </c>
      <c r="E34" s="50">
        <v>-14.2</v>
      </c>
      <c r="F34" s="50">
        <v>-12.3</v>
      </c>
      <c r="G34" s="50">
        <v>-9.6999999999999993</v>
      </c>
      <c r="H34" s="50">
        <v>-14.4</v>
      </c>
      <c r="I34" s="50">
        <v>-1.1000000000000001</v>
      </c>
      <c r="J34" s="50">
        <v>0.1</v>
      </c>
      <c r="K34" s="50">
        <v>-8</v>
      </c>
      <c r="L34" s="50">
        <v>-10.9</v>
      </c>
      <c r="M34" s="50">
        <v>-5.3</v>
      </c>
      <c r="N34" s="50">
        <v>-25.1</v>
      </c>
      <c r="O34" s="50">
        <v>-31.4</v>
      </c>
      <c r="P34" s="50">
        <v>-29.8</v>
      </c>
      <c r="Q34" s="50">
        <v>-16.600000000000001</v>
      </c>
      <c r="R34" s="50">
        <v>-5</v>
      </c>
      <c r="S34" s="50">
        <v>-14.7</v>
      </c>
      <c r="T34" s="50">
        <v>-18.100000000000001</v>
      </c>
      <c r="U34" s="50">
        <v>-17.899999999999999</v>
      </c>
      <c r="V34" s="50">
        <v>-17.8</v>
      </c>
      <c r="W34" s="50">
        <v>-16.8</v>
      </c>
      <c r="X34" s="50">
        <v>-12.4</v>
      </c>
      <c r="Y34" s="50">
        <v>-7.9</v>
      </c>
      <c r="Z34" s="50">
        <v>-5.9</v>
      </c>
      <c r="AA34" s="50">
        <v>-23.4</v>
      </c>
      <c r="AB34" s="50">
        <v>-23.9</v>
      </c>
      <c r="AC34" s="50">
        <v>-14.3</v>
      </c>
    </row>
    <row r="35" spans="1:29" x14ac:dyDescent="0.25">
      <c r="A35" s="10">
        <v>2</v>
      </c>
      <c r="B35" s="50">
        <v>-26.9</v>
      </c>
      <c r="C35" s="50">
        <v>-19</v>
      </c>
      <c r="D35" s="50">
        <v>-18.7</v>
      </c>
      <c r="E35" s="50">
        <v>-13.8</v>
      </c>
      <c r="F35" s="50">
        <v>-11.6</v>
      </c>
      <c r="G35" s="50">
        <v>-9.6999999999999993</v>
      </c>
      <c r="H35" s="50">
        <v>-14.5</v>
      </c>
      <c r="I35" s="50">
        <v>-1.1000000000000001</v>
      </c>
      <c r="J35" s="50">
        <v>-0.6</v>
      </c>
      <c r="K35" s="50">
        <v>-8</v>
      </c>
      <c r="L35" s="50">
        <v>-12.3</v>
      </c>
      <c r="M35" s="50">
        <v>-5.2</v>
      </c>
      <c r="N35" s="50">
        <v>-26.3</v>
      </c>
      <c r="O35" s="50">
        <v>-31.8</v>
      </c>
      <c r="P35" s="50">
        <v>-29.9</v>
      </c>
      <c r="Q35" s="50">
        <v>-15.9</v>
      </c>
      <c r="R35" s="50">
        <v>-5.4</v>
      </c>
      <c r="S35" s="50">
        <v>-17.3</v>
      </c>
      <c r="T35" s="50">
        <v>-20.100000000000001</v>
      </c>
      <c r="U35" s="50">
        <v>-18</v>
      </c>
      <c r="V35" s="50">
        <v>-19</v>
      </c>
      <c r="W35" s="50">
        <v>-18</v>
      </c>
      <c r="X35" s="50">
        <v>-10.9</v>
      </c>
      <c r="Y35" s="50">
        <v>-7.8</v>
      </c>
      <c r="Z35" s="50">
        <v>-6.3</v>
      </c>
      <c r="AA35" s="50">
        <v>-25.4</v>
      </c>
      <c r="AB35" s="50">
        <v>-25</v>
      </c>
      <c r="AC35" s="50">
        <v>-13.8</v>
      </c>
    </row>
    <row r="36" spans="1:29" ht="30" x14ac:dyDescent="0.25">
      <c r="A36" s="11" t="s">
        <v>2</v>
      </c>
      <c r="B36" s="45">
        <f>AVERAGE(B24+B25+B26+B27+B28+B29+B30+B31+B32+B33+B34+B35)/12</f>
        <v>-23.7</v>
      </c>
      <c r="C36" s="45">
        <f t="shared" ref="C36:AC36" si="1">AVERAGE(C24+C25+C26+C27+C28+C29+C30+C31+C32+C33+C34+C35)/12</f>
        <v>-23.441666666666666</v>
      </c>
      <c r="D36" s="45">
        <f t="shared" si="1"/>
        <v>-18.416666666666668</v>
      </c>
      <c r="E36" s="45">
        <f t="shared" si="1"/>
        <v>-15.849999999999996</v>
      </c>
      <c r="F36" s="45">
        <f t="shared" si="1"/>
        <v>-11.991666666666665</v>
      </c>
      <c r="G36" s="45">
        <f t="shared" si="1"/>
        <v>-10.375</v>
      </c>
      <c r="H36" s="45">
        <f t="shared" si="1"/>
        <v>-11.141666666666667</v>
      </c>
      <c r="I36" s="45">
        <f t="shared" si="1"/>
        <v>-5.758333333333332</v>
      </c>
      <c r="J36" s="45">
        <f t="shared" si="1"/>
        <v>-2.1083333333333329</v>
      </c>
      <c r="K36" s="45">
        <f t="shared" si="1"/>
        <v>-4.625</v>
      </c>
      <c r="L36" s="45">
        <f t="shared" si="1"/>
        <v>-8.7833333333333332</v>
      </c>
      <c r="M36" s="45">
        <f t="shared" si="1"/>
        <v>-7.95</v>
      </c>
      <c r="N36" s="45">
        <f t="shared" si="1"/>
        <v>-18.033333333333335</v>
      </c>
      <c r="O36" s="45">
        <f t="shared" si="1"/>
        <v>-28.258333333333336</v>
      </c>
      <c r="P36" s="45">
        <f t="shared" si="1"/>
        <v>-29.058333333333334</v>
      </c>
      <c r="Q36" s="45">
        <f t="shared" si="1"/>
        <v>-20.125000000000004</v>
      </c>
      <c r="R36" s="45">
        <f t="shared" si="1"/>
        <v>-10.375</v>
      </c>
      <c r="S36" s="45">
        <f t="shared" si="1"/>
        <v>-11.266666666666667</v>
      </c>
      <c r="T36" s="45">
        <f t="shared" si="1"/>
        <v>-17.625</v>
      </c>
      <c r="U36" s="45">
        <f t="shared" si="1"/>
        <v>-17.816666666666666</v>
      </c>
      <c r="V36" s="45">
        <f t="shared" si="1"/>
        <v>-17.516666666666669</v>
      </c>
      <c r="W36" s="45">
        <f t="shared" si="1"/>
        <v>-15.766666666666667</v>
      </c>
      <c r="X36" s="45">
        <f t="shared" si="1"/>
        <v>-14.54166666666667</v>
      </c>
      <c r="Y36" s="45">
        <f t="shared" si="1"/>
        <v>-8.1083333333333325</v>
      </c>
      <c r="Z36" s="45">
        <f t="shared" si="1"/>
        <v>-7.9166666666666679</v>
      </c>
      <c r="AA36" s="45">
        <f t="shared" si="1"/>
        <v>-12.091666666666669</v>
      </c>
      <c r="AB36" s="45">
        <f t="shared" si="1"/>
        <v>-23.100000000000005</v>
      </c>
      <c r="AC36" s="45">
        <f t="shared" si="1"/>
        <v>-18.766666666666669</v>
      </c>
    </row>
  </sheetData>
  <mergeCells count="6">
    <mergeCell ref="B1:AC1"/>
    <mergeCell ref="A2:A3"/>
    <mergeCell ref="B2:AC2"/>
    <mergeCell ref="A22:A23"/>
    <mergeCell ref="B22:AC22"/>
    <mergeCell ref="B21:AC2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D1" workbookViewId="0">
      <selection activeCell="W26" sqref="W26"/>
    </sheetView>
  </sheetViews>
  <sheetFormatPr defaultRowHeight="15" x14ac:dyDescent="0.25"/>
  <cols>
    <col min="1" max="1" width="24.7109375" style="9" customWidth="1"/>
    <col min="2" max="16384" width="9.140625" style="9"/>
  </cols>
  <sheetData>
    <row r="1" spans="1:32" ht="15.75" x14ac:dyDescent="0.25">
      <c r="A1" s="4" t="s">
        <v>8</v>
      </c>
      <c r="B1" s="139" t="s">
        <v>3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</row>
    <row r="2" spans="1:32" x14ac:dyDescent="0.25">
      <c r="A2" s="135" t="s">
        <v>0</v>
      </c>
      <c r="B2" s="138" t="s">
        <v>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</row>
    <row r="3" spans="1:32" x14ac:dyDescent="0.25">
      <c r="A3" s="136"/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51">
        <v>29</v>
      </c>
      <c r="AE3" s="51">
        <v>30</v>
      </c>
      <c r="AF3" s="51">
        <v>31</v>
      </c>
    </row>
    <row r="4" spans="1:32" x14ac:dyDescent="0.25">
      <c r="A4" s="10">
        <v>4</v>
      </c>
      <c r="B4" s="50">
        <v>-12.3</v>
      </c>
      <c r="C4" s="50">
        <v>-9</v>
      </c>
      <c r="D4" s="50">
        <v>-4</v>
      </c>
      <c r="E4" s="50">
        <v>-9</v>
      </c>
      <c r="F4" s="50">
        <v>-12.8</v>
      </c>
      <c r="G4" s="50">
        <v>-16.8</v>
      </c>
      <c r="H4" s="50">
        <v>-11.7</v>
      </c>
      <c r="I4" s="50">
        <v>-11.1</v>
      </c>
      <c r="J4" s="50">
        <v>-21.5</v>
      </c>
      <c r="K4" s="50">
        <v>-27.6</v>
      </c>
      <c r="L4" s="50">
        <v>-25.3</v>
      </c>
      <c r="M4" s="50">
        <v>-24.91</v>
      </c>
      <c r="N4" s="50">
        <v>-6.62</v>
      </c>
      <c r="O4" s="50">
        <v>-2.83</v>
      </c>
      <c r="P4" s="50">
        <v>-1.8</v>
      </c>
      <c r="Q4" s="50">
        <v>2.2000000000000002</v>
      </c>
      <c r="R4" s="50">
        <v>-11</v>
      </c>
      <c r="S4" s="50">
        <v>-2.8</v>
      </c>
      <c r="T4" s="50">
        <v>-14.5</v>
      </c>
      <c r="U4" s="50">
        <v>-13.5</v>
      </c>
      <c r="V4" s="50">
        <v>-7.5</v>
      </c>
      <c r="W4" s="50">
        <v>-12.9</v>
      </c>
      <c r="X4" s="50">
        <v>-9.3000000000000007</v>
      </c>
      <c r="Y4" s="50">
        <v>-14</v>
      </c>
      <c r="Z4" s="50">
        <v>-17.2</v>
      </c>
      <c r="AA4" s="50">
        <v>-13.4</v>
      </c>
      <c r="AB4" s="50">
        <v>-1.9</v>
      </c>
      <c r="AC4" s="50">
        <v>0.6</v>
      </c>
      <c r="AD4" s="52">
        <v>1.9</v>
      </c>
      <c r="AE4" s="52">
        <v>2.7</v>
      </c>
      <c r="AF4" s="52">
        <v>-1.2</v>
      </c>
    </row>
    <row r="5" spans="1:32" x14ac:dyDescent="0.25">
      <c r="A5" s="10">
        <v>6</v>
      </c>
      <c r="B5" s="50">
        <v>-10.7</v>
      </c>
      <c r="C5" s="50">
        <v>-9</v>
      </c>
      <c r="D5" s="50">
        <v>-4.0999999999999996</v>
      </c>
      <c r="E5" s="50">
        <v>-9</v>
      </c>
      <c r="F5" s="50">
        <v>-13.1</v>
      </c>
      <c r="G5" s="50">
        <v>-18</v>
      </c>
      <c r="H5" s="50">
        <v>-12.3</v>
      </c>
      <c r="I5" s="50">
        <v>-13.1</v>
      </c>
      <c r="J5" s="50">
        <v>-21.5</v>
      </c>
      <c r="K5" s="50">
        <v>-26.8</v>
      </c>
      <c r="L5" s="50">
        <v>-28.7</v>
      </c>
      <c r="M5" s="50">
        <v>-25.82</v>
      </c>
      <c r="N5" s="50">
        <v>-6.32</v>
      </c>
      <c r="O5" s="50">
        <v>-3.3</v>
      </c>
      <c r="P5" s="50">
        <v>-1.8</v>
      </c>
      <c r="Q5" s="50">
        <v>2.2000000000000002</v>
      </c>
      <c r="R5" s="50">
        <v>-11.7</v>
      </c>
      <c r="S5" s="50">
        <v>-4.2</v>
      </c>
      <c r="T5" s="50">
        <v>-14.5</v>
      </c>
      <c r="U5" s="50">
        <v>-14.8</v>
      </c>
      <c r="V5" s="50">
        <v>-6.9</v>
      </c>
      <c r="W5" s="50">
        <v>-12.9</v>
      </c>
      <c r="X5" s="50">
        <v>-9.3000000000000007</v>
      </c>
      <c r="Y5" s="50">
        <v>-13.8</v>
      </c>
      <c r="Z5" s="50">
        <v>-17.2</v>
      </c>
      <c r="AA5" s="50">
        <v>-15.5</v>
      </c>
      <c r="AB5" s="50">
        <v>-1.7</v>
      </c>
      <c r="AC5" s="50">
        <v>0.4</v>
      </c>
      <c r="AD5" s="52">
        <v>2</v>
      </c>
      <c r="AE5" s="52">
        <v>2.6</v>
      </c>
      <c r="AF5" s="52">
        <v>0.5</v>
      </c>
    </row>
    <row r="6" spans="1:32" x14ac:dyDescent="0.25">
      <c r="A6" s="10">
        <v>8</v>
      </c>
      <c r="B6" s="50">
        <v>-9.8000000000000007</v>
      </c>
      <c r="C6" s="50">
        <v>-8.8000000000000007</v>
      </c>
      <c r="D6" s="50">
        <v>-4</v>
      </c>
      <c r="E6" s="50">
        <v>-6.6</v>
      </c>
      <c r="F6" s="50">
        <v>-12.4</v>
      </c>
      <c r="G6" s="50">
        <v>-17.079999999999998</v>
      </c>
      <c r="H6" s="50">
        <v>-11.8</v>
      </c>
      <c r="I6" s="50">
        <v>-13.8</v>
      </c>
      <c r="J6" s="50">
        <v>-23.1</v>
      </c>
      <c r="K6" s="50">
        <v>-24.8</v>
      </c>
      <c r="L6" s="50">
        <v>-23.86</v>
      </c>
      <c r="M6" s="50">
        <v>-24.79</v>
      </c>
      <c r="N6" s="50">
        <v>-5.9</v>
      </c>
      <c r="O6" s="50">
        <v>-3.1</v>
      </c>
      <c r="P6" s="50">
        <v>-1.6</v>
      </c>
      <c r="Q6" s="50">
        <v>1.95</v>
      </c>
      <c r="R6" s="50">
        <v>-11</v>
      </c>
      <c r="S6" s="50">
        <v>-3.5</v>
      </c>
      <c r="T6" s="50">
        <v>-12.8</v>
      </c>
      <c r="U6" s="50">
        <v>-14.7</v>
      </c>
      <c r="V6" s="50">
        <v>-7</v>
      </c>
      <c r="W6" s="50">
        <v>-11.2</v>
      </c>
      <c r="X6" s="50">
        <v>-9</v>
      </c>
      <c r="Y6" s="50">
        <v>-12.9</v>
      </c>
      <c r="Z6" s="50">
        <v>-10.9</v>
      </c>
      <c r="AA6" s="50">
        <v>-12.3</v>
      </c>
      <c r="AB6" s="50">
        <v>0.1</v>
      </c>
      <c r="AC6" s="50">
        <v>0.5</v>
      </c>
      <c r="AD6" s="52">
        <v>2.5</v>
      </c>
      <c r="AE6" s="52">
        <v>3.9</v>
      </c>
      <c r="AF6" s="52">
        <v>1.72</v>
      </c>
    </row>
    <row r="7" spans="1:32" x14ac:dyDescent="0.25">
      <c r="A7" s="10">
        <v>10</v>
      </c>
      <c r="B7" s="50">
        <v>-7.19</v>
      </c>
      <c r="C7" s="50">
        <v>-8</v>
      </c>
      <c r="D7" s="50">
        <v>-3.5</v>
      </c>
      <c r="E7" s="50">
        <v>-4.5999999999999996</v>
      </c>
      <c r="F7" s="50">
        <v>-10.4</v>
      </c>
      <c r="G7" s="50">
        <v>-13.09</v>
      </c>
      <c r="H7" s="50">
        <v>-10.6</v>
      </c>
      <c r="I7" s="50">
        <v>-12.7</v>
      </c>
      <c r="J7" s="50">
        <v>-20.8</v>
      </c>
      <c r="K7" s="50">
        <v>-21.5</v>
      </c>
      <c r="L7" s="50">
        <v>-12.69</v>
      </c>
      <c r="M7" s="50">
        <v>-16.7</v>
      </c>
      <c r="N7" s="50">
        <v>-4.5999999999999996</v>
      </c>
      <c r="O7" s="50">
        <v>-2.2000000000000002</v>
      </c>
      <c r="P7" s="50">
        <v>-0.3</v>
      </c>
      <c r="Q7" s="50">
        <v>1.52</v>
      </c>
      <c r="R7" s="50">
        <v>-5.3</v>
      </c>
      <c r="S7" s="50">
        <v>-2.2000000000000002</v>
      </c>
      <c r="T7" s="50">
        <v>-7</v>
      </c>
      <c r="U7" s="50">
        <v>-9.1999999999999993</v>
      </c>
      <c r="V7" s="50">
        <v>-6.8</v>
      </c>
      <c r="W7" s="50">
        <v>-9.9</v>
      </c>
      <c r="X7" s="50">
        <v>-7.6</v>
      </c>
      <c r="Y7" s="50">
        <v>-9.9</v>
      </c>
      <c r="Z7" s="50">
        <v>-8</v>
      </c>
      <c r="AA7" s="50">
        <v>-10.1</v>
      </c>
      <c r="AB7" s="50">
        <v>4.4000000000000004</v>
      </c>
      <c r="AC7" s="50">
        <v>1.1000000000000001</v>
      </c>
      <c r="AD7" s="52">
        <v>2.6</v>
      </c>
      <c r="AE7" s="52">
        <v>6</v>
      </c>
      <c r="AF7" s="52">
        <v>3.6</v>
      </c>
    </row>
    <row r="8" spans="1:32" x14ac:dyDescent="0.25">
      <c r="A8" s="10">
        <v>12</v>
      </c>
      <c r="B8" s="50">
        <v>-4.76</v>
      </c>
      <c r="C8" s="50">
        <v>-6.7</v>
      </c>
      <c r="D8" s="50">
        <v>-2.6</v>
      </c>
      <c r="E8" s="50">
        <v>-4.8</v>
      </c>
      <c r="F8" s="50">
        <v>-5.8</v>
      </c>
      <c r="G8" s="50">
        <v>-12.65</v>
      </c>
      <c r="H8" s="50">
        <v>-6.8</v>
      </c>
      <c r="I8" s="50">
        <v>-9.6</v>
      </c>
      <c r="J8" s="50">
        <v>-18.100000000000001</v>
      </c>
      <c r="K8" s="50">
        <v>-17.600000000000001</v>
      </c>
      <c r="L8" s="50">
        <v>-17.05</v>
      </c>
      <c r="M8" s="50">
        <v>-12.6</v>
      </c>
      <c r="N8" s="50">
        <v>-2.9</v>
      </c>
      <c r="O8" s="50">
        <v>-1.2</v>
      </c>
      <c r="P8" s="50">
        <v>1.3</v>
      </c>
      <c r="Q8" s="50">
        <v>0.38</v>
      </c>
      <c r="R8" s="50">
        <v>-2.2000000000000002</v>
      </c>
      <c r="S8" s="50">
        <v>-0.3</v>
      </c>
      <c r="T8" s="50">
        <v>-6</v>
      </c>
      <c r="U8" s="50">
        <v>-5.0999999999999996</v>
      </c>
      <c r="V8" s="50">
        <v>-3.1</v>
      </c>
      <c r="W8" s="50">
        <v>-7.3</v>
      </c>
      <c r="X8" s="50">
        <v>-6</v>
      </c>
      <c r="Y8" s="50">
        <v>-9</v>
      </c>
      <c r="Z8" s="50">
        <v>-5.3</v>
      </c>
      <c r="AA8" s="50">
        <v>-8.5</v>
      </c>
      <c r="AB8" s="50">
        <v>4.5</v>
      </c>
      <c r="AC8" s="50">
        <v>3</v>
      </c>
      <c r="AD8" s="52">
        <v>4</v>
      </c>
      <c r="AE8" s="52">
        <v>6.1</v>
      </c>
      <c r="AF8" s="52">
        <v>4.5</v>
      </c>
    </row>
    <row r="9" spans="1:32" x14ac:dyDescent="0.25">
      <c r="A9" s="10">
        <v>14</v>
      </c>
      <c r="B9" s="50">
        <v>-3.62</v>
      </c>
      <c r="C9" s="50">
        <v>-6.7</v>
      </c>
      <c r="D9" s="50">
        <v>-2.2999999999999998</v>
      </c>
      <c r="E9" s="50">
        <v>-3.9</v>
      </c>
      <c r="F9" s="50">
        <v>-6.6</v>
      </c>
      <c r="G9" s="50">
        <v>-11.24</v>
      </c>
      <c r="H9" s="50">
        <v>-5.5</v>
      </c>
      <c r="I9" s="50">
        <v>-8.1</v>
      </c>
      <c r="J9" s="50">
        <v>-16.100000000000001</v>
      </c>
      <c r="K9" s="50">
        <v>-16</v>
      </c>
      <c r="L9" s="50">
        <v>-14.75</v>
      </c>
      <c r="M9" s="50">
        <v>-9.5</v>
      </c>
      <c r="N9" s="50">
        <v>-1.8</v>
      </c>
      <c r="O9" s="50">
        <v>-0.9</v>
      </c>
      <c r="P9" s="50">
        <v>1.5</v>
      </c>
      <c r="Q9" s="50">
        <v>0.26</v>
      </c>
      <c r="R9" s="50">
        <v>-1.08</v>
      </c>
      <c r="S9" s="50">
        <v>0</v>
      </c>
      <c r="T9" s="50">
        <v>-5.3</v>
      </c>
      <c r="U9" s="50">
        <v>-2.8</v>
      </c>
      <c r="V9" s="50">
        <v>-2.2999999999999998</v>
      </c>
      <c r="W9" s="50">
        <v>-4.8</v>
      </c>
      <c r="X9" s="50">
        <v>-4.7</v>
      </c>
      <c r="Y9" s="50">
        <v>-9.1</v>
      </c>
      <c r="Z9" s="50">
        <v>-6.14</v>
      </c>
      <c r="AA9" s="50">
        <v>-5</v>
      </c>
      <c r="AB9" s="50">
        <v>5.9</v>
      </c>
      <c r="AC9" s="50">
        <v>5.2</v>
      </c>
      <c r="AD9" s="52">
        <v>4.7</v>
      </c>
      <c r="AE9" s="52">
        <v>5.9</v>
      </c>
      <c r="AF9" s="52">
        <v>6</v>
      </c>
    </row>
    <row r="10" spans="1:32" x14ac:dyDescent="0.25">
      <c r="A10" s="10">
        <v>16</v>
      </c>
      <c r="B10" s="50">
        <v>-3.37</v>
      </c>
      <c r="C10" s="50">
        <v>-6.8</v>
      </c>
      <c r="D10" s="50">
        <v>-2.2999999999999998</v>
      </c>
      <c r="E10" s="50">
        <v>-3.6</v>
      </c>
      <c r="F10" s="50">
        <v>-7.3</v>
      </c>
      <c r="G10" s="50">
        <v>-10.73</v>
      </c>
      <c r="H10" s="50">
        <v>-5.4</v>
      </c>
      <c r="I10" s="50">
        <v>-9.1</v>
      </c>
      <c r="J10" s="50">
        <v>-15.8</v>
      </c>
      <c r="K10" s="50">
        <v>-16.600000000000001</v>
      </c>
      <c r="L10" s="50">
        <v>-14.02</v>
      </c>
      <c r="M10" s="50">
        <v>-8.1</v>
      </c>
      <c r="N10" s="50">
        <v>-1.5</v>
      </c>
      <c r="O10" s="50">
        <v>-0.6</v>
      </c>
      <c r="P10" s="50">
        <v>1.8</v>
      </c>
      <c r="Q10" s="50">
        <v>-0.68</v>
      </c>
      <c r="R10" s="50">
        <v>-0.4</v>
      </c>
      <c r="S10" s="50">
        <v>0.5</v>
      </c>
      <c r="T10" s="50">
        <v>-5</v>
      </c>
      <c r="U10" s="50">
        <v>-2.9</v>
      </c>
      <c r="V10" s="50">
        <v>-2.5</v>
      </c>
      <c r="W10" s="50">
        <v>-4.2</v>
      </c>
      <c r="X10" s="50">
        <v>-5.4</v>
      </c>
      <c r="Y10" s="50">
        <v>-9.6</v>
      </c>
      <c r="Z10" s="50">
        <v>-6.92</v>
      </c>
      <c r="AA10" s="50">
        <v>-3.2</v>
      </c>
      <c r="AB10" s="50">
        <v>5.7</v>
      </c>
      <c r="AC10" s="50">
        <v>5.4</v>
      </c>
      <c r="AD10" s="52">
        <v>4.7</v>
      </c>
      <c r="AE10" s="52">
        <v>5.8</v>
      </c>
      <c r="AF10" s="52">
        <v>6.5</v>
      </c>
    </row>
    <row r="11" spans="1:32" x14ac:dyDescent="0.25">
      <c r="A11" s="10">
        <v>18</v>
      </c>
      <c r="B11" s="50">
        <v>-2.97</v>
      </c>
      <c r="C11" s="50">
        <v>-8.9</v>
      </c>
      <c r="D11" s="50">
        <v>-2.7</v>
      </c>
      <c r="E11" s="50">
        <v>-6.5</v>
      </c>
      <c r="F11" s="50">
        <v>-9.9</v>
      </c>
      <c r="G11" s="50">
        <v>-11.39</v>
      </c>
      <c r="H11" s="50">
        <v>-6.1</v>
      </c>
      <c r="I11" s="50">
        <v>-11.3</v>
      </c>
      <c r="J11" s="50">
        <v>-19.100000000000001</v>
      </c>
      <c r="K11" s="50">
        <v>-19.5</v>
      </c>
      <c r="L11" s="50">
        <v>-17.850000000000001</v>
      </c>
      <c r="M11" s="50">
        <v>-6.99</v>
      </c>
      <c r="N11" s="50">
        <v>-1.9</v>
      </c>
      <c r="O11" s="50">
        <v>-1</v>
      </c>
      <c r="P11" s="50">
        <v>1.4</v>
      </c>
      <c r="Q11" s="50">
        <v>-3.1</v>
      </c>
      <c r="R11" s="50">
        <v>-0.4</v>
      </c>
      <c r="S11" s="50">
        <v>-2.6</v>
      </c>
      <c r="T11" s="50">
        <v>-5.6</v>
      </c>
      <c r="U11" s="50">
        <v>-3.7</v>
      </c>
      <c r="V11" s="50">
        <v>-4.2</v>
      </c>
      <c r="W11" s="50">
        <v>-5.55</v>
      </c>
      <c r="X11" s="50">
        <v>-8.16</v>
      </c>
      <c r="Y11" s="50">
        <v>-10.7</v>
      </c>
      <c r="Z11" s="50">
        <v>-8.65</v>
      </c>
      <c r="AA11" s="50">
        <v>-1</v>
      </c>
      <c r="AB11" s="50">
        <v>4.5</v>
      </c>
      <c r="AC11" s="50">
        <v>3.9</v>
      </c>
      <c r="AD11" s="52">
        <v>4.0999999999999996</v>
      </c>
      <c r="AE11" s="52">
        <v>4.9000000000000004</v>
      </c>
      <c r="AF11" s="52">
        <v>4.2</v>
      </c>
    </row>
    <row r="12" spans="1:32" x14ac:dyDescent="0.25">
      <c r="A12" s="10">
        <v>20</v>
      </c>
      <c r="B12" s="50">
        <v>-4.5</v>
      </c>
      <c r="C12" s="50">
        <v>-9.42</v>
      </c>
      <c r="D12" s="50">
        <v>-4.0999999999999996</v>
      </c>
      <c r="E12" s="50">
        <v>-7.8</v>
      </c>
      <c r="F12" s="50">
        <v>-11</v>
      </c>
      <c r="G12" s="50">
        <v>-12.29</v>
      </c>
      <c r="H12" s="50">
        <v>-6.37</v>
      </c>
      <c r="I12" s="50">
        <v>-12.5</v>
      </c>
      <c r="J12" s="50">
        <v>-21.5</v>
      </c>
      <c r="K12" s="50">
        <v>-21.4</v>
      </c>
      <c r="L12" s="50">
        <v>-20.62</v>
      </c>
      <c r="M12" s="50">
        <v>-6.4</v>
      </c>
      <c r="N12" s="50">
        <v>-2.21</v>
      </c>
      <c r="O12" s="50">
        <v>-1</v>
      </c>
      <c r="P12" s="50">
        <v>1.4</v>
      </c>
      <c r="Q12" s="50">
        <v>-5.7</v>
      </c>
      <c r="R12" s="50">
        <v>-2.44</v>
      </c>
      <c r="S12" s="50">
        <v>-6.6</v>
      </c>
      <c r="T12" s="50">
        <v>-8.4</v>
      </c>
      <c r="U12" s="50">
        <v>-3.5</v>
      </c>
      <c r="V12" s="50">
        <v>-7.4</v>
      </c>
      <c r="W12" s="50">
        <v>-7.6</v>
      </c>
      <c r="X12" s="50">
        <v>-10.76</v>
      </c>
      <c r="Y12" s="50">
        <v>-12.9</v>
      </c>
      <c r="Z12" s="50">
        <v>-11</v>
      </c>
      <c r="AA12" s="50">
        <v>-0.2</v>
      </c>
      <c r="AB12" s="50">
        <v>3</v>
      </c>
      <c r="AC12" s="50">
        <v>3.5</v>
      </c>
      <c r="AD12" s="52">
        <v>3.6</v>
      </c>
      <c r="AE12" s="52">
        <v>3.2</v>
      </c>
      <c r="AF12" s="52">
        <v>3.3</v>
      </c>
    </row>
    <row r="13" spans="1:32" x14ac:dyDescent="0.25">
      <c r="A13" s="10">
        <v>22</v>
      </c>
      <c r="B13" s="50">
        <v>-5.4</v>
      </c>
      <c r="C13" s="50">
        <v>-9.67</v>
      </c>
      <c r="D13" s="50">
        <v>-4.8</v>
      </c>
      <c r="E13" s="50">
        <v>-9.8000000000000007</v>
      </c>
      <c r="F13" s="50">
        <v>-11.3</v>
      </c>
      <c r="G13" s="50">
        <v>-11.3</v>
      </c>
      <c r="H13" s="50">
        <v>-7.44</v>
      </c>
      <c r="I13" s="50">
        <v>-13.7</v>
      </c>
      <c r="J13" s="50">
        <v>-22.2</v>
      </c>
      <c r="K13" s="50">
        <v>-21.2</v>
      </c>
      <c r="L13" s="50">
        <v>-22.02</v>
      </c>
      <c r="M13" s="50">
        <v>-5.72</v>
      </c>
      <c r="N13" s="50">
        <v>-2.19</v>
      </c>
      <c r="O13" s="50">
        <v>-1.2</v>
      </c>
      <c r="P13" s="50">
        <v>1.6</v>
      </c>
      <c r="Q13" s="50">
        <v>-5.5</v>
      </c>
      <c r="R13" s="50">
        <v>-2.37</v>
      </c>
      <c r="S13" s="50">
        <v>-8.4</v>
      </c>
      <c r="T13" s="50">
        <v>-10.4</v>
      </c>
      <c r="U13" s="50">
        <v>-3.6</v>
      </c>
      <c r="V13" s="50">
        <v>-8</v>
      </c>
      <c r="W13" s="50">
        <v>-6</v>
      </c>
      <c r="X13" s="50">
        <v>-10.3</v>
      </c>
      <c r="Y13" s="50">
        <v>-13.4</v>
      </c>
      <c r="Z13" s="50">
        <v>-13</v>
      </c>
      <c r="AA13" s="50">
        <v>-1.3</v>
      </c>
      <c r="AB13" s="50">
        <v>2.9</v>
      </c>
      <c r="AC13" s="50">
        <v>3.2</v>
      </c>
      <c r="AD13" s="52">
        <v>3.8</v>
      </c>
      <c r="AE13" s="52">
        <v>2.8</v>
      </c>
      <c r="AF13" s="52">
        <v>2.1</v>
      </c>
    </row>
    <row r="14" spans="1:32" x14ac:dyDescent="0.25">
      <c r="A14" s="10">
        <v>24</v>
      </c>
      <c r="B14" s="50">
        <v>-8</v>
      </c>
      <c r="C14" s="50">
        <v>-9.2100000000000009</v>
      </c>
      <c r="D14" s="50">
        <v>-4.8</v>
      </c>
      <c r="E14" s="50">
        <v>-11.2</v>
      </c>
      <c r="F14" s="50">
        <v>-12.2</v>
      </c>
      <c r="G14" s="50">
        <v>-11.5</v>
      </c>
      <c r="H14" s="50">
        <v>-8.3699999999999992</v>
      </c>
      <c r="I14" s="50">
        <v>-17</v>
      </c>
      <c r="J14" s="50">
        <v>-25.5</v>
      </c>
      <c r="K14" s="50">
        <v>-23.2</v>
      </c>
      <c r="L14" s="50">
        <v>-23.72</v>
      </c>
      <c r="M14" s="50">
        <v>-5.53</v>
      </c>
      <c r="N14" s="50">
        <v>-2.2999999999999998</v>
      </c>
      <c r="O14" s="50">
        <v>-1.8</v>
      </c>
      <c r="P14" s="50">
        <v>1.9</v>
      </c>
      <c r="Q14" s="50">
        <v>-7.5</v>
      </c>
      <c r="R14" s="50">
        <v>-3.17</v>
      </c>
      <c r="S14" s="50">
        <v>-9.6999999999999993</v>
      </c>
      <c r="T14" s="50">
        <v>-10.6</v>
      </c>
      <c r="U14" s="50">
        <v>-2.8</v>
      </c>
      <c r="V14" s="50">
        <v>-9.3000000000000007</v>
      </c>
      <c r="W14" s="50">
        <v>-9.1999999999999993</v>
      </c>
      <c r="X14" s="50">
        <v>-11.6</v>
      </c>
      <c r="Y14" s="50">
        <v>-14.5</v>
      </c>
      <c r="Z14" s="50">
        <v>-13.2</v>
      </c>
      <c r="AA14" s="50">
        <v>-2.5</v>
      </c>
      <c r="AB14" s="50">
        <v>2.7</v>
      </c>
      <c r="AC14" s="50">
        <v>2.5</v>
      </c>
      <c r="AD14" s="52">
        <v>3.8</v>
      </c>
      <c r="AE14" s="52">
        <v>2.2000000000000002</v>
      </c>
      <c r="AF14" s="52">
        <v>1</v>
      </c>
    </row>
    <row r="15" spans="1:32" x14ac:dyDescent="0.25">
      <c r="A15" s="10">
        <v>2</v>
      </c>
      <c r="B15" s="50">
        <v>-8.5</v>
      </c>
      <c r="C15" s="50">
        <v>-7.6</v>
      </c>
      <c r="D15" s="50">
        <v>-6.3</v>
      </c>
      <c r="E15" s="50">
        <v>-12.2</v>
      </c>
      <c r="F15" s="50">
        <v>-14.3</v>
      </c>
      <c r="G15" s="50">
        <v>-11.3</v>
      </c>
      <c r="H15" s="50">
        <v>-9.6</v>
      </c>
      <c r="I15" s="50">
        <v>-18.600000000000001</v>
      </c>
      <c r="J15" s="50">
        <v>-27.4</v>
      </c>
      <c r="K15" s="50">
        <v>-24.37</v>
      </c>
      <c r="L15" s="50">
        <v>-24.68</v>
      </c>
      <c r="M15" s="50">
        <v>-6.58</v>
      </c>
      <c r="N15" s="50">
        <v>-2.77</v>
      </c>
      <c r="O15" s="50">
        <v>-1.73</v>
      </c>
      <c r="P15" s="50">
        <v>-2.2000000000000002</v>
      </c>
      <c r="Q15" s="50">
        <v>-8.11</v>
      </c>
      <c r="R15" s="50">
        <v>-2.39</v>
      </c>
      <c r="S15" s="50">
        <v>-12.4</v>
      </c>
      <c r="T15" s="50">
        <v>-12.86</v>
      </c>
      <c r="U15" s="50">
        <v>-2.8</v>
      </c>
      <c r="V15" s="50">
        <v>-10.199999999999999</v>
      </c>
      <c r="W15" s="50">
        <v>-10.65</v>
      </c>
      <c r="X15" s="50">
        <v>-14.7</v>
      </c>
      <c r="Y15" s="50">
        <v>-15.8</v>
      </c>
      <c r="Z15" s="50">
        <v>-13.55</v>
      </c>
      <c r="AA15" s="50">
        <v>-2.87</v>
      </c>
      <c r="AB15" s="50">
        <v>2.6</v>
      </c>
      <c r="AC15" s="50">
        <v>0.87</v>
      </c>
      <c r="AD15" s="52">
        <v>3.26</v>
      </c>
      <c r="AE15" s="52">
        <v>0.24</v>
      </c>
      <c r="AF15" s="52">
        <v>0.25</v>
      </c>
    </row>
    <row r="16" spans="1:32" ht="30" x14ac:dyDescent="0.25">
      <c r="A16" s="11" t="s">
        <v>2</v>
      </c>
      <c r="B16" s="45">
        <f>AVERAGE(B4+B5+B6+B7+B8+B9+B10+B11+B12+B13+B14+B15)/12</f>
        <v>-6.7591666666666654</v>
      </c>
      <c r="C16" s="45">
        <f t="shared" ref="C16:AF16" si="0">AVERAGE(C4+C5+C6+C7+C8+C9+C10+C11+C12+C13+C14+C15)/12</f>
        <v>-8.3166666666666647</v>
      </c>
      <c r="D16" s="45">
        <f t="shared" si="0"/>
        <v>-3.7916666666666661</v>
      </c>
      <c r="E16" s="45">
        <f t="shared" si="0"/>
        <v>-7.416666666666667</v>
      </c>
      <c r="F16" s="45">
        <f t="shared" si="0"/>
        <v>-10.591666666666667</v>
      </c>
      <c r="G16" s="45">
        <f t="shared" si="0"/>
        <v>-13.114166666666669</v>
      </c>
      <c r="H16" s="45">
        <f t="shared" si="0"/>
        <v>-8.4983333333333331</v>
      </c>
      <c r="I16" s="45">
        <f t="shared" si="0"/>
        <v>-12.549999999999999</v>
      </c>
      <c r="J16" s="45">
        <f t="shared" si="0"/>
        <v>-21.05</v>
      </c>
      <c r="K16" s="45">
        <f t="shared" si="0"/>
        <v>-21.714166666666667</v>
      </c>
      <c r="L16" s="45">
        <f t="shared" si="0"/>
        <v>-20.438333333333336</v>
      </c>
      <c r="M16" s="45">
        <f t="shared" si="0"/>
        <v>-12.803333333333335</v>
      </c>
      <c r="N16" s="45">
        <f t="shared" si="0"/>
        <v>-3.4175</v>
      </c>
      <c r="O16" s="45">
        <f t="shared" si="0"/>
        <v>-1.7383333333333333</v>
      </c>
      <c r="P16" s="45">
        <f t="shared" si="0"/>
        <v>0.26666666666666666</v>
      </c>
      <c r="Q16" s="45">
        <f t="shared" si="0"/>
        <v>-1.8399999999999999</v>
      </c>
      <c r="R16" s="45">
        <f t="shared" si="0"/>
        <v>-4.4541666666666666</v>
      </c>
      <c r="S16" s="45">
        <f t="shared" si="0"/>
        <v>-4.3499999999999996</v>
      </c>
      <c r="T16" s="45">
        <f t="shared" si="0"/>
        <v>-9.4133333333333322</v>
      </c>
      <c r="U16" s="45">
        <f t="shared" si="0"/>
        <v>-6.6166666666666663</v>
      </c>
      <c r="V16" s="45">
        <f t="shared" si="0"/>
        <v>-6.2666666666666666</v>
      </c>
      <c r="W16" s="45">
        <f t="shared" si="0"/>
        <v>-8.5166666666666675</v>
      </c>
      <c r="X16" s="45">
        <f t="shared" si="0"/>
        <v>-8.9016666666666673</v>
      </c>
      <c r="Y16" s="45">
        <f t="shared" si="0"/>
        <v>-12.133333333333335</v>
      </c>
      <c r="Z16" s="45">
        <f t="shared" si="0"/>
        <v>-10.921666666666667</v>
      </c>
      <c r="AA16" s="45">
        <f t="shared" si="0"/>
        <v>-6.3225000000000016</v>
      </c>
      <c r="AB16" s="45">
        <f t="shared" si="0"/>
        <v>2.7249999999999996</v>
      </c>
      <c r="AC16" s="45">
        <f t="shared" si="0"/>
        <v>2.5141666666666667</v>
      </c>
      <c r="AD16" s="45">
        <f t="shared" si="0"/>
        <v>3.4133333333333327</v>
      </c>
      <c r="AE16" s="45">
        <f t="shared" si="0"/>
        <v>3.8616666666666668</v>
      </c>
      <c r="AF16" s="45">
        <f t="shared" si="0"/>
        <v>2.7058333333333331</v>
      </c>
    </row>
    <row r="21" spans="1:32" ht="15.75" x14ac:dyDescent="0.25">
      <c r="A21" s="4" t="s">
        <v>7</v>
      </c>
      <c r="B21" s="139" t="s">
        <v>1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</row>
    <row r="22" spans="1:32" x14ac:dyDescent="0.25">
      <c r="A22" s="134" t="s">
        <v>0</v>
      </c>
      <c r="B22" s="138" t="s">
        <v>9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</row>
    <row r="23" spans="1:32" x14ac:dyDescent="0.25">
      <c r="A23" s="134"/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51">
        <v>29</v>
      </c>
      <c r="AE23" s="51">
        <v>30</v>
      </c>
      <c r="AF23" s="51">
        <v>31</v>
      </c>
    </row>
    <row r="24" spans="1:32" x14ac:dyDescent="0.25">
      <c r="A24" s="10">
        <v>4</v>
      </c>
      <c r="B24" s="50">
        <v>-13.3</v>
      </c>
      <c r="C24" s="50">
        <v>-10</v>
      </c>
      <c r="D24" s="50">
        <v>-8.8000000000000007</v>
      </c>
      <c r="E24" s="50">
        <v>-6.9</v>
      </c>
      <c r="F24" s="50">
        <v>-13.7</v>
      </c>
      <c r="G24" s="50">
        <v>-17.2</v>
      </c>
      <c r="H24" s="50">
        <v>-12</v>
      </c>
      <c r="I24" s="50">
        <v>-11.6</v>
      </c>
      <c r="J24" s="50">
        <v>-20.6</v>
      </c>
      <c r="K24" s="50">
        <v>-27</v>
      </c>
      <c r="L24" s="50">
        <v>-27.8</v>
      </c>
      <c r="M24" s="50">
        <v>-25.9</v>
      </c>
      <c r="N24" s="50">
        <v>-6.7</v>
      </c>
      <c r="O24" s="50">
        <v>-3.2</v>
      </c>
      <c r="P24" s="50">
        <v>-2.2000000000000002</v>
      </c>
      <c r="Q24" s="50">
        <v>2.7</v>
      </c>
      <c r="R24" s="50">
        <v>-12</v>
      </c>
      <c r="S24" s="50">
        <v>-2.4</v>
      </c>
      <c r="T24" s="50">
        <v>-14.1</v>
      </c>
      <c r="U24" s="50">
        <v>-16.2</v>
      </c>
      <c r="V24" s="50">
        <v>-6.2</v>
      </c>
      <c r="W24" s="50">
        <v>-11</v>
      </c>
      <c r="X24" s="50">
        <v>-10.4</v>
      </c>
      <c r="Y24" s="50">
        <v>-12.8</v>
      </c>
      <c r="Z24" s="50">
        <v>-19.399999999999999</v>
      </c>
      <c r="AA24" s="50">
        <v>-15.5</v>
      </c>
      <c r="AB24" s="50">
        <v>-2.2000000000000002</v>
      </c>
      <c r="AC24" s="50">
        <v>2</v>
      </c>
      <c r="AD24" s="52">
        <v>0.6</v>
      </c>
      <c r="AE24" s="52">
        <v>3.4</v>
      </c>
      <c r="AF24" s="52">
        <v>0</v>
      </c>
    </row>
    <row r="25" spans="1:32" x14ac:dyDescent="0.25">
      <c r="A25" s="10">
        <v>6</v>
      </c>
      <c r="B25" s="50">
        <v>-12.4</v>
      </c>
      <c r="C25" s="50">
        <v>-10.6</v>
      </c>
      <c r="D25" s="50">
        <v>-7.8</v>
      </c>
      <c r="E25" s="50">
        <v>-6.5</v>
      </c>
      <c r="F25" s="50">
        <v>-14.9</v>
      </c>
      <c r="G25" s="50">
        <v>-17.899999999999999</v>
      </c>
      <c r="H25" s="50">
        <v>-12.7</v>
      </c>
      <c r="I25" s="50">
        <v>-13.4</v>
      </c>
      <c r="J25" s="50">
        <v>-22.4</v>
      </c>
      <c r="K25" s="50">
        <v>-27</v>
      </c>
      <c r="L25" s="50">
        <v>-29.3</v>
      </c>
      <c r="M25" s="50">
        <v>-28.6</v>
      </c>
      <c r="N25" s="50">
        <v>-6.6</v>
      </c>
      <c r="O25" s="50">
        <v>-3.4</v>
      </c>
      <c r="P25" s="50">
        <v>-1.9</v>
      </c>
      <c r="Q25" s="50">
        <v>2.2999999999999998</v>
      </c>
      <c r="R25" s="50">
        <v>-12.3</v>
      </c>
      <c r="S25" s="50">
        <v>-3.1</v>
      </c>
      <c r="T25" s="50">
        <v>-14.8</v>
      </c>
      <c r="U25" s="50">
        <v>-16.3</v>
      </c>
      <c r="V25" s="50">
        <v>-5.6</v>
      </c>
      <c r="W25" s="50">
        <v>-13.4</v>
      </c>
      <c r="X25" s="50">
        <v>-8.8000000000000007</v>
      </c>
      <c r="Y25" s="50">
        <v>-13.1</v>
      </c>
      <c r="Z25" s="50">
        <v>-20.2</v>
      </c>
      <c r="AA25" s="50">
        <v>-14.8</v>
      </c>
      <c r="AB25" s="50">
        <v>-1.9</v>
      </c>
      <c r="AC25" s="50">
        <v>1.4</v>
      </c>
      <c r="AD25" s="52">
        <v>1.6</v>
      </c>
      <c r="AE25" s="52">
        <v>2.8</v>
      </c>
      <c r="AF25" s="52">
        <v>-0.7</v>
      </c>
    </row>
    <row r="26" spans="1:32" x14ac:dyDescent="0.25">
      <c r="A26" s="10">
        <v>8</v>
      </c>
      <c r="B26" s="50">
        <v>-11.1</v>
      </c>
      <c r="C26" s="50">
        <v>-10.8</v>
      </c>
      <c r="D26" s="50">
        <v>-5.0999999999999996</v>
      </c>
      <c r="E26" s="50">
        <v>-7.1</v>
      </c>
      <c r="F26" s="50">
        <v>-15.1</v>
      </c>
      <c r="G26" s="50">
        <v>-17.3</v>
      </c>
      <c r="H26" s="50">
        <v>-11.7</v>
      </c>
      <c r="I26" s="50">
        <v>-13.7</v>
      </c>
      <c r="J26" s="50">
        <v>-22.5</v>
      </c>
      <c r="K26" s="50">
        <v>-26.8</v>
      </c>
      <c r="L26" s="50">
        <v>-27.2</v>
      </c>
      <c r="M26" s="50">
        <v>-25.1</v>
      </c>
      <c r="N26" s="50">
        <v>-5.8</v>
      </c>
      <c r="O26" s="50">
        <v>-3.2</v>
      </c>
      <c r="P26" s="50">
        <v>-2.1</v>
      </c>
      <c r="Q26" s="50">
        <v>2.2000000000000002</v>
      </c>
      <c r="R26" s="50">
        <v>-8.3000000000000007</v>
      </c>
      <c r="S26" s="50">
        <v>-3.6</v>
      </c>
      <c r="T26" s="50">
        <v>-14.3</v>
      </c>
      <c r="U26" s="50">
        <v>-12.4</v>
      </c>
      <c r="V26" s="50">
        <v>-6.2</v>
      </c>
      <c r="W26" s="50">
        <v>-12.4</v>
      </c>
      <c r="X26" s="50">
        <v>-8.1999999999999993</v>
      </c>
      <c r="Y26" s="50">
        <v>-10.199999999999999</v>
      </c>
      <c r="Z26" s="50">
        <v>-16.399999999999999</v>
      </c>
      <c r="AA26" s="50">
        <v>-11.7</v>
      </c>
      <c r="AB26" s="50">
        <v>-0.3</v>
      </c>
      <c r="AC26" s="50">
        <v>1.3</v>
      </c>
      <c r="AD26" s="52">
        <v>2.9</v>
      </c>
      <c r="AE26" s="52">
        <v>3.4</v>
      </c>
      <c r="AF26" s="52">
        <v>1.8</v>
      </c>
    </row>
    <row r="27" spans="1:32" x14ac:dyDescent="0.25">
      <c r="A27" s="10">
        <v>10</v>
      </c>
      <c r="B27" s="50">
        <v>-8.6999999999999993</v>
      </c>
      <c r="C27" s="50">
        <v>-10.1</v>
      </c>
      <c r="D27" s="50">
        <v>-2.8</v>
      </c>
      <c r="E27" s="50">
        <v>-7.4</v>
      </c>
      <c r="F27" s="50">
        <v>-11.8</v>
      </c>
      <c r="G27" s="50">
        <v>-14.7</v>
      </c>
      <c r="H27" s="50">
        <v>-8.1999999999999993</v>
      </c>
      <c r="I27" s="50">
        <v>-11.2</v>
      </c>
      <c r="J27" s="50">
        <v>-20.6</v>
      </c>
      <c r="K27" s="50">
        <v>-22.6</v>
      </c>
      <c r="L27" s="50">
        <v>-19.3</v>
      </c>
      <c r="M27" s="50">
        <v>-19.899999999999999</v>
      </c>
      <c r="N27" s="50">
        <v>-4.4000000000000004</v>
      </c>
      <c r="O27" s="50">
        <v>-2.2999999999999998</v>
      </c>
      <c r="P27" s="50">
        <v>-0.7</v>
      </c>
      <c r="Q27" s="50">
        <v>2.5</v>
      </c>
      <c r="R27" s="50">
        <v>-5.9</v>
      </c>
      <c r="S27" s="50">
        <v>-1.2</v>
      </c>
      <c r="T27" s="50">
        <v>-8.6</v>
      </c>
      <c r="U27" s="50">
        <v>-9.5</v>
      </c>
      <c r="V27" s="50">
        <v>-5.3</v>
      </c>
      <c r="W27" s="50">
        <v>-8.5</v>
      </c>
      <c r="X27" s="50">
        <v>-7.1</v>
      </c>
      <c r="Y27" s="50">
        <v>-8.6999999999999993</v>
      </c>
      <c r="Z27" s="50">
        <v>-11.6</v>
      </c>
      <c r="AA27" s="50">
        <v>-7.8</v>
      </c>
      <c r="AB27" s="50">
        <v>2.2000000000000002</v>
      </c>
      <c r="AC27" s="50">
        <v>2.2000000000000002</v>
      </c>
      <c r="AD27" s="52">
        <v>3</v>
      </c>
      <c r="AE27" s="52">
        <v>5.0999999999999996</v>
      </c>
      <c r="AF27" s="52">
        <v>3.5</v>
      </c>
    </row>
    <row r="28" spans="1:32" x14ac:dyDescent="0.25">
      <c r="A28" s="10">
        <v>12</v>
      </c>
      <c r="B28" s="50">
        <v>-6.2</v>
      </c>
      <c r="C28" s="50">
        <v>-8</v>
      </c>
      <c r="D28" s="50">
        <v>-2.1</v>
      </c>
      <c r="E28" s="50">
        <v>-6</v>
      </c>
      <c r="F28" s="50">
        <v>-8.1999999999999993</v>
      </c>
      <c r="G28" s="50">
        <v>-11.9</v>
      </c>
      <c r="H28" s="50">
        <v>-6.1</v>
      </c>
      <c r="I28" s="50">
        <v>-8.1999999999999993</v>
      </c>
      <c r="J28" s="50">
        <v>-16.7</v>
      </c>
      <c r="K28" s="50">
        <v>-18.899999999999999</v>
      </c>
      <c r="L28" s="50">
        <v>-13.9</v>
      </c>
      <c r="M28" s="50">
        <v>-13.6</v>
      </c>
      <c r="N28" s="50">
        <v>-2.8</v>
      </c>
      <c r="O28" s="50">
        <v>-0.8</v>
      </c>
      <c r="P28" s="50">
        <v>0.8</v>
      </c>
      <c r="Q28" s="50">
        <v>1.9</v>
      </c>
      <c r="R28" s="50">
        <v>-1.9</v>
      </c>
      <c r="S28" s="50">
        <v>-0.1</v>
      </c>
      <c r="T28" s="50">
        <v>-6.3</v>
      </c>
      <c r="U28" s="50">
        <v>-5.8</v>
      </c>
      <c r="V28" s="50">
        <v>-3.7</v>
      </c>
      <c r="W28" s="50">
        <v>-5.7</v>
      </c>
      <c r="X28" s="50">
        <v>-5.5</v>
      </c>
      <c r="Y28" s="50">
        <v>-6.9</v>
      </c>
      <c r="Z28" s="50">
        <v>-9.5</v>
      </c>
      <c r="AA28" s="50">
        <v>-3.1</v>
      </c>
      <c r="AB28" s="50">
        <v>3.5</v>
      </c>
      <c r="AC28" s="50">
        <v>3.1</v>
      </c>
      <c r="AD28" s="52">
        <v>4.8</v>
      </c>
      <c r="AE28" s="52">
        <v>5.8</v>
      </c>
      <c r="AF28" s="52">
        <v>4.5</v>
      </c>
    </row>
    <row r="29" spans="1:32" x14ac:dyDescent="0.25">
      <c r="A29" s="10">
        <v>14</v>
      </c>
      <c r="B29" s="50">
        <v>-4.3</v>
      </c>
      <c r="C29" s="50">
        <v>-8.1</v>
      </c>
      <c r="D29" s="50">
        <v>-1.3</v>
      </c>
      <c r="E29" s="50">
        <v>-5.3</v>
      </c>
      <c r="F29" s="50">
        <v>-7.6</v>
      </c>
      <c r="G29" s="50">
        <v>-10.9</v>
      </c>
      <c r="H29" s="50">
        <v>-5.0999999999999996</v>
      </c>
      <c r="I29" s="50">
        <v>-7.9</v>
      </c>
      <c r="J29" s="50">
        <v>-15</v>
      </c>
      <c r="K29" s="50">
        <v>-13.9</v>
      </c>
      <c r="L29" s="50">
        <v>-12.9</v>
      </c>
      <c r="M29" s="50">
        <v>-9.8000000000000007</v>
      </c>
      <c r="N29" s="50">
        <v>-1.5</v>
      </c>
      <c r="O29" s="50">
        <v>-0.8</v>
      </c>
      <c r="P29" s="50">
        <v>1.4</v>
      </c>
      <c r="Q29" s="50">
        <v>1</v>
      </c>
      <c r="R29" s="50">
        <v>-1</v>
      </c>
      <c r="S29" s="50">
        <v>0.4</v>
      </c>
      <c r="T29" s="50">
        <v>-4.9000000000000004</v>
      </c>
      <c r="U29" s="50">
        <v>-3.4</v>
      </c>
      <c r="V29" s="50">
        <v>-3.1</v>
      </c>
      <c r="W29" s="50">
        <v>-3.8</v>
      </c>
      <c r="X29" s="50">
        <v>-4.9000000000000004</v>
      </c>
      <c r="Y29" s="50">
        <v>-6.3</v>
      </c>
      <c r="Z29" s="50">
        <v>-7.1</v>
      </c>
      <c r="AA29" s="50">
        <v>0.6</v>
      </c>
      <c r="AB29" s="50">
        <v>6.2</v>
      </c>
      <c r="AC29" s="50">
        <v>4.5</v>
      </c>
      <c r="AD29" s="52">
        <v>4.8</v>
      </c>
      <c r="AE29" s="52">
        <v>6</v>
      </c>
      <c r="AF29" s="52">
        <v>5.6</v>
      </c>
    </row>
    <row r="30" spans="1:32" x14ac:dyDescent="0.25">
      <c r="A30" s="10">
        <v>16</v>
      </c>
      <c r="B30" s="50">
        <v>-3.4</v>
      </c>
      <c r="C30" s="50">
        <v>-7.6</v>
      </c>
      <c r="D30" s="50">
        <v>-1.8</v>
      </c>
      <c r="E30" s="50">
        <v>-4.3</v>
      </c>
      <c r="F30" s="50">
        <v>-6.6</v>
      </c>
      <c r="G30" s="50">
        <v>-10.3</v>
      </c>
      <c r="H30" s="50">
        <v>-5.3</v>
      </c>
      <c r="I30" s="50">
        <v>-9.4</v>
      </c>
      <c r="J30" s="50">
        <v>-14.8</v>
      </c>
      <c r="K30" s="50">
        <v>-14.9</v>
      </c>
      <c r="L30" s="50">
        <v>-13</v>
      </c>
      <c r="M30" s="50">
        <v>-9.1</v>
      </c>
      <c r="N30" s="50">
        <v>-1.5</v>
      </c>
      <c r="O30" s="50">
        <v>-0.6</v>
      </c>
      <c r="P30" s="50">
        <v>2.1</v>
      </c>
      <c r="Q30" s="50">
        <v>-0.1</v>
      </c>
      <c r="R30" s="50">
        <v>-0.2</v>
      </c>
      <c r="S30" s="50">
        <v>0.2</v>
      </c>
      <c r="T30" s="50">
        <v>-6.2</v>
      </c>
      <c r="U30" s="50">
        <v>-2</v>
      </c>
      <c r="V30" s="50">
        <v>-2.8</v>
      </c>
      <c r="W30" s="50">
        <v>-3.8</v>
      </c>
      <c r="X30" s="50">
        <v>-4.2</v>
      </c>
      <c r="Y30" s="50">
        <v>-6.6</v>
      </c>
      <c r="Z30" s="50">
        <v>-5.7</v>
      </c>
      <c r="AA30" s="50">
        <v>1.8</v>
      </c>
      <c r="AB30" s="50">
        <v>6.4</v>
      </c>
      <c r="AC30" s="50">
        <v>5.3</v>
      </c>
      <c r="AD30" s="52">
        <v>5.0999999999999996</v>
      </c>
      <c r="AE30" s="52">
        <v>5.9</v>
      </c>
      <c r="AF30" s="52">
        <v>7.5</v>
      </c>
    </row>
    <row r="31" spans="1:32" x14ac:dyDescent="0.25">
      <c r="A31" s="10">
        <v>18</v>
      </c>
      <c r="B31" s="50">
        <v>-3.3</v>
      </c>
      <c r="C31" s="50">
        <v>-9.1999999999999993</v>
      </c>
      <c r="D31" s="50">
        <v>-2.8</v>
      </c>
      <c r="E31" s="50">
        <v>-7.4</v>
      </c>
      <c r="F31" s="50">
        <v>-10.199999999999999</v>
      </c>
      <c r="G31" s="50">
        <v>-11.4</v>
      </c>
      <c r="H31" s="50">
        <v>-6</v>
      </c>
      <c r="I31" s="50">
        <v>-11.9</v>
      </c>
      <c r="J31" s="50">
        <v>-18.8</v>
      </c>
      <c r="K31" s="50">
        <v>-18.2</v>
      </c>
      <c r="L31" s="50">
        <v>-17.7</v>
      </c>
      <c r="M31" s="50">
        <v>-7.3</v>
      </c>
      <c r="N31" s="50">
        <v>-1.7</v>
      </c>
      <c r="O31" s="50">
        <v>-1</v>
      </c>
      <c r="P31" s="50">
        <v>1.9</v>
      </c>
      <c r="Q31" s="50">
        <v>-1.2</v>
      </c>
      <c r="R31" s="50">
        <v>0</v>
      </c>
      <c r="S31" s="50">
        <v>-1.4</v>
      </c>
      <c r="T31" s="50">
        <v>-7</v>
      </c>
      <c r="U31" s="50">
        <v>-5.3</v>
      </c>
      <c r="V31" s="50">
        <v>-5.9</v>
      </c>
      <c r="W31" s="50">
        <v>-5.4</v>
      </c>
      <c r="X31" s="50">
        <v>-7.4</v>
      </c>
      <c r="Y31" s="50">
        <v>-9.1999999999999993</v>
      </c>
      <c r="Z31" s="50">
        <v>-9.6</v>
      </c>
      <c r="AA31" s="50">
        <v>1.5</v>
      </c>
      <c r="AB31" s="50">
        <v>4.5</v>
      </c>
      <c r="AC31" s="50">
        <v>4.0999999999999996</v>
      </c>
      <c r="AD31" s="52">
        <v>4.3</v>
      </c>
      <c r="AE31" s="52">
        <v>4.8</v>
      </c>
      <c r="AF31" s="52">
        <v>5.2</v>
      </c>
    </row>
    <row r="32" spans="1:32" x14ac:dyDescent="0.25">
      <c r="A32" s="10">
        <v>20</v>
      </c>
      <c r="B32" s="50">
        <v>-3.7</v>
      </c>
      <c r="C32" s="50">
        <v>-10.3</v>
      </c>
      <c r="D32" s="50">
        <v>-2.9</v>
      </c>
      <c r="E32" s="50">
        <v>-9</v>
      </c>
      <c r="F32" s="50">
        <v>-11.3</v>
      </c>
      <c r="G32" s="50">
        <v>-11.8</v>
      </c>
      <c r="H32" s="50">
        <v>-6</v>
      </c>
      <c r="I32" s="50">
        <v>-13</v>
      </c>
      <c r="J32" s="50">
        <v>-21.6</v>
      </c>
      <c r="K32" s="50">
        <v>-21.8</v>
      </c>
      <c r="L32" s="50">
        <v>-20.8</v>
      </c>
      <c r="M32" s="50">
        <v>-6.8</v>
      </c>
      <c r="N32" s="50">
        <v>-2.2999999999999998</v>
      </c>
      <c r="O32" s="50">
        <v>-1</v>
      </c>
      <c r="P32" s="50">
        <v>1.2</v>
      </c>
      <c r="Q32" s="50">
        <v>-5.3</v>
      </c>
      <c r="R32" s="50">
        <v>-0.7</v>
      </c>
      <c r="S32" s="50">
        <v>-5.2</v>
      </c>
      <c r="T32" s="50">
        <v>-9.6999999999999993</v>
      </c>
      <c r="U32" s="50">
        <v>-6.1</v>
      </c>
      <c r="V32" s="50">
        <v>-8.8000000000000007</v>
      </c>
      <c r="W32" s="50">
        <v>-6.9</v>
      </c>
      <c r="X32" s="50">
        <v>-11</v>
      </c>
      <c r="Y32" s="50">
        <v>-12.4</v>
      </c>
      <c r="Z32" s="50">
        <v>-13.7</v>
      </c>
      <c r="AA32" s="50">
        <v>0.2</v>
      </c>
      <c r="AB32" s="50">
        <v>3.1</v>
      </c>
      <c r="AC32" s="50">
        <v>3.7</v>
      </c>
      <c r="AD32" s="52">
        <v>3.4</v>
      </c>
      <c r="AE32" s="52">
        <v>3.4</v>
      </c>
      <c r="AF32" s="52">
        <v>3.7</v>
      </c>
    </row>
    <row r="33" spans="1:32" x14ac:dyDescent="0.25">
      <c r="A33" s="10">
        <v>22</v>
      </c>
      <c r="B33" s="50">
        <v>-6.1</v>
      </c>
      <c r="C33" s="50">
        <v>-10.6</v>
      </c>
      <c r="D33" s="50">
        <v>-4.9000000000000004</v>
      </c>
      <c r="E33" s="50">
        <v>-11.2</v>
      </c>
      <c r="F33" s="50">
        <v>-12.5</v>
      </c>
      <c r="G33" s="50">
        <v>-11.6</v>
      </c>
      <c r="H33" s="50">
        <v>-7.1</v>
      </c>
      <c r="I33" s="50">
        <v>-15.2</v>
      </c>
      <c r="J33" s="50">
        <v>-24.3</v>
      </c>
      <c r="K33" s="50">
        <v>-23.7</v>
      </c>
      <c r="L33" s="50">
        <v>-22.3</v>
      </c>
      <c r="M33" s="50">
        <v>-6.2</v>
      </c>
      <c r="N33" s="50">
        <v>-2.5</v>
      </c>
      <c r="O33" s="50">
        <v>-1.2</v>
      </c>
      <c r="P33" s="50">
        <v>1.6</v>
      </c>
      <c r="Q33" s="50">
        <v>-7.7</v>
      </c>
      <c r="R33" s="50">
        <v>-1.5</v>
      </c>
      <c r="S33" s="50">
        <v>-8.5</v>
      </c>
      <c r="T33" s="50">
        <v>-11.3</v>
      </c>
      <c r="U33" s="50">
        <v>-4.0999999999999996</v>
      </c>
      <c r="V33" s="50">
        <v>-8.9</v>
      </c>
      <c r="W33" s="50">
        <v>-6.7</v>
      </c>
      <c r="X33" s="50">
        <v>-9</v>
      </c>
      <c r="Y33" s="50">
        <v>-13.4</v>
      </c>
      <c r="Z33" s="50">
        <v>-14.8</v>
      </c>
      <c r="AA33" s="50">
        <v>-1.2</v>
      </c>
      <c r="AB33" s="50">
        <v>3.1</v>
      </c>
      <c r="AC33" s="50">
        <v>3.5</v>
      </c>
      <c r="AD33" s="52">
        <v>3.5</v>
      </c>
      <c r="AE33" s="52">
        <v>2.5</v>
      </c>
      <c r="AF33" s="52">
        <v>2.2999999999999998</v>
      </c>
    </row>
    <row r="34" spans="1:32" x14ac:dyDescent="0.25">
      <c r="A34" s="10">
        <v>24</v>
      </c>
      <c r="B34" s="50">
        <v>-7.8</v>
      </c>
      <c r="C34" s="50">
        <v>-10</v>
      </c>
      <c r="D34" s="50">
        <v>-5</v>
      </c>
      <c r="E34" s="50">
        <v>-12.1</v>
      </c>
      <c r="F34" s="50">
        <v>-12.6</v>
      </c>
      <c r="G34" s="50">
        <v>-11.4</v>
      </c>
      <c r="H34" s="50">
        <v>-9.6</v>
      </c>
      <c r="I34" s="50">
        <v>-16.600000000000001</v>
      </c>
      <c r="J34" s="50">
        <v>-25.6</v>
      </c>
      <c r="K34" s="50">
        <v>-25.3</v>
      </c>
      <c r="L34" s="50">
        <v>-23.7</v>
      </c>
      <c r="M34" s="50">
        <v>-6.2</v>
      </c>
      <c r="N34" s="50">
        <v>-2.7</v>
      </c>
      <c r="O34" s="50">
        <v>-1.5</v>
      </c>
      <c r="P34" s="50">
        <v>2.2000000000000002</v>
      </c>
      <c r="Q34" s="50">
        <v>-9.9</v>
      </c>
      <c r="R34" s="50">
        <v>-2.7</v>
      </c>
      <c r="S34" s="50">
        <v>-10.9</v>
      </c>
      <c r="T34" s="50">
        <v>-14.4</v>
      </c>
      <c r="U34" s="50">
        <v>-3.9</v>
      </c>
      <c r="V34" s="50">
        <v>-8.5</v>
      </c>
      <c r="W34" s="50">
        <v>-7.5</v>
      </c>
      <c r="X34" s="50">
        <v>-9.5</v>
      </c>
      <c r="Y34" s="50">
        <v>-14.9</v>
      </c>
      <c r="Z34" s="50">
        <v>-15.1</v>
      </c>
      <c r="AA34" s="50">
        <v>-1.2</v>
      </c>
      <c r="AB34" s="50">
        <v>2.9</v>
      </c>
      <c r="AC34" s="50">
        <v>2.9</v>
      </c>
      <c r="AD34" s="52">
        <v>3.9</v>
      </c>
      <c r="AE34" s="52">
        <v>1.6</v>
      </c>
      <c r="AF34" s="52">
        <v>1</v>
      </c>
    </row>
    <row r="35" spans="1:32" x14ac:dyDescent="0.25">
      <c r="A35" s="10">
        <v>2</v>
      </c>
      <c r="B35" s="50">
        <v>-9.9</v>
      </c>
      <c r="C35" s="50">
        <v>-10.1</v>
      </c>
      <c r="D35" s="50">
        <v>-5.8</v>
      </c>
      <c r="E35" s="50">
        <v>-13</v>
      </c>
      <c r="F35" s="50">
        <v>-14.7</v>
      </c>
      <c r="G35" s="50">
        <v>-11.5</v>
      </c>
      <c r="H35" s="50">
        <v>-9.6</v>
      </c>
      <c r="I35" s="50">
        <v>-17.899999999999999</v>
      </c>
      <c r="J35" s="50">
        <v>-26.4</v>
      </c>
      <c r="K35" s="50">
        <v>-26.5</v>
      </c>
      <c r="L35" s="50">
        <v>-24.4</v>
      </c>
      <c r="M35" s="50">
        <v>-6.7</v>
      </c>
      <c r="N35" s="50">
        <v>-3.1</v>
      </c>
      <c r="O35" s="50">
        <v>-1.9</v>
      </c>
      <c r="P35" s="50">
        <v>2.7</v>
      </c>
      <c r="Q35" s="50">
        <v>-11.7</v>
      </c>
      <c r="R35" s="50">
        <v>-2.9</v>
      </c>
      <c r="S35" s="50">
        <v>-12.4</v>
      </c>
      <c r="T35" s="50">
        <v>-15.9</v>
      </c>
      <c r="U35" s="50">
        <v>-4.3</v>
      </c>
      <c r="V35" s="50">
        <v>-10.1</v>
      </c>
      <c r="W35" s="50">
        <v>-8.9</v>
      </c>
      <c r="X35" s="50">
        <v>-11.4</v>
      </c>
      <c r="Y35" s="50">
        <v>-17.100000000000001</v>
      </c>
      <c r="Z35" s="50">
        <v>-15.4</v>
      </c>
      <c r="AA35" s="50">
        <v>-2.2999999999999998</v>
      </c>
      <c r="AB35" s="50">
        <v>2.5</v>
      </c>
      <c r="AC35" s="50">
        <v>2.2000000000000002</v>
      </c>
      <c r="AD35" s="52">
        <v>3.7</v>
      </c>
      <c r="AE35" s="52">
        <v>0.7</v>
      </c>
      <c r="AF35" s="52">
        <v>0.6</v>
      </c>
    </row>
    <row r="36" spans="1:32" ht="30" x14ac:dyDescent="0.25">
      <c r="A36" s="11" t="s">
        <v>2</v>
      </c>
      <c r="B36" s="45">
        <f>AVERAGE(B24+B25+B26+B27+B28+B29+B30+B31+B32+B33+B34+B35)/12</f>
        <v>-7.5166666666666657</v>
      </c>
      <c r="C36" s="45">
        <f t="shared" ref="C36:AF36" si="1">AVERAGE(C24+C25+C26+C27+C28+C29+C30+C31+C32+C33+C34+C35)/12</f>
        <v>-9.6166666666666654</v>
      </c>
      <c r="D36" s="45">
        <f t="shared" si="1"/>
        <v>-4.2583333333333337</v>
      </c>
      <c r="E36" s="45">
        <f t="shared" si="1"/>
        <v>-8.0166666666666657</v>
      </c>
      <c r="F36" s="45">
        <f t="shared" si="1"/>
        <v>-11.6</v>
      </c>
      <c r="G36" s="45">
        <f t="shared" si="1"/>
        <v>-13.158333333333333</v>
      </c>
      <c r="H36" s="45">
        <f t="shared" si="1"/>
        <v>-8.2833333333333314</v>
      </c>
      <c r="I36" s="45">
        <f t="shared" si="1"/>
        <v>-12.500000000000002</v>
      </c>
      <c r="J36" s="45">
        <f t="shared" si="1"/>
        <v>-20.775000000000002</v>
      </c>
      <c r="K36" s="45">
        <f t="shared" si="1"/>
        <v>-22.216666666666669</v>
      </c>
      <c r="L36" s="45">
        <f t="shared" si="1"/>
        <v>-21.025000000000002</v>
      </c>
      <c r="M36" s="45">
        <f t="shared" si="1"/>
        <v>-13.766666666666666</v>
      </c>
      <c r="N36" s="45">
        <f t="shared" si="1"/>
        <v>-3.4666666666666668</v>
      </c>
      <c r="O36" s="45">
        <f t="shared" si="1"/>
        <v>-1.7416666666666669</v>
      </c>
      <c r="P36" s="45">
        <f t="shared" si="1"/>
        <v>0.58333333333333337</v>
      </c>
      <c r="Q36" s="45">
        <f t="shared" si="1"/>
        <v>-1.9416666666666664</v>
      </c>
      <c r="R36" s="45">
        <f t="shared" si="1"/>
        <v>-4.1166666666666671</v>
      </c>
      <c r="S36" s="45">
        <f t="shared" si="1"/>
        <v>-4.0166666666666666</v>
      </c>
      <c r="T36" s="45">
        <f t="shared" si="1"/>
        <v>-10.625000000000002</v>
      </c>
      <c r="U36" s="45">
        <f t="shared" si="1"/>
        <v>-7.4416666666666655</v>
      </c>
      <c r="V36" s="45">
        <f t="shared" si="1"/>
        <v>-6.2583333333333329</v>
      </c>
      <c r="W36" s="45">
        <f t="shared" si="1"/>
        <v>-7.833333333333333</v>
      </c>
      <c r="X36" s="45">
        <f t="shared" si="1"/>
        <v>-8.1166666666666671</v>
      </c>
      <c r="Y36" s="45">
        <f t="shared" si="1"/>
        <v>-10.966666666666669</v>
      </c>
      <c r="Z36" s="45">
        <f t="shared" si="1"/>
        <v>-13.208333333333334</v>
      </c>
      <c r="AA36" s="45">
        <f t="shared" si="1"/>
        <v>-4.458333333333333</v>
      </c>
      <c r="AB36" s="45">
        <f t="shared" si="1"/>
        <v>2.5000000000000004</v>
      </c>
      <c r="AC36" s="45">
        <f t="shared" si="1"/>
        <v>3.0166666666666671</v>
      </c>
      <c r="AD36" s="45">
        <f t="shared" si="1"/>
        <v>3.4666666666666668</v>
      </c>
      <c r="AE36" s="45">
        <f t="shared" si="1"/>
        <v>3.7833333333333332</v>
      </c>
      <c r="AF36" s="45">
        <f t="shared" si="1"/>
        <v>2.9166666666666665</v>
      </c>
    </row>
  </sheetData>
  <mergeCells count="6">
    <mergeCell ref="A2:A3"/>
    <mergeCell ref="A22:A23"/>
    <mergeCell ref="B2:AF2"/>
    <mergeCell ref="B1:AF1"/>
    <mergeCell ref="B22:AF22"/>
    <mergeCell ref="B21:AF2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workbookViewId="0">
      <selection activeCell="G19" sqref="G19"/>
    </sheetView>
  </sheetViews>
  <sheetFormatPr defaultRowHeight="15" x14ac:dyDescent="0.25"/>
  <cols>
    <col min="1" max="1" width="20.140625" style="58" customWidth="1"/>
    <col min="2" max="16384" width="9.140625" style="58"/>
  </cols>
  <sheetData>
    <row r="1" spans="1:31" x14ac:dyDescent="0.25">
      <c r="A1" s="57" t="s">
        <v>8</v>
      </c>
      <c r="B1" s="140" t="s">
        <v>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 x14ac:dyDescent="0.25">
      <c r="A2" s="141" t="s">
        <v>0</v>
      </c>
      <c r="B2" s="143" t="s">
        <v>10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1" x14ac:dyDescent="0.25">
      <c r="A3" s="142"/>
      <c r="B3" s="57">
        <v>1</v>
      </c>
      <c r="C3" s="57">
        <v>2</v>
      </c>
      <c r="D3" s="57">
        <v>3</v>
      </c>
      <c r="E3" s="57">
        <v>4</v>
      </c>
      <c r="F3" s="57">
        <v>5</v>
      </c>
      <c r="G3" s="57">
        <v>6</v>
      </c>
      <c r="H3" s="57">
        <v>7</v>
      </c>
      <c r="I3" s="57">
        <v>8</v>
      </c>
      <c r="J3" s="57">
        <v>9</v>
      </c>
      <c r="K3" s="57">
        <v>10</v>
      </c>
      <c r="L3" s="57">
        <v>11</v>
      </c>
      <c r="M3" s="57">
        <v>12</v>
      </c>
      <c r="N3" s="57">
        <v>13</v>
      </c>
      <c r="O3" s="57">
        <v>14</v>
      </c>
      <c r="P3" s="57">
        <v>15</v>
      </c>
      <c r="Q3" s="57">
        <v>16</v>
      </c>
      <c r="R3" s="57">
        <v>17</v>
      </c>
      <c r="S3" s="57">
        <v>18</v>
      </c>
      <c r="T3" s="57">
        <v>19</v>
      </c>
      <c r="U3" s="57">
        <v>20</v>
      </c>
      <c r="V3" s="57">
        <v>21</v>
      </c>
      <c r="W3" s="57">
        <v>22</v>
      </c>
      <c r="X3" s="57">
        <v>23</v>
      </c>
      <c r="Y3" s="57">
        <v>24</v>
      </c>
      <c r="Z3" s="57">
        <v>25</v>
      </c>
      <c r="AA3" s="57">
        <v>26</v>
      </c>
      <c r="AB3" s="57">
        <v>27</v>
      </c>
      <c r="AC3" s="57">
        <v>28</v>
      </c>
      <c r="AD3" s="59">
        <v>29</v>
      </c>
      <c r="AE3" s="59">
        <v>30</v>
      </c>
    </row>
    <row r="4" spans="1:31" x14ac:dyDescent="0.25">
      <c r="A4" s="53">
        <v>4</v>
      </c>
      <c r="B4" s="54">
        <v>-4</v>
      </c>
      <c r="C4" s="54">
        <v>-10.1</v>
      </c>
      <c r="D4" s="54">
        <v>0.1</v>
      </c>
      <c r="E4" s="54">
        <v>-6</v>
      </c>
      <c r="F4" s="54">
        <v>-17.2</v>
      </c>
      <c r="G4" s="54">
        <v>-2.7</v>
      </c>
      <c r="H4" s="54">
        <v>-11</v>
      </c>
      <c r="I4" s="54">
        <v>-7.2</v>
      </c>
      <c r="J4" s="54">
        <v>-4.2</v>
      </c>
      <c r="K4" s="54">
        <v>-4</v>
      </c>
      <c r="L4" s="54">
        <v>1.3</v>
      </c>
      <c r="M4" s="54">
        <v>0.55000000000000004</v>
      </c>
      <c r="N4" s="54">
        <v>-3.7</v>
      </c>
      <c r="O4" s="54">
        <v>0.9</v>
      </c>
      <c r="P4" s="54">
        <v>-8.1</v>
      </c>
      <c r="Q4" s="54">
        <v>3.1</v>
      </c>
      <c r="R4" s="50">
        <v>-8.5</v>
      </c>
      <c r="S4" s="54">
        <v>-9.6999999999999993</v>
      </c>
      <c r="T4" s="54">
        <v>-11.6</v>
      </c>
      <c r="U4" s="54">
        <v>-1.7</v>
      </c>
      <c r="V4" s="54">
        <v>-7.7</v>
      </c>
      <c r="W4" s="54">
        <v>-10.3</v>
      </c>
      <c r="X4" s="54">
        <v>-4.2</v>
      </c>
      <c r="Y4" s="50">
        <v>-6.6</v>
      </c>
      <c r="Z4" s="54">
        <v>-0.3</v>
      </c>
      <c r="AA4" s="54">
        <v>-2.57</v>
      </c>
      <c r="AB4" s="54">
        <v>-5</v>
      </c>
      <c r="AC4" s="54">
        <v>0.2</v>
      </c>
      <c r="AD4" s="50">
        <v>4.3</v>
      </c>
      <c r="AE4" s="61">
        <v>-6.7</v>
      </c>
    </row>
    <row r="5" spans="1:31" x14ac:dyDescent="0.25">
      <c r="A5" s="53">
        <v>6</v>
      </c>
      <c r="B5" s="54">
        <v>-4.2</v>
      </c>
      <c r="C5" s="54">
        <v>-9.3000000000000007</v>
      </c>
      <c r="D5" s="54">
        <v>0.1</v>
      </c>
      <c r="E5" s="54">
        <v>-5.9</v>
      </c>
      <c r="F5" s="54">
        <v>-17</v>
      </c>
      <c r="G5" s="54">
        <v>-1.7</v>
      </c>
      <c r="H5" s="54">
        <v>-10.87</v>
      </c>
      <c r="I5" s="54">
        <v>-6.9</v>
      </c>
      <c r="J5" s="54">
        <v>-6</v>
      </c>
      <c r="K5" s="54">
        <v>-3</v>
      </c>
      <c r="L5" s="54">
        <v>0.9</v>
      </c>
      <c r="M5" s="54">
        <v>0.56999999999999995</v>
      </c>
      <c r="N5" s="54">
        <v>-4</v>
      </c>
      <c r="O5" s="54">
        <v>-1.4</v>
      </c>
      <c r="P5" s="54">
        <v>-7.4</v>
      </c>
      <c r="Q5" s="54">
        <v>3</v>
      </c>
      <c r="R5" s="50">
        <v>-8.7799999999999994</v>
      </c>
      <c r="S5" s="54">
        <v>-10.4</v>
      </c>
      <c r="T5" s="54">
        <v>-11.6</v>
      </c>
      <c r="U5" s="54">
        <v>-1.4</v>
      </c>
      <c r="V5" s="54">
        <v>-8.1999999999999993</v>
      </c>
      <c r="W5" s="54">
        <v>-9.8800000000000008</v>
      </c>
      <c r="X5" s="54">
        <v>-6</v>
      </c>
      <c r="Y5" s="50">
        <v>-5.3</v>
      </c>
      <c r="Z5" s="54">
        <v>1.2</v>
      </c>
      <c r="AA5" s="54">
        <v>-2.09</v>
      </c>
      <c r="AB5" s="54">
        <v>-4</v>
      </c>
      <c r="AC5" s="54">
        <v>0.3</v>
      </c>
      <c r="AD5" s="50">
        <v>4.4000000000000004</v>
      </c>
      <c r="AE5" s="61">
        <v>-5.2</v>
      </c>
    </row>
    <row r="6" spans="1:31" x14ac:dyDescent="0.25">
      <c r="A6" s="53">
        <v>8</v>
      </c>
      <c r="B6" s="54">
        <v>-3.7</v>
      </c>
      <c r="C6" s="54">
        <v>-6</v>
      </c>
      <c r="D6" s="54">
        <v>0.3</v>
      </c>
      <c r="E6" s="54">
        <v>-5.8</v>
      </c>
      <c r="F6" s="54">
        <v>-12.02</v>
      </c>
      <c r="G6" s="54">
        <v>-1.3</v>
      </c>
      <c r="H6" s="54">
        <v>-7.6</v>
      </c>
      <c r="I6" s="54">
        <v>-7</v>
      </c>
      <c r="J6" s="54">
        <v>-5</v>
      </c>
      <c r="K6" s="54">
        <v>-1</v>
      </c>
      <c r="L6" s="54">
        <v>1.2</v>
      </c>
      <c r="M6" s="54">
        <v>0.8</v>
      </c>
      <c r="N6" s="54">
        <v>-2</v>
      </c>
      <c r="O6" s="54">
        <v>-2</v>
      </c>
      <c r="P6" s="54">
        <v>-3.74</v>
      </c>
      <c r="Q6" s="54">
        <v>3.3</v>
      </c>
      <c r="R6" s="50">
        <v>-7.5</v>
      </c>
      <c r="S6" s="54">
        <v>-9.6999999999999993</v>
      </c>
      <c r="T6" s="54">
        <v>-6</v>
      </c>
      <c r="U6" s="54">
        <v>-1.5</v>
      </c>
      <c r="V6" s="54">
        <v>-7.5</v>
      </c>
      <c r="W6" s="54">
        <v>-6.8</v>
      </c>
      <c r="X6" s="54">
        <v>-4.4000000000000004</v>
      </c>
      <c r="Y6" s="50">
        <v>-3.63</v>
      </c>
      <c r="Z6" s="54">
        <v>2</v>
      </c>
      <c r="AA6" s="54">
        <v>0.8</v>
      </c>
      <c r="AB6" s="54">
        <v>-1.5</v>
      </c>
      <c r="AC6" s="54">
        <v>1.31</v>
      </c>
      <c r="AD6" s="50">
        <v>5.0999999999999996</v>
      </c>
      <c r="AE6" s="61">
        <v>-3.3</v>
      </c>
    </row>
    <row r="7" spans="1:31" x14ac:dyDescent="0.25">
      <c r="A7" s="53">
        <v>10</v>
      </c>
      <c r="B7" s="54">
        <v>-2.8</v>
      </c>
      <c r="C7" s="54">
        <v>-2.8</v>
      </c>
      <c r="D7" s="54">
        <v>1.5</v>
      </c>
      <c r="E7" s="54">
        <v>-4.7</v>
      </c>
      <c r="F7" s="54">
        <v>-6.98</v>
      </c>
      <c r="G7" s="54">
        <v>-1.9</v>
      </c>
      <c r="H7" s="54">
        <v>-4.8</v>
      </c>
      <c r="I7" s="54">
        <v>-3</v>
      </c>
      <c r="J7" s="54">
        <v>-3.1</v>
      </c>
      <c r="K7" s="54">
        <v>-0.08</v>
      </c>
      <c r="L7" s="54">
        <v>1.2</v>
      </c>
      <c r="M7" s="54">
        <v>1.6</v>
      </c>
      <c r="N7" s="54">
        <v>4</v>
      </c>
      <c r="O7" s="54">
        <v>-2.4</v>
      </c>
      <c r="P7" s="54">
        <v>-1.1599999999999999</v>
      </c>
      <c r="Q7" s="54">
        <v>3.1</v>
      </c>
      <c r="R7" s="50">
        <v>-5</v>
      </c>
      <c r="S7" s="54">
        <v>-8.9</v>
      </c>
      <c r="T7" s="54">
        <v>-5.0999999999999996</v>
      </c>
      <c r="U7" s="54">
        <v>-1.18</v>
      </c>
      <c r="V7" s="54">
        <v>-6.7</v>
      </c>
      <c r="W7" s="54">
        <v>-4.8</v>
      </c>
      <c r="X7" s="54">
        <v>-4.0999999999999996</v>
      </c>
      <c r="Y7" s="50">
        <v>-1.03</v>
      </c>
      <c r="Z7" s="54">
        <v>1.3</v>
      </c>
      <c r="AA7" s="54">
        <v>1.4</v>
      </c>
      <c r="AB7" s="54">
        <v>0.5</v>
      </c>
      <c r="AC7" s="54">
        <v>1.96</v>
      </c>
      <c r="AD7" s="50">
        <v>5.3</v>
      </c>
      <c r="AE7" s="61">
        <v>-1.6</v>
      </c>
    </row>
    <row r="8" spans="1:31" x14ac:dyDescent="0.25">
      <c r="A8" s="53">
        <v>12</v>
      </c>
      <c r="B8" s="54">
        <v>-1.6</v>
      </c>
      <c r="C8" s="54">
        <v>-1.7</v>
      </c>
      <c r="D8" s="54">
        <v>1.9</v>
      </c>
      <c r="E8" s="54">
        <v>-3.6</v>
      </c>
      <c r="F8" s="54">
        <v>-6.85</v>
      </c>
      <c r="G8" s="54">
        <v>-1.5</v>
      </c>
      <c r="H8" s="54">
        <v>-0.7</v>
      </c>
      <c r="I8" s="54">
        <v>-2</v>
      </c>
      <c r="J8" s="54">
        <v>-3.1</v>
      </c>
      <c r="K8" s="54">
        <v>0.4</v>
      </c>
      <c r="L8" s="54">
        <v>1.4</v>
      </c>
      <c r="M8" s="54">
        <v>3.2</v>
      </c>
      <c r="N8" s="54">
        <v>5</v>
      </c>
      <c r="O8" s="54">
        <v>-3</v>
      </c>
      <c r="P8" s="54">
        <v>-0.87</v>
      </c>
      <c r="Q8" s="54">
        <v>3.2</v>
      </c>
      <c r="R8" s="50">
        <v>-3.8</v>
      </c>
      <c r="S8" s="54">
        <v>-7.7</v>
      </c>
      <c r="T8" s="54">
        <v>-3.4</v>
      </c>
      <c r="U8" s="54">
        <v>-1.06</v>
      </c>
      <c r="V8" s="54">
        <v>-5.2</v>
      </c>
      <c r="W8" s="54">
        <v>-2.5</v>
      </c>
      <c r="X8" s="54">
        <v>-5.3</v>
      </c>
      <c r="Y8" s="50">
        <v>0.1</v>
      </c>
      <c r="Z8" s="54">
        <v>1.7</v>
      </c>
      <c r="AA8" s="54">
        <v>2.8</v>
      </c>
      <c r="AB8" s="54">
        <v>1.5</v>
      </c>
      <c r="AC8" s="54">
        <v>2.84</v>
      </c>
      <c r="AD8" s="50">
        <v>6.4</v>
      </c>
      <c r="AE8" s="61">
        <v>-2.7</v>
      </c>
    </row>
    <row r="9" spans="1:31" x14ac:dyDescent="0.25">
      <c r="A9" s="53">
        <v>14</v>
      </c>
      <c r="B9" s="54">
        <v>-1</v>
      </c>
      <c r="C9" s="54">
        <v>-1.8</v>
      </c>
      <c r="D9" s="54">
        <v>1.7</v>
      </c>
      <c r="E9" s="54">
        <v>-4</v>
      </c>
      <c r="F9" s="54">
        <v>-5.71</v>
      </c>
      <c r="G9" s="54">
        <v>-1.6</v>
      </c>
      <c r="H9" s="54">
        <v>0.1</v>
      </c>
      <c r="I9" s="54">
        <v>-1</v>
      </c>
      <c r="J9" s="54">
        <v>-2.9</v>
      </c>
      <c r="K9" s="54">
        <v>1.73</v>
      </c>
      <c r="L9" s="54">
        <v>2</v>
      </c>
      <c r="M9" s="54">
        <v>3.7</v>
      </c>
      <c r="N9" s="54">
        <v>5</v>
      </c>
      <c r="O9" s="54">
        <v>-1.7</v>
      </c>
      <c r="P9" s="54">
        <v>-1.07</v>
      </c>
      <c r="Q9" s="54">
        <v>3.5</v>
      </c>
      <c r="R9" s="50">
        <v>-3.6</v>
      </c>
      <c r="S9" s="54">
        <v>-7</v>
      </c>
      <c r="T9" s="54">
        <v>-1.6</v>
      </c>
      <c r="U9" s="54">
        <v>-0.97</v>
      </c>
      <c r="V9" s="54">
        <v>-4</v>
      </c>
      <c r="W9" s="54">
        <v>-1.4</v>
      </c>
      <c r="X9" s="54">
        <v>-4.8</v>
      </c>
      <c r="Y9" s="50">
        <v>1.08</v>
      </c>
      <c r="Z9" s="54">
        <v>3</v>
      </c>
      <c r="AA9" s="54">
        <v>2.5</v>
      </c>
      <c r="AB9" s="54">
        <v>1.6</v>
      </c>
      <c r="AC9" s="54">
        <v>3.4</v>
      </c>
      <c r="AD9" s="50">
        <v>4.9000000000000004</v>
      </c>
      <c r="AE9" s="61">
        <v>-1</v>
      </c>
    </row>
    <row r="10" spans="1:31" x14ac:dyDescent="0.25">
      <c r="A10" s="53">
        <v>16</v>
      </c>
      <c r="B10" s="54">
        <v>-1.2</v>
      </c>
      <c r="C10" s="54">
        <v>-2.6</v>
      </c>
      <c r="D10" s="54">
        <v>1.2</v>
      </c>
      <c r="E10" s="54">
        <v>-3.8</v>
      </c>
      <c r="F10" s="54">
        <v>-5.08</v>
      </c>
      <c r="G10" s="54">
        <v>-2</v>
      </c>
      <c r="H10" s="54">
        <v>-0.2</v>
      </c>
      <c r="I10" s="54">
        <v>-1</v>
      </c>
      <c r="J10" s="54">
        <v>-2.2000000000000002</v>
      </c>
      <c r="K10" s="54">
        <v>2.34</v>
      </c>
      <c r="L10" s="54">
        <v>3</v>
      </c>
      <c r="M10" s="54">
        <v>4.2</v>
      </c>
      <c r="N10" s="54">
        <v>5</v>
      </c>
      <c r="O10" s="54">
        <v>-2.1</v>
      </c>
      <c r="P10" s="54">
        <v>-0.16</v>
      </c>
      <c r="Q10" s="54">
        <v>1</v>
      </c>
      <c r="R10" s="50">
        <v>-3.8</v>
      </c>
      <c r="S10" s="54">
        <v>-6.9</v>
      </c>
      <c r="T10" s="54">
        <v>-1</v>
      </c>
      <c r="U10" s="54">
        <v>-3.2</v>
      </c>
      <c r="V10" s="54">
        <v>-3.4</v>
      </c>
      <c r="W10" s="54">
        <v>0.2</v>
      </c>
      <c r="X10" s="54">
        <v>-4.4000000000000004</v>
      </c>
      <c r="Y10" s="50">
        <v>0.9</v>
      </c>
      <c r="Z10" s="54">
        <v>5.6</v>
      </c>
      <c r="AA10" s="54">
        <v>3.5</v>
      </c>
      <c r="AB10" s="54">
        <v>2.5</v>
      </c>
      <c r="AC10" s="54">
        <v>3.6</v>
      </c>
      <c r="AD10" s="50">
        <v>4.2</v>
      </c>
      <c r="AE10" s="61">
        <v>1</v>
      </c>
    </row>
    <row r="11" spans="1:31" x14ac:dyDescent="0.25">
      <c r="A11" s="53">
        <v>18</v>
      </c>
      <c r="B11" s="54">
        <v>-2.9</v>
      </c>
      <c r="C11" s="54">
        <v>-2.1</v>
      </c>
      <c r="D11" s="54">
        <v>-1.4</v>
      </c>
      <c r="E11" s="54">
        <v>-5.5</v>
      </c>
      <c r="F11" s="54">
        <v>-4.7</v>
      </c>
      <c r="G11" s="54">
        <v>-2.4</v>
      </c>
      <c r="H11" s="54">
        <v>-3.3</v>
      </c>
      <c r="I11" s="54">
        <v>-2.2999999999999998</v>
      </c>
      <c r="J11" s="54">
        <v>-4.0999999999999996</v>
      </c>
      <c r="K11" s="54">
        <v>2.56</v>
      </c>
      <c r="L11" s="54">
        <v>2.8</v>
      </c>
      <c r="M11" s="54">
        <v>4.9000000000000004</v>
      </c>
      <c r="N11" s="54">
        <v>4</v>
      </c>
      <c r="O11" s="54">
        <v>-2.5</v>
      </c>
      <c r="P11" s="54">
        <v>0.19</v>
      </c>
      <c r="Q11" s="54">
        <v>-1</v>
      </c>
      <c r="R11" s="50">
        <v>-5</v>
      </c>
      <c r="S11" s="54">
        <v>-7.2</v>
      </c>
      <c r="T11" s="54">
        <v>-1</v>
      </c>
      <c r="U11" s="54">
        <v>-2.5</v>
      </c>
      <c r="V11" s="54">
        <v>-3.4</v>
      </c>
      <c r="W11" s="54">
        <v>0.1</v>
      </c>
      <c r="X11" s="54">
        <v>-4.5</v>
      </c>
      <c r="Y11" s="50">
        <v>0.7</v>
      </c>
      <c r="Z11" s="54">
        <v>6.6</v>
      </c>
      <c r="AA11" s="54">
        <v>2.2000000000000002</v>
      </c>
      <c r="AB11" s="54">
        <v>2.4</v>
      </c>
      <c r="AC11" s="54">
        <v>4</v>
      </c>
      <c r="AD11" s="50">
        <v>3.4</v>
      </c>
      <c r="AE11" s="61">
        <v>4.2</v>
      </c>
    </row>
    <row r="12" spans="1:31" x14ac:dyDescent="0.25">
      <c r="A12" s="53">
        <v>20</v>
      </c>
      <c r="B12" s="54">
        <v>-3.9</v>
      </c>
      <c r="C12" s="54">
        <v>-1.9</v>
      </c>
      <c r="D12" s="54">
        <v>-2.5</v>
      </c>
      <c r="E12" s="54">
        <v>-5.9</v>
      </c>
      <c r="F12" s="54">
        <v>-5.5</v>
      </c>
      <c r="G12" s="54">
        <v>-4.46</v>
      </c>
      <c r="H12" s="54">
        <v>-5.8</v>
      </c>
      <c r="I12" s="54">
        <v>-3.5</v>
      </c>
      <c r="J12" s="54">
        <v>-7</v>
      </c>
      <c r="K12" s="54">
        <v>2.02</v>
      </c>
      <c r="L12" s="54">
        <v>1.21</v>
      </c>
      <c r="M12" s="54">
        <v>0.37</v>
      </c>
      <c r="N12" s="54">
        <v>2.4</v>
      </c>
      <c r="O12" s="54">
        <v>-4</v>
      </c>
      <c r="P12" s="54">
        <v>1.03</v>
      </c>
      <c r="Q12" s="54">
        <v>-1.82</v>
      </c>
      <c r="R12" s="50">
        <v>-6.5</v>
      </c>
      <c r="S12" s="54">
        <v>-7.4</v>
      </c>
      <c r="T12" s="54">
        <v>-1.6</v>
      </c>
      <c r="U12" s="54">
        <v>-4.3</v>
      </c>
      <c r="V12" s="54">
        <v>-6.71</v>
      </c>
      <c r="W12" s="54">
        <v>-0.5</v>
      </c>
      <c r="X12" s="54">
        <v>-6.9</v>
      </c>
      <c r="Y12" s="50">
        <v>-0.4</v>
      </c>
      <c r="Z12" s="54">
        <v>2.91</v>
      </c>
      <c r="AA12" s="54">
        <v>0.3</v>
      </c>
      <c r="AB12" s="54">
        <v>0.7</v>
      </c>
      <c r="AC12" s="54">
        <v>3.9</v>
      </c>
      <c r="AD12" s="50">
        <v>-1.21</v>
      </c>
      <c r="AE12" s="61">
        <v>2.7</v>
      </c>
    </row>
    <row r="13" spans="1:31" x14ac:dyDescent="0.25">
      <c r="A13" s="53">
        <v>22</v>
      </c>
      <c r="B13" s="54">
        <v>-5.4</v>
      </c>
      <c r="C13" s="54">
        <v>-1.1399999999999999</v>
      </c>
      <c r="D13" s="54">
        <v>-3.5</v>
      </c>
      <c r="E13" s="54">
        <v>-6.4</v>
      </c>
      <c r="F13" s="54">
        <v>-4.4000000000000004</v>
      </c>
      <c r="G13" s="54">
        <v>-6.19</v>
      </c>
      <c r="H13" s="54">
        <v>-5.8</v>
      </c>
      <c r="I13" s="54">
        <v>-4.5</v>
      </c>
      <c r="J13" s="54">
        <v>-9</v>
      </c>
      <c r="K13" s="54">
        <v>1.8</v>
      </c>
      <c r="L13" s="54">
        <v>0.75</v>
      </c>
      <c r="M13" s="54">
        <v>-1.3</v>
      </c>
      <c r="N13" s="54">
        <v>2.2999999999999998</v>
      </c>
      <c r="O13" s="54">
        <v>-6.3</v>
      </c>
      <c r="P13" s="54">
        <v>3.6</v>
      </c>
      <c r="Q13" s="54">
        <v>-1.81</v>
      </c>
      <c r="R13" s="50">
        <v>-7.9</v>
      </c>
      <c r="S13" s="54">
        <v>-7.8</v>
      </c>
      <c r="T13" s="54">
        <v>-1.4</v>
      </c>
      <c r="U13" s="54">
        <v>-5.4</v>
      </c>
      <c r="V13" s="54">
        <v>-7.91</v>
      </c>
      <c r="W13" s="54">
        <v>-0.1</v>
      </c>
      <c r="X13" s="54">
        <v>-7.8</v>
      </c>
      <c r="Y13" s="50">
        <v>-0.6</v>
      </c>
      <c r="Z13" s="54">
        <v>1.66</v>
      </c>
      <c r="AA13" s="54">
        <v>-1</v>
      </c>
      <c r="AB13" s="54">
        <v>0.4</v>
      </c>
      <c r="AC13" s="54">
        <v>4.9000000000000004</v>
      </c>
      <c r="AD13" s="50">
        <v>-3.33</v>
      </c>
      <c r="AE13" s="61">
        <v>2.5</v>
      </c>
    </row>
    <row r="14" spans="1:31" x14ac:dyDescent="0.25">
      <c r="A14" s="53">
        <v>24</v>
      </c>
      <c r="B14" s="54">
        <v>-7.1</v>
      </c>
      <c r="C14" s="54">
        <v>-1</v>
      </c>
      <c r="D14" s="54">
        <v>-4</v>
      </c>
      <c r="E14" s="54">
        <v>-11.6</v>
      </c>
      <c r="F14" s="54">
        <v>-3.9</v>
      </c>
      <c r="G14" s="54">
        <v>-7.02</v>
      </c>
      <c r="H14" s="54">
        <v>-7</v>
      </c>
      <c r="I14" s="54">
        <v>-3</v>
      </c>
      <c r="J14" s="54">
        <v>-7</v>
      </c>
      <c r="K14" s="54">
        <v>1.5</v>
      </c>
      <c r="L14" s="54">
        <v>0.56000000000000005</v>
      </c>
      <c r="M14" s="54">
        <v>-2.08</v>
      </c>
      <c r="N14" s="54">
        <v>1.1000000000000001</v>
      </c>
      <c r="O14" s="54">
        <v>-7.5</v>
      </c>
      <c r="P14" s="54">
        <v>3.7</v>
      </c>
      <c r="Q14" s="54">
        <v>-4.25</v>
      </c>
      <c r="R14" s="50">
        <v>-8.3000000000000007</v>
      </c>
      <c r="S14" s="54">
        <v>-8.9</v>
      </c>
      <c r="T14" s="54">
        <v>-3</v>
      </c>
      <c r="U14" s="54">
        <v>-6.7</v>
      </c>
      <c r="V14" s="54">
        <v>-9.18</v>
      </c>
      <c r="W14" s="54">
        <v>0.1</v>
      </c>
      <c r="X14" s="54">
        <v>-9.3000000000000007</v>
      </c>
      <c r="Y14" s="50">
        <v>-0.4</v>
      </c>
      <c r="Z14" s="54">
        <v>0.48</v>
      </c>
      <c r="AA14" s="54">
        <v>-2</v>
      </c>
      <c r="AB14" s="54">
        <v>0.1</v>
      </c>
      <c r="AC14" s="54">
        <v>4.7</v>
      </c>
      <c r="AD14" s="50">
        <v>-4.9400000000000004</v>
      </c>
      <c r="AE14" s="61">
        <v>3</v>
      </c>
    </row>
    <row r="15" spans="1:31" x14ac:dyDescent="0.25">
      <c r="A15" s="53">
        <v>2</v>
      </c>
      <c r="B15" s="54">
        <v>-8.8000000000000007</v>
      </c>
      <c r="C15" s="54">
        <v>-0.02</v>
      </c>
      <c r="D15" s="54">
        <v>-4.3</v>
      </c>
      <c r="E15" s="54">
        <v>-14.6</v>
      </c>
      <c r="F15" s="54">
        <v>-1.4</v>
      </c>
      <c r="G15" s="54">
        <v>-9.07</v>
      </c>
      <c r="H15" s="54">
        <v>-8.11</v>
      </c>
      <c r="I15" s="54">
        <v>-4.5999999999999996</v>
      </c>
      <c r="J15" s="54">
        <v>-4.9000000000000004</v>
      </c>
      <c r="K15" s="54">
        <v>1.5</v>
      </c>
      <c r="L15" s="54">
        <v>0.1</v>
      </c>
      <c r="M15" s="54">
        <v>-2.5</v>
      </c>
      <c r="N15" s="54">
        <v>-0.3</v>
      </c>
      <c r="O15" s="54">
        <v>-7.5</v>
      </c>
      <c r="P15" s="54">
        <v>2.8</v>
      </c>
      <c r="Q15" s="54">
        <v>-7.4</v>
      </c>
      <c r="R15" s="50">
        <v>-9.1</v>
      </c>
      <c r="S15" s="54">
        <v>-10.7</v>
      </c>
      <c r="T15" s="54">
        <v>-2</v>
      </c>
      <c r="U15" s="54">
        <v>-7.1</v>
      </c>
      <c r="V15" s="54">
        <v>-11</v>
      </c>
      <c r="W15" s="54">
        <v>-2</v>
      </c>
      <c r="X15" s="54">
        <v>-9.9</v>
      </c>
      <c r="Y15" s="50">
        <v>-0.6</v>
      </c>
      <c r="Z15" s="54">
        <v>-1.3</v>
      </c>
      <c r="AA15" s="54">
        <v>-3.6</v>
      </c>
      <c r="AB15" s="54">
        <v>0.1</v>
      </c>
      <c r="AC15" s="54">
        <v>4.0999999999999996</v>
      </c>
      <c r="AD15" s="50">
        <v>-6.2</v>
      </c>
      <c r="AE15" s="61">
        <v>3.2</v>
      </c>
    </row>
    <row r="16" spans="1:31" ht="28.5" x14ac:dyDescent="0.25">
      <c r="A16" s="55" t="s">
        <v>2</v>
      </c>
      <c r="B16" s="56">
        <f>AVERAGE(B4+B5+B6+B7+B8+B9+B10+B11+B12+B13+B14+B15)/12</f>
        <v>-3.8833333333333329</v>
      </c>
      <c r="C16" s="56">
        <f t="shared" ref="C16:AE16" si="0">AVERAGE(C4+C5+C6+C7+C8+C9+C10+C11+C12+C13+C14+C15)/12</f>
        <v>-3.3716666666666666</v>
      </c>
      <c r="D16" s="56">
        <f t="shared" si="0"/>
        <v>-0.74166666666666659</v>
      </c>
      <c r="E16" s="56">
        <f t="shared" si="0"/>
        <v>-6.4833333333333334</v>
      </c>
      <c r="F16" s="56">
        <f t="shared" si="0"/>
        <v>-7.5616666666666683</v>
      </c>
      <c r="G16" s="56">
        <f t="shared" si="0"/>
        <v>-3.4866666666666664</v>
      </c>
      <c r="H16" s="56">
        <f t="shared" si="0"/>
        <v>-5.423333333333332</v>
      </c>
      <c r="I16" s="56">
        <f t="shared" si="0"/>
        <v>-3.8333333333333339</v>
      </c>
      <c r="J16" s="56">
        <f t="shared" si="0"/>
        <v>-4.875</v>
      </c>
      <c r="K16" s="56">
        <f t="shared" si="0"/>
        <v>0.48083333333333339</v>
      </c>
      <c r="L16" s="56">
        <f t="shared" si="0"/>
        <v>1.3683333333333334</v>
      </c>
      <c r="M16" s="56">
        <f t="shared" si="0"/>
        <v>1.1675000000000004</v>
      </c>
      <c r="N16" s="56">
        <f t="shared" si="0"/>
        <v>1.5666666666666667</v>
      </c>
      <c r="O16" s="56">
        <f t="shared" si="0"/>
        <v>-3.2916666666666665</v>
      </c>
      <c r="P16" s="56">
        <f t="shared" si="0"/>
        <v>-0.93166666666666664</v>
      </c>
      <c r="Q16" s="56">
        <f t="shared" si="0"/>
        <v>0.32666666666666649</v>
      </c>
      <c r="R16" s="56">
        <f t="shared" si="0"/>
        <v>-6.4816666666666656</v>
      </c>
      <c r="S16" s="56">
        <f t="shared" si="0"/>
        <v>-8.5250000000000004</v>
      </c>
      <c r="T16" s="56">
        <f t="shared" si="0"/>
        <v>-4.1083333333333334</v>
      </c>
      <c r="U16" s="56">
        <f t="shared" si="0"/>
        <v>-3.0841666666666665</v>
      </c>
      <c r="V16" s="56">
        <f t="shared" si="0"/>
        <v>-6.7416666666666671</v>
      </c>
      <c r="W16" s="56">
        <f t="shared" si="0"/>
        <v>-3.1566666666666663</v>
      </c>
      <c r="X16" s="56">
        <f t="shared" si="0"/>
        <v>-5.9666666666666677</v>
      </c>
      <c r="Y16" s="56">
        <f t="shared" si="0"/>
        <v>-1.3149999999999997</v>
      </c>
      <c r="Z16" s="56">
        <f t="shared" si="0"/>
        <v>2.0708333333333333</v>
      </c>
      <c r="AA16" s="56">
        <f t="shared" si="0"/>
        <v>0.18666666666666665</v>
      </c>
      <c r="AB16" s="56">
        <f t="shared" si="0"/>
        <v>-5.8333333333333376E-2</v>
      </c>
      <c r="AC16" s="56">
        <f t="shared" si="0"/>
        <v>2.9341666666666661</v>
      </c>
      <c r="AD16" s="56">
        <f t="shared" si="0"/>
        <v>1.86</v>
      </c>
      <c r="AE16" s="56">
        <f t="shared" si="0"/>
        <v>-0.32500000000000012</v>
      </c>
    </row>
    <row r="21" spans="1:31" x14ac:dyDescent="0.25">
      <c r="A21" s="57" t="s">
        <v>7</v>
      </c>
      <c r="B21" s="140" t="s">
        <v>1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spans="1:31" x14ac:dyDescent="0.25">
      <c r="A22" s="143" t="s">
        <v>0</v>
      </c>
      <c r="B22" s="143" t="s">
        <v>10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</row>
    <row r="23" spans="1:31" x14ac:dyDescent="0.25">
      <c r="A23" s="143"/>
      <c r="B23" s="57">
        <v>1</v>
      </c>
      <c r="C23" s="57">
        <v>2</v>
      </c>
      <c r="D23" s="57">
        <v>3</v>
      </c>
      <c r="E23" s="57">
        <v>4</v>
      </c>
      <c r="F23" s="57">
        <v>5</v>
      </c>
      <c r="G23" s="57">
        <v>6</v>
      </c>
      <c r="H23" s="57">
        <v>7</v>
      </c>
      <c r="I23" s="57">
        <v>8</v>
      </c>
      <c r="J23" s="57">
        <v>9</v>
      </c>
      <c r="K23" s="57">
        <v>10</v>
      </c>
      <c r="L23" s="57">
        <v>11</v>
      </c>
      <c r="M23" s="57">
        <v>12</v>
      </c>
      <c r="N23" s="57">
        <v>13</v>
      </c>
      <c r="O23" s="57">
        <v>14</v>
      </c>
      <c r="P23" s="57">
        <v>15</v>
      </c>
      <c r="Q23" s="57">
        <v>16</v>
      </c>
      <c r="R23" s="57">
        <v>17</v>
      </c>
      <c r="S23" s="57">
        <v>18</v>
      </c>
      <c r="T23" s="57">
        <v>19</v>
      </c>
      <c r="U23" s="57">
        <v>20</v>
      </c>
      <c r="V23" s="57">
        <v>21</v>
      </c>
      <c r="W23" s="57">
        <v>22</v>
      </c>
      <c r="X23" s="57">
        <v>23</v>
      </c>
      <c r="Y23" s="57">
        <v>24</v>
      </c>
      <c r="Z23" s="57">
        <v>25</v>
      </c>
      <c r="AA23" s="57">
        <v>26</v>
      </c>
      <c r="AB23" s="57">
        <v>27</v>
      </c>
      <c r="AC23" s="57">
        <v>28</v>
      </c>
      <c r="AD23" s="59">
        <v>29</v>
      </c>
      <c r="AE23" s="59">
        <v>30</v>
      </c>
    </row>
    <row r="24" spans="1:31" x14ac:dyDescent="0.25">
      <c r="A24" s="53">
        <v>4</v>
      </c>
      <c r="B24" s="54">
        <v>-1.2</v>
      </c>
      <c r="C24" s="54">
        <v>-9.4</v>
      </c>
      <c r="D24" s="54">
        <v>-1</v>
      </c>
      <c r="E24" s="54">
        <v>-5.0999999999999996</v>
      </c>
      <c r="F24" s="54">
        <v>-16.899999999999999</v>
      </c>
      <c r="G24" s="54">
        <v>-1.6</v>
      </c>
      <c r="H24" s="54">
        <v>-10.4</v>
      </c>
      <c r="I24" s="54">
        <v>-12.4</v>
      </c>
      <c r="J24" s="54">
        <v>-4.7</v>
      </c>
      <c r="K24" s="54">
        <v>-5</v>
      </c>
      <c r="L24" s="54">
        <v>1.1000000000000001</v>
      </c>
      <c r="M24" s="54">
        <v>0.5</v>
      </c>
      <c r="N24" s="54">
        <v>-4.5999999999999996</v>
      </c>
      <c r="O24" s="54">
        <v>-0.7</v>
      </c>
      <c r="P24" s="54">
        <v>-7.1</v>
      </c>
      <c r="Q24" s="54">
        <v>3.1</v>
      </c>
      <c r="R24" s="50">
        <v>-8.9</v>
      </c>
      <c r="S24" s="54">
        <v>-9.9</v>
      </c>
      <c r="T24" s="54">
        <v>-11.7</v>
      </c>
      <c r="U24" s="54">
        <v>-2.4</v>
      </c>
      <c r="V24" s="54">
        <v>-7.6</v>
      </c>
      <c r="W24" s="54">
        <v>-12</v>
      </c>
      <c r="X24" s="54">
        <v>-4</v>
      </c>
      <c r="Y24" s="50">
        <v>-10.1</v>
      </c>
      <c r="Z24" s="54">
        <v>-1.4</v>
      </c>
      <c r="AA24" s="54">
        <v>-3.2</v>
      </c>
      <c r="AB24" s="54">
        <v>-5.8</v>
      </c>
      <c r="AC24" s="54">
        <v>-1.6</v>
      </c>
      <c r="AD24" s="50">
        <v>4.5999999999999996</v>
      </c>
      <c r="AE24" s="50">
        <v>-7.1</v>
      </c>
    </row>
    <row r="25" spans="1:31" x14ac:dyDescent="0.25">
      <c r="A25" s="53">
        <v>6</v>
      </c>
      <c r="B25" s="54">
        <v>-3.9</v>
      </c>
      <c r="C25" s="54">
        <v>-9.6999999999999993</v>
      </c>
      <c r="D25" s="54">
        <v>-0.3</v>
      </c>
      <c r="E25" s="54">
        <v>-5.4</v>
      </c>
      <c r="F25" s="54">
        <v>-17.600000000000001</v>
      </c>
      <c r="G25" s="54">
        <v>-1.7</v>
      </c>
      <c r="H25" s="54">
        <v>-11.5</v>
      </c>
      <c r="I25" s="54">
        <v>-11.5</v>
      </c>
      <c r="J25" s="54">
        <v>-4.5</v>
      </c>
      <c r="K25" s="54">
        <v>-4</v>
      </c>
      <c r="L25" s="54">
        <v>1.2</v>
      </c>
      <c r="M25" s="54">
        <v>0.3</v>
      </c>
      <c r="N25" s="54">
        <v>-2.8</v>
      </c>
      <c r="O25" s="54">
        <v>-1.3</v>
      </c>
      <c r="P25" s="54">
        <v>-6.4</v>
      </c>
      <c r="Q25" s="54">
        <v>3.2</v>
      </c>
      <c r="R25" s="50">
        <v>-9.3000000000000007</v>
      </c>
      <c r="S25" s="54">
        <v>-10.199999999999999</v>
      </c>
      <c r="T25" s="54">
        <v>-10.9</v>
      </c>
      <c r="U25" s="54">
        <v>-2</v>
      </c>
      <c r="V25" s="54">
        <v>-7.7</v>
      </c>
      <c r="W25" s="54">
        <v>-8.1999999999999993</v>
      </c>
      <c r="X25" s="54">
        <v>-5.8</v>
      </c>
      <c r="Y25" s="50">
        <v>-7.9</v>
      </c>
      <c r="Z25" s="54">
        <v>-0.6</v>
      </c>
      <c r="AA25" s="54">
        <v>-1.5</v>
      </c>
      <c r="AB25" s="54">
        <v>-4.5999999999999996</v>
      </c>
      <c r="AC25" s="54">
        <v>0</v>
      </c>
      <c r="AD25" s="50">
        <v>3.9</v>
      </c>
      <c r="AE25" s="50">
        <v>-5.3</v>
      </c>
    </row>
    <row r="26" spans="1:31" x14ac:dyDescent="0.25">
      <c r="A26" s="53">
        <v>8</v>
      </c>
      <c r="B26" s="54">
        <v>-4.2</v>
      </c>
      <c r="C26" s="54">
        <v>-5.5</v>
      </c>
      <c r="D26" s="54">
        <v>0.5</v>
      </c>
      <c r="E26" s="54">
        <v>-4.7</v>
      </c>
      <c r="F26" s="54">
        <v>-13.8</v>
      </c>
      <c r="G26" s="54">
        <v>-1.7</v>
      </c>
      <c r="H26" s="54">
        <v>-8.9</v>
      </c>
      <c r="I26" s="54">
        <v>-5.7</v>
      </c>
      <c r="J26" s="54">
        <v>-4.5</v>
      </c>
      <c r="K26" s="54">
        <v>-1.9</v>
      </c>
      <c r="L26" s="54">
        <v>1.2</v>
      </c>
      <c r="M26" s="54">
        <v>1.3</v>
      </c>
      <c r="N26" s="54">
        <v>0.3</v>
      </c>
      <c r="O26" s="54">
        <v>-1.8</v>
      </c>
      <c r="P26" s="54">
        <v>-3</v>
      </c>
      <c r="Q26" s="54">
        <v>3.3</v>
      </c>
      <c r="R26" s="50">
        <v>-7.5</v>
      </c>
      <c r="S26" s="54">
        <v>-9.1999999999999993</v>
      </c>
      <c r="T26" s="54">
        <v>-8.1</v>
      </c>
      <c r="U26" s="54">
        <v>-0.6</v>
      </c>
      <c r="V26" s="54">
        <v>-6.5</v>
      </c>
      <c r="W26" s="54">
        <v>-6.7</v>
      </c>
      <c r="X26" s="54">
        <v>-5</v>
      </c>
      <c r="Y26" s="50">
        <v>-3.7</v>
      </c>
      <c r="Z26" s="54">
        <v>1.7</v>
      </c>
      <c r="AA26" s="54">
        <v>0.8</v>
      </c>
      <c r="AB26" s="54">
        <v>-1.8</v>
      </c>
      <c r="AC26" s="54">
        <v>1.3</v>
      </c>
      <c r="AD26" s="50">
        <v>4</v>
      </c>
      <c r="AE26" s="50">
        <v>-2.6</v>
      </c>
    </row>
    <row r="27" spans="1:31" x14ac:dyDescent="0.25">
      <c r="A27" s="53">
        <v>10</v>
      </c>
      <c r="B27" s="54">
        <v>-2.6</v>
      </c>
      <c r="C27" s="54">
        <v>-2.6</v>
      </c>
      <c r="D27" s="54">
        <v>1.7</v>
      </c>
      <c r="E27" s="54">
        <v>-4.5999999999999996</v>
      </c>
      <c r="F27" s="54">
        <v>-10.1</v>
      </c>
      <c r="G27" s="54">
        <v>-2</v>
      </c>
      <c r="H27" s="54">
        <v>-5</v>
      </c>
      <c r="I27" s="54">
        <v>-1.8</v>
      </c>
      <c r="J27" s="54">
        <v>-2.2000000000000002</v>
      </c>
      <c r="K27" s="54">
        <v>-0.6</v>
      </c>
      <c r="L27" s="54">
        <v>1.6</v>
      </c>
      <c r="M27" s="54">
        <v>1.7</v>
      </c>
      <c r="N27" s="54">
        <v>2.6</v>
      </c>
      <c r="O27" s="54">
        <v>-2.2000000000000002</v>
      </c>
      <c r="P27" s="54">
        <v>-0.5</v>
      </c>
      <c r="Q27" s="54">
        <v>3.8</v>
      </c>
      <c r="R27" s="50">
        <v>-4.0999999999999996</v>
      </c>
      <c r="S27" s="54">
        <v>-8.1999999999999993</v>
      </c>
      <c r="T27" s="54">
        <v>-5.5</v>
      </c>
      <c r="U27" s="54">
        <v>-1.2</v>
      </c>
      <c r="V27" s="54">
        <v>-5.9</v>
      </c>
      <c r="W27" s="54">
        <v>-4.0999999999999996</v>
      </c>
      <c r="X27" s="54">
        <v>-4.3</v>
      </c>
      <c r="Y27" s="50">
        <v>-0.9</v>
      </c>
      <c r="Z27" s="54">
        <v>1.1000000000000001</v>
      </c>
      <c r="AA27" s="54">
        <v>3.2</v>
      </c>
      <c r="AB27" s="54">
        <v>0.4</v>
      </c>
      <c r="AC27" s="54">
        <v>1.7</v>
      </c>
      <c r="AD27" s="50">
        <v>5.2</v>
      </c>
      <c r="AE27" s="50">
        <v>-1.4</v>
      </c>
    </row>
    <row r="28" spans="1:31" x14ac:dyDescent="0.25">
      <c r="A28" s="53">
        <v>12</v>
      </c>
      <c r="B28" s="54">
        <v>-0.8</v>
      </c>
      <c r="C28" s="54">
        <v>-1.1000000000000001</v>
      </c>
      <c r="D28" s="54">
        <v>2.2999999999999998</v>
      </c>
      <c r="E28" s="54">
        <v>-2.7</v>
      </c>
      <c r="F28" s="54">
        <v>-6.9</v>
      </c>
      <c r="G28" s="54">
        <v>-1.3</v>
      </c>
      <c r="H28" s="54">
        <v>-3.1</v>
      </c>
      <c r="I28" s="54">
        <v>-1.1000000000000001</v>
      </c>
      <c r="J28" s="54">
        <v>-1.8</v>
      </c>
      <c r="K28" s="54">
        <v>-0.1</v>
      </c>
      <c r="L28" s="54">
        <v>0.8</v>
      </c>
      <c r="M28" s="54">
        <v>4.5999999999999996</v>
      </c>
      <c r="N28" s="54">
        <v>5.4</v>
      </c>
      <c r="O28" s="54">
        <v>-2.7</v>
      </c>
      <c r="P28" s="54">
        <v>-0.9</v>
      </c>
      <c r="Q28" s="54">
        <v>3.5</v>
      </c>
      <c r="R28" s="50">
        <v>-3.3</v>
      </c>
      <c r="S28" s="54">
        <v>-6.8</v>
      </c>
      <c r="T28" s="54">
        <v>-2.4</v>
      </c>
      <c r="U28" s="54">
        <v>0.2</v>
      </c>
      <c r="V28" s="54">
        <v>-4.4000000000000004</v>
      </c>
      <c r="W28" s="54">
        <v>-1.9</v>
      </c>
      <c r="X28" s="54">
        <v>-4.9000000000000004</v>
      </c>
      <c r="Y28" s="50">
        <v>0.5</v>
      </c>
      <c r="Z28" s="54">
        <v>1.9</v>
      </c>
      <c r="AA28" s="54">
        <v>4.2</v>
      </c>
      <c r="AB28" s="54">
        <v>1.9</v>
      </c>
      <c r="AC28" s="54">
        <v>2.7</v>
      </c>
      <c r="AD28" s="50">
        <v>6.3</v>
      </c>
      <c r="AE28" s="50">
        <v>-0.9</v>
      </c>
    </row>
    <row r="29" spans="1:31" x14ac:dyDescent="0.25">
      <c r="A29" s="53">
        <v>14</v>
      </c>
      <c r="B29" s="54">
        <v>-0.3</v>
      </c>
      <c r="C29" s="54">
        <v>-0.8</v>
      </c>
      <c r="D29" s="54">
        <v>3.5</v>
      </c>
      <c r="E29" s="54">
        <v>-3.8</v>
      </c>
      <c r="F29" s="54">
        <v>-4.5999999999999996</v>
      </c>
      <c r="G29" s="54">
        <v>-1.6</v>
      </c>
      <c r="H29" s="54">
        <v>-1.6</v>
      </c>
      <c r="I29" s="54">
        <v>0.3</v>
      </c>
      <c r="J29" s="54">
        <v>-0.8</v>
      </c>
      <c r="K29" s="54">
        <v>0.7</v>
      </c>
      <c r="L29" s="54">
        <v>2.7</v>
      </c>
      <c r="M29" s="54">
        <v>5</v>
      </c>
      <c r="N29" s="54">
        <v>5.3</v>
      </c>
      <c r="O29" s="54">
        <v>-3.5</v>
      </c>
      <c r="P29" s="54">
        <v>-1.6</v>
      </c>
      <c r="Q29" s="54">
        <v>3.2</v>
      </c>
      <c r="R29" s="50">
        <v>-3.2</v>
      </c>
      <c r="S29" s="54">
        <v>-7</v>
      </c>
      <c r="T29" s="54">
        <v>-2.1</v>
      </c>
      <c r="U29" s="54">
        <v>-0.7</v>
      </c>
      <c r="V29" s="54">
        <v>-3.9</v>
      </c>
      <c r="W29" s="54">
        <v>-0.3</v>
      </c>
      <c r="X29" s="54">
        <v>-3</v>
      </c>
      <c r="Y29" s="50">
        <v>0.9</v>
      </c>
      <c r="Z29" s="54">
        <v>2.7</v>
      </c>
      <c r="AA29" s="54">
        <v>4.8</v>
      </c>
      <c r="AB29" s="54">
        <v>3.1</v>
      </c>
      <c r="AC29" s="54">
        <v>3.4</v>
      </c>
      <c r="AD29" s="50">
        <v>5.7</v>
      </c>
      <c r="AE29" s="50">
        <v>-1.2</v>
      </c>
    </row>
    <row r="30" spans="1:31" x14ac:dyDescent="0.25">
      <c r="A30" s="53">
        <v>16</v>
      </c>
      <c r="B30" s="54">
        <v>-0.5</v>
      </c>
      <c r="C30" s="54">
        <v>-2.8</v>
      </c>
      <c r="D30" s="54">
        <v>0.7</v>
      </c>
      <c r="E30" s="54">
        <v>-3.9</v>
      </c>
      <c r="F30" s="54">
        <v>-4.8</v>
      </c>
      <c r="G30" s="54">
        <v>-2.5</v>
      </c>
      <c r="H30" s="54">
        <v>-0.7</v>
      </c>
      <c r="I30" s="54">
        <v>0</v>
      </c>
      <c r="J30" s="54">
        <v>-0.7</v>
      </c>
      <c r="K30" s="54">
        <v>1.9</v>
      </c>
      <c r="L30" s="54">
        <v>2.2000000000000002</v>
      </c>
      <c r="M30" s="54">
        <v>5.3</v>
      </c>
      <c r="N30" s="54">
        <v>5.3</v>
      </c>
      <c r="O30" s="54">
        <v>-1.8</v>
      </c>
      <c r="P30" s="54">
        <v>-0.6</v>
      </c>
      <c r="Q30" s="54">
        <v>0.8</v>
      </c>
      <c r="R30" s="50">
        <v>-5.0999999999999996</v>
      </c>
      <c r="S30" s="54">
        <v>-6.9</v>
      </c>
      <c r="T30" s="54">
        <v>-0.9</v>
      </c>
      <c r="U30" s="54">
        <v>-1.9</v>
      </c>
      <c r="V30" s="54">
        <v>-3</v>
      </c>
      <c r="W30" s="54">
        <v>-0.1</v>
      </c>
      <c r="X30" s="54">
        <v>-3.2</v>
      </c>
      <c r="Y30" s="50">
        <v>1.9</v>
      </c>
      <c r="Z30" s="54">
        <v>3.5</v>
      </c>
      <c r="AA30" s="54">
        <v>4.0999999999999996</v>
      </c>
      <c r="AB30" s="54">
        <v>3.2</v>
      </c>
      <c r="AC30" s="54">
        <v>4.0999999999999996</v>
      </c>
      <c r="AD30" s="50">
        <v>5.4</v>
      </c>
      <c r="AE30" s="50">
        <v>-0.4</v>
      </c>
    </row>
    <row r="31" spans="1:31" x14ac:dyDescent="0.25">
      <c r="A31" s="53">
        <v>18</v>
      </c>
      <c r="B31" s="54">
        <v>-2.4</v>
      </c>
      <c r="C31" s="54">
        <v>-2.8</v>
      </c>
      <c r="D31" s="54">
        <v>-1.1000000000000001</v>
      </c>
      <c r="E31" s="54">
        <v>-5</v>
      </c>
      <c r="F31" s="54">
        <v>-6.5</v>
      </c>
      <c r="G31" s="54">
        <v>-2.8</v>
      </c>
      <c r="H31" s="54">
        <v>-1.7</v>
      </c>
      <c r="I31" s="54">
        <v>-1.5</v>
      </c>
      <c r="J31" s="54">
        <v>-3</v>
      </c>
      <c r="K31" s="54">
        <v>2.8</v>
      </c>
      <c r="L31" s="54">
        <v>2.2999999999999998</v>
      </c>
      <c r="M31" s="54">
        <v>4</v>
      </c>
      <c r="N31" s="54">
        <v>3.5</v>
      </c>
      <c r="O31" s="54">
        <v>-3.1</v>
      </c>
      <c r="P31" s="54">
        <v>0</v>
      </c>
      <c r="Q31" s="54">
        <v>-1</v>
      </c>
      <c r="R31" s="50">
        <v>-4.8</v>
      </c>
      <c r="S31" s="54">
        <v>-7.8</v>
      </c>
      <c r="T31" s="54">
        <v>-1.3</v>
      </c>
      <c r="U31" s="54">
        <v>-3.4</v>
      </c>
      <c r="V31" s="54">
        <v>-3.5</v>
      </c>
      <c r="W31" s="54">
        <v>-0.4</v>
      </c>
      <c r="X31" s="54">
        <v>-4.3</v>
      </c>
      <c r="Y31" s="50">
        <v>1.5</v>
      </c>
      <c r="Z31" s="54">
        <v>4.7</v>
      </c>
      <c r="AA31" s="54">
        <v>2.9</v>
      </c>
      <c r="AB31" s="54">
        <v>2.9</v>
      </c>
      <c r="AC31" s="54">
        <v>4.8</v>
      </c>
      <c r="AD31" s="50">
        <v>5.4</v>
      </c>
      <c r="AE31" s="50">
        <v>1.4</v>
      </c>
    </row>
    <row r="32" spans="1:31" x14ac:dyDescent="0.25">
      <c r="A32" s="53">
        <v>20</v>
      </c>
      <c r="B32" s="54">
        <v>-4.7</v>
      </c>
      <c r="C32" s="54">
        <v>-2.2999999999999998</v>
      </c>
      <c r="D32" s="54">
        <v>-2.7</v>
      </c>
      <c r="E32" s="54">
        <v>-6.4</v>
      </c>
      <c r="F32" s="54">
        <v>-6.4</v>
      </c>
      <c r="G32" s="54">
        <v>-4</v>
      </c>
      <c r="H32" s="54">
        <v>-5.7</v>
      </c>
      <c r="I32" s="54">
        <v>-3.2</v>
      </c>
      <c r="J32" s="54">
        <v>-7.8</v>
      </c>
      <c r="K32" s="54">
        <v>2.4</v>
      </c>
      <c r="L32" s="54">
        <v>1.1000000000000001</v>
      </c>
      <c r="M32" s="54">
        <v>0.5</v>
      </c>
      <c r="N32" s="54">
        <v>1.9</v>
      </c>
      <c r="O32" s="54">
        <v>-4.9000000000000004</v>
      </c>
      <c r="P32" s="54">
        <v>1</v>
      </c>
      <c r="Q32" s="54">
        <v>-1.6</v>
      </c>
      <c r="R32" s="50">
        <v>-6.3</v>
      </c>
      <c r="S32" s="54">
        <v>-8</v>
      </c>
      <c r="T32" s="54">
        <v>-2.6</v>
      </c>
      <c r="U32" s="54">
        <v>-4.0999999999999996</v>
      </c>
      <c r="V32" s="54">
        <v>-5.9</v>
      </c>
      <c r="W32" s="54">
        <v>-0.5</v>
      </c>
      <c r="X32" s="54">
        <v>-6.8</v>
      </c>
      <c r="Y32" s="50">
        <v>-0.3</v>
      </c>
      <c r="Z32" s="54">
        <v>1.7</v>
      </c>
      <c r="AA32" s="54">
        <v>0.4</v>
      </c>
      <c r="AB32" s="54">
        <v>0.9</v>
      </c>
      <c r="AC32" s="54">
        <v>4.2</v>
      </c>
      <c r="AD32" s="50">
        <v>2.2999999999999998</v>
      </c>
      <c r="AE32" s="50">
        <v>1.8</v>
      </c>
    </row>
    <row r="33" spans="1:31" x14ac:dyDescent="0.25">
      <c r="A33" s="53">
        <v>22</v>
      </c>
      <c r="B33" s="54">
        <v>-6.8</v>
      </c>
      <c r="C33" s="54">
        <v>-2.1</v>
      </c>
      <c r="D33" s="54">
        <v>-3.3</v>
      </c>
      <c r="E33" s="54">
        <v>-8.3000000000000007</v>
      </c>
      <c r="F33" s="54">
        <v>-5.0999999999999996</v>
      </c>
      <c r="G33" s="54">
        <v>-5.9</v>
      </c>
      <c r="H33" s="54">
        <v>-7.3</v>
      </c>
      <c r="I33" s="54">
        <v>-4.4000000000000004</v>
      </c>
      <c r="J33" s="54">
        <v>-9.9</v>
      </c>
      <c r="K33" s="54">
        <v>1.8</v>
      </c>
      <c r="L33" s="54">
        <v>0.9</v>
      </c>
      <c r="M33" s="54">
        <v>-1.1000000000000001</v>
      </c>
      <c r="N33" s="54">
        <v>1.6</v>
      </c>
      <c r="O33" s="54">
        <v>-6.5</v>
      </c>
      <c r="P33" s="54">
        <v>3.3</v>
      </c>
      <c r="Q33" s="54">
        <v>-2.5</v>
      </c>
      <c r="R33" s="50">
        <v>-7.9</v>
      </c>
      <c r="S33" s="54">
        <v>-8.9</v>
      </c>
      <c r="T33" s="54">
        <v>-2.1</v>
      </c>
      <c r="U33" s="54">
        <v>-4.8</v>
      </c>
      <c r="V33" s="54">
        <v>-8.1999999999999993</v>
      </c>
      <c r="W33" s="54">
        <v>-0.3</v>
      </c>
      <c r="X33" s="54">
        <v>-8.5</v>
      </c>
      <c r="Y33" s="50">
        <v>-2.2999999999999998</v>
      </c>
      <c r="Z33" s="54">
        <v>0.5</v>
      </c>
      <c r="AA33" s="54">
        <v>-1.6</v>
      </c>
      <c r="AB33" s="54">
        <v>0.3</v>
      </c>
      <c r="AC33" s="54">
        <v>5.3</v>
      </c>
      <c r="AD33" s="50">
        <v>-3</v>
      </c>
      <c r="AE33" s="50">
        <v>2.5</v>
      </c>
    </row>
    <row r="34" spans="1:31" x14ac:dyDescent="0.25">
      <c r="A34" s="53">
        <v>24</v>
      </c>
      <c r="B34" s="54">
        <v>-8.1999999999999993</v>
      </c>
      <c r="C34" s="54">
        <v>-1.5</v>
      </c>
      <c r="D34" s="54">
        <v>-0.4</v>
      </c>
      <c r="E34" s="54">
        <v>-12.1</v>
      </c>
      <c r="F34" s="54">
        <v>-4.5999999999999996</v>
      </c>
      <c r="G34" s="54">
        <v>-8.1</v>
      </c>
      <c r="H34" s="54">
        <v>-9.1999999999999993</v>
      </c>
      <c r="I34" s="54">
        <v>-5.0999999999999996</v>
      </c>
      <c r="J34" s="54">
        <v>-8.9</v>
      </c>
      <c r="K34" s="54">
        <v>1.2</v>
      </c>
      <c r="L34" s="54">
        <v>0.7</v>
      </c>
      <c r="M34" s="54">
        <v>-1.8</v>
      </c>
      <c r="N34" s="54">
        <v>2.1</v>
      </c>
      <c r="O34" s="54">
        <v>-6.8</v>
      </c>
      <c r="P34" s="54">
        <v>3.5</v>
      </c>
      <c r="Q34" s="54">
        <v>-4.7</v>
      </c>
      <c r="R34" s="50">
        <v>-8.5</v>
      </c>
      <c r="S34" s="54">
        <v>-9.9</v>
      </c>
      <c r="T34" s="54">
        <v>-2</v>
      </c>
      <c r="U34" s="54">
        <v>-5.9</v>
      </c>
      <c r="V34" s="54">
        <v>-10.3</v>
      </c>
      <c r="W34" s="54">
        <v>0.1</v>
      </c>
      <c r="X34" s="54">
        <v>-9.5</v>
      </c>
      <c r="Y34" s="50">
        <v>-2</v>
      </c>
      <c r="Z34" s="54">
        <v>-0.5</v>
      </c>
      <c r="AA34" s="54">
        <v>-2.9</v>
      </c>
      <c r="AB34" s="54">
        <v>-0.4</v>
      </c>
      <c r="AC34" s="54">
        <v>4.9000000000000004</v>
      </c>
      <c r="AD34" s="50">
        <v>-4.5</v>
      </c>
      <c r="AE34" s="50">
        <v>3.4</v>
      </c>
    </row>
    <row r="35" spans="1:31" x14ac:dyDescent="0.25">
      <c r="A35" s="53">
        <v>2</v>
      </c>
      <c r="B35" s="54">
        <v>-9</v>
      </c>
      <c r="C35" s="54">
        <v>-1.1000000000000001</v>
      </c>
      <c r="D35" s="54">
        <v>-4.4000000000000004</v>
      </c>
      <c r="E35" s="54">
        <v>-14.5</v>
      </c>
      <c r="F35" s="54">
        <v>-3.7</v>
      </c>
      <c r="G35" s="54">
        <v>-9.3000000000000007</v>
      </c>
      <c r="H35" s="54">
        <v>-11.6</v>
      </c>
      <c r="I35" s="54">
        <v>-4.2</v>
      </c>
      <c r="J35" s="54">
        <v>-7</v>
      </c>
      <c r="K35" s="54">
        <v>1.4</v>
      </c>
      <c r="L35" s="54">
        <v>0.4</v>
      </c>
      <c r="M35" s="54">
        <v>-2.9</v>
      </c>
      <c r="N35" s="54">
        <v>0.1</v>
      </c>
      <c r="O35" s="54">
        <v>-6.9</v>
      </c>
      <c r="P35" s="54">
        <v>2.8</v>
      </c>
      <c r="Q35" s="54">
        <v>-6.8</v>
      </c>
      <c r="R35" s="50">
        <v>-9.4</v>
      </c>
      <c r="S35" s="54">
        <v>-10.7</v>
      </c>
      <c r="T35" s="54">
        <v>-3.2</v>
      </c>
      <c r="U35" s="54">
        <v>-7.3</v>
      </c>
      <c r="V35" s="54">
        <v>-11.5</v>
      </c>
      <c r="W35" s="54">
        <v>-0.6</v>
      </c>
      <c r="X35" s="54">
        <v>-9.6999999999999993</v>
      </c>
      <c r="Y35" s="50">
        <v>-1.4</v>
      </c>
      <c r="Z35" s="54">
        <v>-1.5</v>
      </c>
      <c r="AA35" s="54">
        <v>-4</v>
      </c>
      <c r="AB35" s="54">
        <v>-1.3</v>
      </c>
      <c r="AC35" s="54">
        <v>5.2</v>
      </c>
      <c r="AD35" s="50">
        <v>-5.7</v>
      </c>
      <c r="AE35" s="50">
        <v>3.5</v>
      </c>
    </row>
    <row r="36" spans="1:31" ht="28.5" x14ac:dyDescent="0.25">
      <c r="A36" s="55" t="s">
        <v>2</v>
      </c>
      <c r="B36" s="56">
        <f>AVERAGE(B24+B25+B26+B27+B28+B29+B30+B31+B32+B33+B34+B35)/12</f>
        <v>-3.7166666666666668</v>
      </c>
      <c r="C36" s="56">
        <f t="shared" ref="C36:AE36" si="1">AVERAGE(C24+C25+C26+C27+C28+C29+C30+C31+C32+C33+C34+C35)/12</f>
        <v>-3.4750000000000001</v>
      </c>
      <c r="D36" s="56">
        <f t="shared" si="1"/>
        <v>-0.37500000000000017</v>
      </c>
      <c r="E36" s="56">
        <f t="shared" si="1"/>
        <v>-6.375</v>
      </c>
      <c r="F36" s="56">
        <f t="shared" si="1"/>
        <v>-8.4166666666666661</v>
      </c>
      <c r="G36" s="56">
        <f t="shared" si="1"/>
        <v>-3.5416666666666665</v>
      </c>
      <c r="H36" s="56">
        <f t="shared" si="1"/>
        <v>-6.3916666666666666</v>
      </c>
      <c r="I36" s="56">
        <f t="shared" si="1"/>
        <v>-4.2166666666666677</v>
      </c>
      <c r="J36" s="56">
        <f t="shared" si="1"/>
        <v>-4.6499999999999995</v>
      </c>
      <c r="K36" s="56">
        <f t="shared" si="1"/>
        <v>4.9999999999999989E-2</v>
      </c>
      <c r="L36" s="56">
        <f t="shared" si="1"/>
        <v>1.3499999999999999</v>
      </c>
      <c r="M36" s="56">
        <f t="shared" si="1"/>
        <v>1.45</v>
      </c>
      <c r="N36" s="56">
        <f t="shared" si="1"/>
        <v>1.7250000000000003</v>
      </c>
      <c r="O36" s="56">
        <f t="shared" si="1"/>
        <v>-3.5166666666666662</v>
      </c>
      <c r="P36" s="56">
        <f t="shared" si="1"/>
        <v>-0.79166666666666663</v>
      </c>
      <c r="Q36" s="56">
        <f t="shared" si="1"/>
        <v>0.35833333333333345</v>
      </c>
      <c r="R36" s="56">
        <f t="shared" si="1"/>
        <v>-6.5250000000000012</v>
      </c>
      <c r="S36" s="56">
        <f t="shared" si="1"/>
        <v>-8.6250000000000018</v>
      </c>
      <c r="T36" s="56">
        <f t="shared" si="1"/>
        <v>-4.4000000000000004</v>
      </c>
      <c r="U36" s="56">
        <f t="shared" si="1"/>
        <v>-2.8416666666666668</v>
      </c>
      <c r="V36" s="56">
        <f t="shared" si="1"/>
        <v>-6.5333333333333323</v>
      </c>
      <c r="W36" s="56">
        <f t="shared" si="1"/>
        <v>-2.9166666666666661</v>
      </c>
      <c r="X36" s="56">
        <f t="shared" si="1"/>
        <v>-5.75</v>
      </c>
      <c r="Y36" s="56">
        <f t="shared" si="1"/>
        <v>-1.9833333333333334</v>
      </c>
      <c r="Z36" s="56">
        <f t="shared" si="1"/>
        <v>1.1500000000000001</v>
      </c>
      <c r="AA36" s="56">
        <f t="shared" si="1"/>
        <v>0.60000000000000009</v>
      </c>
      <c r="AB36" s="56">
        <f t="shared" si="1"/>
        <v>-9.9999999999999908E-2</v>
      </c>
      <c r="AC36" s="56">
        <f t="shared" si="1"/>
        <v>3</v>
      </c>
      <c r="AD36" s="56">
        <f t="shared" si="1"/>
        <v>2.4666666666666663</v>
      </c>
      <c r="AE36" s="56">
        <f t="shared" si="1"/>
        <v>-0.52499999999999958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D1" workbookViewId="0">
      <selection activeCell="Y16" sqref="Y16"/>
    </sheetView>
  </sheetViews>
  <sheetFormatPr defaultRowHeight="15" x14ac:dyDescent="0.25"/>
  <cols>
    <col min="1" max="1" width="20.140625" style="58" customWidth="1"/>
    <col min="2" max="31" width="9.140625" style="58"/>
    <col min="32" max="32" width="9.140625" style="64"/>
    <col min="33" max="16384" width="9.140625" style="58"/>
  </cols>
  <sheetData>
    <row r="1" spans="1:32" x14ac:dyDescent="0.25">
      <c r="A1" s="60" t="s">
        <v>8</v>
      </c>
      <c r="B1" s="140" t="s">
        <v>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</row>
    <row r="2" spans="1:32" x14ac:dyDescent="0.25">
      <c r="A2" s="141" t="s">
        <v>0</v>
      </c>
      <c r="B2" s="143" t="s">
        <v>11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</row>
    <row r="3" spans="1:32" x14ac:dyDescent="0.25">
      <c r="A3" s="142"/>
      <c r="B3" s="60">
        <v>1</v>
      </c>
      <c r="C3" s="60">
        <v>2</v>
      </c>
      <c r="D3" s="60">
        <v>3</v>
      </c>
      <c r="E3" s="60">
        <v>4</v>
      </c>
      <c r="F3" s="60">
        <v>5</v>
      </c>
      <c r="G3" s="60">
        <v>6</v>
      </c>
      <c r="H3" s="60">
        <v>7</v>
      </c>
      <c r="I3" s="60">
        <v>8</v>
      </c>
      <c r="J3" s="60">
        <v>9</v>
      </c>
      <c r="K3" s="60">
        <v>10</v>
      </c>
      <c r="L3" s="60">
        <v>11</v>
      </c>
      <c r="M3" s="60">
        <v>12</v>
      </c>
      <c r="N3" s="60">
        <v>13</v>
      </c>
      <c r="O3" s="60">
        <v>14</v>
      </c>
      <c r="P3" s="60">
        <v>15</v>
      </c>
      <c r="Q3" s="60">
        <v>16</v>
      </c>
      <c r="R3" s="60">
        <v>17</v>
      </c>
      <c r="S3" s="60">
        <v>18</v>
      </c>
      <c r="T3" s="60">
        <v>19</v>
      </c>
      <c r="U3" s="60">
        <v>20</v>
      </c>
      <c r="V3" s="60">
        <v>21</v>
      </c>
      <c r="W3" s="60">
        <v>22</v>
      </c>
      <c r="X3" s="60">
        <v>23</v>
      </c>
      <c r="Y3" s="60">
        <v>24</v>
      </c>
      <c r="Z3" s="60">
        <v>25</v>
      </c>
      <c r="AA3" s="60">
        <v>26</v>
      </c>
      <c r="AB3" s="60">
        <v>27</v>
      </c>
      <c r="AC3" s="60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54">
        <v>3.6</v>
      </c>
      <c r="C4" s="54">
        <v>3.1</v>
      </c>
      <c r="D4" s="54">
        <v>-2.5</v>
      </c>
      <c r="E4" s="50">
        <v>-0.7</v>
      </c>
      <c r="F4" s="54">
        <v>1</v>
      </c>
      <c r="G4" s="54">
        <v>1.5</v>
      </c>
      <c r="H4" s="54">
        <v>6.7</v>
      </c>
      <c r="I4" s="54">
        <v>2.9</v>
      </c>
      <c r="J4" s="54">
        <v>3.6</v>
      </c>
      <c r="K4" s="54">
        <v>-1.3</v>
      </c>
      <c r="L4" s="54">
        <v>-4.4000000000000004</v>
      </c>
      <c r="M4" s="54">
        <v>-1.5</v>
      </c>
      <c r="N4" s="54">
        <v>-1.5</v>
      </c>
      <c r="O4" s="54">
        <v>-0.7</v>
      </c>
      <c r="P4" s="54">
        <v>3.5</v>
      </c>
      <c r="Q4" s="54">
        <v>6.1</v>
      </c>
      <c r="R4" s="50">
        <v>6.1</v>
      </c>
      <c r="S4" s="54">
        <v>3.84</v>
      </c>
      <c r="T4" s="54">
        <v>0.06</v>
      </c>
      <c r="U4" s="54">
        <v>0.9</v>
      </c>
      <c r="V4" s="54">
        <v>6.1</v>
      </c>
      <c r="W4" s="54">
        <v>3.9</v>
      </c>
      <c r="X4" s="54">
        <v>2.8</v>
      </c>
      <c r="Y4" s="50">
        <v>1.2</v>
      </c>
      <c r="Z4" s="54">
        <v>-2.6</v>
      </c>
      <c r="AA4" s="54">
        <v>0.7</v>
      </c>
      <c r="AB4" s="54">
        <v>-0.6</v>
      </c>
      <c r="AC4" s="54">
        <v>0.5</v>
      </c>
      <c r="AD4" s="50">
        <v>4.4000000000000004</v>
      </c>
      <c r="AE4" s="63">
        <v>6.6</v>
      </c>
      <c r="AF4" s="63">
        <v>6</v>
      </c>
    </row>
    <row r="5" spans="1:32" x14ac:dyDescent="0.25">
      <c r="A5" s="53">
        <v>6</v>
      </c>
      <c r="B5" s="54">
        <v>4.3</v>
      </c>
      <c r="C5" s="54">
        <v>3.1</v>
      </c>
      <c r="D5" s="54">
        <v>-0.2</v>
      </c>
      <c r="E5" s="50">
        <v>0.2</v>
      </c>
      <c r="F5" s="54">
        <v>1</v>
      </c>
      <c r="G5" s="54">
        <v>1.7</v>
      </c>
      <c r="H5" s="54">
        <v>6.5</v>
      </c>
      <c r="I5" s="54">
        <v>4.2</v>
      </c>
      <c r="J5" s="54">
        <v>3.7</v>
      </c>
      <c r="K5" s="54">
        <v>-1.3</v>
      </c>
      <c r="L5" s="54">
        <v>-4.3</v>
      </c>
      <c r="M5" s="54">
        <v>-0.8</v>
      </c>
      <c r="N5" s="54">
        <v>-1.2</v>
      </c>
      <c r="O5" s="54">
        <v>1.05</v>
      </c>
      <c r="P5" s="54">
        <v>3.6</v>
      </c>
      <c r="Q5" s="54">
        <v>6.5</v>
      </c>
      <c r="R5" s="50">
        <v>6.31</v>
      </c>
      <c r="S5" s="54">
        <v>4.05</v>
      </c>
      <c r="T5" s="54">
        <v>2.9</v>
      </c>
      <c r="U5" s="54">
        <v>2.9</v>
      </c>
      <c r="V5" s="54">
        <v>6.1</v>
      </c>
      <c r="W5" s="54">
        <v>3.9</v>
      </c>
      <c r="X5" s="54">
        <v>2.7</v>
      </c>
      <c r="Y5" s="50">
        <v>1.1000000000000001</v>
      </c>
      <c r="Z5" s="54">
        <v>-2.2000000000000002</v>
      </c>
      <c r="AA5" s="54">
        <v>0.7</v>
      </c>
      <c r="AB5" s="54">
        <v>-4</v>
      </c>
      <c r="AC5" s="54">
        <v>0.2</v>
      </c>
      <c r="AD5" s="50">
        <v>5.4</v>
      </c>
      <c r="AE5" s="63">
        <v>6.6</v>
      </c>
      <c r="AF5" s="63">
        <v>6.9</v>
      </c>
    </row>
    <row r="6" spans="1:32" x14ac:dyDescent="0.25">
      <c r="A6" s="53">
        <v>8</v>
      </c>
      <c r="B6" s="54">
        <v>4.5999999999999996</v>
      </c>
      <c r="C6" s="54">
        <v>0.97</v>
      </c>
      <c r="D6" s="54">
        <v>3.2</v>
      </c>
      <c r="E6" s="50">
        <v>2</v>
      </c>
      <c r="F6" s="54">
        <v>1.8</v>
      </c>
      <c r="G6" s="54">
        <v>2.0699999999999998</v>
      </c>
      <c r="H6" s="54">
        <v>8.3000000000000007</v>
      </c>
      <c r="I6" s="54">
        <v>5.9</v>
      </c>
      <c r="J6" s="54">
        <v>5.5</v>
      </c>
      <c r="K6" s="54">
        <v>-1.81</v>
      </c>
      <c r="L6" s="54">
        <v>-4</v>
      </c>
      <c r="M6" s="54">
        <v>0.2</v>
      </c>
      <c r="N6" s="54">
        <v>0.1</v>
      </c>
      <c r="O6" s="54">
        <v>4.4000000000000004</v>
      </c>
      <c r="P6" s="54">
        <v>4.3</v>
      </c>
      <c r="Q6" s="54">
        <v>6.6</v>
      </c>
      <c r="R6" s="50">
        <v>7.8</v>
      </c>
      <c r="S6" s="54">
        <v>5.8</v>
      </c>
      <c r="T6" s="54">
        <v>4.3</v>
      </c>
      <c r="U6" s="54">
        <v>4.8</v>
      </c>
      <c r="V6" s="54">
        <v>7.6</v>
      </c>
      <c r="W6" s="54">
        <v>3.3</v>
      </c>
      <c r="X6" s="54">
        <v>2.1</v>
      </c>
      <c r="Y6" s="50">
        <v>1</v>
      </c>
      <c r="Z6" s="54">
        <v>0.2</v>
      </c>
      <c r="AA6" s="54">
        <v>0.5</v>
      </c>
      <c r="AB6" s="54">
        <v>0.53200000000000003</v>
      </c>
      <c r="AC6" s="54">
        <v>0.2</v>
      </c>
      <c r="AD6" s="50">
        <v>7</v>
      </c>
      <c r="AE6" s="63">
        <v>6.4</v>
      </c>
      <c r="AF6" s="63">
        <v>7.7</v>
      </c>
    </row>
    <row r="7" spans="1:32" x14ac:dyDescent="0.25">
      <c r="A7" s="53">
        <v>10</v>
      </c>
      <c r="B7" s="54">
        <v>4.2</v>
      </c>
      <c r="C7" s="54">
        <v>-0.93</v>
      </c>
      <c r="D7" s="54">
        <v>5.5</v>
      </c>
      <c r="E7" s="50">
        <v>4.2</v>
      </c>
      <c r="F7" s="54">
        <v>2</v>
      </c>
      <c r="G7" s="54">
        <v>3.46</v>
      </c>
      <c r="H7" s="54">
        <v>11.6</v>
      </c>
      <c r="I7" s="54">
        <v>6.7</v>
      </c>
      <c r="J7" s="54">
        <v>7</v>
      </c>
      <c r="K7" s="54">
        <v>-2.36</v>
      </c>
      <c r="L7" s="54">
        <v>-2.9</v>
      </c>
      <c r="M7" s="54">
        <v>0.7</v>
      </c>
      <c r="N7" s="54">
        <v>2.09</v>
      </c>
      <c r="O7" s="54">
        <v>6.2</v>
      </c>
      <c r="P7" s="54">
        <v>6.46</v>
      </c>
      <c r="Q7" s="54">
        <v>7.4</v>
      </c>
      <c r="R7" s="50">
        <v>9.9</v>
      </c>
      <c r="S7" s="54">
        <v>6.1</v>
      </c>
      <c r="T7" s="54">
        <v>4.2</v>
      </c>
      <c r="U7" s="54">
        <v>8.1</v>
      </c>
      <c r="V7" s="54">
        <v>10.1</v>
      </c>
      <c r="W7" s="54">
        <v>4.5999999999999996</v>
      </c>
      <c r="X7" s="54">
        <v>2.6</v>
      </c>
      <c r="Y7" s="50">
        <v>1</v>
      </c>
      <c r="Z7" s="54">
        <v>0.5</v>
      </c>
      <c r="AA7" s="54" t="s">
        <v>119</v>
      </c>
      <c r="AB7" s="54" t="s">
        <v>250</v>
      </c>
      <c r="AC7" s="54" t="s">
        <v>252</v>
      </c>
      <c r="AD7" s="50" t="s">
        <v>254</v>
      </c>
      <c r="AE7" s="63" t="s">
        <v>42</v>
      </c>
      <c r="AF7" s="63" t="s">
        <v>255</v>
      </c>
    </row>
    <row r="8" spans="1:32" x14ac:dyDescent="0.25">
      <c r="A8" s="53">
        <v>12</v>
      </c>
      <c r="B8" s="54">
        <v>4.9000000000000004</v>
      </c>
      <c r="C8" s="54">
        <v>-1.1399999999999999</v>
      </c>
      <c r="D8" s="54">
        <v>8.1999999999999993</v>
      </c>
      <c r="E8" s="50">
        <v>4.5</v>
      </c>
      <c r="F8" s="54">
        <v>3.2</v>
      </c>
      <c r="G8" s="54">
        <v>7.23</v>
      </c>
      <c r="H8" s="54">
        <v>9</v>
      </c>
      <c r="I8" s="54">
        <v>8.3000000000000007</v>
      </c>
      <c r="J8" s="54">
        <v>7.5</v>
      </c>
      <c r="K8" s="54">
        <v>-0.83</v>
      </c>
      <c r="L8" s="54">
        <v>-2.6</v>
      </c>
      <c r="M8" s="54">
        <v>2.2999999999999998</v>
      </c>
      <c r="N8" s="54">
        <v>5.0999999999999996</v>
      </c>
      <c r="O8" s="54">
        <v>10.199999999999999</v>
      </c>
      <c r="P8" s="54">
        <v>10.48</v>
      </c>
      <c r="Q8" s="54">
        <v>8</v>
      </c>
      <c r="R8" s="50">
        <v>10.8</v>
      </c>
      <c r="S8" s="54">
        <v>4.5</v>
      </c>
      <c r="T8" s="54">
        <v>4.8</v>
      </c>
      <c r="U8" s="54">
        <v>10.9</v>
      </c>
      <c r="V8" s="54">
        <v>14.1</v>
      </c>
      <c r="W8" s="54">
        <v>4.4000000000000004</v>
      </c>
      <c r="X8" s="54">
        <v>3.4</v>
      </c>
      <c r="Y8" s="50">
        <v>1.5</v>
      </c>
      <c r="Z8" s="54">
        <v>2</v>
      </c>
      <c r="AA8" s="54" t="s">
        <v>119</v>
      </c>
      <c r="AB8" s="54" t="s">
        <v>251</v>
      </c>
      <c r="AC8" s="54" t="s">
        <v>253</v>
      </c>
      <c r="AD8" s="50" t="s">
        <v>29</v>
      </c>
      <c r="AE8" s="63" t="s">
        <v>14</v>
      </c>
      <c r="AF8" s="63">
        <v>14.11</v>
      </c>
    </row>
    <row r="9" spans="1:32" x14ac:dyDescent="0.25">
      <c r="A9" s="53">
        <v>14</v>
      </c>
      <c r="B9" s="54">
        <v>7.1</v>
      </c>
      <c r="C9" s="54">
        <v>-0.8</v>
      </c>
      <c r="D9" s="54">
        <v>7.7</v>
      </c>
      <c r="E9" s="50">
        <v>5.2</v>
      </c>
      <c r="F9" s="54">
        <v>4</v>
      </c>
      <c r="G9" s="54">
        <v>8.8699999999999992</v>
      </c>
      <c r="H9" s="54">
        <v>8.1999999999999993</v>
      </c>
      <c r="I9" s="54">
        <v>8.9</v>
      </c>
      <c r="J9" s="54">
        <v>7.5</v>
      </c>
      <c r="K9" s="54">
        <v>-0.79</v>
      </c>
      <c r="L9" s="54">
        <v>-1.5</v>
      </c>
      <c r="M9" s="54">
        <v>2.2999999999999998</v>
      </c>
      <c r="N9" s="54">
        <v>5.6</v>
      </c>
      <c r="O9" s="54">
        <v>9.1</v>
      </c>
      <c r="P9" s="54">
        <v>12.87</v>
      </c>
      <c r="Q9" s="54">
        <v>8.6999999999999993</v>
      </c>
      <c r="R9" s="50">
        <v>12</v>
      </c>
      <c r="S9" s="54">
        <v>5</v>
      </c>
      <c r="T9" s="54">
        <v>6.6</v>
      </c>
      <c r="U9" s="54">
        <v>10.7</v>
      </c>
      <c r="V9" s="54">
        <v>14</v>
      </c>
      <c r="W9" s="54">
        <v>5.0999999999999996</v>
      </c>
      <c r="X9" s="54">
        <v>6.5</v>
      </c>
      <c r="Y9" s="50">
        <v>1.5</v>
      </c>
      <c r="Z9" s="54">
        <v>2.5</v>
      </c>
      <c r="AA9" s="54">
        <v>1.4</v>
      </c>
      <c r="AB9" s="54">
        <v>0.62</v>
      </c>
      <c r="AC9" s="54">
        <v>5.3</v>
      </c>
      <c r="AD9" s="50">
        <v>12.2</v>
      </c>
      <c r="AE9" s="63">
        <v>16</v>
      </c>
      <c r="AF9" s="63">
        <v>19</v>
      </c>
    </row>
    <row r="10" spans="1:32" x14ac:dyDescent="0.25">
      <c r="A10" s="53">
        <v>16</v>
      </c>
      <c r="B10" s="54">
        <v>6.5</v>
      </c>
      <c r="C10" s="54">
        <v>-1.05</v>
      </c>
      <c r="D10" s="54">
        <v>9.8000000000000007</v>
      </c>
      <c r="E10" s="50">
        <v>3.7</v>
      </c>
      <c r="F10" s="54">
        <v>4.3</v>
      </c>
      <c r="G10" s="54">
        <v>9.98</v>
      </c>
      <c r="H10" s="54">
        <v>10.1</v>
      </c>
      <c r="I10" s="54">
        <v>9.1999999999999993</v>
      </c>
      <c r="J10" s="54">
        <v>6.6</v>
      </c>
      <c r="K10" s="54">
        <v>-1.1200000000000001</v>
      </c>
      <c r="L10" s="54">
        <v>0.7</v>
      </c>
      <c r="M10" s="54">
        <v>3.4</v>
      </c>
      <c r="N10" s="54">
        <v>6.3</v>
      </c>
      <c r="O10" s="54">
        <v>8.9</v>
      </c>
      <c r="P10" s="54">
        <v>12.5</v>
      </c>
      <c r="Q10" s="54">
        <v>9</v>
      </c>
      <c r="R10" s="50">
        <v>13</v>
      </c>
      <c r="S10" s="54">
        <v>4.4000000000000004</v>
      </c>
      <c r="T10" s="54">
        <v>5.3</v>
      </c>
      <c r="U10" s="54">
        <v>9.1999999999999993</v>
      </c>
      <c r="V10" s="54">
        <v>17.399999999999999</v>
      </c>
      <c r="W10" s="54">
        <v>6.3</v>
      </c>
      <c r="X10" s="54">
        <v>7.4</v>
      </c>
      <c r="Y10" s="50">
        <v>0.9</v>
      </c>
      <c r="Z10" s="54">
        <v>2.5</v>
      </c>
      <c r="AA10" s="54">
        <v>1.03</v>
      </c>
      <c r="AB10" s="54">
        <v>0.37</v>
      </c>
      <c r="AC10" s="54">
        <v>6.1</v>
      </c>
      <c r="AD10" s="50">
        <v>15</v>
      </c>
      <c r="AE10" s="63">
        <v>16.899999999999999</v>
      </c>
      <c r="AF10" s="63">
        <v>18.7</v>
      </c>
    </row>
    <row r="11" spans="1:32" x14ac:dyDescent="0.25">
      <c r="A11" s="53">
        <v>18</v>
      </c>
      <c r="B11" s="54">
        <v>5.7</v>
      </c>
      <c r="C11" s="54">
        <v>-0.7</v>
      </c>
      <c r="D11" s="54">
        <v>6.4</v>
      </c>
      <c r="E11" s="50">
        <v>2.1</v>
      </c>
      <c r="F11" s="54">
        <v>3.9</v>
      </c>
      <c r="G11" s="54">
        <v>9.34</v>
      </c>
      <c r="H11" s="54">
        <v>10.9</v>
      </c>
      <c r="I11" s="54">
        <v>8.4</v>
      </c>
      <c r="J11" s="54">
        <v>4.5</v>
      </c>
      <c r="K11" s="54">
        <v>-1.0780000000000001</v>
      </c>
      <c r="L11" s="54">
        <v>-1.42</v>
      </c>
      <c r="M11" s="54">
        <v>3</v>
      </c>
      <c r="N11" s="54">
        <v>6.1</v>
      </c>
      <c r="O11" s="54">
        <v>8.1</v>
      </c>
      <c r="P11" s="54">
        <v>11.34</v>
      </c>
      <c r="Q11" s="54">
        <v>7.7</v>
      </c>
      <c r="R11" s="50">
        <v>10.73</v>
      </c>
      <c r="S11" s="54">
        <v>2.98</v>
      </c>
      <c r="T11" s="54">
        <v>5.87</v>
      </c>
      <c r="U11" s="54">
        <v>6.6</v>
      </c>
      <c r="V11" s="54">
        <v>17.399999999999999</v>
      </c>
      <c r="W11" s="54">
        <v>6.45</v>
      </c>
      <c r="X11" s="54">
        <v>6.7</v>
      </c>
      <c r="Y11" s="50">
        <v>1.2</v>
      </c>
      <c r="Z11" s="54">
        <v>3.6</v>
      </c>
      <c r="AA11" s="54">
        <v>0.9</v>
      </c>
      <c r="AB11" s="54">
        <v>0.56999999999999995</v>
      </c>
      <c r="AC11" s="54">
        <v>5.5</v>
      </c>
      <c r="AD11" s="50">
        <v>15.4</v>
      </c>
      <c r="AE11" s="63">
        <v>15.9</v>
      </c>
      <c r="AF11" s="63">
        <v>21.95</v>
      </c>
    </row>
    <row r="12" spans="1:32" x14ac:dyDescent="0.25">
      <c r="A12" s="53">
        <v>20</v>
      </c>
      <c r="B12" s="54">
        <v>6.1</v>
      </c>
      <c r="C12" s="54">
        <v>-0.9</v>
      </c>
      <c r="D12" s="54">
        <v>3.89</v>
      </c>
      <c r="E12" s="50">
        <v>1</v>
      </c>
      <c r="F12" s="54">
        <v>3.4</v>
      </c>
      <c r="G12" s="54">
        <v>9.51</v>
      </c>
      <c r="H12" s="54">
        <v>5</v>
      </c>
      <c r="I12" s="54">
        <v>6.4</v>
      </c>
      <c r="J12" s="54">
        <v>2.9</v>
      </c>
      <c r="K12" s="54">
        <v>-2.4</v>
      </c>
      <c r="L12" s="54">
        <v>-1.65</v>
      </c>
      <c r="M12" s="54">
        <v>1.8</v>
      </c>
      <c r="N12" s="54">
        <v>4.5</v>
      </c>
      <c r="O12" s="54">
        <v>6.2</v>
      </c>
      <c r="P12" s="54">
        <v>9.8000000000000007</v>
      </c>
      <c r="Q12" s="54">
        <v>7.85</v>
      </c>
      <c r="R12" s="50">
        <v>6.94</v>
      </c>
      <c r="S12" s="54">
        <v>3.4</v>
      </c>
      <c r="T12" s="54">
        <v>4.0999999999999996</v>
      </c>
      <c r="U12" s="54">
        <v>6.1</v>
      </c>
      <c r="V12" s="54">
        <v>14.8</v>
      </c>
      <c r="W12" s="54">
        <v>5.7</v>
      </c>
      <c r="X12" s="54">
        <v>5.8</v>
      </c>
      <c r="Y12" s="50">
        <v>1.7</v>
      </c>
      <c r="Z12" s="54">
        <v>3.3</v>
      </c>
      <c r="AA12" s="54">
        <v>0.5</v>
      </c>
      <c r="AB12" s="54">
        <v>0.88</v>
      </c>
      <c r="AC12" s="54">
        <v>4.59</v>
      </c>
      <c r="AD12" s="50">
        <v>14.9</v>
      </c>
      <c r="AE12" s="63">
        <v>16</v>
      </c>
      <c r="AF12" s="63">
        <v>21.3</v>
      </c>
    </row>
    <row r="13" spans="1:32" x14ac:dyDescent="0.25">
      <c r="A13" s="53">
        <v>22</v>
      </c>
      <c r="B13" s="54">
        <v>5.6</v>
      </c>
      <c r="C13" s="54">
        <v>-1.4</v>
      </c>
      <c r="D13" s="54">
        <v>3.35</v>
      </c>
      <c r="E13" s="50">
        <v>0.6</v>
      </c>
      <c r="F13" s="54">
        <v>2.8</v>
      </c>
      <c r="G13" s="54">
        <v>8.1</v>
      </c>
      <c r="H13" s="54">
        <v>3.77</v>
      </c>
      <c r="I13" s="54">
        <v>5.0999999999999996</v>
      </c>
      <c r="J13" s="54">
        <v>1.3</v>
      </c>
      <c r="K13" s="54">
        <v>-2.7</v>
      </c>
      <c r="L13" s="54">
        <v>-1.27</v>
      </c>
      <c r="M13" s="54">
        <v>0.7</v>
      </c>
      <c r="N13" s="54">
        <v>0.9</v>
      </c>
      <c r="O13" s="54">
        <v>5.05</v>
      </c>
      <c r="P13" s="54">
        <v>8.3000000000000007</v>
      </c>
      <c r="Q13" s="54">
        <v>8</v>
      </c>
      <c r="R13" s="50">
        <v>5.2</v>
      </c>
      <c r="S13" s="54">
        <v>1.7</v>
      </c>
      <c r="T13" s="54">
        <v>3</v>
      </c>
      <c r="U13" s="54">
        <v>6.4</v>
      </c>
      <c r="V13" s="54">
        <v>13.3</v>
      </c>
      <c r="W13" s="54">
        <v>4.7</v>
      </c>
      <c r="X13" s="54">
        <v>4.4000000000000004</v>
      </c>
      <c r="Y13" s="50">
        <v>1.5</v>
      </c>
      <c r="Z13" s="54">
        <v>0.1</v>
      </c>
      <c r="AA13" s="54">
        <v>0.2</v>
      </c>
      <c r="AB13" s="54">
        <v>0.6</v>
      </c>
      <c r="AC13" s="54">
        <v>4.0599999999999996</v>
      </c>
      <c r="AD13" s="50">
        <v>12.8</v>
      </c>
      <c r="AE13" s="63">
        <v>13.5</v>
      </c>
      <c r="AF13" s="63">
        <v>19</v>
      </c>
    </row>
    <row r="14" spans="1:32" x14ac:dyDescent="0.25">
      <c r="A14" s="53">
        <v>24</v>
      </c>
      <c r="B14" s="54">
        <v>4</v>
      </c>
      <c r="C14" s="54">
        <v>-1.5</v>
      </c>
      <c r="D14" s="54">
        <v>-0.45</v>
      </c>
      <c r="E14" s="50">
        <v>1</v>
      </c>
      <c r="F14" s="54">
        <v>2.2000000000000002</v>
      </c>
      <c r="G14" s="54">
        <v>7.4</v>
      </c>
      <c r="H14" s="54">
        <v>3.65</v>
      </c>
      <c r="I14" s="54">
        <v>5.2</v>
      </c>
      <c r="J14" s="54">
        <v>1.2</v>
      </c>
      <c r="K14" s="54">
        <v>-3.3</v>
      </c>
      <c r="L14" s="54">
        <v>-1.76</v>
      </c>
      <c r="M14" s="54">
        <v>-1</v>
      </c>
      <c r="N14" s="54">
        <v>-0.9</v>
      </c>
      <c r="O14" s="54">
        <v>4.4000000000000004</v>
      </c>
      <c r="P14" s="54">
        <v>7.6</v>
      </c>
      <c r="Q14" s="54">
        <v>7.58</v>
      </c>
      <c r="R14" s="50">
        <v>4.28</v>
      </c>
      <c r="S14" s="54">
        <v>1.3</v>
      </c>
      <c r="T14" s="54">
        <v>1.8</v>
      </c>
      <c r="U14" s="54">
        <v>5.9</v>
      </c>
      <c r="V14" s="54">
        <v>10.8</v>
      </c>
      <c r="W14" s="54">
        <v>4.5</v>
      </c>
      <c r="X14" s="54">
        <v>3.5</v>
      </c>
      <c r="Y14" s="50">
        <v>0.1</v>
      </c>
      <c r="Z14" s="54">
        <v>0.3</v>
      </c>
      <c r="AA14" s="54">
        <v>0.1</v>
      </c>
      <c r="AB14" s="54">
        <v>0.7</v>
      </c>
      <c r="AC14" s="54">
        <v>4.5</v>
      </c>
      <c r="AD14" s="50">
        <v>10.4</v>
      </c>
      <c r="AE14" s="63">
        <v>12.6</v>
      </c>
      <c r="AF14" s="63">
        <v>19</v>
      </c>
    </row>
    <row r="15" spans="1:32" x14ac:dyDescent="0.25">
      <c r="A15" s="53">
        <v>2</v>
      </c>
      <c r="B15" s="54">
        <v>3.6</v>
      </c>
      <c r="C15" s="54">
        <v>-2.9</v>
      </c>
      <c r="D15" s="54">
        <v>-0.9</v>
      </c>
      <c r="E15" s="50">
        <v>1</v>
      </c>
      <c r="F15" s="54">
        <v>1.7</v>
      </c>
      <c r="G15" s="54">
        <v>7.4</v>
      </c>
      <c r="H15" s="54">
        <v>3.15</v>
      </c>
      <c r="I15" s="54">
        <v>2.8</v>
      </c>
      <c r="J15" s="54">
        <v>0.48</v>
      </c>
      <c r="K15" s="54">
        <v>-3.72</v>
      </c>
      <c r="L15" s="54">
        <v>-1.69</v>
      </c>
      <c r="M15" s="54">
        <v>-2</v>
      </c>
      <c r="N15" s="54">
        <v>-0.94</v>
      </c>
      <c r="O15" s="54">
        <v>4.22</v>
      </c>
      <c r="P15" s="54">
        <v>7.25</v>
      </c>
      <c r="Q15" s="54">
        <v>7.19</v>
      </c>
      <c r="R15" s="50">
        <v>3.15</v>
      </c>
      <c r="S15" s="54">
        <v>0.59</v>
      </c>
      <c r="T15" s="54">
        <v>0.88</v>
      </c>
      <c r="U15" s="54">
        <v>5.5</v>
      </c>
      <c r="V15" s="54">
        <v>8.1</v>
      </c>
      <c r="W15" s="54">
        <v>2.87</v>
      </c>
      <c r="X15" s="54">
        <v>1.9</v>
      </c>
      <c r="Y15" s="50">
        <v>-2.1</v>
      </c>
      <c r="Z15" s="54">
        <v>-0.2</v>
      </c>
      <c r="AA15" s="54">
        <v>-0.2</v>
      </c>
      <c r="AB15" s="54">
        <v>0.19</v>
      </c>
      <c r="AC15" s="54">
        <v>4.37</v>
      </c>
      <c r="AD15" s="50">
        <v>6.59</v>
      </c>
      <c r="AE15" s="63">
        <v>9.0299999999999994</v>
      </c>
      <c r="AF15" s="63">
        <v>18.68</v>
      </c>
    </row>
    <row r="16" spans="1:32" ht="28.5" x14ac:dyDescent="0.25">
      <c r="A16" s="55" t="s">
        <v>2</v>
      </c>
      <c r="B16" s="56">
        <f>AVERAGE(B4+B5+B6+B7+B8+B9+B10+B11+B12+B13+B14+B15)/12</f>
        <v>5.0166666666666675</v>
      </c>
      <c r="C16" s="56">
        <f t="shared" ref="C16:AF16" si="0">AVERAGE(C4+C5+C6+C7+C8+C9+C10+C11+C12+C13+C14+C15)/12</f>
        <v>-0.34583333333333321</v>
      </c>
      <c r="D16" s="56">
        <f t="shared" si="0"/>
        <v>3.6658333333333335</v>
      </c>
      <c r="E16" s="56">
        <f t="shared" si="0"/>
        <v>2.0666666666666669</v>
      </c>
      <c r="F16" s="56">
        <f t="shared" si="0"/>
        <v>2.6083333333333329</v>
      </c>
      <c r="G16" s="56">
        <f t="shared" si="0"/>
        <v>6.3800000000000017</v>
      </c>
      <c r="H16" s="56">
        <f t="shared" si="0"/>
        <v>7.2391666666666667</v>
      </c>
      <c r="I16" s="56">
        <f t="shared" si="0"/>
        <v>6.1666666666666652</v>
      </c>
      <c r="J16" s="56">
        <f t="shared" si="0"/>
        <v>4.3149999999999995</v>
      </c>
      <c r="K16" s="56">
        <f t="shared" si="0"/>
        <v>-1.8923333333333334</v>
      </c>
      <c r="L16" s="56">
        <f t="shared" si="0"/>
        <v>-2.2325000000000004</v>
      </c>
      <c r="M16" s="56">
        <f t="shared" si="0"/>
        <v>0.7583333333333333</v>
      </c>
      <c r="N16" s="56">
        <f t="shared" si="0"/>
        <v>2.1791666666666663</v>
      </c>
      <c r="O16" s="56">
        <f t="shared" si="0"/>
        <v>5.5933333333333337</v>
      </c>
      <c r="P16" s="56">
        <f t="shared" si="0"/>
        <v>8.1666666666666661</v>
      </c>
      <c r="Q16" s="56">
        <f t="shared" si="0"/>
        <v>7.5516666666666659</v>
      </c>
      <c r="R16" s="56">
        <f t="shared" si="0"/>
        <v>8.0175000000000001</v>
      </c>
      <c r="S16" s="56">
        <f t="shared" si="0"/>
        <v>3.6383333333333332</v>
      </c>
      <c r="T16" s="56">
        <f t="shared" si="0"/>
        <v>3.6508333333333334</v>
      </c>
      <c r="U16" s="56">
        <f t="shared" si="0"/>
        <v>6.5000000000000009</v>
      </c>
      <c r="V16" s="56">
        <f t="shared" si="0"/>
        <v>11.65</v>
      </c>
      <c r="W16" s="56">
        <f t="shared" si="0"/>
        <v>4.6433333333333335</v>
      </c>
      <c r="X16" s="56">
        <f t="shared" si="0"/>
        <v>4.1499999999999995</v>
      </c>
      <c r="Y16" s="56">
        <f t="shared" si="0"/>
        <v>0.88333333333333319</v>
      </c>
      <c r="Z16" s="56">
        <f t="shared" si="0"/>
        <v>0.83333333333333348</v>
      </c>
      <c r="AA16" s="56">
        <f t="shared" si="0"/>
        <v>0.48583333333333334</v>
      </c>
      <c r="AB16" s="56">
        <f t="shared" si="0"/>
        <v>0.28349999999999997</v>
      </c>
      <c r="AC16" s="56">
        <f t="shared" si="0"/>
        <v>3.5183333333333331</v>
      </c>
      <c r="AD16" s="56">
        <f t="shared" si="0"/>
        <v>10.657500000000001</v>
      </c>
      <c r="AE16" s="56">
        <f t="shared" si="0"/>
        <v>11.669166666666667</v>
      </c>
      <c r="AF16" s="56">
        <f t="shared" si="0"/>
        <v>15.186666666666667</v>
      </c>
    </row>
    <row r="21" spans="1:32" x14ac:dyDescent="0.25">
      <c r="A21" s="60" t="s">
        <v>7</v>
      </c>
      <c r="B21" s="140" t="s">
        <v>1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</row>
    <row r="22" spans="1:32" x14ac:dyDescent="0.25">
      <c r="A22" s="143" t="s">
        <v>0</v>
      </c>
      <c r="B22" s="143" t="s">
        <v>11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</row>
    <row r="23" spans="1:32" x14ac:dyDescent="0.25">
      <c r="A23" s="143"/>
      <c r="B23" s="60">
        <v>1</v>
      </c>
      <c r="C23" s="60">
        <v>2</v>
      </c>
      <c r="D23" s="60">
        <v>3</v>
      </c>
      <c r="E23" s="60">
        <v>4</v>
      </c>
      <c r="F23" s="60">
        <v>5</v>
      </c>
      <c r="G23" s="60">
        <v>6</v>
      </c>
      <c r="H23" s="60">
        <v>7</v>
      </c>
      <c r="I23" s="60">
        <v>8</v>
      </c>
      <c r="J23" s="60">
        <v>9</v>
      </c>
      <c r="K23" s="60">
        <v>10</v>
      </c>
      <c r="L23" s="60">
        <v>11</v>
      </c>
      <c r="M23" s="60">
        <v>12</v>
      </c>
      <c r="N23" s="60">
        <v>13</v>
      </c>
      <c r="O23" s="60">
        <v>14</v>
      </c>
      <c r="P23" s="60">
        <v>15</v>
      </c>
      <c r="Q23" s="60">
        <v>16</v>
      </c>
      <c r="R23" s="60">
        <v>17</v>
      </c>
      <c r="S23" s="60">
        <v>18</v>
      </c>
      <c r="T23" s="60">
        <v>19</v>
      </c>
      <c r="U23" s="60">
        <v>20</v>
      </c>
      <c r="V23" s="60">
        <v>21</v>
      </c>
      <c r="W23" s="60">
        <v>22</v>
      </c>
      <c r="X23" s="60">
        <v>23</v>
      </c>
      <c r="Y23" s="60">
        <v>24</v>
      </c>
      <c r="Z23" s="60">
        <v>25</v>
      </c>
      <c r="AA23" s="60">
        <v>26</v>
      </c>
      <c r="AB23" s="60">
        <v>27</v>
      </c>
      <c r="AC23" s="60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54">
        <v>3.5</v>
      </c>
      <c r="C24" s="54">
        <v>4.4000000000000004</v>
      </c>
      <c r="D24" s="54">
        <v>-3.7</v>
      </c>
      <c r="E24" s="50">
        <v>-1.8</v>
      </c>
      <c r="F24" s="54">
        <v>0.9</v>
      </c>
      <c r="G24" s="54">
        <v>1.6</v>
      </c>
      <c r="H24" s="54">
        <v>6.1</v>
      </c>
      <c r="I24" s="54">
        <v>3.5</v>
      </c>
      <c r="J24" s="54">
        <v>1.4</v>
      </c>
      <c r="K24" s="54">
        <v>-0.6</v>
      </c>
      <c r="L24" s="54">
        <v>-4.0999999999999996</v>
      </c>
      <c r="M24" s="54">
        <v>-2.1</v>
      </c>
      <c r="N24" s="54">
        <v>-2.5</v>
      </c>
      <c r="O24" s="54">
        <v>0.1</v>
      </c>
      <c r="P24" s="54">
        <v>2.4</v>
      </c>
      <c r="Q24" s="54">
        <v>5.0999999999999996</v>
      </c>
      <c r="R24" s="50">
        <v>6.8</v>
      </c>
      <c r="S24" s="54">
        <v>3</v>
      </c>
      <c r="T24" s="54">
        <v>-0.2</v>
      </c>
      <c r="U24" s="54">
        <v>-0.4</v>
      </c>
      <c r="V24" s="54">
        <v>5.5</v>
      </c>
      <c r="W24" s="54">
        <v>6.9</v>
      </c>
      <c r="X24" s="54">
        <v>2.6</v>
      </c>
      <c r="Y24" s="50">
        <v>1.5</v>
      </c>
      <c r="Z24" s="54">
        <v>-2.7</v>
      </c>
      <c r="AA24" s="54">
        <v>-0.7</v>
      </c>
      <c r="AB24" s="54">
        <v>-0.5</v>
      </c>
      <c r="AC24" s="54">
        <v>-0.8</v>
      </c>
      <c r="AD24" s="50">
        <v>3.7</v>
      </c>
      <c r="AE24" s="63">
        <v>4.9000000000000004</v>
      </c>
      <c r="AF24" s="63">
        <v>7.3</v>
      </c>
    </row>
    <row r="25" spans="1:32" x14ac:dyDescent="0.25">
      <c r="A25" s="53">
        <v>6</v>
      </c>
      <c r="B25" s="54">
        <v>4.5999999999999996</v>
      </c>
      <c r="C25" s="54">
        <v>3.9</v>
      </c>
      <c r="D25" s="54">
        <v>-0.9</v>
      </c>
      <c r="E25" s="50">
        <v>0.2</v>
      </c>
      <c r="F25" s="54">
        <v>1.3</v>
      </c>
      <c r="G25" s="54">
        <v>2.2999999999999998</v>
      </c>
      <c r="H25" s="54">
        <v>6</v>
      </c>
      <c r="I25" s="54">
        <v>4.5</v>
      </c>
      <c r="J25" s="54">
        <v>3.7</v>
      </c>
      <c r="K25" s="54">
        <v>-1.2</v>
      </c>
      <c r="L25" s="54">
        <v>-4.5999999999999996</v>
      </c>
      <c r="M25" s="54">
        <v>-0.9</v>
      </c>
      <c r="N25" s="54">
        <v>-1.4</v>
      </c>
      <c r="O25" s="54">
        <v>0.7</v>
      </c>
      <c r="P25" s="54">
        <v>2.5</v>
      </c>
      <c r="Q25" s="54">
        <v>5.6</v>
      </c>
      <c r="R25" s="50">
        <v>6.2</v>
      </c>
      <c r="S25" s="54">
        <v>4.3</v>
      </c>
      <c r="T25" s="54">
        <v>0.3</v>
      </c>
      <c r="U25" s="54">
        <v>2.6</v>
      </c>
      <c r="V25" s="54">
        <v>6</v>
      </c>
      <c r="W25" s="54">
        <v>4.8</v>
      </c>
      <c r="X25" s="54">
        <v>2.5</v>
      </c>
      <c r="Y25" s="50">
        <v>1.1000000000000001</v>
      </c>
      <c r="Z25" s="54">
        <v>-2.2000000000000002</v>
      </c>
      <c r="AA25" s="54">
        <v>-0.2</v>
      </c>
      <c r="AB25" s="54">
        <v>-0.3</v>
      </c>
      <c r="AC25" s="54">
        <v>-0.6</v>
      </c>
      <c r="AD25" s="50">
        <v>4.5999999999999996</v>
      </c>
      <c r="AE25" s="63">
        <v>4.5999999999999996</v>
      </c>
      <c r="AF25" s="63">
        <v>5.2</v>
      </c>
    </row>
    <row r="26" spans="1:32" x14ac:dyDescent="0.25">
      <c r="A26" s="53">
        <v>8</v>
      </c>
      <c r="B26" s="54">
        <v>6.3</v>
      </c>
      <c r="C26" s="54">
        <v>3</v>
      </c>
      <c r="D26" s="54">
        <v>3.9</v>
      </c>
      <c r="E26" s="50">
        <v>2.5</v>
      </c>
      <c r="F26" s="54">
        <v>2.5</v>
      </c>
      <c r="G26" s="54">
        <v>4.4000000000000004</v>
      </c>
      <c r="H26" s="54">
        <v>10</v>
      </c>
      <c r="I26" s="54">
        <v>6.7</v>
      </c>
      <c r="J26" s="54">
        <v>5.5</v>
      </c>
      <c r="K26" s="54">
        <v>-1.8</v>
      </c>
      <c r="L26" s="54">
        <v>-3.5</v>
      </c>
      <c r="M26" s="54">
        <v>-0.3</v>
      </c>
      <c r="N26" s="54">
        <v>0.3</v>
      </c>
      <c r="O26" s="54">
        <v>2.8</v>
      </c>
      <c r="P26" s="54">
        <v>4.5</v>
      </c>
      <c r="Q26" s="54">
        <v>6.4</v>
      </c>
      <c r="R26" s="50">
        <v>7.2</v>
      </c>
      <c r="S26" s="54">
        <v>5.9</v>
      </c>
      <c r="T26" s="54">
        <v>3.2</v>
      </c>
      <c r="U26" s="54">
        <v>5.2</v>
      </c>
      <c r="V26" s="54">
        <v>6.9</v>
      </c>
      <c r="W26" s="54">
        <v>4</v>
      </c>
      <c r="X26" s="54">
        <v>1.9</v>
      </c>
      <c r="Y26" s="50">
        <v>1</v>
      </c>
      <c r="Z26" s="54">
        <v>-0.6</v>
      </c>
      <c r="AA26" s="54">
        <v>-0.2</v>
      </c>
      <c r="AB26" s="54">
        <v>0.1</v>
      </c>
      <c r="AC26" s="54">
        <v>0.1</v>
      </c>
      <c r="AD26" s="50">
        <v>6.3</v>
      </c>
      <c r="AE26" s="63">
        <v>5.4</v>
      </c>
      <c r="AF26" s="63">
        <v>6.8</v>
      </c>
    </row>
    <row r="27" spans="1:32" x14ac:dyDescent="0.25">
      <c r="A27" s="53">
        <v>10</v>
      </c>
      <c r="B27" s="54">
        <v>5.4</v>
      </c>
      <c r="C27" s="54">
        <v>0.5</v>
      </c>
      <c r="D27" s="54">
        <v>6.1</v>
      </c>
      <c r="E27" s="50">
        <v>4.3</v>
      </c>
      <c r="F27" s="54">
        <v>3.1</v>
      </c>
      <c r="G27" s="54">
        <v>4.7</v>
      </c>
      <c r="H27" s="54">
        <v>9.9</v>
      </c>
      <c r="I27" s="54">
        <v>7.4</v>
      </c>
      <c r="J27" s="54">
        <v>7.1</v>
      </c>
      <c r="K27" s="54">
        <v>-2.2999999999999998</v>
      </c>
      <c r="L27" s="54">
        <v>-2.4</v>
      </c>
      <c r="M27" s="54">
        <v>1.6</v>
      </c>
      <c r="N27" s="54">
        <v>1.2</v>
      </c>
      <c r="O27" s="54">
        <v>5.9</v>
      </c>
      <c r="P27" s="54">
        <v>7.1</v>
      </c>
      <c r="Q27" s="54">
        <v>7.5</v>
      </c>
      <c r="R27" s="50">
        <v>9.9</v>
      </c>
      <c r="S27" s="54">
        <v>6.6</v>
      </c>
      <c r="T27" s="54">
        <v>3.3</v>
      </c>
      <c r="U27" s="54">
        <v>7.2</v>
      </c>
      <c r="V27" s="54">
        <v>9.5</v>
      </c>
      <c r="W27" s="54">
        <v>4.5999999999999996</v>
      </c>
      <c r="X27" s="54">
        <v>3.2</v>
      </c>
      <c r="Y27" s="50">
        <v>1.4</v>
      </c>
      <c r="Z27" s="54">
        <v>0.7</v>
      </c>
      <c r="AA27" s="54">
        <v>-0.8</v>
      </c>
      <c r="AB27" s="54">
        <v>2.7</v>
      </c>
      <c r="AC27" s="54">
        <v>3.2</v>
      </c>
      <c r="AD27" s="50">
        <v>8.6</v>
      </c>
      <c r="AE27" s="63">
        <v>9.6999999999999993</v>
      </c>
      <c r="AF27" s="63">
        <v>10</v>
      </c>
    </row>
    <row r="28" spans="1:32" x14ac:dyDescent="0.25">
      <c r="A28" s="53">
        <v>12</v>
      </c>
      <c r="B28" s="54">
        <v>6.7</v>
      </c>
      <c r="C28" s="54">
        <v>-0.1</v>
      </c>
      <c r="D28" s="54">
        <v>6.9</v>
      </c>
      <c r="E28" s="50">
        <v>4.9000000000000004</v>
      </c>
      <c r="F28" s="54">
        <v>3.7</v>
      </c>
      <c r="G28" s="54">
        <v>6.7</v>
      </c>
      <c r="H28" s="54">
        <v>10.199999999999999</v>
      </c>
      <c r="I28" s="54">
        <v>7.5</v>
      </c>
      <c r="J28" s="54">
        <v>7.8</v>
      </c>
      <c r="K28" s="54">
        <v>-1</v>
      </c>
      <c r="L28" s="54">
        <v>-2</v>
      </c>
      <c r="M28" s="54">
        <v>2.5</v>
      </c>
      <c r="N28" s="54">
        <v>4.7</v>
      </c>
      <c r="O28" s="54">
        <v>8.1999999999999993</v>
      </c>
      <c r="P28" s="54">
        <v>9</v>
      </c>
      <c r="Q28" s="54">
        <v>8.1999999999999993</v>
      </c>
      <c r="R28" s="50">
        <v>10.1</v>
      </c>
      <c r="S28" s="54">
        <v>6.5</v>
      </c>
      <c r="T28" s="54">
        <v>4.7</v>
      </c>
      <c r="U28" s="54">
        <v>9.4</v>
      </c>
      <c r="V28" s="54">
        <v>13.7</v>
      </c>
      <c r="W28" s="54">
        <v>5.3</v>
      </c>
      <c r="X28" s="54">
        <v>4.7</v>
      </c>
      <c r="Y28" s="50">
        <v>1.8</v>
      </c>
      <c r="Z28" s="54">
        <v>2.6</v>
      </c>
      <c r="AA28" s="54">
        <v>1.5</v>
      </c>
      <c r="AB28" s="54">
        <v>2.4</v>
      </c>
      <c r="AC28" s="54">
        <v>5.0999999999999996</v>
      </c>
      <c r="AD28" s="50">
        <v>13.4</v>
      </c>
      <c r="AE28" s="63">
        <v>11.7</v>
      </c>
      <c r="AF28" s="63">
        <v>10.8</v>
      </c>
    </row>
    <row r="29" spans="1:32" x14ac:dyDescent="0.25">
      <c r="A29" s="53">
        <v>14</v>
      </c>
      <c r="B29" s="54">
        <v>6.5</v>
      </c>
      <c r="C29" s="54">
        <v>-0.4</v>
      </c>
      <c r="D29" s="54">
        <v>8</v>
      </c>
      <c r="E29" s="50">
        <v>5.4</v>
      </c>
      <c r="F29" s="54">
        <v>3.9</v>
      </c>
      <c r="G29" s="54">
        <v>8.3000000000000007</v>
      </c>
      <c r="H29" s="54">
        <v>6.9</v>
      </c>
      <c r="I29" s="54">
        <v>8.6</v>
      </c>
      <c r="J29" s="54">
        <v>8.1</v>
      </c>
      <c r="K29" s="54">
        <v>-0.1</v>
      </c>
      <c r="L29" s="54">
        <v>-1.2</v>
      </c>
      <c r="M29" s="54">
        <v>2.5</v>
      </c>
      <c r="N29" s="54">
        <v>4</v>
      </c>
      <c r="O29" s="54">
        <v>8.8000000000000007</v>
      </c>
      <c r="P29" s="54">
        <v>11.5</v>
      </c>
      <c r="Q29" s="54">
        <v>7.6</v>
      </c>
      <c r="R29" s="50">
        <v>13.6</v>
      </c>
      <c r="S29" s="54">
        <v>4.8</v>
      </c>
      <c r="T29" s="54">
        <v>5.0999999999999996</v>
      </c>
      <c r="U29" s="54">
        <v>10.9</v>
      </c>
      <c r="V29" s="54">
        <v>17</v>
      </c>
      <c r="W29" s="54">
        <v>5.2</v>
      </c>
      <c r="X29" s="54">
        <v>7.4</v>
      </c>
      <c r="Y29" s="50">
        <v>2.8</v>
      </c>
      <c r="Z29" s="54">
        <v>2.7</v>
      </c>
      <c r="AA29" s="54">
        <v>1.2</v>
      </c>
      <c r="AB29" s="54">
        <v>3.3</v>
      </c>
      <c r="AC29" s="54">
        <v>4.9000000000000004</v>
      </c>
      <c r="AD29" s="50">
        <v>12.3</v>
      </c>
      <c r="AE29" s="63">
        <v>15</v>
      </c>
      <c r="AF29" s="63">
        <v>14.4</v>
      </c>
    </row>
    <row r="30" spans="1:32" x14ac:dyDescent="0.25">
      <c r="A30" s="53">
        <v>16</v>
      </c>
      <c r="B30" s="54">
        <v>7.7</v>
      </c>
      <c r="C30" s="54">
        <v>-0.6</v>
      </c>
      <c r="D30" s="54">
        <v>9.5</v>
      </c>
      <c r="E30" s="50">
        <v>5.5</v>
      </c>
      <c r="F30" s="54">
        <v>4.0999999999999996</v>
      </c>
      <c r="G30" s="54">
        <v>7.7</v>
      </c>
      <c r="H30" s="54">
        <v>9.1</v>
      </c>
      <c r="I30" s="54">
        <v>9.4</v>
      </c>
      <c r="J30" s="54">
        <v>7.5</v>
      </c>
      <c r="K30" s="54">
        <v>-0.1</v>
      </c>
      <c r="L30" s="54">
        <v>-1</v>
      </c>
      <c r="M30" s="54">
        <v>2</v>
      </c>
      <c r="N30" s="54">
        <v>5.0999999999999996</v>
      </c>
      <c r="O30" s="54">
        <v>8.6999999999999993</v>
      </c>
      <c r="P30" s="54">
        <v>12.6</v>
      </c>
      <c r="Q30" s="54">
        <v>7.8</v>
      </c>
      <c r="R30" s="50">
        <v>11.4</v>
      </c>
      <c r="S30" s="54">
        <v>4.5999999999999996</v>
      </c>
      <c r="T30" s="54">
        <v>7.3</v>
      </c>
      <c r="U30" s="54">
        <v>9.3000000000000007</v>
      </c>
      <c r="V30" s="54">
        <v>20.8</v>
      </c>
      <c r="W30" s="54">
        <v>6.2</v>
      </c>
      <c r="X30" s="54">
        <v>8</v>
      </c>
      <c r="Y30" s="50">
        <v>1.3</v>
      </c>
      <c r="Z30" s="54">
        <v>3.1</v>
      </c>
      <c r="AA30" s="54">
        <v>1.6</v>
      </c>
      <c r="AB30" s="54">
        <v>1.6</v>
      </c>
      <c r="AC30" s="54">
        <v>5.9</v>
      </c>
      <c r="AD30" s="50">
        <v>13.8</v>
      </c>
      <c r="AE30" s="63">
        <v>17.7</v>
      </c>
      <c r="AF30" s="63">
        <v>17.600000000000001</v>
      </c>
    </row>
    <row r="31" spans="1:32" x14ac:dyDescent="0.25">
      <c r="A31" s="53">
        <v>18</v>
      </c>
      <c r="B31" s="54">
        <v>7.8</v>
      </c>
      <c r="C31" s="54">
        <v>-0.4</v>
      </c>
      <c r="D31" s="54">
        <v>6.8</v>
      </c>
      <c r="E31" s="50">
        <v>2.2999999999999998</v>
      </c>
      <c r="F31" s="54">
        <v>4</v>
      </c>
      <c r="G31" s="54">
        <v>7.1</v>
      </c>
      <c r="H31" s="54">
        <v>9.6</v>
      </c>
      <c r="I31" s="54">
        <v>7.5</v>
      </c>
      <c r="J31" s="54">
        <v>5.6</v>
      </c>
      <c r="K31" s="54">
        <v>-1.2</v>
      </c>
      <c r="L31" s="54">
        <v>-1.2</v>
      </c>
      <c r="M31" s="54">
        <v>2.1</v>
      </c>
      <c r="N31" s="54">
        <v>4.7</v>
      </c>
      <c r="O31" s="54">
        <v>7.2</v>
      </c>
      <c r="P31" s="54">
        <v>10.6</v>
      </c>
      <c r="Q31" s="54">
        <v>7</v>
      </c>
      <c r="R31" s="50">
        <v>11.6</v>
      </c>
      <c r="S31" s="54">
        <v>2.1</v>
      </c>
      <c r="T31" s="54">
        <v>5.8</v>
      </c>
      <c r="U31" s="54">
        <v>7.8</v>
      </c>
      <c r="V31" s="54">
        <v>18.399999999999999</v>
      </c>
      <c r="W31" s="54">
        <v>6.2</v>
      </c>
      <c r="X31" s="54">
        <v>6.5</v>
      </c>
      <c r="Y31" s="50">
        <v>1.3</v>
      </c>
      <c r="Z31" s="54">
        <v>3.7</v>
      </c>
      <c r="AA31" s="54">
        <v>0.9</v>
      </c>
      <c r="AB31" s="54">
        <v>0.8</v>
      </c>
      <c r="AC31" s="54">
        <v>5.6</v>
      </c>
      <c r="AD31" s="50">
        <v>15.9</v>
      </c>
      <c r="AE31" s="63">
        <v>16.600000000000001</v>
      </c>
      <c r="AF31" s="63">
        <v>20.399999999999999</v>
      </c>
    </row>
    <row r="32" spans="1:32" x14ac:dyDescent="0.25">
      <c r="A32" s="53">
        <v>20</v>
      </c>
      <c r="B32" s="54">
        <v>5</v>
      </c>
      <c r="C32" s="54">
        <v>-0.9</v>
      </c>
      <c r="D32" s="54">
        <v>3.2</v>
      </c>
      <c r="E32" s="50">
        <v>1.7</v>
      </c>
      <c r="F32" s="54">
        <v>3</v>
      </c>
      <c r="G32" s="54">
        <v>6.8</v>
      </c>
      <c r="H32" s="54">
        <v>7.5</v>
      </c>
      <c r="I32" s="54">
        <v>6.8</v>
      </c>
      <c r="J32" s="54">
        <v>3.2</v>
      </c>
      <c r="K32" s="54">
        <v>-1.6</v>
      </c>
      <c r="L32" s="54">
        <v>-2</v>
      </c>
      <c r="M32" s="54">
        <v>1.3</v>
      </c>
      <c r="N32" s="54">
        <v>1.5</v>
      </c>
      <c r="O32" s="54">
        <v>5</v>
      </c>
      <c r="P32" s="54">
        <v>8.6</v>
      </c>
      <c r="Q32" s="54">
        <v>5.9</v>
      </c>
      <c r="R32" s="50">
        <v>8.9</v>
      </c>
      <c r="S32" s="54">
        <v>2.2999999999999998</v>
      </c>
      <c r="T32" s="54">
        <v>4.9000000000000004</v>
      </c>
      <c r="U32" s="54">
        <v>6.3</v>
      </c>
      <c r="V32" s="54">
        <v>15.3</v>
      </c>
      <c r="W32" s="54">
        <v>5.4</v>
      </c>
      <c r="X32" s="54">
        <v>5.9</v>
      </c>
      <c r="Y32" s="50">
        <v>1.3</v>
      </c>
      <c r="Z32" s="54">
        <v>3.2</v>
      </c>
      <c r="AA32" s="54">
        <v>0.5</v>
      </c>
      <c r="AB32" s="54">
        <v>0.9</v>
      </c>
      <c r="AC32" s="54">
        <v>4.7</v>
      </c>
      <c r="AD32" s="50">
        <v>13.8</v>
      </c>
      <c r="AE32" s="63">
        <v>15.1</v>
      </c>
      <c r="AF32" s="63">
        <v>18.100000000000001</v>
      </c>
    </row>
    <row r="33" spans="1:32" x14ac:dyDescent="0.25">
      <c r="A33" s="53">
        <v>22</v>
      </c>
      <c r="B33" s="54">
        <v>6.1</v>
      </c>
      <c r="C33" s="54">
        <v>-1.9</v>
      </c>
      <c r="D33" s="54">
        <v>1.4</v>
      </c>
      <c r="E33" s="50">
        <v>1</v>
      </c>
      <c r="F33" s="54">
        <v>2.2999999999999998</v>
      </c>
      <c r="G33" s="54">
        <v>6.1</v>
      </c>
      <c r="H33" s="54">
        <v>4.5</v>
      </c>
      <c r="I33" s="54">
        <v>6.4</v>
      </c>
      <c r="J33" s="54">
        <v>1.6</v>
      </c>
      <c r="K33" s="54">
        <v>-2.1</v>
      </c>
      <c r="L33" s="54">
        <v>-1.8</v>
      </c>
      <c r="M33" s="54">
        <v>-0.3</v>
      </c>
      <c r="N33" s="54">
        <v>-0.8</v>
      </c>
      <c r="O33" s="54">
        <v>3.8</v>
      </c>
      <c r="P33" s="54">
        <v>6.5</v>
      </c>
      <c r="Q33" s="54">
        <v>5.6</v>
      </c>
      <c r="R33" s="50">
        <v>6.8</v>
      </c>
      <c r="S33" s="54">
        <v>0.3</v>
      </c>
      <c r="T33" s="54">
        <v>2.9</v>
      </c>
      <c r="U33" s="54">
        <v>6.4</v>
      </c>
      <c r="V33" s="54">
        <v>12.7</v>
      </c>
      <c r="W33" s="54">
        <v>4.8</v>
      </c>
      <c r="X33" s="54">
        <v>4.7</v>
      </c>
      <c r="Y33" s="50">
        <v>1.4</v>
      </c>
      <c r="Z33" s="54">
        <v>0.8</v>
      </c>
      <c r="AA33" s="54">
        <v>0.2</v>
      </c>
      <c r="AB33" s="54">
        <v>0.9</v>
      </c>
      <c r="AC33" s="54">
        <v>3.9</v>
      </c>
      <c r="AD33" s="50">
        <v>12.5</v>
      </c>
      <c r="AE33" s="63">
        <v>13.1</v>
      </c>
      <c r="AF33" s="63">
        <v>18.8</v>
      </c>
    </row>
    <row r="34" spans="1:32" x14ac:dyDescent="0.25">
      <c r="A34" s="53">
        <v>24</v>
      </c>
      <c r="B34" s="54">
        <v>3.8</v>
      </c>
      <c r="C34" s="54">
        <v>-1.7</v>
      </c>
      <c r="D34" s="54">
        <v>-1.2</v>
      </c>
      <c r="E34" s="50">
        <v>1.5</v>
      </c>
      <c r="F34" s="54">
        <v>1.9</v>
      </c>
      <c r="G34" s="54">
        <v>4.8</v>
      </c>
      <c r="H34" s="54">
        <v>3.1</v>
      </c>
      <c r="I34" s="54">
        <v>4.5</v>
      </c>
      <c r="J34" s="54">
        <v>1.3</v>
      </c>
      <c r="K34" s="54">
        <v>-2.7</v>
      </c>
      <c r="L34" s="54">
        <v>-2.2000000000000002</v>
      </c>
      <c r="M34" s="54">
        <v>-1.9</v>
      </c>
      <c r="N34" s="54">
        <v>-1.3</v>
      </c>
      <c r="O34" s="54">
        <v>3.1</v>
      </c>
      <c r="P34" s="54">
        <v>5.5</v>
      </c>
      <c r="Q34" s="54">
        <v>7.7</v>
      </c>
      <c r="R34" s="50">
        <v>4.4000000000000004</v>
      </c>
      <c r="S34" s="54">
        <v>0</v>
      </c>
      <c r="T34" s="54">
        <v>0.9</v>
      </c>
      <c r="U34" s="54">
        <v>6</v>
      </c>
      <c r="V34" s="54">
        <v>11.3</v>
      </c>
      <c r="W34" s="54">
        <v>3.8</v>
      </c>
      <c r="X34" s="54">
        <v>3.3</v>
      </c>
      <c r="Y34" s="50">
        <v>0.2</v>
      </c>
      <c r="Z34" s="54">
        <v>0.3</v>
      </c>
      <c r="AA34" s="54">
        <v>-0.1</v>
      </c>
      <c r="AB34" s="54">
        <v>0.8</v>
      </c>
      <c r="AC34" s="54">
        <v>3.9</v>
      </c>
      <c r="AD34" s="50">
        <v>9</v>
      </c>
      <c r="AE34" s="63">
        <v>11.9</v>
      </c>
      <c r="AF34" s="63">
        <v>18.3</v>
      </c>
    </row>
    <row r="35" spans="1:32" x14ac:dyDescent="0.25">
      <c r="A35" s="53">
        <v>2</v>
      </c>
      <c r="B35" s="54">
        <v>3.3</v>
      </c>
      <c r="C35" s="54">
        <v>-3</v>
      </c>
      <c r="D35" s="54">
        <v>-1.7</v>
      </c>
      <c r="E35" s="50">
        <v>1.2</v>
      </c>
      <c r="F35" s="54">
        <v>1.7</v>
      </c>
      <c r="G35" s="54">
        <v>4.4000000000000004</v>
      </c>
      <c r="H35" s="54">
        <v>3.8</v>
      </c>
      <c r="I35" s="54">
        <v>2.5</v>
      </c>
      <c r="J35" s="54">
        <v>0.2</v>
      </c>
      <c r="K35" s="54">
        <v>-3.3</v>
      </c>
      <c r="L35" s="54">
        <v>-2.2000000000000002</v>
      </c>
      <c r="M35" s="54">
        <v>-3</v>
      </c>
      <c r="N35" s="54">
        <v>-0.7</v>
      </c>
      <c r="O35" s="54">
        <v>2.6</v>
      </c>
      <c r="P35" s="54">
        <v>5.3</v>
      </c>
      <c r="Q35" s="54">
        <v>7.1</v>
      </c>
      <c r="R35" s="50">
        <v>3.6</v>
      </c>
      <c r="S35" s="54">
        <v>1.5</v>
      </c>
      <c r="T35" s="54">
        <v>0.5</v>
      </c>
      <c r="U35" s="54">
        <v>5.4</v>
      </c>
      <c r="V35" s="54">
        <v>10.9</v>
      </c>
      <c r="W35" s="54">
        <v>2.5</v>
      </c>
      <c r="X35" s="54">
        <v>2.2000000000000002</v>
      </c>
      <c r="Y35" s="50">
        <v>-1.7</v>
      </c>
      <c r="Z35" s="54">
        <v>-0.3</v>
      </c>
      <c r="AA35" s="54">
        <v>-0.3</v>
      </c>
      <c r="AB35" s="54">
        <v>0.3</v>
      </c>
      <c r="AC35" s="54">
        <v>4.0999999999999996</v>
      </c>
      <c r="AD35" s="50">
        <v>6.3</v>
      </c>
      <c r="AE35" s="63">
        <v>8.6999999999999993</v>
      </c>
      <c r="AF35" s="63">
        <v>18.3</v>
      </c>
    </row>
    <row r="36" spans="1:32" ht="28.5" x14ac:dyDescent="0.25">
      <c r="A36" s="55" t="s">
        <v>2</v>
      </c>
      <c r="B36" s="56">
        <f>AVERAGE(B24+B25+B26+B27+B28+B29+B30+B31+B32+B33+B34+B35)/12</f>
        <v>5.5583333333333336</v>
      </c>
      <c r="C36" s="56">
        <f t="shared" ref="C36:AF36" si="1">AVERAGE(C24+C25+C26+C27+C28+C29+C30+C31+C32+C33+C34+C35)/12</f>
        <v>0.23333333333333331</v>
      </c>
      <c r="D36" s="56">
        <f t="shared" si="1"/>
        <v>3.191666666666666</v>
      </c>
      <c r="E36" s="56">
        <f t="shared" si="1"/>
        <v>2.3916666666666666</v>
      </c>
      <c r="F36" s="56">
        <f t="shared" si="1"/>
        <v>2.6999999999999997</v>
      </c>
      <c r="G36" s="56">
        <f t="shared" si="1"/>
        <v>5.4083333333333341</v>
      </c>
      <c r="H36" s="56">
        <f t="shared" si="1"/>
        <v>7.2249999999999988</v>
      </c>
      <c r="I36" s="56">
        <f t="shared" si="1"/>
        <v>6.2749999999999995</v>
      </c>
      <c r="J36" s="56">
        <f t="shared" si="1"/>
        <v>4.416666666666667</v>
      </c>
      <c r="K36" s="56">
        <f t="shared" si="1"/>
        <v>-1.5</v>
      </c>
      <c r="L36" s="56">
        <f t="shared" si="1"/>
        <v>-2.35</v>
      </c>
      <c r="M36" s="56">
        <f t="shared" si="1"/>
        <v>0.29166666666666669</v>
      </c>
      <c r="N36" s="56">
        <f t="shared" si="1"/>
        <v>1.2333333333333332</v>
      </c>
      <c r="O36" s="56">
        <f t="shared" si="1"/>
        <v>4.7416666666666671</v>
      </c>
      <c r="P36" s="56">
        <f t="shared" si="1"/>
        <v>7.1749999999999998</v>
      </c>
      <c r="Q36" s="56">
        <f t="shared" si="1"/>
        <v>6.7916666666666652</v>
      </c>
      <c r="R36" s="56">
        <f t="shared" si="1"/>
        <v>8.375</v>
      </c>
      <c r="S36" s="56">
        <f t="shared" si="1"/>
        <v>3.4916666666666658</v>
      </c>
      <c r="T36" s="56">
        <f t="shared" si="1"/>
        <v>3.2249999999999996</v>
      </c>
      <c r="U36" s="56">
        <f t="shared" si="1"/>
        <v>6.3416666666666677</v>
      </c>
      <c r="V36" s="56">
        <f t="shared" si="1"/>
        <v>12.333333333333334</v>
      </c>
      <c r="W36" s="56">
        <f t="shared" si="1"/>
        <v>4.9749999999999996</v>
      </c>
      <c r="X36" s="56">
        <f t="shared" si="1"/>
        <v>4.4083333333333332</v>
      </c>
      <c r="Y36" s="56">
        <f t="shared" si="1"/>
        <v>1.1166666666666669</v>
      </c>
      <c r="Z36" s="56">
        <f t="shared" si="1"/>
        <v>0.94166666666666676</v>
      </c>
      <c r="AA36" s="56">
        <f t="shared" si="1"/>
        <v>0.3</v>
      </c>
      <c r="AB36" s="56">
        <f t="shared" si="1"/>
        <v>1.0833333333333337</v>
      </c>
      <c r="AC36" s="56">
        <f t="shared" si="1"/>
        <v>3.3333333333333335</v>
      </c>
      <c r="AD36" s="56">
        <f t="shared" si="1"/>
        <v>10.016666666666667</v>
      </c>
      <c r="AE36" s="56">
        <f t="shared" si="1"/>
        <v>11.199999999999998</v>
      </c>
      <c r="AF36" s="56">
        <f t="shared" si="1"/>
        <v>13.833333333333336</v>
      </c>
    </row>
  </sheetData>
  <mergeCells count="6">
    <mergeCell ref="B1:AF1"/>
    <mergeCell ref="A2:A3"/>
    <mergeCell ref="B2:AF2"/>
    <mergeCell ref="B21:AF21"/>
    <mergeCell ref="A22:A23"/>
    <mergeCell ref="B22:AF2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zoomScale="90" zoomScaleNormal="90" workbookViewId="0">
      <selection activeCell="Q38" sqref="Q38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1" x14ac:dyDescent="0.25">
      <c r="A1" s="62" t="s">
        <v>8</v>
      </c>
      <c r="B1" s="140" t="s">
        <v>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 x14ac:dyDescent="0.25">
      <c r="A2" s="141" t="s">
        <v>0</v>
      </c>
      <c r="B2" s="143" t="s">
        <v>60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1" x14ac:dyDescent="0.25">
      <c r="A3" s="142"/>
      <c r="B3" s="62">
        <v>1</v>
      </c>
      <c r="C3" s="62">
        <v>2</v>
      </c>
      <c r="D3" s="62">
        <v>3</v>
      </c>
      <c r="E3" s="62">
        <v>4</v>
      </c>
      <c r="F3" s="62">
        <v>5</v>
      </c>
      <c r="G3" s="62">
        <v>6</v>
      </c>
      <c r="H3" s="62">
        <v>7</v>
      </c>
      <c r="I3" s="62">
        <v>8</v>
      </c>
      <c r="J3" s="62">
        <v>9</v>
      </c>
      <c r="K3" s="62">
        <v>10</v>
      </c>
      <c r="L3" s="62">
        <v>11</v>
      </c>
      <c r="M3" s="62">
        <v>12</v>
      </c>
      <c r="N3" s="62">
        <v>13</v>
      </c>
      <c r="O3" s="62">
        <v>14</v>
      </c>
      <c r="P3" s="62">
        <v>15</v>
      </c>
      <c r="Q3" s="62">
        <v>16</v>
      </c>
      <c r="R3" s="62">
        <v>17</v>
      </c>
      <c r="S3" s="62">
        <v>18</v>
      </c>
      <c r="T3" s="62">
        <v>19</v>
      </c>
      <c r="U3" s="62">
        <v>20</v>
      </c>
      <c r="V3" s="62">
        <v>21</v>
      </c>
      <c r="W3" s="62">
        <v>22</v>
      </c>
      <c r="X3" s="62">
        <v>23</v>
      </c>
      <c r="Y3" s="62">
        <v>24</v>
      </c>
      <c r="Z3" s="62">
        <v>25</v>
      </c>
      <c r="AA3" s="62">
        <v>26</v>
      </c>
      <c r="AB3" s="62">
        <v>27</v>
      </c>
      <c r="AC3" s="62">
        <v>28</v>
      </c>
      <c r="AD3" s="59">
        <v>29</v>
      </c>
      <c r="AE3" s="59">
        <v>30</v>
      </c>
    </row>
    <row r="4" spans="1:31" x14ac:dyDescent="0.25">
      <c r="A4" s="53">
        <v>4</v>
      </c>
      <c r="B4" s="54">
        <v>17.3</v>
      </c>
      <c r="C4" s="54">
        <v>18.2</v>
      </c>
      <c r="D4" s="54">
        <v>9.3000000000000007</v>
      </c>
      <c r="E4" s="50">
        <v>19.600000000000001</v>
      </c>
      <c r="F4" s="54">
        <v>19.95</v>
      </c>
      <c r="G4" s="54">
        <v>14.3</v>
      </c>
      <c r="H4" s="54">
        <v>7.5</v>
      </c>
      <c r="I4" s="54">
        <v>15.8</v>
      </c>
      <c r="J4" s="54">
        <v>16.399999999999999</v>
      </c>
      <c r="K4" s="54">
        <v>19.2</v>
      </c>
      <c r="L4" s="54">
        <v>19.399999999999999</v>
      </c>
      <c r="M4" s="54">
        <v>20.6</v>
      </c>
      <c r="N4" s="54">
        <v>20.399999999999999</v>
      </c>
      <c r="O4" s="54">
        <v>11.9</v>
      </c>
      <c r="P4" s="54">
        <v>11.3</v>
      </c>
      <c r="Q4" s="54">
        <v>10.7</v>
      </c>
      <c r="R4" s="50">
        <v>16.2</v>
      </c>
      <c r="S4" s="54">
        <v>13.7</v>
      </c>
      <c r="T4" s="54">
        <v>12.5</v>
      </c>
      <c r="U4" s="54">
        <v>13</v>
      </c>
      <c r="V4" s="54">
        <v>14.2</v>
      </c>
      <c r="W4" s="54">
        <v>14.7</v>
      </c>
      <c r="X4" s="54">
        <v>15</v>
      </c>
      <c r="Y4" s="65">
        <v>10</v>
      </c>
      <c r="Z4" s="67">
        <v>9</v>
      </c>
      <c r="AA4" s="54">
        <v>8.4</v>
      </c>
      <c r="AB4" s="54">
        <v>16.5</v>
      </c>
      <c r="AC4" s="54">
        <v>19</v>
      </c>
      <c r="AD4" s="50">
        <v>18.100000000000001</v>
      </c>
      <c r="AE4" s="70">
        <v>21.2</v>
      </c>
    </row>
    <row r="5" spans="1:31" x14ac:dyDescent="0.25">
      <c r="A5" s="53">
        <v>6</v>
      </c>
      <c r="B5" s="54">
        <v>19</v>
      </c>
      <c r="C5" s="54">
        <v>14.6</v>
      </c>
      <c r="D5" s="54">
        <v>9.3000000000000007</v>
      </c>
      <c r="E5" s="50">
        <v>19.7</v>
      </c>
      <c r="F5" s="54">
        <v>20.62</v>
      </c>
      <c r="G5" s="54">
        <v>15.34</v>
      </c>
      <c r="H5" s="54">
        <v>7.5</v>
      </c>
      <c r="I5" s="54">
        <v>16.100000000000001</v>
      </c>
      <c r="J5" s="54">
        <v>16.899999999999999</v>
      </c>
      <c r="K5" s="54">
        <v>21</v>
      </c>
      <c r="L5" s="54">
        <v>19.399999999999999</v>
      </c>
      <c r="M5" s="54">
        <v>24.2</v>
      </c>
      <c r="N5" s="54">
        <v>22.6</v>
      </c>
      <c r="O5" s="54">
        <v>10.7</v>
      </c>
      <c r="P5" s="54">
        <v>11.7</v>
      </c>
      <c r="Q5" s="54">
        <v>13</v>
      </c>
      <c r="R5" s="50">
        <v>17.600000000000001</v>
      </c>
      <c r="S5" s="54">
        <v>13.4</v>
      </c>
      <c r="T5" s="54">
        <v>12.5</v>
      </c>
      <c r="U5" s="54">
        <v>13.2</v>
      </c>
      <c r="V5" s="54">
        <v>15.5</v>
      </c>
      <c r="W5" s="54">
        <v>17.3</v>
      </c>
      <c r="X5" s="54">
        <v>15</v>
      </c>
      <c r="Y5" s="65">
        <v>10.199999999999999</v>
      </c>
      <c r="Z5" s="67">
        <v>12.6</v>
      </c>
      <c r="AA5" s="54">
        <v>9.5</v>
      </c>
      <c r="AB5" s="54">
        <v>16.7</v>
      </c>
      <c r="AC5" s="54">
        <v>19.8</v>
      </c>
      <c r="AD5" s="50">
        <v>21.8</v>
      </c>
      <c r="AE5" s="70">
        <v>22.4</v>
      </c>
    </row>
    <row r="6" spans="1:31" x14ac:dyDescent="0.25">
      <c r="A6" s="53">
        <v>8</v>
      </c>
      <c r="B6" s="54">
        <v>22.4</v>
      </c>
      <c r="C6" s="54">
        <v>15</v>
      </c>
      <c r="D6" s="54">
        <v>13.5</v>
      </c>
      <c r="E6" s="50">
        <v>23.8</v>
      </c>
      <c r="F6" s="54">
        <v>22</v>
      </c>
      <c r="G6" s="54">
        <v>15.2</v>
      </c>
      <c r="H6" s="54">
        <v>8.3000000000000007</v>
      </c>
      <c r="I6" s="54">
        <v>17.8</v>
      </c>
      <c r="J6" s="54">
        <v>19.100000000000001</v>
      </c>
      <c r="K6" s="54">
        <v>22.2</v>
      </c>
      <c r="L6" s="54">
        <v>23.3</v>
      </c>
      <c r="M6" s="54">
        <v>27.98</v>
      </c>
      <c r="N6" s="54">
        <v>26.9</v>
      </c>
      <c r="O6" s="54">
        <v>10.8</v>
      </c>
      <c r="P6" s="54">
        <v>12</v>
      </c>
      <c r="Q6" s="54">
        <v>15.47</v>
      </c>
      <c r="R6" s="50">
        <v>20</v>
      </c>
      <c r="S6" s="54">
        <v>13.4</v>
      </c>
      <c r="T6" s="54">
        <v>16.399999999999999</v>
      </c>
      <c r="U6" s="54">
        <v>13.42</v>
      </c>
      <c r="V6" s="54">
        <v>17.7</v>
      </c>
      <c r="W6" s="54">
        <v>20.399999999999999</v>
      </c>
      <c r="X6" s="54">
        <v>16.600000000000001</v>
      </c>
      <c r="Y6" s="65">
        <v>10.36</v>
      </c>
      <c r="Z6" s="67">
        <v>13.2</v>
      </c>
      <c r="AA6" s="54">
        <v>10.5</v>
      </c>
      <c r="AB6" s="54">
        <v>21.6</v>
      </c>
      <c r="AC6" s="54">
        <v>22.25</v>
      </c>
      <c r="AD6" s="50">
        <v>24.6</v>
      </c>
      <c r="AE6" s="70">
        <v>25.3</v>
      </c>
    </row>
    <row r="7" spans="1:31" x14ac:dyDescent="0.25">
      <c r="A7" s="53">
        <v>10</v>
      </c>
      <c r="B7" s="54">
        <v>24.4</v>
      </c>
      <c r="C7" s="54">
        <v>14.7</v>
      </c>
      <c r="D7" s="54">
        <v>15.4</v>
      </c>
      <c r="E7" s="50">
        <v>25.95</v>
      </c>
      <c r="F7" s="54">
        <v>23.2</v>
      </c>
      <c r="G7" s="54">
        <v>22.2</v>
      </c>
      <c r="H7" s="54">
        <v>9.5</v>
      </c>
      <c r="I7" s="54">
        <v>19.920000000000002</v>
      </c>
      <c r="J7" s="54">
        <v>20.3</v>
      </c>
      <c r="K7" s="54">
        <v>23.7</v>
      </c>
      <c r="L7" s="54">
        <v>26.3</v>
      </c>
      <c r="M7" s="54">
        <v>29.59</v>
      </c>
      <c r="N7" s="54">
        <v>28.3</v>
      </c>
      <c r="O7" s="54">
        <v>12.6</v>
      </c>
      <c r="P7" s="54">
        <v>12.6</v>
      </c>
      <c r="Q7" s="54">
        <v>17.25</v>
      </c>
      <c r="R7" s="66">
        <v>20.399999999999999</v>
      </c>
      <c r="S7" s="54">
        <v>1.8</v>
      </c>
      <c r="T7" s="54">
        <v>16.600000000000001</v>
      </c>
      <c r="U7" s="54">
        <v>13.77</v>
      </c>
      <c r="V7" s="54">
        <v>19.3</v>
      </c>
      <c r="W7" s="54">
        <v>22.2</v>
      </c>
      <c r="X7" s="54">
        <v>19.399999999999999</v>
      </c>
      <c r="Y7" s="66">
        <v>12.12</v>
      </c>
      <c r="Z7" s="67" t="s">
        <v>37</v>
      </c>
      <c r="AA7" s="54" t="s">
        <v>235</v>
      </c>
      <c r="AB7" s="54" t="s">
        <v>257</v>
      </c>
      <c r="AC7" s="54">
        <v>24.02</v>
      </c>
      <c r="AD7" s="50" t="s">
        <v>258</v>
      </c>
      <c r="AE7" s="70" t="s">
        <v>256</v>
      </c>
    </row>
    <row r="8" spans="1:31" x14ac:dyDescent="0.25">
      <c r="A8" s="53">
        <v>12</v>
      </c>
      <c r="B8" s="54">
        <v>24.9</v>
      </c>
      <c r="C8" s="54">
        <v>15</v>
      </c>
      <c r="D8" s="54">
        <v>19.600000000000001</v>
      </c>
      <c r="E8" s="50">
        <v>28.3</v>
      </c>
      <c r="F8" s="54">
        <v>23.9</v>
      </c>
      <c r="G8" s="54">
        <v>15.2</v>
      </c>
      <c r="H8" s="54">
        <v>8.8000000000000007</v>
      </c>
      <c r="I8" s="54">
        <v>21.6</v>
      </c>
      <c r="J8" s="54">
        <v>23.3</v>
      </c>
      <c r="K8" s="54">
        <v>25.2</v>
      </c>
      <c r="L8" s="54">
        <v>29.97</v>
      </c>
      <c r="M8" s="54">
        <v>31.24</v>
      </c>
      <c r="N8" s="54">
        <v>30</v>
      </c>
      <c r="O8" s="54">
        <v>14.3</v>
      </c>
      <c r="P8" s="54">
        <v>13.6</v>
      </c>
      <c r="Q8" s="54">
        <v>19.579999999999998</v>
      </c>
      <c r="R8" s="50">
        <v>23.1</v>
      </c>
      <c r="S8" s="54">
        <v>14.6</v>
      </c>
      <c r="T8" s="54">
        <v>18</v>
      </c>
      <c r="U8" s="54">
        <v>14.04</v>
      </c>
      <c r="V8" s="54">
        <v>20.8</v>
      </c>
      <c r="W8" s="54">
        <v>25.2</v>
      </c>
      <c r="X8" s="54">
        <v>15.9</v>
      </c>
      <c r="Y8" s="65">
        <v>13.79</v>
      </c>
      <c r="Z8" s="67">
        <v>18.100000000000001</v>
      </c>
      <c r="AA8" s="54">
        <v>16.2</v>
      </c>
      <c r="AB8" s="54">
        <v>24.5</v>
      </c>
      <c r="AC8" s="54">
        <v>25.87</v>
      </c>
      <c r="AD8" s="50">
        <v>27.8</v>
      </c>
      <c r="AE8" s="70">
        <v>28.1</v>
      </c>
    </row>
    <row r="9" spans="1:31" x14ac:dyDescent="0.25">
      <c r="A9" s="53">
        <v>14</v>
      </c>
      <c r="B9" s="54">
        <v>26.9</v>
      </c>
      <c r="C9" s="54">
        <v>18</v>
      </c>
      <c r="D9" s="54">
        <v>22.2</v>
      </c>
      <c r="E9" s="50">
        <v>30</v>
      </c>
      <c r="F9" s="54">
        <v>23.1</v>
      </c>
      <c r="G9" s="54">
        <v>15.8</v>
      </c>
      <c r="H9" s="54">
        <v>9</v>
      </c>
      <c r="I9" s="54">
        <v>22.43</v>
      </c>
      <c r="J9" s="54">
        <v>23.8</v>
      </c>
      <c r="K9" s="54">
        <v>25.3</v>
      </c>
      <c r="L9" s="54">
        <v>30.4</v>
      </c>
      <c r="M9" s="54">
        <v>31.49</v>
      </c>
      <c r="N9" s="54">
        <v>31.4</v>
      </c>
      <c r="O9" s="54">
        <v>16</v>
      </c>
      <c r="P9" s="54">
        <v>15.3</v>
      </c>
      <c r="Q9" s="54">
        <v>18.920000000000002</v>
      </c>
      <c r="R9" s="50">
        <v>23.6</v>
      </c>
      <c r="S9" s="54">
        <v>16</v>
      </c>
      <c r="T9" s="54">
        <v>19.2</v>
      </c>
      <c r="U9" s="54">
        <v>14.66</v>
      </c>
      <c r="V9" s="54">
        <v>21.5</v>
      </c>
      <c r="W9" s="54">
        <v>19.2</v>
      </c>
      <c r="X9" s="54">
        <v>15</v>
      </c>
      <c r="Y9" s="65">
        <v>14.52</v>
      </c>
      <c r="Z9" s="67">
        <v>19.7</v>
      </c>
      <c r="AA9" s="54">
        <v>15.5</v>
      </c>
      <c r="AB9" s="54">
        <v>26</v>
      </c>
      <c r="AC9" s="54">
        <v>25.07</v>
      </c>
      <c r="AD9" s="50">
        <v>28.7</v>
      </c>
      <c r="AE9" s="70">
        <v>29.1</v>
      </c>
    </row>
    <row r="10" spans="1:31" x14ac:dyDescent="0.25">
      <c r="A10" s="53">
        <v>16</v>
      </c>
      <c r="B10" s="54">
        <v>28.6</v>
      </c>
      <c r="C10" s="54">
        <v>17.8</v>
      </c>
      <c r="D10" s="54">
        <v>23.5</v>
      </c>
      <c r="E10" s="50">
        <v>28.8</v>
      </c>
      <c r="F10" s="54">
        <v>21.8</v>
      </c>
      <c r="G10" s="54">
        <v>19.5</v>
      </c>
      <c r="H10" s="54">
        <v>12.8</v>
      </c>
      <c r="I10" s="54">
        <v>22.42</v>
      </c>
      <c r="J10" s="54">
        <v>24.7</v>
      </c>
      <c r="K10" s="54">
        <v>25.1</v>
      </c>
      <c r="L10" s="54">
        <v>29.8</v>
      </c>
      <c r="M10" s="54">
        <v>32</v>
      </c>
      <c r="N10" s="54">
        <v>25.8</v>
      </c>
      <c r="O10" s="54">
        <v>16.8</v>
      </c>
      <c r="P10" s="54">
        <v>16.100000000000001</v>
      </c>
      <c r="Q10" s="54">
        <v>17.88</v>
      </c>
      <c r="R10" s="50">
        <v>22.6</v>
      </c>
      <c r="S10" s="54">
        <v>16.3</v>
      </c>
      <c r="T10" s="54">
        <v>17.600000000000001</v>
      </c>
      <c r="U10" s="54">
        <v>15.82</v>
      </c>
      <c r="V10" s="54">
        <v>23.6</v>
      </c>
      <c r="W10" s="54">
        <v>16.7</v>
      </c>
      <c r="X10" s="54">
        <v>14.7</v>
      </c>
      <c r="Y10" s="65">
        <v>15.12</v>
      </c>
      <c r="Z10" s="67">
        <v>18.5</v>
      </c>
      <c r="AA10" s="54">
        <v>22.1</v>
      </c>
      <c r="AB10" s="54">
        <v>25</v>
      </c>
      <c r="AC10" s="54">
        <v>24.89</v>
      </c>
      <c r="AD10" s="50">
        <v>28.2</v>
      </c>
      <c r="AE10" s="70">
        <v>29</v>
      </c>
    </row>
    <row r="11" spans="1:31" x14ac:dyDescent="0.25">
      <c r="A11" s="53">
        <v>18</v>
      </c>
      <c r="B11" s="54">
        <v>27.6</v>
      </c>
      <c r="C11" s="54">
        <v>15.3</v>
      </c>
      <c r="D11" s="54">
        <v>24.7</v>
      </c>
      <c r="E11" s="50">
        <v>29.2</v>
      </c>
      <c r="F11" s="54">
        <v>23.6</v>
      </c>
      <c r="G11" s="54">
        <v>16.399999999999999</v>
      </c>
      <c r="H11" s="54">
        <v>14.6</v>
      </c>
      <c r="I11" s="54">
        <v>22.02</v>
      </c>
      <c r="J11" s="54">
        <v>24.5</v>
      </c>
      <c r="K11" s="54">
        <v>24.5</v>
      </c>
      <c r="L11" s="54">
        <v>30.1</v>
      </c>
      <c r="M11" s="54">
        <v>21</v>
      </c>
      <c r="N11" s="54">
        <v>23.7</v>
      </c>
      <c r="O11" s="54">
        <v>17.2</v>
      </c>
      <c r="P11" s="54">
        <v>16.7</v>
      </c>
      <c r="Q11" s="54">
        <v>17.34</v>
      </c>
      <c r="R11" s="50">
        <v>21</v>
      </c>
      <c r="S11" s="54">
        <v>16.8</v>
      </c>
      <c r="T11" s="54">
        <v>15.7</v>
      </c>
      <c r="U11" s="54">
        <v>14.34</v>
      </c>
      <c r="V11" s="54">
        <v>20.7</v>
      </c>
      <c r="W11" s="54">
        <v>17.8</v>
      </c>
      <c r="X11" s="54">
        <v>14</v>
      </c>
      <c r="Y11" s="65">
        <v>15.34</v>
      </c>
      <c r="Z11" s="67">
        <v>19.3</v>
      </c>
      <c r="AA11" s="54">
        <v>21.8</v>
      </c>
      <c r="AB11" s="54">
        <v>25.3</v>
      </c>
      <c r="AC11" s="54">
        <v>25.45</v>
      </c>
      <c r="AD11" s="50">
        <v>27.3</v>
      </c>
      <c r="AE11" s="70">
        <v>28</v>
      </c>
    </row>
    <row r="12" spans="1:31" x14ac:dyDescent="0.25">
      <c r="A12" s="53">
        <v>20</v>
      </c>
      <c r="B12" s="54">
        <v>20.55</v>
      </c>
      <c r="C12" s="54">
        <v>12.5</v>
      </c>
      <c r="D12" s="54">
        <v>22.2</v>
      </c>
      <c r="E12" s="50">
        <v>26.6</v>
      </c>
      <c r="F12" s="54">
        <v>19.52</v>
      </c>
      <c r="G12" s="54">
        <v>14.8</v>
      </c>
      <c r="H12" s="54">
        <v>13.3</v>
      </c>
      <c r="I12" s="54">
        <v>20.3</v>
      </c>
      <c r="J12" s="54">
        <v>22.33</v>
      </c>
      <c r="K12" s="54">
        <v>22.4</v>
      </c>
      <c r="L12" s="54">
        <v>27.5</v>
      </c>
      <c r="M12" s="54">
        <v>19.5</v>
      </c>
      <c r="N12" s="54">
        <v>21.05</v>
      </c>
      <c r="O12" s="54">
        <v>15.7</v>
      </c>
      <c r="P12" s="54">
        <v>15.3</v>
      </c>
      <c r="Q12" s="54">
        <v>13.5</v>
      </c>
      <c r="R12" s="50">
        <v>20.13</v>
      </c>
      <c r="S12" s="54">
        <v>16.100000000000001</v>
      </c>
      <c r="T12" s="54">
        <v>14</v>
      </c>
      <c r="U12" s="54">
        <v>14.8</v>
      </c>
      <c r="V12" s="54">
        <v>18.899999999999999</v>
      </c>
      <c r="W12" s="54">
        <v>17.2</v>
      </c>
      <c r="X12" s="54">
        <v>11.7</v>
      </c>
      <c r="Y12" s="65">
        <v>13.64</v>
      </c>
      <c r="Z12" s="67">
        <v>15.81</v>
      </c>
      <c r="AA12" s="54">
        <v>20.2</v>
      </c>
      <c r="AB12" s="54">
        <v>22.7</v>
      </c>
      <c r="AC12" s="54">
        <v>23</v>
      </c>
      <c r="AD12" s="50">
        <v>25.9</v>
      </c>
      <c r="AE12" s="70">
        <v>25.78</v>
      </c>
    </row>
    <row r="13" spans="1:31" x14ac:dyDescent="0.25">
      <c r="A13" s="53">
        <v>22</v>
      </c>
      <c r="B13" s="54">
        <v>21.91</v>
      </c>
      <c r="C13" s="54">
        <v>10.5</v>
      </c>
      <c r="D13" s="54">
        <v>20.9</v>
      </c>
      <c r="E13" s="50">
        <v>23.6</v>
      </c>
      <c r="F13" s="54">
        <v>16.97</v>
      </c>
      <c r="G13" s="54">
        <v>13.5</v>
      </c>
      <c r="H13" s="54">
        <v>12</v>
      </c>
      <c r="I13" s="54">
        <v>16.899999999999999</v>
      </c>
      <c r="J13" s="54">
        <v>21.01</v>
      </c>
      <c r="K13" s="54">
        <v>20.399999999999999</v>
      </c>
      <c r="L13" s="54">
        <v>24.5</v>
      </c>
      <c r="M13" s="54">
        <v>18.5</v>
      </c>
      <c r="N13" s="54">
        <v>18.55</v>
      </c>
      <c r="O13" s="54">
        <v>12.4</v>
      </c>
      <c r="P13" s="54">
        <v>13.1</v>
      </c>
      <c r="Q13" s="54">
        <v>13.3</v>
      </c>
      <c r="R13" s="50">
        <v>17.8</v>
      </c>
      <c r="S13" s="54">
        <v>15.2</v>
      </c>
      <c r="T13" s="54">
        <v>12.7</v>
      </c>
      <c r="U13" s="54">
        <v>14.1</v>
      </c>
      <c r="V13" s="54">
        <v>17.37</v>
      </c>
      <c r="W13" s="54">
        <v>16.5</v>
      </c>
      <c r="X13" s="54">
        <v>11.5</v>
      </c>
      <c r="Y13" s="65">
        <v>11.3</v>
      </c>
      <c r="Z13" s="67">
        <v>15.37</v>
      </c>
      <c r="AA13" s="54">
        <v>18.2</v>
      </c>
      <c r="AB13" s="54">
        <v>19.7</v>
      </c>
      <c r="AC13" s="54">
        <v>21.7</v>
      </c>
      <c r="AD13" s="50">
        <v>22.71</v>
      </c>
      <c r="AE13" s="70">
        <v>23.07</v>
      </c>
    </row>
    <row r="14" spans="1:31" x14ac:dyDescent="0.25">
      <c r="A14" s="53">
        <v>24</v>
      </c>
      <c r="B14" s="54">
        <v>20.21</v>
      </c>
      <c r="C14" s="54">
        <v>8.6</v>
      </c>
      <c r="D14" s="54">
        <v>19.600000000000001</v>
      </c>
      <c r="E14" s="50">
        <v>20</v>
      </c>
      <c r="F14" s="54">
        <v>15.6</v>
      </c>
      <c r="G14" s="54">
        <v>11.9</v>
      </c>
      <c r="H14" s="54">
        <v>12.2</v>
      </c>
      <c r="I14" s="54">
        <v>16.600000000000001</v>
      </c>
      <c r="J14" s="54">
        <v>19.850000000000001</v>
      </c>
      <c r="K14" s="54">
        <v>19.2</v>
      </c>
      <c r="L14" s="54">
        <v>22.4</v>
      </c>
      <c r="M14" s="54">
        <v>20.399999999999999</v>
      </c>
      <c r="N14" s="54">
        <v>15.01</v>
      </c>
      <c r="O14" s="54">
        <v>11.7</v>
      </c>
      <c r="P14" s="54">
        <v>12</v>
      </c>
      <c r="Q14" s="54">
        <v>14.1</v>
      </c>
      <c r="R14" s="50">
        <v>17.29</v>
      </c>
      <c r="S14" s="54">
        <v>12.8</v>
      </c>
      <c r="T14" s="54">
        <v>11.6</v>
      </c>
      <c r="U14" s="54">
        <v>13.7</v>
      </c>
      <c r="V14" s="54">
        <v>15.9</v>
      </c>
      <c r="W14" s="54">
        <v>15</v>
      </c>
      <c r="X14" s="54">
        <v>11.6</v>
      </c>
      <c r="Y14" s="65">
        <v>11.1</v>
      </c>
      <c r="Z14" s="67">
        <v>12.09</v>
      </c>
      <c r="AA14" s="54">
        <v>15.7</v>
      </c>
      <c r="AB14" s="54">
        <v>18.7</v>
      </c>
      <c r="AC14" s="54">
        <v>20.6</v>
      </c>
      <c r="AD14" s="50">
        <v>21.4</v>
      </c>
      <c r="AE14" s="70">
        <v>21.8</v>
      </c>
    </row>
    <row r="15" spans="1:31" x14ac:dyDescent="0.25">
      <c r="A15" s="53">
        <v>2</v>
      </c>
      <c r="B15" s="54">
        <v>18.989999999999998</v>
      </c>
      <c r="C15" s="54">
        <v>7.4</v>
      </c>
      <c r="D15" s="54">
        <v>18.899999999999999</v>
      </c>
      <c r="E15" s="50">
        <v>18</v>
      </c>
      <c r="F15" s="54">
        <v>14.7</v>
      </c>
      <c r="G15" s="54">
        <v>9.6999999999999993</v>
      </c>
      <c r="H15" s="54">
        <v>12.1</v>
      </c>
      <c r="I15" s="54">
        <v>15.3</v>
      </c>
      <c r="J15" s="54">
        <v>19.7</v>
      </c>
      <c r="K15" s="54">
        <v>17.7</v>
      </c>
      <c r="L15" s="54">
        <v>20.9</v>
      </c>
      <c r="M15" s="54">
        <v>19.2</v>
      </c>
      <c r="N15" s="54">
        <v>12.8</v>
      </c>
      <c r="O15" s="54">
        <v>10.1</v>
      </c>
      <c r="P15" s="54">
        <v>10.5</v>
      </c>
      <c r="Q15" s="54">
        <v>15</v>
      </c>
      <c r="R15" s="50">
        <v>14.7</v>
      </c>
      <c r="S15" s="54">
        <v>10.7</v>
      </c>
      <c r="T15" s="54">
        <v>12.4</v>
      </c>
      <c r="U15" s="54">
        <v>13.7</v>
      </c>
      <c r="V15" s="54">
        <v>15.5</v>
      </c>
      <c r="W15" s="54">
        <v>14</v>
      </c>
      <c r="X15" s="54">
        <v>10.8</v>
      </c>
      <c r="Y15" s="65">
        <v>9.8000000000000007</v>
      </c>
      <c r="Z15" s="67">
        <v>9.5</v>
      </c>
      <c r="AA15" s="54">
        <v>15.3</v>
      </c>
      <c r="AB15" s="54">
        <v>16.7</v>
      </c>
      <c r="AC15" s="54">
        <v>19.100000000000001</v>
      </c>
      <c r="AD15" s="50">
        <v>19.8</v>
      </c>
      <c r="AE15" s="70">
        <v>22.7</v>
      </c>
    </row>
    <row r="16" spans="1:31" ht="28.5" x14ac:dyDescent="0.25">
      <c r="A16" s="55" t="s">
        <v>2</v>
      </c>
      <c r="B16" s="56">
        <f>AVERAGE(B4+B5+B6+B7+B8+B9+B10+B11+B12+B13+B14+B15)/12</f>
        <v>22.73</v>
      </c>
      <c r="C16" s="56">
        <f t="shared" ref="C16:AE16" si="0">AVERAGE(C4+C5+C6+C7+C8+C9+C10+C11+C12+C13+C14+C15)/12</f>
        <v>13.966666666666667</v>
      </c>
      <c r="D16" s="56">
        <f t="shared" si="0"/>
        <v>18.258333333333333</v>
      </c>
      <c r="E16" s="56">
        <f t="shared" si="0"/>
        <v>24.462499999999995</v>
      </c>
      <c r="F16" s="56">
        <f t="shared" si="0"/>
        <v>20.41333333333333</v>
      </c>
      <c r="G16" s="56">
        <f t="shared" si="0"/>
        <v>15.32</v>
      </c>
      <c r="H16" s="56">
        <f t="shared" si="0"/>
        <v>10.633333333333331</v>
      </c>
      <c r="I16" s="56">
        <f t="shared" si="0"/>
        <v>18.932500000000001</v>
      </c>
      <c r="J16" s="56">
        <f t="shared" si="0"/>
        <v>20.990833333333331</v>
      </c>
      <c r="K16" s="56">
        <f t="shared" si="0"/>
        <v>22.158333333333335</v>
      </c>
      <c r="L16" s="56">
        <f t="shared" si="0"/>
        <v>25.330833333333327</v>
      </c>
      <c r="M16" s="56">
        <f t="shared" si="0"/>
        <v>24.641666666666666</v>
      </c>
      <c r="N16" s="56">
        <f t="shared" si="0"/>
        <v>23.042500000000004</v>
      </c>
      <c r="O16" s="56">
        <f t="shared" si="0"/>
        <v>13.35</v>
      </c>
      <c r="P16" s="56">
        <f t="shared" si="0"/>
        <v>13.35</v>
      </c>
      <c r="Q16" s="56">
        <f t="shared" si="0"/>
        <v>15.503333333333332</v>
      </c>
      <c r="R16" s="56">
        <f t="shared" si="0"/>
        <v>19.534999999999997</v>
      </c>
      <c r="S16" s="56">
        <f t="shared" si="0"/>
        <v>13.399999999999999</v>
      </c>
      <c r="T16" s="56">
        <f t="shared" si="0"/>
        <v>14.933333333333332</v>
      </c>
      <c r="U16" s="56">
        <f t="shared" si="0"/>
        <v>14.045833333333333</v>
      </c>
      <c r="V16" s="56">
        <f t="shared" si="0"/>
        <v>18.414166666666667</v>
      </c>
      <c r="W16" s="56">
        <f t="shared" si="0"/>
        <v>18.016666666666666</v>
      </c>
      <c r="X16" s="56">
        <f t="shared" si="0"/>
        <v>14.266666666666667</v>
      </c>
      <c r="Y16" s="56">
        <f t="shared" si="0"/>
        <v>12.274166666666668</v>
      </c>
      <c r="Z16" s="56">
        <f t="shared" si="0"/>
        <v>14.855833333333335</v>
      </c>
      <c r="AA16" s="56">
        <f t="shared" si="0"/>
        <v>15.35</v>
      </c>
      <c r="AB16" s="56">
        <f t="shared" si="0"/>
        <v>21.408333333333331</v>
      </c>
      <c r="AC16" s="56">
        <f t="shared" si="0"/>
        <v>22.562499999999996</v>
      </c>
      <c r="AD16" s="56">
        <f t="shared" si="0"/>
        <v>24.400833333333335</v>
      </c>
      <c r="AE16" s="56">
        <f t="shared" si="0"/>
        <v>25.4375</v>
      </c>
    </row>
    <row r="21" spans="1:31" x14ac:dyDescent="0.25">
      <c r="A21" s="62" t="s">
        <v>7</v>
      </c>
      <c r="B21" s="140" t="s">
        <v>1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spans="1:31" x14ac:dyDescent="0.25">
      <c r="A22" s="143" t="s">
        <v>0</v>
      </c>
      <c r="B22" s="143" t="s">
        <v>60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</row>
    <row r="23" spans="1:31" x14ac:dyDescent="0.25">
      <c r="A23" s="143"/>
      <c r="B23" s="62">
        <v>1</v>
      </c>
      <c r="C23" s="62">
        <v>2</v>
      </c>
      <c r="D23" s="62">
        <v>3</v>
      </c>
      <c r="E23" s="62">
        <v>4</v>
      </c>
      <c r="F23" s="62">
        <v>5</v>
      </c>
      <c r="G23" s="62">
        <v>6</v>
      </c>
      <c r="H23" s="62">
        <v>7</v>
      </c>
      <c r="I23" s="62">
        <v>8</v>
      </c>
      <c r="J23" s="62">
        <v>9</v>
      </c>
      <c r="K23" s="62">
        <v>10</v>
      </c>
      <c r="L23" s="62">
        <v>11</v>
      </c>
      <c r="M23" s="62">
        <v>12</v>
      </c>
      <c r="N23" s="62">
        <v>13</v>
      </c>
      <c r="O23" s="62">
        <v>14</v>
      </c>
      <c r="P23" s="62">
        <v>15</v>
      </c>
      <c r="Q23" s="62">
        <v>16</v>
      </c>
      <c r="R23" s="62">
        <v>17</v>
      </c>
      <c r="S23" s="62">
        <v>18</v>
      </c>
      <c r="T23" s="62">
        <v>19</v>
      </c>
      <c r="U23" s="62">
        <v>20</v>
      </c>
      <c r="V23" s="62">
        <v>21</v>
      </c>
      <c r="W23" s="62">
        <v>22</v>
      </c>
      <c r="X23" s="62">
        <v>23</v>
      </c>
      <c r="Y23" s="62">
        <v>24</v>
      </c>
      <c r="Z23" s="62">
        <v>25</v>
      </c>
      <c r="AA23" s="62">
        <v>26</v>
      </c>
      <c r="AB23" s="62">
        <v>27</v>
      </c>
      <c r="AC23" s="62">
        <v>28</v>
      </c>
      <c r="AD23" s="59">
        <v>29</v>
      </c>
      <c r="AE23" s="59">
        <v>30</v>
      </c>
    </row>
    <row r="24" spans="1:31" x14ac:dyDescent="0.25">
      <c r="A24" s="53">
        <v>4</v>
      </c>
      <c r="B24" s="54">
        <v>17.100000000000001</v>
      </c>
      <c r="C24" s="54">
        <v>17</v>
      </c>
      <c r="D24" s="54">
        <v>7.4</v>
      </c>
      <c r="E24" s="50">
        <v>17.600000000000001</v>
      </c>
      <c r="F24" s="54">
        <v>19</v>
      </c>
      <c r="G24" s="54">
        <v>15.2</v>
      </c>
      <c r="H24" s="54">
        <v>8.1999999999999993</v>
      </c>
      <c r="I24" s="54">
        <v>12.7</v>
      </c>
      <c r="J24" s="54">
        <v>15.7</v>
      </c>
      <c r="K24" s="54">
        <v>2.08</v>
      </c>
      <c r="L24" s="54">
        <v>14.3</v>
      </c>
      <c r="M24" s="54">
        <v>21.4</v>
      </c>
      <c r="N24" s="54">
        <v>19.5</v>
      </c>
      <c r="O24" s="54">
        <v>12.6</v>
      </c>
      <c r="P24" s="54">
        <v>10.3</v>
      </c>
      <c r="Q24" s="54">
        <v>10.5</v>
      </c>
      <c r="R24" s="50">
        <v>15.2</v>
      </c>
      <c r="S24" s="54">
        <v>13.9</v>
      </c>
      <c r="T24" s="54">
        <v>10.4</v>
      </c>
      <c r="U24" s="54">
        <v>12.6</v>
      </c>
      <c r="V24" s="54">
        <v>13.9</v>
      </c>
      <c r="W24" s="54">
        <v>15.1</v>
      </c>
      <c r="X24" s="54">
        <v>14.6</v>
      </c>
      <c r="Y24" s="66">
        <v>10.199999999999999</v>
      </c>
      <c r="Z24" s="68">
        <v>9.3000000000000007</v>
      </c>
      <c r="AA24" s="54">
        <v>8.9</v>
      </c>
      <c r="AB24" s="54">
        <v>15.1</v>
      </c>
      <c r="AC24" s="54">
        <v>15.6</v>
      </c>
      <c r="AD24" s="50">
        <v>17.600000000000001</v>
      </c>
      <c r="AE24" s="70">
        <v>19.399999999999999</v>
      </c>
    </row>
    <row r="25" spans="1:31" x14ac:dyDescent="0.25">
      <c r="A25" s="53">
        <v>6</v>
      </c>
      <c r="B25" s="54">
        <v>17.399999999999999</v>
      </c>
      <c r="C25" s="54">
        <v>14.1</v>
      </c>
      <c r="D25" s="54">
        <v>9.6</v>
      </c>
      <c r="E25" s="50">
        <v>19.100000000000001</v>
      </c>
      <c r="F25" s="54">
        <v>20.8</v>
      </c>
      <c r="G25" s="54">
        <v>14.9</v>
      </c>
      <c r="H25" s="54">
        <v>6.9</v>
      </c>
      <c r="I25" s="54">
        <v>16.100000000000001</v>
      </c>
      <c r="J25" s="54">
        <v>17</v>
      </c>
      <c r="K25" s="54">
        <v>19.8</v>
      </c>
      <c r="L25" s="54">
        <v>19.399999999999999</v>
      </c>
      <c r="M25" s="54">
        <v>23.6</v>
      </c>
      <c r="N25" s="54">
        <v>22.8</v>
      </c>
      <c r="O25" s="54">
        <v>11.4</v>
      </c>
      <c r="P25" s="54">
        <v>11.7</v>
      </c>
      <c r="Q25" s="54">
        <v>12.9</v>
      </c>
      <c r="R25" s="50">
        <v>15.4</v>
      </c>
      <c r="S25" s="54">
        <v>14.5</v>
      </c>
      <c r="T25" s="54">
        <v>14.2</v>
      </c>
      <c r="U25" s="54">
        <v>12.9</v>
      </c>
      <c r="V25" s="54">
        <v>14.6</v>
      </c>
      <c r="W25" s="54">
        <v>16.8</v>
      </c>
      <c r="X25" s="54">
        <v>15</v>
      </c>
      <c r="Y25" s="66">
        <v>10.1</v>
      </c>
      <c r="Z25" s="68">
        <v>12.4</v>
      </c>
      <c r="AA25" s="54">
        <v>9.1</v>
      </c>
      <c r="AB25" s="54">
        <v>17.5</v>
      </c>
      <c r="AC25" s="54">
        <v>20</v>
      </c>
      <c r="AD25" s="50">
        <v>23</v>
      </c>
      <c r="AE25" s="70">
        <v>22.5</v>
      </c>
    </row>
    <row r="26" spans="1:31" x14ac:dyDescent="0.25">
      <c r="A26" s="53">
        <v>8</v>
      </c>
      <c r="B26" s="54">
        <v>21.9</v>
      </c>
      <c r="C26" s="54">
        <v>14</v>
      </c>
      <c r="D26" s="54">
        <v>12.5</v>
      </c>
      <c r="E26" s="50">
        <v>21.2</v>
      </c>
      <c r="F26" s="54">
        <v>22.8</v>
      </c>
      <c r="G26" s="54">
        <v>17.399999999999999</v>
      </c>
      <c r="H26" s="54">
        <v>8.1</v>
      </c>
      <c r="I26" s="54">
        <v>19</v>
      </c>
      <c r="J26" s="54">
        <v>20.100000000000001</v>
      </c>
      <c r="K26" s="54">
        <v>22.3</v>
      </c>
      <c r="L26" s="54">
        <v>23.4</v>
      </c>
      <c r="M26" s="54">
        <v>27.2</v>
      </c>
      <c r="N26" s="54">
        <v>26.5</v>
      </c>
      <c r="O26" s="54">
        <v>11.3</v>
      </c>
      <c r="P26" s="54">
        <v>12.2</v>
      </c>
      <c r="Q26" s="54">
        <v>15.3</v>
      </c>
      <c r="R26" s="50">
        <v>18.8</v>
      </c>
      <c r="S26" s="54">
        <v>15.1</v>
      </c>
      <c r="T26" s="54">
        <v>16.5</v>
      </c>
      <c r="U26" s="54">
        <v>13.4</v>
      </c>
      <c r="V26" s="54">
        <v>18.600000000000001</v>
      </c>
      <c r="W26" s="54">
        <v>19.399999999999999</v>
      </c>
      <c r="X26" s="54">
        <v>16.5</v>
      </c>
      <c r="Y26" s="66">
        <v>10.1</v>
      </c>
      <c r="Z26" s="68">
        <v>15.2</v>
      </c>
      <c r="AA26" s="54">
        <v>11.4</v>
      </c>
      <c r="AB26" s="54">
        <v>21.5</v>
      </c>
      <c r="AC26" s="54">
        <v>23</v>
      </c>
      <c r="AD26" s="50">
        <v>26.3</v>
      </c>
      <c r="AE26" s="70">
        <v>26.8</v>
      </c>
    </row>
    <row r="27" spans="1:31" x14ac:dyDescent="0.25">
      <c r="A27" s="53">
        <v>10</v>
      </c>
      <c r="B27" s="54">
        <v>24.3</v>
      </c>
      <c r="C27" s="54">
        <v>16</v>
      </c>
      <c r="D27" s="54">
        <v>15.8</v>
      </c>
      <c r="E27" s="50">
        <v>25</v>
      </c>
      <c r="F27" s="54">
        <v>23.9</v>
      </c>
      <c r="G27" s="54">
        <v>20.6</v>
      </c>
      <c r="H27" s="54">
        <v>9.1999999999999993</v>
      </c>
      <c r="I27" s="54">
        <v>20.6</v>
      </c>
      <c r="J27" s="54">
        <v>22.5</v>
      </c>
      <c r="K27" s="54">
        <v>23.2</v>
      </c>
      <c r="L27" s="54">
        <v>24.9</v>
      </c>
      <c r="M27" s="54">
        <v>29.7</v>
      </c>
      <c r="N27" s="54">
        <v>29.2</v>
      </c>
      <c r="O27" s="54">
        <v>13.6</v>
      </c>
      <c r="P27" s="54">
        <v>12.4</v>
      </c>
      <c r="Q27" s="54">
        <v>16.8</v>
      </c>
      <c r="R27" s="50">
        <v>20.100000000000001</v>
      </c>
      <c r="S27" s="54">
        <v>15.3</v>
      </c>
      <c r="T27" s="54">
        <v>17</v>
      </c>
      <c r="U27" s="54">
        <v>13.5</v>
      </c>
      <c r="V27" s="54">
        <v>20.7</v>
      </c>
      <c r="W27" s="54">
        <v>20.3</v>
      </c>
      <c r="X27" s="54">
        <v>18.399999999999999</v>
      </c>
      <c r="Y27" s="66">
        <v>11.3</v>
      </c>
      <c r="Z27" s="68">
        <v>16.7</v>
      </c>
      <c r="AA27" s="54">
        <v>10.8</v>
      </c>
      <c r="AB27" s="54">
        <v>23.8</v>
      </c>
      <c r="AC27" s="54">
        <v>25.1</v>
      </c>
      <c r="AD27" s="50">
        <v>27.7</v>
      </c>
      <c r="AE27" s="70">
        <v>29.5</v>
      </c>
    </row>
    <row r="28" spans="1:31" x14ac:dyDescent="0.25">
      <c r="A28" s="53">
        <v>12</v>
      </c>
      <c r="B28" s="54">
        <v>25.6</v>
      </c>
      <c r="C28" s="54">
        <v>14.1</v>
      </c>
      <c r="D28" s="54">
        <v>18.399999999999999</v>
      </c>
      <c r="E28" s="50">
        <v>27.9</v>
      </c>
      <c r="F28" s="54">
        <v>25.7</v>
      </c>
      <c r="G28" s="54">
        <v>23</v>
      </c>
      <c r="H28" s="54">
        <v>10.7</v>
      </c>
      <c r="I28" s="54">
        <v>21.5</v>
      </c>
      <c r="J28" s="54">
        <v>23.6</v>
      </c>
      <c r="K28" s="54">
        <v>25.7</v>
      </c>
      <c r="L28" s="54">
        <v>28.4</v>
      </c>
      <c r="M28" s="54">
        <v>31</v>
      </c>
      <c r="N28" s="54">
        <v>30.7</v>
      </c>
      <c r="O28" s="54">
        <v>15.6</v>
      </c>
      <c r="P28" s="54">
        <v>13.5</v>
      </c>
      <c r="Q28" s="54">
        <v>19.100000000000001</v>
      </c>
      <c r="R28" s="50">
        <v>23.6</v>
      </c>
      <c r="S28" s="54">
        <v>15.6</v>
      </c>
      <c r="T28" s="54">
        <v>18.3</v>
      </c>
      <c r="U28" s="54">
        <v>13.9</v>
      </c>
      <c r="V28" s="54">
        <v>22.4</v>
      </c>
      <c r="W28" s="54">
        <v>24.3</v>
      </c>
      <c r="X28" s="54">
        <v>17.5</v>
      </c>
      <c r="Y28" s="66">
        <v>12.2</v>
      </c>
      <c r="Z28" s="68">
        <v>17.2</v>
      </c>
      <c r="AA28" s="54">
        <v>11.1</v>
      </c>
      <c r="AB28" s="54">
        <v>25.7</v>
      </c>
      <c r="AC28" s="54">
        <v>26.3</v>
      </c>
      <c r="AD28" s="50">
        <v>29.1</v>
      </c>
      <c r="AE28" s="70">
        <v>29.3</v>
      </c>
    </row>
    <row r="29" spans="1:31" x14ac:dyDescent="0.25">
      <c r="A29" s="53">
        <v>14</v>
      </c>
      <c r="B29" s="54">
        <v>26</v>
      </c>
      <c r="C29" s="54">
        <v>17.7</v>
      </c>
      <c r="D29" s="54">
        <v>21.3</v>
      </c>
      <c r="E29" s="50">
        <v>29.7</v>
      </c>
      <c r="F29" s="54">
        <v>23.5</v>
      </c>
      <c r="G29" s="54">
        <v>15.7</v>
      </c>
      <c r="H29" s="54">
        <v>8.9</v>
      </c>
      <c r="I29" s="54">
        <v>22.4</v>
      </c>
      <c r="J29" s="54">
        <v>24</v>
      </c>
      <c r="K29" s="54">
        <v>26.1</v>
      </c>
      <c r="L29" s="54">
        <v>28.8</v>
      </c>
      <c r="M29" s="54">
        <v>31.9</v>
      </c>
      <c r="N29" s="54">
        <v>31.7</v>
      </c>
      <c r="O29" s="54">
        <v>17.5</v>
      </c>
      <c r="P29" s="54">
        <v>16.100000000000001</v>
      </c>
      <c r="Q29" s="54">
        <v>18.100000000000001</v>
      </c>
      <c r="R29" s="50">
        <v>23.1</v>
      </c>
      <c r="S29" s="54">
        <v>17.399999999999999</v>
      </c>
      <c r="T29" s="54">
        <v>18.7</v>
      </c>
      <c r="U29" s="54">
        <v>14.2</v>
      </c>
      <c r="V29" s="54">
        <v>23.1</v>
      </c>
      <c r="W29" s="54">
        <v>24.8</v>
      </c>
      <c r="X29" s="54">
        <v>16.399999999999999</v>
      </c>
      <c r="Y29" s="66">
        <v>13.8</v>
      </c>
      <c r="Z29" s="68">
        <v>17.2</v>
      </c>
      <c r="AA29" s="54">
        <v>15.5</v>
      </c>
      <c r="AB29" s="54">
        <v>26.5</v>
      </c>
      <c r="AC29" s="54">
        <v>27.3</v>
      </c>
      <c r="AD29" s="50">
        <v>30.2</v>
      </c>
      <c r="AE29" s="70">
        <v>29.5</v>
      </c>
    </row>
    <row r="30" spans="1:31" x14ac:dyDescent="0.25">
      <c r="A30" s="53">
        <v>16</v>
      </c>
      <c r="B30" s="54">
        <v>28.1</v>
      </c>
      <c r="C30" s="54">
        <v>17.100000000000001</v>
      </c>
      <c r="D30" s="54">
        <v>23.7</v>
      </c>
      <c r="E30" s="50">
        <v>30.7</v>
      </c>
      <c r="F30" s="54">
        <v>24.5</v>
      </c>
      <c r="G30" s="54">
        <v>17.5</v>
      </c>
      <c r="H30" s="54">
        <v>12.9</v>
      </c>
      <c r="I30" s="54">
        <v>23.3</v>
      </c>
      <c r="J30" s="54">
        <v>25.2</v>
      </c>
      <c r="K30" s="54">
        <v>25</v>
      </c>
      <c r="L30" s="54">
        <v>31.8</v>
      </c>
      <c r="M30" s="54">
        <v>23</v>
      </c>
      <c r="N30" s="54">
        <v>31.6</v>
      </c>
      <c r="O30" s="54">
        <v>18.8</v>
      </c>
      <c r="P30" s="54">
        <v>16.100000000000001</v>
      </c>
      <c r="Q30" s="54">
        <v>18</v>
      </c>
      <c r="R30" s="50">
        <v>23.4</v>
      </c>
      <c r="S30" s="54">
        <v>17.600000000000001</v>
      </c>
      <c r="T30" s="54">
        <v>17.8</v>
      </c>
      <c r="U30" s="54">
        <v>16.2</v>
      </c>
      <c r="V30" s="54">
        <v>23.6</v>
      </c>
      <c r="W30" s="54">
        <v>15.8</v>
      </c>
      <c r="X30" s="54">
        <v>15.2</v>
      </c>
      <c r="Y30" s="66">
        <v>15</v>
      </c>
      <c r="Z30" s="68">
        <v>19.7</v>
      </c>
      <c r="AA30" s="54">
        <v>14.5</v>
      </c>
      <c r="AB30" s="54">
        <v>26.6</v>
      </c>
      <c r="AC30" s="54">
        <v>26.8</v>
      </c>
      <c r="AD30" s="50">
        <v>29.4</v>
      </c>
      <c r="AE30" s="70">
        <v>31.5</v>
      </c>
    </row>
    <row r="31" spans="1:31" x14ac:dyDescent="0.25">
      <c r="A31" s="53">
        <v>18</v>
      </c>
      <c r="B31" s="54">
        <v>27.3</v>
      </c>
      <c r="C31" s="54">
        <v>16.399999999999999</v>
      </c>
      <c r="D31" s="54">
        <v>23.8</v>
      </c>
      <c r="E31" s="50">
        <v>28.4</v>
      </c>
      <c r="F31" s="54">
        <v>25.2</v>
      </c>
      <c r="G31" s="54">
        <v>12.1</v>
      </c>
      <c r="H31" s="54">
        <v>14.1</v>
      </c>
      <c r="I31" s="54">
        <v>21.6</v>
      </c>
      <c r="J31" s="54">
        <v>24.3</v>
      </c>
      <c r="K31" s="54">
        <v>24.5</v>
      </c>
      <c r="L31" s="54">
        <v>29.6</v>
      </c>
      <c r="M31" s="54">
        <v>19.5</v>
      </c>
      <c r="N31" s="54">
        <v>23.3</v>
      </c>
      <c r="O31" s="54">
        <v>17.100000000000001</v>
      </c>
      <c r="P31" s="54">
        <v>16.3</v>
      </c>
      <c r="Q31" s="54">
        <v>17.5</v>
      </c>
      <c r="R31" s="50">
        <v>21.4</v>
      </c>
      <c r="S31" s="54">
        <v>17.399999999999999</v>
      </c>
      <c r="T31" s="54">
        <v>15.8</v>
      </c>
      <c r="U31" s="54">
        <v>13.9</v>
      </c>
      <c r="V31" s="54">
        <v>22.7</v>
      </c>
      <c r="W31" s="54">
        <v>18.5</v>
      </c>
      <c r="X31" s="54">
        <v>14.8</v>
      </c>
      <c r="Y31" s="66">
        <v>14</v>
      </c>
      <c r="Z31" s="68">
        <v>18.7</v>
      </c>
      <c r="AA31" s="54">
        <v>17.899999999999999</v>
      </c>
      <c r="AB31" s="54">
        <v>25.6</v>
      </c>
      <c r="AC31" s="54">
        <v>26.1</v>
      </c>
      <c r="AD31" s="50">
        <v>28.4</v>
      </c>
      <c r="AE31" s="70">
        <v>28.8</v>
      </c>
    </row>
    <row r="32" spans="1:31" x14ac:dyDescent="0.25">
      <c r="A32" s="53">
        <v>20</v>
      </c>
      <c r="B32" s="54">
        <v>17.7</v>
      </c>
      <c r="C32" s="54">
        <v>12.4</v>
      </c>
      <c r="D32" s="54">
        <v>21.4</v>
      </c>
      <c r="E32" s="50">
        <v>25.4</v>
      </c>
      <c r="F32" s="54">
        <v>22.6</v>
      </c>
      <c r="G32" s="54">
        <v>14.1</v>
      </c>
      <c r="H32" s="54">
        <v>13</v>
      </c>
      <c r="I32" s="54">
        <v>20.399999999999999</v>
      </c>
      <c r="J32" s="54">
        <v>22</v>
      </c>
      <c r="K32" s="54">
        <v>22.2</v>
      </c>
      <c r="L32" s="54">
        <v>26.9</v>
      </c>
      <c r="M32" s="54">
        <v>20.100000000000001</v>
      </c>
      <c r="N32" s="54">
        <v>21.3</v>
      </c>
      <c r="O32" s="54">
        <v>15.2</v>
      </c>
      <c r="P32" s="54">
        <v>14.5</v>
      </c>
      <c r="Q32" s="54">
        <v>14.9</v>
      </c>
      <c r="R32" s="50">
        <v>20.7</v>
      </c>
      <c r="S32" s="54">
        <v>15.6</v>
      </c>
      <c r="T32" s="54">
        <v>15.2</v>
      </c>
      <c r="U32" s="54">
        <v>14.7</v>
      </c>
      <c r="V32" s="54">
        <v>20.3</v>
      </c>
      <c r="W32" s="54">
        <v>17.600000000000001</v>
      </c>
      <c r="X32" s="54">
        <v>12.6</v>
      </c>
      <c r="Y32" s="66">
        <v>13.1</v>
      </c>
      <c r="Z32" s="68">
        <v>16.3</v>
      </c>
      <c r="AA32" s="54">
        <v>17.5</v>
      </c>
      <c r="AB32" s="54">
        <v>23.2</v>
      </c>
      <c r="AC32" s="54">
        <v>24.5</v>
      </c>
      <c r="AD32" s="50">
        <v>25.5</v>
      </c>
      <c r="AE32" s="70">
        <v>25.8</v>
      </c>
    </row>
    <row r="33" spans="1:31" x14ac:dyDescent="0.25">
      <c r="A33" s="53">
        <v>22</v>
      </c>
      <c r="B33" s="54">
        <v>18.3</v>
      </c>
      <c r="C33" s="54">
        <v>8.6999999999999993</v>
      </c>
      <c r="D33" s="54">
        <v>19.8</v>
      </c>
      <c r="E33" s="50">
        <v>23.7</v>
      </c>
      <c r="F33" s="54">
        <v>14.9</v>
      </c>
      <c r="G33" s="54">
        <v>13.3</v>
      </c>
      <c r="H33" s="54">
        <v>11.7</v>
      </c>
      <c r="I33" s="54">
        <v>17</v>
      </c>
      <c r="J33" s="54">
        <v>20.6</v>
      </c>
      <c r="K33" s="54">
        <v>18.600000000000001</v>
      </c>
      <c r="L33" s="54">
        <v>24.1</v>
      </c>
      <c r="M33" s="54">
        <v>20.399999999999999</v>
      </c>
      <c r="N33" s="54">
        <v>19</v>
      </c>
      <c r="O33" s="54">
        <v>12.9</v>
      </c>
      <c r="P33" s="54">
        <v>11.7</v>
      </c>
      <c r="Q33" s="54">
        <v>13.5</v>
      </c>
      <c r="R33" s="50">
        <v>18</v>
      </c>
      <c r="S33" s="54">
        <v>11.3</v>
      </c>
      <c r="T33" s="54">
        <v>13</v>
      </c>
      <c r="U33" s="54">
        <v>14.4</v>
      </c>
      <c r="V33" s="54">
        <v>17.7</v>
      </c>
      <c r="W33" s="54">
        <v>15.6</v>
      </c>
      <c r="X33" s="54">
        <v>11.6</v>
      </c>
      <c r="Y33" s="66">
        <v>10.8</v>
      </c>
      <c r="Z33" s="68">
        <v>15.7</v>
      </c>
      <c r="AA33" s="54">
        <v>17.899999999999999</v>
      </c>
      <c r="AB33" s="54">
        <v>20.8</v>
      </c>
      <c r="AC33" s="54">
        <v>20.9</v>
      </c>
      <c r="AD33" s="50">
        <v>20.9</v>
      </c>
      <c r="AE33" s="70">
        <v>21.8</v>
      </c>
    </row>
    <row r="34" spans="1:31" x14ac:dyDescent="0.25">
      <c r="A34" s="53">
        <v>24</v>
      </c>
      <c r="B34" s="54">
        <v>17.899999999999999</v>
      </c>
      <c r="C34" s="54">
        <v>7.1</v>
      </c>
      <c r="D34" s="54">
        <v>19.899999999999999</v>
      </c>
      <c r="E34" s="50">
        <v>21.4</v>
      </c>
      <c r="F34" s="54">
        <v>14.4</v>
      </c>
      <c r="G34" s="54">
        <v>12.5</v>
      </c>
      <c r="H34" s="54">
        <v>12.5</v>
      </c>
      <c r="I34" s="54">
        <v>16</v>
      </c>
      <c r="J34" s="54">
        <v>20.3</v>
      </c>
      <c r="K34" s="54">
        <v>16.399999999999999</v>
      </c>
      <c r="L34" s="54">
        <v>22.4</v>
      </c>
      <c r="M34" s="54">
        <v>21.1</v>
      </c>
      <c r="N34" s="54">
        <v>14.6</v>
      </c>
      <c r="O34" s="54">
        <v>11.1</v>
      </c>
      <c r="P34" s="54">
        <v>10</v>
      </c>
      <c r="Q34" s="54">
        <v>14.8</v>
      </c>
      <c r="R34" s="50">
        <v>17</v>
      </c>
      <c r="S34" s="54">
        <v>8.6</v>
      </c>
      <c r="T34" s="54">
        <v>11.5</v>
      </c>
      <c r="U34" s="54">
        <v>14.1</v>
      </c>
      <c r="V34" s="54">
        <v>16.5</v>
      </c>
      <c r="W34" s="54">
        <v>15.5</v>
      </c>
      <c r="X34" s="54">
        <v>10.6</v>
      </c>
      <c r="Y34" s="66">
        <v>10</v>
      </c>
      <c r="Z34" s="68">
        <v>12.3</v>
      </c>
      <c r="AA34" s="54">
        <v>16.100000000000001</v>
      </c>
      <c r="AB34" s="54">
        <v>16.600000000000001</v>
      </c>
      <c r="AC34" s="54">
        <v>17.600000000000001</v>
      </c>
      <c r="AD34" s="50">
        <v>19.5</v>
      </c>
      <c r="AE34" s="70">
        <v>20.399999999999999</v>
      </c>
    </row>
    <row r="35" spans="1:31" x14ac:dyDescent="0.25">
      <c r="A35" s="53">
        <v>2</v>
      </c>
      <c r="B35" s="54">
        <v>17.8</v>
      </c>
      <c r="C35" s="54">
        <v>6.6</v>
      </c>
      <c r="D35" s="54">
        <v>18.600000000000001</v>
      </c>
      <c r="E35" s="50">
        <v>18.2</v>
      </c>
      <c r="F35" s="54">
        <v>14.2</v>
      </c>
      <c r="G35" s="54">
        <v>10.3</v>
      </c>
      <c r="H35" s="54">
        <v>11.9</v>
      </c>
      <c r="I35" s="54">
        <v>14.9</v>
      </c>
      <c r="J35" s="54">
        <v>18.899999999999999</v>
      </c>
      <c r="K35" s="54">
        <v>14.8</v>
      </c>
      <c r="L35" s="54">
        <v>21.3</v>
      </c>
      <c r="M35" s="54">
        <v>19.899999999999999</v>
      </c>
      <c r="N35" s="54">
        <v>13.2</v>
      </c>
      <c r="O35" s="54">
        <v>10.6</v>
      </c>
      <c r="P35" s="54">
        <v>9.8000000000000007</v>
      </c>
      <c r="Q35" s="54">
        <v>15.1</v>
      </c>
      <c r="R35" s="50">
        <v>16.100000000000001</v>
      </c>
      <c r="S35" s="54">
        <v>9.8000000000000007</v>
      </c>
      <c r="T35" s="54">
        <v>12</v>
      </c>
      <c r="U35" s="54">
        <v>14.2</v>
      </c>
      <c r="V35" s="54">
        <v>14.8</v>
      </c>
      <c r="W35" s="54">
        <v>15.2</v>
      </c>
      <c r="X35" s="54">
        <v>10</v>
      </c>
      <c r="Y35" s="66">
        <v>10</v>
      </c>
      <c r="Z35" s="68">
        <v>12.2</v>
      </c>
      <c r="AA35" s="54">
        <v>15.9</v>
      </c>
      <c r="AB35" s="54">
        <v>17</v>
      </c>
      <c r="AC35" s="54">
        <v>17.100000000000001</v>
      </c>
      <c r="AD35" s="50">
        <v>18.899999999999999</v>
      </c>
      <c r="AE35" s="70">
        <v>20.100000000000001</v>
      </c>
    </row>
    <row r="36" spans="1:31" ht="28.5" x14ac:dyDescent="0.25">
      <c r="A36" s="55" t="s">
        <v>2</v>
      </c>
      <c r="B36" s="56">
        <f>AVERAGE(B24+B25+B26+B27+B28+B29+B30+B31+B32+B33+B34+B35)/12</f>
        <v>21.616666666666671</v>
      </c>
      <c r="C36" s="56">
        <f t="shared" ref="C36:AE36" si="1">AVERAGE(C24+C25+C26+C27+C28+C29+C30+C31+C32+C33+C34+C35)/12</f>
        <v>13.433333333333332</v>
      </c>
      <c r="D36" s="56">
        <f t="shared" si="1"/>
        <v>17.683333333333334</v>
      </c>
      <c r="E36" s="56">
        <f t="shared" si="1"/>
        <v>24.024999999999995</v>
      </c>
      <c r="F36" s="56">
        <f t="shared" si="1"/>
        <v>20.958333333333332</v>
      </c>
      <c r="G36" s="56">
        <f t="shared" si="1"/>
        <v>15.550000000000002</v>
      </c>
      <c r="H36" s="56">
        <f t="shared" si="1"/>
        <v>10.674999999999999</v>
      </c>
      <c r="I36" s="56">
        <f t="shared" si="1"/>
        <v>18.791666666666668</v>
      </c>
      <c r="J36" s="56">
        <f t="shared" si="1"/>
        <v>21.183333333333334</v>
      </c>
      <c r="K36" s="56">
        <f t="shared" si="1"/>
        <v>20.056666666666668</v>
      </c>
      <c r="L36" s="56">
        <f t="shared" si="1"/>
        <v>24.608333333333334</v>
      </c>
      <c r="M36" s="56">
        <f t="shared" si="1"/>
        <v>24.066666666666666</v>
      </c>
      <c r="N36" s="56">
        <f t="shared" si="1"/>
        <v>23.616666666666664</v>
      </c>
      <c r="O36" s="56">
        <f t="shared" si="1"/>
        <v>13.975</v>
      </c>
      <c r="P36" s="56">
        <f t="shared" si="1"/>
        <v>12.883333333333335</v>
      </c>
      <c r="Q36" s="56">
        <f t="shared" si="1"/>
        <v>15.541666666666666</v>
      </c>
      <c r="R36" s="56">
        <f t="shared" si="1"/>
        <v>19.399999999999999</v>
      </c>
      <c r="S36" s="56">
        <f t="shared" si="1"/>
        <v>14.341666666666667</v>
      </c>
      <c r="T36" s="56">
        <f t="shared" si="1"/>
        <v>15.033333333333333</v>
      </c>
      <c r="U36" s="56">
        <f t="shared" si="1"/>
        <v>14</v>
      </c>
      <c r="V36" s="56">
        <f t="shared" si="1"/>
        <v>19.074999999999999</v>
      </c>
      <c r="W36" s="56">
        <f t="shared" si="1"/>
        <v>18.241666666666664</v>
      </c>
      <c r="X36" s="56">
        <f t="shared" si="1"/>
        <v>14.433333333333332</v>
      </c>
      <c r="Y36" s="56">
        <f t="shared" si="1"/>
        <v>11.716666666666667</v>
      </c>
      <c r="Z36" s="56">
        <f t="shared" si="1"/>
        <v>15.241666666666667</v>
      </c>
      <c r="AA36" s="56">
        <f t="shared" si="1"/>
        <v>13.883333333333335</v>
      </c>
      <c r="AB36" s="56">
        <f t="shared" si="1"/>
        <v>21.658333333333331</v>
      </c>
      <c r="AC36" s="56">
        <f t="shared" si="1"/>
        <v>22.525000000000002</v>
      </c>
      <c r="AD36" s="56">
        <f t="shared" si="1"/>
        <v>24.708333333333332</v>
      </c>
      <c r="AE36" s="56">
        <f t="shared" si="1"/>
        <v>25.450000000000003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B1" zoomScale="90" zoomScaleNormal="90" workbookViewId="0">
      <selection activeCell="B1" sqref="A1:XFD1048576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2" x14ac:dyDescent="0.25">
      <c r="A1" s="69" t="s">
        <v>8</v>
      </c>
      <c r="B1" s="140" t="s">
        <v>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2" x14ac:dyDescent="0.25">
      <c r="A2" s="141" t="s">
        <v>0</v>
      </c>
      <c r="B2" s="143" t="s">
        <v>61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2" x14ac:dyDescent="0.25">
      <c r="A3" s="142"/>
      <c r="B3" s="69">
        <v>1</v>
      </c>
      <c r="C3" s="69">
        <v>2</v>
      </c>
      <c r="D3" s="69">
        <v>3</v>
      </c>
      <c r="E3" s="69">
        <v>4</v>
      </c>
      <c r="F3" s="69">
        <v>5</v>
      </c>
      <c r="G3" s="69">
        <v>6</v>
      </c>
      <c r="H3" s="69">
        <v>7</v>
      </c>
      <c r="I3" s="69">
        <v>8</v>
      </c>
      <c r="J3" s="69">
        <v>9</v>
      </c>
      <c r="K3" s="69">
        <v>10</v>
      </c>
      <c r="L3" s="69">
        <v>11</v>
      </c>
      <c r="M3" s="69">
        <v>12</v>
      </c>
      <c r="N3" s="69">
        <v>13</v>
      </c>
      <c r="O3" s="69">
        <v>14</v>
      </c>
      <c r="P3" s="69">
        <v>15</v>
      </c>
      <c r="Q3" s="69">
        <v>16</v>
      </c>
      <c r="R3" s="69">
        <v>17</v>
      </c>
      <c r="S3" s="69">
        <v>18</v>
      </c>
      <c r="T3" s="69">
        <v>19</v>
      </c>
      <c r="U3" s="69">
        <v>20</v>
      </c>
      <c r="V3" s="69">
        <v>21</v>
      </c>
      <c r="W3" s="69">
        <v>22</v>
      </c>
      <c r="X3" s="69">
        <v>23</v>
      </c>
      <c r="Y3" s="69">
        <v>24</v>
      </c>
      <c r="Z3" s="69">
        <v>25</v>
      </c>
      <c r="AA3" s="69">
        <v>26</v>
      </c>
      <c r="AB3" s="69">
        <v>27</v>
      </c>
      <c r="AC3" s="69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54">
        <v>22.35</v>
      </c>
      <c r="C4" s="54">
        <v>15.6</v>
      </c>
      <c r="D4" s="54">
        <v>17.100000000000001</v>
      </c>
      <c r="E4" s="68">
        <v>17.3</v>
      </c>
      <c r="F4" s="54">
        <v>18.43</v>
      </c>
      <c r="G4" s="54">
        <v>18</v>
      </c>
      <c r="H4" s="54">
        <v>19</v>
      </c>
      <c r="I4" s="54">
        <v>12.8</v>
      </c>
      <c r="J4" s="54">
        <v>15.26</v>
      </c>
      <c r="K4" s="54">
        <v>17.8</v>
      </c>
      <c r="L4" s="54">
        <v>15.7</v>
      </c>
      <c r="M4" s="54">
        <v>16.600000000000001</v>
      </c>
      <c r="N4" s="54">
        <v>16.7</v>
      </c>
      <c r="O4" s="68">
        <v>13</v>
      </c>
      <c r="P4" s="54">
        <v>13.5</v>
      </c>
      <c r="Q4" s="54">
        <v>14.7</v>
      </c>
      <c r="R4" s="68">
        <v>11.85</v>
      </c>
      <c r="S4" s="54">
        <v>11.9</v>
      </c>
      <c r="T4" s="54">
        <v>10.5</v>
      </c>
      <c r="U4" s="54">
        <v>9.1999999999999993</v>
      </c>
      <c r="V4" s="54">
        <v>6.22</v>
      </c>
      <c r="W4" s="68">
        <v>7.8</v>
      </c>
      <c r="X4" s="68">
        <v>8.9</v>
      </c>
      <c r="Y4" s="68">
        <v>12</v>
      </c>
      <c r="Z4" s="68">
        <v>16.3</v>
      </c>
      <c r="AA4" s="68">
        <v>15.3</v>
      </c>
      <c r="AB4" s="68">
        <v>17.3</v>
      </c>
      <c r="AC4" s="68">
        <v>18.7</v>
      </c>
      <c r="AD4" s="68">
        <v>19.190000000000001</v>
      </c>
      <c r="AE4" s="68">
        <v>19.100000000000001</v>
      </c>
      <c r="AF4" s="68">
        <v>13.7</v>
      </c>
    </row>
    <row r="5" spans="1:32" x14ac:dyDescent="0.25">
      <c r="A5" s="53">
        <v>6</v>
      </c>
      <c r="B5" s="54">
        <v>23.28</v>
      </c>
      <c r="C5" s="54">
        <v>17.600000000000001</v>
      </c>
      <c r="D5" s="54">
        <v>17</v>
      </c>
      <c r="E5" s="68">
        <v>17.8</v>
      </c>
      <c r="F5" s="54">
        <v>19.34</v>
      </c>
      <c r="G5" s="54">
        <v>18.899999999999999</v>
      </c>
      <c r="H5" s="54">
        <v>20.100000000000001</v>
      </c>
      <c r="I5" s="54">
        <v>13.4</v>
      </c>
      <c r="J5" s="54">
        <v>17.100000000000001</v>
      </c>
      <c r="K5" s="54">
        <v>18</v>
      </c>
      <c r="L5" s="54">
        <v>16.5</v>
      </c>
      <c r="M5" s="54">
        <v>17</v>
      </c>
      <c r="N5" s="54">
        <v>18.73</v>
      </c>
      <c r="O5" s="68">
        <v>13.9</v>
      </c>
      <c r="P5" s="54">
        <v>16.3</v>
      </c>
      <c r="Q5" s="54">
        <v>15.2</v>
      </c>
      <c r="R5" s="68">
        <v>11.93</v>
      </c>
      <c r="S5" s="54">
        <v>12.3</v>
      </c>
      <c r="T5" s="54">
        <v>10.7</v>
      </c>
      <c r="U5" s="54">
        <v>9.3000000000000007</v>
      </c>
      <c r="V5" s="54">
        <v>6.83</v>
      </c>
      <c r="W5" s="68">
        <v>8</v>
      </c>
      <c r="X5" s="68">
        <v>10.3</v>
      </c>
      <c r="Y5" s="68">
        <v>14.3</v>
      </c>
      <c r="Z5" s="68">
        <v>16.53</v>
      </c>
      <c r="AA5" s="68">
        <v>15.9</v>
      </c>
      <c r="AB5" s="68">
        <v>17.8</v>
      </c>
      <c r="AC5" s="68">
        <v>19.2</v>
      </c>
      <c r="AD5" s="68">
        <v>18.190000000000001</v>
      </c>
      <c r="AE5" s="68">
        <v>20.3</v>
      </c>
      <c r="AF5" s="68">
        <v>15.3</v>
      </c>
    </row>
    <row r="6" spans="1:32" x14ac:dyDescent="0.25">
      <c r="A6" s="53">
        <v>8</v>
      </c>
      <c r="B6" s="54">
        <v>26.3</v>
      </c>
      <c r="C6" s="54">
        <v>18.7</v>
      </c>
      <c r="D6" s="54">
        <v>19.100000000000001</v>
      </c>
      <c r="E6" s="68">
        <v>19.2</v>
      </c>
      <c r="F6" s="54">
        <v>19.899999999999999</v>
      </c>
      <c r="G6" s="54">
        <v>18.8</v>
      </c>
      <c r="H6" s="54">
        <v>22.4</v>
      </c>
      <c r="I6" s="54">
        <v>14.5</v>
      </c>
      <c r="J6" s="54">
        <v>18.54</v>
      </c>
      <c r="K6" s="54">
        <v>21.1</v>
      </c>
      <c r="L6" s="54">
        <v>18.7</v>
      </c>
      <c r="M6" s="54">
        <v>18</v>
      </c>
      <c r="N6" s="54">
        <v>21.6</v>
      </c>
      <c r="O6" s="68">
        <v>15.7</v>
      </c>
      <c r="P6" s="54">
        <v>17.8</v>
      </c>
      <c r="Q6" s="54">
        <v>15.7</v>
      </c>
      <c r="R6" s="68">
        <v>14.2</v>
      </c>
      <c r="S6" s="54">
        <v>12.4</v>
      </c>
      <c r="T6" s="54">
        <v>11.37</v>
      </c>
      <c r="U6" s="54">
        <v>8.5</v>
      </c>
      <c r="V6" s="54">
        <v>8</v>
      </c>
      <c r="W6" s="68">
        <v>9.6</v>
      </c>
      <c r="X6" s="68">
        <v>13.73</v>
      </c>
      <c r="Y6" s="68">
        <v>18.899999999999999</v>
      </c>
      <c r="Z6" s="68">
        <v>18.2</v>
      </c>
      <c r="AA6" s="68">
        <v>18</v>
      </c>
      <c r="AB6" s="68">
        <v>17.82</v>
      </c>
      <c r="AC6" s="68">
        <v>20.9</v>
      </c>
      <c r="AD6" s="68">
        <v>19.2</v>
      </c>
      <c r="AE6" s="68">
        <v>22.8</v>
      </c>
      <c r="AF6" s="68">
        <v>18.43</v>
      </c>
    </row>
    <row r="7" spans="1:32" x14ac:dyDescent="0.25">
      <c r="A7" s="53">
        <v>10</v>
      </c>
      <c r="B7" s="54" t="s">
        <v>259</v>
      </c>
      <c r="C7" s="54" t="s">
        <v>260</v>
      </c>
      <c r="D7" s="54" t="s">
        <v>261</v>
      </c>
      <c r="E7" s="68">
        <v>21.1</v>
      </c>
      <c r="F7" s="54" t="s">
        <v>262</v>
      </c>
      <c r="G7" s="54">
        <v>19.899999999999999</v>
      </c>
      <c r="H7" s="54" t="s">
        <v>263</v>
      </c>
      <c r="I7" s="54" t="s">
        <v>53</v>
      </c>
      <c r="J7" s="54" t="s">
        <v>264</v>
      </c>
      <c r="K7" s="54" t="s">
        <v>265</v>
      </c>
      <c r="L7" s="54" t="s">
        <v>266</v>
      </c>
      <c r="M7" s="54" t="s">
        <v>267</v>
      </c>
      <c r="N7" s="54" t="s">
        <v>268</v>
      </c>
      <c r="O7" s="68" t="s">
        <v>269</v>
      </c>
      <c r="P7" s="54" t="s">
        <v>270</v>
      </c>
      <c r="Q7" s="54" t="s">
        <v>221</v>
      </c>
      <c r="R7" s="68" t="s">
        <v>26</v>
      </c>
      <c r="S7" s="54" t="s">
        <v>228</v>
      </c>
      <c r="T7" s="54" t="s">
        <v>271</v>
      </c>
      <c r="U7" s="54" t="s">
        <v>27</v>
      </c>
      <c r="V7" s="54" t="s">
        <v>59</v>
      </c>
      <c r="W7" s="68" t="s">
        <v>255</v>
      </c>
      <c r="X7" s="68" t="s">
        <v>272</v>
      </c>
      <c r="Y7" s="68" t="s">
        <v>273</v>
      </c>
      <c r="Z7" s="68" t="s">
        <v>274</v>
      </c>
      <c r="AA7" s="68">
        <v>20.5</v>
      </c>
      <c r="AB7" s="68" t="s">
        <v>275</v>
      </c>
      <c r="AC7" s="68" t="s">
        <v>276</v>
      </c>
      <c r="AD7" s="68" t="s">
        <v>277</v>
      </c>
      <c r="AE7" s="68">
        <v>25</v>
      </c>
      <c r="AF7" s="68" t="s">
        <v>278</v>
      </c>
    </row>
    <row r="8" spans="1:32" x14ac:dyDescent="0.25">
      <c r="A8" s="53">
        <v>12</v>
      </c>
      <c r="B8" s="54">
        <v>26.2</v>
      </c>
      <c r="C8" s="54">
        <v>22.3</v>
      </c>
      <c r="D8" s="54">
        <v>22.59</v>
      </c>
      <c r="E8" s="68">
        <v>22</v>
      </c>
      <c r="F8" s="54">
        <v>19.5</v>
      </c>
      <c r="G8" s="54">
        <v>22</v>
      </c>
      <c r="H8" s="54">
        <v>22.5</v>
      </c>
      <c r="I8" s="54">
        <v>19.2</v>
      </c>
      <c r="J8" s="54">
        <v>20</v>
      </c>
      <c r="K8" s="54">
        <v>25.8</v>
      </c>
      <c r="L8" s="54">
        <v>21.24</v>
      </c>
      <c r="M8" s="54">
        <v>24</v>
      </c>
      <c r="N8" s="54">
        <v>23.8</v>
      </c>
      <c r="O8" s="68">
        <v>18.100000000000001</v>
      </c>
      <c r="P8" s="54">
        <v>18.510000000000002</v>
      </c>
      <c r="Q8" s="54">
        <v>15.8</v>
      </c>
      <c r="R8" s="68">
        <v>14.1</v>
      </c>
      <c r="S8" s="54">
        <v>13.6</v>
      </c>
      <c r="T8" s="54">
        <v>14.22</v>
      </c>
      <c r="U8" s="54">
        <v>8.8000000000000007</v>
      </c>
      <c r="V8" s="54">
        <v>8.9</v>
      </c>
      <c r="W8" s="68">
        <v>11.6</v>
      </c>
      <c r="X8" s="68">
        <v>16.239999999999998</v>
      </c>
      <c r="Y8" s="68">
        <v>21.9</v>
      </c>
      <c r="Z8" s="68">
        <v>21.7</v>
      </c>
      <c r="AA8" s="68">
        <v>22.1</v>
      </c>
      <c r="AB8" s="68">
        <v>21.46</v>
      </c>
      <c r="AC8" s="68">
        <v>26.2</v>
      </c>
      <c r="AD8" s="68">
        <v>24.7</v>
      </c>
      <c r="AE8" s="68">
        <v>27</v>
      </c>
      <c r="AF8" s="68">
        <v>22.84</v>
      </c>
    </row>
    <row r="9" spans="1:32" x14ac:dyDescent="0.25">
      <c r="A9" s="53">
        <v>14</v>
      </c>
      <c r="B9" s="54">
        <v>24</v>
      </c>
      <c r="C9" s="54">
        <v>23.2</v>
      </c>
      <c r="D9" s="54">
        <v>23.02</v>
      </c>
      <c r="E9" s="68">
        <v>21.8</v>
      </c>
      <c r="F9" s="54">
        <v>20.3</v>
      </c>
      <c r="G9" s="54">
        <v>22.8</v>
      </c>
      <c r="H9" s="54">
        <v>21.7</v>
      </c>
      <c r="I9" s="54">
        <v>20.6</v>
      </c>
      <c r="J9" s="54">
        <v>21.4</v>
      </c>
      <c r="K9" s="54">
        <v>23.9</v>
      </c>
      <c r="L9" s="54">
        <v>21.52</v>
      </c>
      <c r="M9" s="54">
        <v>26.3</v>
      </c>
      <c r="N9" s="54">
        <v>22.3</v>
      </c>
      <c r="O9" s="68">
        <v>19.399999999999999</v>
      </c>
      <c r="P9" s="54">
        <v>20.85</v>
      </c>
      <c r="Q9" s="54">
        <v>13.9</v>
      </c>
      <c r="R9" s="68">
        <v>16.7</v>
      </c>
      <c r="S9" s="54">
        <v>15.1</v>
      </c>
      <c r="T9" s="54">
        <v>12.93</v>
      </c>
      <c r="U9" s="54">
        <v>9.4</v>
      </c>
      <c r="V9" s="54">
        <v>10.3</v>
      </c>
      <c r="W9" s="68">
        <v>13.3</v>
      </c>
      <c r="X9" s="68">
        <v>17.55</v>
      </c>
      <c r="Y9" s="68">
        <v>22.7</v>
      </c>
      <c r="Z9" s="68">
        <v>22.5</v>
      </c>
      <c r="AA9" s="68">
        <v>21.6</v>
      </c>
      <c r="AB9" s="68">
        <v>22.34</v>
      </c>
      <c r="AC9" s="68">
        <v>26.2</v>
      </c>
      <c r="AD9" s="68">
        <v>25.6</v>
      </c>
      <c r="AE9" s="68">
        <v>27.5</v>
      </c>
      <c r="AF9" s="68">
        <v>22.91</v>
      </c>
    </row>
    <row r="10" spans="1:32" x14ac:dyDescent="0.25">
      <c r="A10" s="53">
        <v>16</v>
      </c>
      <c r="B10" s="54">
        <v>24.9</v>
      </c>
      <c r="C10" s="54">
        <v>24.1</v>
      </c>
      <c r="D10" s="54">
        <v>22.91</v>
      </c>
      <c r="E10" s="68">
        <v>23.1</v>
      </c>
      <c r="F10" s="54">
        <v>20.5</v>
      </c>
      <c r="G10" s="54">
        <v>24.3</v>
      </c>
      <c r="H10" s="54">
        <v>21.2</v>
      </c>
      <c r="I10" s="54">
        <v>21.6</v>
      </c>
      <c r="J10" s="54">
        <v>23.6</v>
      </c>
      <c r="K10" s="54">
        <v>26.3</v>
      </c>
      <c r="L10" s="54">
        <v>21.68</v>
      </c>
      <c r="M10" s="54">
        <v>22</v>
      </c>
      <c r="N10" s="54">
        <v>23.8</v>
      </c>
      <c r="O10" s="68">
        <v>18.399999999999999</v>
      </c>
      <c r="P10" s="54">
        <v>20.75</v>
      </c>
      <c r="Q10" s="54">
        <v>14</v>
      </c>
      <c r="R10" s="68">
        <v>15.2</v>
      </c>
      <c r="S10" s="54">
        <v>16.7</v>
      </c>
      <c r="T10" s="54">
        <v>14.11</v>
      </c>
      <c r="U10" s="54">
        <v>8.8000000000000007</v>
      </c>
      <c r="V10" s="54">
        <v>11.3</v>
      </c>
      <c r="W10" s="68">
        <v>13.6</v>
      </c>
      <c r="X10" s="68">
        <v>18.61</v>
      </c>
      <c r="Y10" s="68">
        <v>22.4</v>
      </c>
      <c r="Z10" s="68">
        <v>23</v>
      </c>
      <c r="AA10" s="68">
        <v>22.6</v>
      </c>
      <c r="AB10" s="68">
        <v>23.89</v>
      </c>
      <c r="AC10" s="68">
        <v>26.7</v>
      </c>
      <c r="AD10" s="68">
        <v>26.6</v>
      </c>
      <c r="AE10" s="68">
        <v>26.5</v>
      </c>
      <c r="AF10" s="68">
        <v>23.03</v>
      </c>
    </row>
    <row r="11" spans="1:32" x14ac:dyDescent="0.25">
      <c r="A11" s="53">
        <v>18</v>
      </c>
      <c r="B11" s="54">
        <v>26.8</v>
      </c>
      <c r="C11" s="54">
        <v>23.4</v>
      </c>
      <c r="D11" s="54">
        <v>18.27</v>
      </c>
      <c r="E11" s="68">
        <v>23.6</v>
      </c>
      <c r="F11" s="54">
        <v>22.5</v>
      </c>
      <c r="G11" s="54">
        <v>25.8</v>
      </c>
      <c r="H11" s="54">
        <v>20.3</v>
      </c>
      <c r="I11" s="54">
        <v>21</v>
      </c>
      <c r="J11" s="54">
        <v>22.4</v>
      </c>
      <c r="K11" s="54">
        <v>25.9</v>
      </c>
      <c r="L11" s="54">
        <v>18.489999999999998</v>
      </c>
      <c r="M11" s="54">
        <v>20.98</v>
      </c>
      <c r="N11" s="54">
        <v>22.7</v>
      </c>
      <c r="O11" s="68">
        <v>18.5</v>
      </c>
      <c r="P11" s="54">
        <v>19.88</v>
      </c>
      <c r="Q11" s="54">
        <v>15.8</v>
      </c>
      <c r="R11" s="68">
        <v>16.8</v>
      </c>
      <c r="S11" s="54">
        <v>16.600000000000001</v>
      </c>
      <c r="T11" s="54">
        <v>13.27</v>
      </c>
      <c r="U11" s="54">
        <v>7.95</v>
      </c>
      <c r="V11" s="54">
        <v>10.1</v>
      </c>
      <c r="W11" s="68">
        <v>13.9</v>
      </c>
      <c r="X11" s="68">
        <v>18.27</v>
      </c>
      <c r="Y11" s="68">
        <v>22</v>
      </c>
      <c r="Z11" s="68">
        <v>22.9</v>
      </c>
      <c r="AA11" s="68">
        <v>22</v>
      </c>
      <c r="AB11" s="68">
        <v>20.73</v>
      </c>
      <c r="AC11" s="68">
        <v>26.5</v>
      </c>
      <c r="AD11" s="68">
        <v>24.8</v>
      </c>
      <c r="AE11" s="68">
        <v>25.4</v>
      </c>
      <c r="AF11" s="68">
        <v>22.99</v>
      </c>
    </row>
    <row r="12" spans="1:32" x14ac:dyDescent="0.25">
      <c r="A12" s="53">
        <v>20</v>
      </c>
      <c r="B12" s="54">
        <v>24.7</v>
      </c>
      <c r="C12" s="54">
        <v>21.58</v>
      </c>
      <c r="D12" s="54">
        <v>18.14</v>
      </c>
      <c r="E12" s="68">
        <v>22.8</v>
      </c>
      <c r="F12" s="54">
        <v>21.6</v>
      </c>
      <c r="G12" s="54">
        <v>24.8</v>
      </c>
      <c r="H12" s="54">
        <v>15.3</v>
      </c>
      <c r="I12" s="54">
        <v>18.7</v>
      </c>
      <c r="J12" s="54">
        <v>20.8</v>
      </c>
      <c r="K12" s="54">
        <v>19</v>
      </c>
      <c r="L12" s="54">
        <v>18.600000000000001</v>
      </c>
      <c r="M12" s="54">
        <v>20.25</v>
      </c>
      <c r="N12" s="54">
        <v>20.2</v>
      </c>
      <c r="O12" s="68">
        <v>18.2</v>
      </c>
      <c r="P12" s="54">
        <v>16.3</v>
      </c>
      <c r="Q12" s="54">
        <v>13.72</v>
      </c>
      <c r="R12" s="68">
        <v>13.5</v>
      </c>
      <c r="S12" s="54">
        <v>13.8</v>
      </c>
      <c r="T12" s="54">
        <v>11</v>
      </c>
      <c r="U12" s="54">
        <v>8.9</v>
      </c>
      <c r="V12" s="54">
        <v>8.27</v>
      </c>
      <c r="W12" s="68">
        <v>13.2</v>
      </c>
      <c r="X12" s="68">
        <v>17.399999999999999</v>
      </c>
      <c r="Y12" s="68">
        <v>20.11</v>
      </c>
      <c r="Z12" s="68">
        <v>19.95</v>
      </c>
      <c r="AA12" s="68">
        <v>20.78</v>
      </c>
      <c r="AB12" s="68">
        <v>20.05</v>
      </c>
      <c r="AC12" s="68">
        <v>25.1</v>
      </c>
      <c r="AD12" s="68">
        <v>22.3</v>
      </c>
      <c r="AE12" s="68">
        <v>23</v>
      </c>
      <c r="AF12" s="68">
        <v>21.03</v>
      </c>
    </row>
    <row r="13" spans="1:32" x14ac:dyDescent="0.25">
      <c r="A13" s="53">
        <v>22</v>
      </c>
      <c r="B13" s="54">
        <v>21</v>
      </c>
      <c r="C13" s="54">
        <v>18.5</v>
      </c>
      <c r="D13" s="54">
        <v>18</v>
      </c>
      <c r="E13" s="68">
        <v>19.5</v>
      </c>
      <c r="F13" s="54">
        <v>20.399999999999999</v>
      </c>
      <c r="G13" s="54">
        <v>21.7</v>
      </c>
      <c r="H13" s="54">
        <v>14.8</v>
      </c>
      <c r="I13" s="54">
        <v>16.98</v>
      </c>
      <c r="J13" s="54">
        <v>17.5</v>
      </c>
      <c r="K13" s="54">
        <v>18.5</v>
      </c>
      <c r="L13" s="54">
        <v>17.899999999999999</v>
      </c>
      <c r="M13" s="54">
        <v>19.39</v>
      </c>
      <c r="N13" s="54">
        <v>18.399999999999999</v>
      </c>
      <c r="O13" s="68">
        <v>15.3</v>
      </c>
      <c r="P13" s="54">
        <v>15.43</v>
      </c>
      <c r="Q13" s="54">
        <v>13.57</v>
      </c>
      <c r="R13" s="68">
        <v>12.9</v>
      </c>
      <c r="S13" s="54">
        <v>11.8</v>
      </c>
      <c r="T13" s="54">
        <v>10.6</v>
      </c>
      <c r="U13" s="54">
        <v>8.41</v>
      </c>
      <c r="V13" s="54">
        <v>8.3000000000000007</v>
      </c>
      <c r="W13" s="68">
        <v>9.1999999999999993</v>
      </c>
      <c r="X13" s="68">
        <v>14.1</v>
      </c>
      <c r="Y13" s="68">
        <v>19.22</v>
      </c>
      <c r="Z13" s="68">
        <v>17.3</v>
      </c>
      <c r="AA13" s="68">
        <v>18.5</v>
      </c>
      <c r="AB13" s="68">
        <v>19.3</v>
      </c>
      <c r="AC13" s="68">
        <v>22.34</v>
      </c>
      <c r="AD13" s="68">
        <v>20.399999999999999</v>
      </c>
      <c r="AE13" s="68">
        <v>19.899999999999999</v>
      </c>
      <c r="AF13" s="68">
        <v>17.100000000000001</v>
      </c>
    </row>
    <row r="14" spans="1:32" x14ac:dyDescent="0.25">
      <c r="A14" s="53">
        <v>24</v>
      </c>
      <c r="B14" s="54">
        <v>18.5</v>
      </c>
      <c r="C14" s="54">
        <v>16</v>
      </c>
      <c r="D14" s="54">
        <v>17.3</v>
      </c>
      <c r="E14" s="68">
        <v>19.2</v>
      </c>
      <c r="F14" s="54">
        <v>18.399999999999999</v>
      </c>
      <c r="G14" s="54">
        <v>20.2</v>
      </c>
      <c r="H14" s="54">
        <v>14.7</v>
      </c>
      <c r="I14" s="54">
        <v>16.72</v>
      </c>
      <c r="J14" s="54">
        <v>16.8</v>
      </c>
      <c r="K14" s="54">
        <v>17.8</v>
      </c>
      <c r="L14" s="54">
        <v>17.5</v>
      </c>
      <c r="M14" s="54">
        <v>17.95</v>
      </c>
      <c r="N14" s="54">
        <v>16.3</v>
      </c>
      <c r="O14" s="68">
        <v>14.5</v>
      </c>
      <c r="P14" s="54">
        <v>15.2</v>
      </c>
      <c r="Q14" s="54">
        <v>12.5</v>
      </c>
      <c r="R14" s="68">
        <v>12.5</v>
      </c>
      <c r="S14" s="54">
        <v>12</v>
      </c>
      <c r="T14" s="54">
        <v>9.6999999999999993</v>
      </c>
      <c r="U14" s="54">
        <v>7.56</v>
      </c>
      <c r="V14" s="54">
        <v>8.1999999999999993</v>
      </c>
      <c r="W14" s="68">
        <v>8</v>
      </c>
      <c r="X14" s="68">
        <v>12.7</v>
      </c>
      <c r="Y14" s="68">
        <v>18.2</v>
      </c>
      <c r="Z14" s="68">
        <v>15.4</v>
      </c>
      <c r="AA14" s="68">
        <v>18.7</v>
      </c>
      <c r="AB14" s="68">
        <v>19.2</v>
      </c>
      <c r="AC14" s="68">
        <v>21.27</v>
      </c>
      <c r="AD14" s="68">
        <v>20.100000000000001</v>
      </c>
      <c r="AE14" s="68">
        <v>17.399999999999999</v>
      </c>
      <c r="AF14" s="68">
        <v>16.8</v>
      </c>
    </row>
    <row r="15" spans="1:32" x14ac:dyDescent="0.25">
      <c r="A15" s="53">
        <v>2</v>
      </c>
      <c r="B15" s="54">
        <v>16.2</v>
      </c>
      <c r="C15" s="54">
        <v>15.8</v>
      </c>
      <c r="D15" s="54">
        <v>17.2</v>
      </c>
      <c r="E15" s="68">
        <v>18.600000000000001</v>
      </c>
      <c r="F15" s="54">
        <v>17.600000000000001</v>
      </c>
      <c r="G15" s="54">
        <v>19</v>
      </c>
      <c r="H15" s="54">
        <v>13.7</v>
      </c>
      <c r="I15" s="54">
        <v>14.8</v>
      </c>
      <c r="J15" s="54">
        <v>14.8</v>
      </c>
      <c r="K15" s="54">
        <v>16.3</v>
      </c>
      <c r="L15" s="54">
        <v>17.2</v>
      </c>
      <c r="M15" s="54">
        <v>16.5</v>
      </c>
      <c r="N15" s="54">
        <v>14.4</v>
      </c>
      <c r="O15" s="68">
        <v>13.18</v>
      </c>
      <c r="P15" s="54">
        <v>14.5</v>
      </c>
      <c r="Q15" s="54">
        <v>11.3</v>
      </c>
      <c r="R15" s="68">
        <v>12.32</v>
      </c>
      <c r="S15" s="54">
        <v>9.67</v>
      </c>
      <c r="T15" s="54">
        <v>9.5</v>
      </c>
      <c r="U15" s="54">
        <v>6.39</v>
      </c>
      <c r="V15" s="54">
        <v>8.1</v>
      </c>
      <c r="W15" s="68">
        <v>7.86</v>
      </c>
      <c r="X15" s="68">
        <v>11.85</v>
      </c>
      <c r="Y15" s="68">
        <v>17.3</v>
      </c>
      <c r="Z15" s="68">
        <v>13.68</v>
      </c>
      <c r="AA15" s="68">
        <v>17.489999999999998</v>
      </c>
      <c r="AB15" s="68">
        <v>18.600000000000001</v>
      </c>
      <c r="AC15" s="68">
        <v>19.88</v>
      </c>
      <c r="AD15" s="68">
        <v>19.55</v>
      </c>
      <c r="AE15" s="68">
        <v>14.73</v>
      </c>
      <c r="AF15" s="68">
        <v>14.23</v>
      </c>
    </row>
    <row r="16" spans="1:32" ht="28.5" x14ac:dyDescent="0.25">
      <c r="A16" s="55" t="s">
        <v>2</v>
      </c>
      <c r="B16" s="56">
        <f>AVERAGE(B4+B5+B6+B7+B8+B9+B10+B11+B12+B13+B14+B15)/12</f>
        <v>23.602499999999996</v>
      </c>
      <c r="C16" s="56">
        <f t="shared" ref="C16:AE16" si="0">AVERAGE(C4+C5+C6+C7+C8+C9+C10+C11+C12+C13+C14+C15)/12</f>
        <v>19.681666666666668</v>
      </c>
      <c r="D16" s="56">
        <f t="shared" si="0"/>
        <v>19.249166666666667</v>
      </c>
      <c r="E16" s="56">
        <f t="shared" si="0"/>
        <v>20.5</v>
      </c>
      <c r="F16" s="56">
        <f t="shared" si="0"/>
        <v>19.814166666666665</v>
      </c>
      <c r="G16" s="56">
        <f t="shared" si="0"/>
        <v>21.349999999999998</v>
      </c>
      <c r="H16" s="56">
        <f t="shared" si="0"/>
        <v>18.983333333333334</v>
      </c>
      <c r="I16" s="56">
        <f t="shared" si="0"/>
        <v>17.324999999999999</v>
      </c>
      <c r="J16" s="56">
        <f t="shared" si="0"/>
        <v>19.025000000000002</v>
      </c>
      <c r="K16" s="56">
        <f t="shared" si="0"/>
        <v>21.250000000000004</v>
      </c>
      <c r="L16" s="56">
        <f t="shared" si="0"/>
        <v>18.691666666666666</v>
      </c>
      <c r="M16" s="56">
        <f t="shared" si="0"/>
        <v>19.972499999999997</v>
      </c>
      <c r="N16" s="56">
        <f t="shared" si="0"/>
        <v>20.227499999999999</v>
      </c>
      <c r="O16" s="56">
        <f t="shared" si="0"/>
        <v>16.256666666666668</v>
      </c>
      <c r="P16" s="56">
        <f t="shared" si="0"/>
        <v>17.145</v>
      </c>
      <c r="Q16" s="56">
        <f t="shared" si="0"/>
        <v>14.215833333333334</v>
      </c>
      <c r="R16" s="56">
        <f t="shared" si="0"/>
        <v>13.616666666666667</v>
      </c>
      <c r="S16" s="56">
        <f t="shared" si="0"/>
        <v>13.172499999999999</v>
      </c>
      <c r="T16" s="56">
        <f t="shared" si="0"/>
        <v>11.794166666666664</v>
      </c>
      <c r="U16" s="56">
        <f t="shared" si="0"/>
        <v>8.5758333333333336</v>
      </c>
      <c r="V16" s="56">
        <f t="shared" si="0"/>
        <v>8.5516666666666641</v>
      </c>
      <c r="W16" s="56">
        <f t="shared" si="0"/>
        <v>10.496666666666668</v>
      </c>
      <c r="X16" s="56">
        <f t="shared" si="0"/>
        <v>14.58333333333333</v>
      </c>
      <c r="Y16" s="56">
        <f t="shared" si="0"/>
        <v>19.227499999999999</v>
      </c>
      <c r="Z16" s="56">
        <f t="shared" si="0"/>
        <v>19.088333333333335</v>
      </c>
      <c r="AA16" s="56">
        <f t="shared" si="0"/>
        <v>19.455833333333334</v>
      </c>
      <c r="AB16" s="56">
        <f t="shared" si="0"/>
        <v>19.691666666666666</v>
      </c>
      <c r="AC16" s="56">
        <f t="shared" si="0"/>
        <v>23.165833333333328</v>
      </c>
      <c r="AD16" s="56">
        <f t="shared" si="0"/>
        <v>21.827500000000001</v>
      </c>
      <c r="AE16" s="56">
        <f t="shared" si="0"/>
        <v>22.385833333333334</v>
      </c>
      <c r="AF16" s="56">
        <f t="shared" ref="AF16" si="1">AVERAGE(AF4+AF5+AF6+AF7+AF8+AF9+AF10+AF11+AF12+AF13+AF14+AF15)/12</f>
        <v>19.050833333333333</v>
      </c>
    </row>
    <row r="21" spans="1:32" x14ac:dyDescent="0.25">
      <c r="A21" s="69" t="s">
        <v>7</v>
      </c>
      <c r="B21" s="140" t="s">
        <v>1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spans="1:32" x14ac:dyDescent="0.25">
      <c r="A22" s="143" t="s">
        <v>0</v>
      </c>
      <c r="B22" s="143" t="s">
        <v>61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</row>
    <row r="23" spans="1:32" x14ac:dyDescent="0.25">
      <c r="A23" s="143"/>
      <c r="B23" s="69">
        <v>1</v>
      </c>
      <c r="C23" s="69">
        <v>2</v>
      </c>
      <c r="D23" s="69">
        <v>3</v>
      </c>
      <c r="E23" s="69">
        <v>4</v>
      </c>
      <c r="F23" s="69">
        <v>5</v>
      </c>
      <c r="G23" s="69">
        <v>6</v>
      </c>
      <c r="H23" s="69">
        <v>7</v>
      </c>
      <c r="I23" s="69">
        <v>8</v>
      </c>
      <c r="J23" s="69">
        <v>9</v>
      </c>
      <c r="K23" s="69">
        <v>10</v>
      </c>
      <c r="L23" s="69">
        <v>11</v>
      </c>
      <c r="M23" s="69">
        <v>12</v>
      </c>
      <c r="N23" s="69">
        <v>13</v>
      </c>
      <c r="O23" s="69">
        <v>14</v>
      </c>
      <c r="P23" s="69">
        <v>15</v>
      </c>
      <c r="Q23" s="69">
        <v>16</v>
      </c>
      <c r="R23" s="69">
        <v>17</v>
      </c>
      <c r="S23" s="69">
        <v>18</v>
      </c>
      <c r="T23" s="69">
        <v>19</v>
      </c>
      <c r="U23" s="69">
        <v>20</v>
      </c>
      <c r="V23" s="69">
        <v>21</v>
      </c>
      <c r="W23" s="69">
        <v>22</v>
      </c>
      <c r="X23" s="69">
        <v>23</v>
      </c>
      <c r="Y23" s="69">
        <v>24</v>
      </c>
      <c r="Z23" s="69">
        <v>25</v>
      </c>
      <c r="AA23" s="69">
        <v>26</v>
      </c>
      <c r="AB23" s="69">
        <v>27</v>
      </c>
      <c r="AC23" s="69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68">
        <v>19.8</v>
      </c>
      <c r="C24" s="68">
        <v>15.9</v>
      </c>
      <c r="D24" s="54">
        <v>15.3</v>
      </c>
      <c r="E24" s="68">
        <v>16.600000000000001</v>
      </c>
      <c r="F24" s="54">
        <v>18.899999999999999</v>
      </c>
      <c r="G24" s="54">
        <v>16.5</v>
      </c>
      <c r="H24" s="54">
        <v>17.7</v>
      </c>
      <c r="I24" s="54">
        <v>13.6</v>
      </c>
      <c r="J24" s="54">
        <v>15.2</v>
      </c>
      <c r="K24" s="54">
        <v>15.9</v>
      </c>
      <c r="L24" s="54">
        <v>16.8</v>
      </c>
      <c r="M24" s="54">
        <v>17.3</v>
      </c>
      <c r="N24" s="54">
        <v>16.100000000000001</v>
      </c>
      <c r="O24" s="54">
        <v>12</v>
      </c>
      <c r="P24" s="54">
        <v>12</v>
      </c>
      <c r="Q24" s="54">
        <v>15.3</v>
      </c>
      <c r="R24" s="68">
        <v>12</v>
      </c>
      <c r="S24" s="54">
        <v>12.2</v>
      </c>
      <c r="T24" s="54">
        <v>8.6999999999999993</v>
      </c>
      <c r="U24" s="54">
        <v>8.9</v>
      </c>
      <c r="V24" s="54">
        <v>5.3</v>
      </c>
      <c r="W24" s="68">
        <v>6.4</v>
      </c>
      <c r="X24" s="68">
        <v>7</v>
      </c>
      <c r="Y24" s="68">
        <v>13</v>
      </c>
      <c r="Z24" s="68">
        <v>16</v>
      </c>
      <c r="AA24" s="68">
        <v>13.8</v>
      </c>
      <c r="AB24" s="68">
        <v>16.600000000000001</v>
      </c>
      <c r="AC24" s="68">
        <v>18.2</v>
      </c>
      <c r="AD24" s="68">
        <v>17.5</v>
      </c>
      <c r="AE24" s="68">
        <v>19.100000000000001</v>
      </c>
      <c r="AF24" s="68">
        <v>14.1</v>
      </c>
    </row>
    <row r="25" spans="1:32" x14ac:dyDescent="0.25">
      <c r="A25" s="53">
        <v>6</v>
      </c>
      <c r="B25" s="68">
        <v>22.3</v>
      </c>
      <c r="C25" s="68">
        <v>17.100000000000001</v>
      </c>
      <c r="D25" s="54">
        <v>17.5</v>
      </c>
      <c r="E25" s="68">
        <v>17.2</v>
      </c>
      <c r="F25" s="54">
        <v>19.600000000000001</v>
      </c>
      <c r="G25" s="54">
        <v>18.5</v>
      </c>
      <c r="H25" s="54">
        <v>20.8</v>
      </c>
      <c r="I25" s="54">
        <v>13</v>
      </c>
      <c r="J25" s="54">
        <v>16.7</v>
      </c>
      <c r="K25" s="54">
        <v>15.9</v>
      </c>
      <c r="L25" s="54">
        <v>17.399999999999999</v>
      </c>
      <c r="M25" s="54">
        <v>18</v>
      </c>
      <c r="N25" s="54">
        <v>18.8</v>
      </c>
      <c r="O25" s="54">
        <v>14</v>
      </c>
      <c r="P25" s="54">
        <v>13</v>
      </c>
      <c r="Q25" s="54">
        <v>15.5</v>
      </c>
      <c r="R25" s="68">
        <v>13.9</v>
      </c>
      <c r="S25" s="54">
        <v>12.6</v>
      </c>
      <c r="T25" s="54">
        <v>10.199999999999999</v>
      </c>
      <c r="U25" s="54">
        <v>9</v>
      </c>
      <c r="V25" s="54">
        <v>6.2</v>
      </c>
      <c r="W25" s="68">
        <v>7.2</v>
      </c>
      <c r="X25" s="68">
        <v>9</v>
      </c>
      <c r="Y25" s="68">
        <v>14</v>
      </c>
      <c r="Z25" s="68">
        <v>18</v>
      </c>
      <c r="AA25" s="68">
        <v>15.9</v>
      </c>
      <c r="AB25" s="68">
        <v>17</v>
      </c>
      <c r="AC25" s="68">
        <v>19.3</v>
      </c>
      <c r="AD25" s="68">
        <v>18.600000000000001</v>
      </c>
      <c r="AE25" s="68">
        <v>20.8</v>
      </c>
      <c r="AF25" s="68">
        <v>16.3</v>
      </c>
    </row>
    <row r="26" spans="1:32" x14ac:dyDescent="0.25">
      <c r="A26" s="53">
        <v>8</v>
      </c>
      <c r="B26" s="68">
        <v>26.6</v>
      </c>
      <c r="C26" s="68">
        <v>19.2</v>
      </c>
      <c r="D26" s="54">
        <v>20.3</v>
      </c>
      <c r="E26" s="68">
        <v>18.2</v>
      </c>
      <c r="F26" s="54">
        <v>20.6</v>
      </c>
      <c r="G26" s="54">
        <v>18.600000000000001</v>
      </c>
      <c r="H26" s="54">
        <v>19.7</v>
      </c>
      <c r="I26" s="54">
        <v>14</v>
      </c>
      <c r="J26" s="54">
        <v>18.5</v>
      </c>
      <c r="K26" s="54">
        <v>19.399999999999999</v>
      </c>
      <c r="L26" s="54">
        <v>20.100000000000001</v>
      </c>
      <c r="M26" s="54">
        <v>19.3</v>
      </c>
      <c r="N26" s="54">
        <v>22.5</v>
      </c>
      <c r="O26" s="54">
        <v>14</v>
      </c>
      <c r="P26" s="54">
        <v>16</v>
      </c>
      <c r="Q26" s="54">
        <v>16.8</v>
      </c>
      <c r="R26" s="68">
        <v>15.4</v>
      </c>
      <c r="S26" s="54">
        <v>13.4</v>
      </c>
      <c r="T26" s="54">
        <v>12.5</v>
      </c>
      <c r="U26" s="54">
        <v>9.1999999999999993</v>
      </c>
      <c r="V26" s="54">
        <v>8</v>
      </c>
      <c r="W26" s="68">
        <v>8.5</v>
      </c>
      <c r="X26" s="68">
        <v>12</v>
      </c>
      <c r="Y26" s="68">
        <v>17</v>
      </c>
      <c r="Z26" s="68">
        <v>18</v>
      </c>
      <c r="AA26" s="68">
        <v>20</v>
      </c>
      <c r="AB26" s="68">
        <v>18</v>
      </c>
      <c r="AC26" s="68">
        <v>21</v>
      </c>
      <c r="AD26" s="68">
        <v>21.2</v>
      </c>
      <c r="AE26" s="68">
        <v>22.9</v>
      </c>
      <c r="AF26" s="68">
        <v>18.899999999999999</v>
      </c>
    </row>
    <row r="27" spans="1:32" x14ac:dyDescent="0.25">
      <c r="A27" s="53">
        <v>10</v>
      </c>
      <c r="B27" s="68">
        <v>30.1</v>
      </c>
      <c r="C27" s="68">
        <v>21</v>
      </c>
      <c r="D27" s="54">
        <v>21</v>
      </c>
      <c r="E27" s="68">
        <v>18.600000000000001</v>
      </c>
      <c r="F27" s="54">
        <v>19</v>
      </c>
      <c r="G27" s="54">
        <v>22.1</v>
      </c>
      <c r="H27" s="54">
        <v>22.8</v>
      </c>
      <c r="I27" s="54">
        <v>6</v>
      </c>
      <c r="J27" s="54">
        <v>18.5</v>
      </c>
      <c r="K27" s="54">
        <v>25.6</v>
      </c>
      <c r="L27" s="54">
        <v>21.4</v>
      </c>
      <c r="M27" s="54">
        <v>21.7</v>
      </c>
      <c r="N27" s="54">
        <v>24</v>
      </c>
      <c r="O27" s="54">
        <v>15</v>
      </c>
      <c r="P27" s="54">
        <v>18</v>
      </c>
      <c r="Q27" s="54">
        <v>18.399999999999999</v>
      </c>
      <c r="R27" s="68">
        <v>13.7</v>
      </c>
      <c r="S27" s="54">
        <v>12.5</v>
      </c>
      <c r="T27" s="54">
        <v>15.1</v>
      </c>
      <c r="U27" s="54">
        <v>10.3</v>
      </c>
      <c r="V27" s="54">
        <v>8.9</v>
      </c>
      <c r="W27" s="68">
        <v>11.3</v>
      </c>
      <c r="X27" s="68">
        <v>15</v>
      </c>
      <c r="Y27" s="68">
        <v>20</v>
      </c>
      <c r="Z27" s="68">
        <v>19</v>
      </c>
      <c r="AA27" s="68">
        <v>21.3</v>
      </c>
      <c r="AB27" s="68">
        <v>17.600000000000001</v>
      </c>
      <c r="AC27" s="68">
        <v>23.9</v>
      </c>
      <c r="AD27" s="68">
        <v>22.8</v>
      </c>
      <c r="AE27" s="68">
        <v>26</v>
      </c>
      <c r="AF27" s="68">
        <v>20.8</v>
      </c>
    </row>
    <row r="28" spans="1:32" x14ac:dyDescent="0.25">
      <c r="A28" s="53">
        <v>12</v>
      </c>
      <c r="B28" s="68">
        <v>20.399999999999999</v>
      </c>
      <c r="C28" s="68">
        <v>23.5</v>
      </c>
      <c r="D28" s="54">
        <v>22.8</v>
      </c>
      <c r="E28" s="68">
        <v>21.5</v>
      </c>
      <c r="F28" s="54">
        <v>20</v>
      </c>
      <c r="G28" s="54">
        <v>24.2</v>
      </c>
      <c r="H28" s="54">
        <v>23.7</v>
      </c>
      <c r="I28" s="54">
        <v>18.100000000000001</v>
      </c>
      <c r="J28" s="54">
        <v>20.100000000000001</v>
      </c>
      <c r="K28" s="54">
        <v>26.7</v>
      </c>
      <c r="L28" s="54">
        <v>23.7</v>
      </c>
      <c r="M28" s="54">
        <v>24.6</v>
      </c>
      <c r="N28" s="54">
        <v>24.2</v>
      </c>
      <c r="O28" s="54">
        <v>14</v>
      </c>
      <c r="P28" s="54">
        <v>20</v>
      </c>
      <c r="Q28" s="54">
        <v>19</v>
      </c>
      <c r="R28" s="68">
        <v>13.5</v>
      </c>
      <c r="S28" s="54">
        <v>15.1</v>
      </c>
      <c r="T28" s="54">
        <v>14.5</v>
      </c>
      <c r="U28" s="54">
        <v>9.8000000000000007</v>
      </c>
      <c r="V28" s="54">
        <v>10.1</v>
      </c>
      <c r="W28" s="68">
        <v>11.9</v>
      </c>
      <c r="X28" s="68">
        <v>17</v>
      </c>
      <c r="Y28" s="68">
        <v>22</v>
      </c>
      <c r="Z28" s="68">
        <v>21</v>
      </c>
      <c r="AA28" s="68">
        <v>22.1</v>
      </c>
      <c r="AB28" s="68">
        <v>21.4</v>
      </c>
      <c r="AC28" s="68">
        <v>26.7</v>
      </c>
      <c r="AD28" s="68">
        <v>26.4</v>
      </c>
      <c r="AE28" s="68">
        <v>28.2</v>
      </c>
      <c r="AF28" s="68">
        <v>22.8</v>
      </c>
    </row>
    <row r="29" spans="1:32" x14ac:dyDescent="0.25">
      <c r="A29" s="53">
        <v>14</v>
      </c>
      <c r="B29" s="68">
        <v>22.6</v>
      </c>
      <c r="C29" s="68">
        <v>24.1</v>
      </c>
      <c r="D29" s="54">
        <v>23.6</v>
      </c>
      <c r="E29" s="68">
        <v>23.4</v>
      </c>
      <c r="F29" s="54">
        <v>19.899999999999999</v>
      </c>
      <c r="G29" s="54">
        <v>24.5</v>
      </c>
      <c r="H29" s="54">
        <v>26.4</v>
      </c>
      <c r="I29" s="54">
        <v>20.2</v>
      </c>
      <c r="J29" s="54">
        <v>21.5</v>
      </c>
      <c r="K29" s="54">
        <v>27.7</v>
      </c>
      <c r="L29" s="54">
        <v>23.3</v>
      </c>
      <c r="M29" s="54">
        <v>25.1</v>
      </c>
      <c r="N29" s="54">
        <v>21</v>
      </c>
      <c r="O29" s="54">
        <v>15</v>
      </c>
      <c r="P29" s="54">
        <v>20</v>
      </c>
      <c r="Q29" s="54">
        <v>17.600000000000001</v>
      </c>
      <c r="R29" s="68">
        <v>15.5</v>
      </c>
      <c r="S29" s="54">
        <v>15</v>
      </c>
      <c r="T29" s="54">
        <v>15.4</v>
      </c>
      <c r="U29" s="54">
        <v>9.4</v>
      </c>
      <c r="V29" s="54">
        <v>10.3</v>
      </c>
      <c r="W29" s="68">
        <v>12.6</v>
      </c>
      <c r="X29" s="68">
        <v>17</v>
      </c>
      <c r="Y29" s="68">
        <v>23</v>
      </c>
      <c r="Z29" s="68">
        <v>23</v>
      </c>
      <c r="AA29" s="68">
        <v>22.7</v>
      </c>
      <c r="AB29" s="68">
        <v>23.8</v>
      </c>
      <c r="AC29" s="68">
        <v>26.5</v>
      </c>
      <c r="AD29" s="68">
        <v>29.2</v>
      </c>
      <c r="AE29" s="68">
        <v>28.3</v>
      </c>
      <c r="AF29" s="68">
        <v>24.1</v>
      </c>
    </row>
    <row r="30" spans="1:32" x14ac:dyDescent="0.25">
      <c r="A30" s="53">
        <v>16</v>
      </c>
      <c r="B30" s="68">
        <v>27.3</v>
      </c>
      <c r="C30" s="68">
        <v>24.6</v>
      </c>
      <c r="D30" s="54">
        <v>22.5</v>
      </c>
      <c r="E30" s="68">
        <v>26.8</v>
      </c>
      <c r="F30" s="54">
        <v>20.6</v>
      </c>
      <c r="G30" s="54">
        <v>27.2</v>
      </c>
      <c r="H30" s="54">
        <v>20.399999999999999</v>
      </c>
      <c r="I30" s="54">
        <v>22.5</v>
      </c>
      <c r="J30" s="54">
        <v>21.1</v>
      </c>
      <c r="K30" s="54">
        <v>27</v>
      </c>
      <c r="L30" s="54">
        <v>18.3</v>
      </c>
      <c r="M30" s="54">
        <v>23.9</v>
      </c>
      <c r="N30" s="54">
        <v>21.4</v>
      </c>
      <c r="O30" s="54">
        <v>15</v>
      </c>
      <c r="P30" s="54">
        <v>20</v>
      </c>
      <c r="Q30" s="54">
        <v>13.9</v>
      </c>
      <c r="R30" s="68">
        <v>15.3</v>
      </c>
      <c r="S30" s="54">
        <v>15.7</v>
      </c>
      <c r="T30" s="54">
        <v>12.7</v>
      </c>
      <c r="U30" s="54">
        <v>9.6999999999999993</v>
      </c>
      <c r="V30" s="54">
        <v>10.5</v>
      </c>
      <c r="W30" s="68">
        <v>14</v>
      </c>
      <c r="X30" s="68">
        <v>18</v>
      </c>
      <c r="Y30" s="68">
        <v>23</v>
      </c>
      <c r="Z30" s="68">
        <v>24</v>
      </c>
      <c r="AA30" s="68">
        <v>23</v>
      </c>
      <c r="AB30" s="68">
        <v>24.3</v>
      </c>
      <c r="AC30" s="68">
        <v>26.1</v>
      </c>
      <c r="AD30" s="68">
        <v>27</v>
      </c>
      <c r="AE30" s="68">
        <v>27.3</v>
      </c>
      <c r="AF30" s="68">
        <v>24.3</v>
      </c>
    </row>
    <row r="31" spans="1:32" x14ac:dyDescent="0.25">
      <c r="A31" s="53">
        <v>18</v>
      </c>
      <c r="B31" s="68">
        <v>27.1</v>
      </c>
      <c r="C31" s="68">
        <v>23.3</v>
      </c>
      <c r="D31" s="54">
        <v>22.1</v>
      </c>
      <c r="E31" s="68">
        <v>26.2</v>
      </c>
      <c r="F31" s="54">
        <v>22.3</v>
      </c>
      <c r="G31" s="54">
        <v>25.4</v>
      </c>
      <c r="H31" s="54">
        <v>19.5</v>
      </c>
      <c r="I31" s="54">
        <v>20.8</v>
      </c>
      <c r="J31" s="54">
        <v>22.7</v>
      </c>
      <c r="K31" s="54">
        <v>20.6</v>
      </c>
      <c r="L31" s="54">
        <v>19.5</v>
      </c>
      <c r="M31" s="54">
        <v>25</v>
      </c>
      <c r="N31" s="54">
        <v>20</v>
      </c>
      <c r="O31" s="54">
        <v>15</v>
      </c>
      <c r="P31" s="54">
        <v>21</v>
      </c>
      <c r="Q31" s="54">
        <v>13.8</v>
      </c>
      <c r="R31" s="68">
        <v>15.1</v>
      </c>
      <c r="S31" s="54">
        <v>15</v>
      </c>
      <c r="T31" s="54">
        <v>12.5</v>
      </c>
      <c r="U31" s="54">
        <v>8.5</v>
      </c>
      <c r="V31" s="54">
        <v>9.4</v>
      </c>
      <c r="W31" s="68">
        <v>15.3</v>
      </c>
      <c r="X31" s="68">
        <v>18</v>
      </c>
      <c r="Y31" s="68">
        <v>21</v>
      </c>
      <c r="Z31" s="68">
        <v>23.1</v>
      </c>
      <c r="AA31" s="68">
        <v>22.2</v>
      </c>
      <c r="AB31" s="68">
        <v>19.7</v>
      </c>
      <c r="AC31" s="68">
        <v>26.4</v>
      </c>
      <c r="AD31" s="68">
        <v>24.6</v>
      </c>
      <c r="AE31" s="68">
        <v>24.9</v>
      </c>
      <c r="AF31" s="68">
        <v>23.1</v>
      </c>
    </row>
    <row r="32" spans="1:32" x14ac:dyDescent="0.25">
      <c r="A32" s="53">
        <v>20</v>
      </c>
      <c r="B32" s="68">
        <v>24.3</v>
      </c>
      <c r="C32" s="68">
        <v>21</v>
      </c>
      <c r="D32" s="54">
        <v>18.5</v>
      </c>
      <c r="E32" s="68">
        <v>22.1</v>
      </c>
      <c r="F32" s="54">
        <v>22.2</v>
      </c>
      <c r="G32" s="54">
        <v>23.3</v>
      </c>
      <c r="H32" s="54">
        <v>18.2</v>
      </c>
      <c r="I32" s="54">
        <v>19.899999999999999</v>
      </c>
      <c r="J32" s="54">
        <v>19.899999999999999</v>
      </c>
      <c r="K32" s="54">
        <v>19</v>
      </c>
      <c r="L32" s="54">
        <v>19.5</v>
      </c>
      <c r="M32" s="54">
        <v>21</v>
      </c>
      <c r="N32" s="54">
        <v>20</v>
      </c>
      <c r="O32" s="54">
        <v>17</v>
      </c>
      <c r="P32" s="54">
        <v>19</v>
      </c>
      <c r="Q32" s="54">
        <v>14.1</v>
      </c>
      <c r="R32" s="68">
        <v>14.3</v>
      </c>
      <c r="S32" s="54">
        <v>12.5</v>
      </c>
      <c r="T32" s="54">
        <v>11.1</v>
      </c>
      <c r="U32" s="54">
        <v>8.8000000000000007</v>
      </c>
      <c r="V32" s="54">
        <v>9</v>
      </c>
      <c r="W32" s="68">
        <v>12</v>
      </c>
      <c r="X32" s="68">
        <v>21.4</v>
      </c>
      <c r="Y32" s="68">
        <v>20</v>
      </c>
      <c r="Z32" s="68">
        <v>20.5</v>
      </c>
      <c r="AA32" s="68">
        <v>20.6</v>
      </c>
      <c r="AB32" s="68">
        <v>18.399999999999999</v>
      </c>
      <c r="AC32" s="68">
        <v>24.7</v>
      </c>
      <c r="AD32" s="68">
        <v>22.1</v>
      </c>
      <c r="AE32" s="68">
        <v>22.3</v>
      </c>
      <c r="AF32" s="68">
        <v>20.6</v>
      </c>
    </row>
    <row r="33" spans="1:32" x14ac:dyDescent="0.25">
      <c r="A33" s="53">
        <v>22</v>
      </c>
      <c r="B33" s="68">
        <v>21.2</v>
      </c>
      <c r="C33" s="68">
        <v>18.100000000000001</v>
      </c>
      <c r="D33" s="54">
        <v>19</v>
      </c>
      <c r="E33" s="68">
        <v>20.5</v>
      </c>
      <c r="F33" s="54">
        <v>20.399999999999999</v>
      </c>
      <c r="G33" s="54">
        <v>19.399999999999999</v>
      </c>
      <c r="H33" s="54">
        <v>16</v>
      </c>
      <c r="I33" s="54">
        <v>16.3</v>
      </c>
      <c r="J33" s="54">
        <v>16.399999999999999</v>
      </c>
      <c r="K33" s="54">
        <v>19.2</v>
      </c>
      <c r="L33" s="54">
        <v>19</v>
      </c>
      <c r="M33" s="54">
        <v>18.5</v>
      </c>
      <c r="N33" s="54">
        <v>18</v>
      </c>
      <c r="O33" s="54">
        <v>16</v>
      </c>
      <c r="P33" s="54">
        <v>15.3</v>
      </c>
      <c r="Q33" s="54">
        <v>13.3</v>
      </c>
      <c r="R33" s="68">
        <v>13</v>
      </c>
      <c r="S33" s="54">
        <v>11.2</v>
      </c>
      <c r="T33" s="54">
        <v>10.4</v>
      </c>
      <c r="U33" s="54">
        <v>8</v>
      </c>
      <c r="V33" s="54">
        <v>8</v>
      </c>
      <c r="W33" s="68">
        <v>10</v>
      </c>
      <c r="X33" s="68">
        <v>21</v>
      </c>
      <c r="Y33" s="68">
        <v>18</v>
      </c>
      <c r="Z33" s="68">
        <v>17.100000000000001</v>
      </c>
      <c r="AA33" s="68">
        <v>18.899999999999999</v>
      </c>
      <c r="AB33" s="68">
        <v>18.100000000000001</v>
      </c>
      <c r="AC33" s="68">
        <v>21.8</v>
      </c>
      <c r="AD33" s="68">
        <v>20.2</v>
      </c>
      <c r="AE33" s="68">
        <v>19.8</v>
      </c>
      <c r="AF33" s="68">
        <v>17.100000000000001</v>
      </c>
    </row>
    <row r="34" spans="1:32" x14ac:dyDescent="0.25">
      <c r="A34" s="53">
        <v>24</v>
      </c>
      <c r="B34" s="68">
        <v>18.399999999999999</v>
      </c>
      <c r="C34" s="68">
        <v>16.100000000000001</v>
      </c>
      <c r="D34" s="54">
        <v>18.399999999999999</v>
      </c>
      <c r="E34" s="68">
        <v>19.7</v>
      </c>
      <c r="F34" s="54">
        <v>19.7</v>
      </c>
      <c r="G34" s="54">
        <v>17.7</v>
      </c>
      <c r="H34" s="54">
        <v>14.3</v>
      </c>
      <c r="I34" s="54">
        <v>14.8</v>
      </c>
      <c r="J34" s="54">
        <v>14.7</v>
      </c>
      <c r="K34" s="54">
        <v>17.8</v>
      </c>
      <c r="L34" s="54">
        <v>18.600000000000001</v>
      </c>
      <c r="M34" s="54">
        <v>17.2</v>
      </c>
      <c r="N34" s="54">
        <v>15</v>
      </c>
      <c r="O34" s="54">
        <v>14</v>
      </c>
      <c r="P34" s="54">
        <v>15.4</v>
      </c>
      <c r="Q34" s="54">
        <v>13.5</v>
      </c>
      <c r="R34" s="68">
        <v>12.4</v>
      </c>
      <c r="S34" s="54">
        <v>10.199999999999999</v>
      </c>
      <c r="T34" s="54">
        <v>10.199999999999999</v>
      </c>
      <c r="U34" s="54">
        <v>7.1</v>
      </c>
      <c r="V34" s="54">
        <v>8</v>
      </c>
      <c r="W34" s="68">
        <v>9</v>
      </c>
      <c r="X34" s="68">
        <v>14</v>
      </c>
      <c r="Y34" s="68">
        <v>16</v>
      </c>
      <c r="Z34" s="68">
        <v>15.1</v>
      </c>
      <c r="AA34" s="68">
        <v>18.5</v>
      </c>
      <c r="AB34" s="68">
        <v>18.600000000000001</v>
      </c>
      <c r="AC34" s="68">
        <v>20.7</v>
      </c>
      <c r="AD34" s="68">
        <v>19.8</v>
      </c>
      <c r="AE34" s="68">
        <v>17.100000000000001</v>
      </c>
      <c r="AF34" s="68">
        <v>16.399999999999999</v>
      </c>
    </row>
    <row r="35" spans="1:32" x14ac:dyDescent="0.25">
      <c r="A35" s="53">
        <v>2</v>
      </c>
      <c r="B35" s="68">
        <v>16.600000000000001</v>
      </c>
      <c r="C35" s="68">
        <v>14.3</v>
      </c>
      <c r="D35" s="54">
        <v>16.8</v>
      </c>
      <c r="E35" s="68">
        <v>18.7</v>
      </c>
      <c r="F35" s="54">
        <v>17.899999999999999</v>
      </c>
      <c r="G35" s="54">
        <v>17.399999999999999</v>
      </c>
      <c r="H35" s="54">
        <v>14</v>
      </c>
      <c r="I35" s="54">
        <v>14.3</v>
      </c>
      <c r="J35" s="54">
        <v>14.9</v>
      </c>
      <c r="K35" s="54">
        <v>16.7</v>
      </c>
      <c r="L35" s="54">
        <v>17.5</v>
      </c>
      <c r="M35" s="54">
        <v>16.3</v>
      </c>
      <c r="N35" s="54">
        <v>14</v>
      </c>
      <c r="O35" s="54">
        <v>12</v>
      </c>
      <c r="P35" s="54">
        <v>15.6</v>
      </c>
      <c r="Q35" s="54">
        <v>13.2</v>
      </c>
      <c r="R35" s="68">
        <v>12.5</v>
      </c>
      <c r="S35" s="54">
        <v>9.4</v>
      </c>
      <c r="T35" s="54">
        <v>9.3000000000000007</v>
      </c>
      <c r="U35" s="54">
        <v>5.7</v>
      </c>
      <c r="V35" s="54">
        <v>8</v>
      </c>
      <c r="W35" s="68">
        <v>8</v>
      </c>
      <c r="X35" s="68">
        <v>13</v>
      </c>
      <c r="Y35" s="68">
        <v>17</v>
      </c>
      <c r="Z35" s="68">
        <v>13.7</v>
      </c>
      <c r="AA35" s="68">
        <v>17.7</v>
      </c>
      <c r="AB35" s="68">
        <v>18.2</v>
      </c>
      <c r="AC35" s="68">
        <v>18.3</v>
      </c>
      <c r="AD35" s="68">
        <v>20</v>
      </c>
      <c r="AE35" s="68">
        <v>15.7</v>
      </c>
      <c r="AF35" s="68">
        <v>15.6</v>
      </c>
    </row>
    <row r="36" spans="1:32" ht="28.5" x14ac:dyDescent="0.25">
      <c r="A36" s="55" t="s">
        <v>2</v>
      </c>
      <c r="B36" s="56">
        <f>AVERAGE(B24+B25+B26+B27+B28+B29+B30+B31+B32+B33+B34+B35)/12</f>
        <v>23.058333333333337</v>
      </c>
      <c r="C36" s="56">
        <f t="shared" ref="C36:AF36" si="2">AVERAGE(C24+C25+C26+C27+C28+C29+C30+C31+C32+C33+C34+C35)/12</f>
        <v>19.850000000000001</v>
      </c>
      <c r="D36" s="56">
        <f t="shared" si="2"/>
        <v>19.816666666666666</v>
      </c>
      <c r="E36" s="56">
        <f t="shared" si="2"/>
        <v>20.791666666666664</v>
      </c>
      <c r="F36" s="56">
        <f t="shared" si="2"/>
        <v>20.091666666666665</v>
      </c>
      <c r="G36" s="56">
        <f t="shared" si="2"/>
        <v>21.233333333333334</v>
      </c>
      <c r="H36" s="56">
        <f t="shared" si="2"/>
        <v>19.458333333333332</v>
      </c>
      <c r="I36" s="56">
        <f t="shared" si="2"/>
        <v>16.125000000000004</v>
      </c>
      <c r="J36" s="56">
        <f t="shared" si="2"/>
        <v>18.349999999999998</v>
      </c>
      <c r="K36" s="56">
        <f t="shared" si="2"/>
        <v>20.958333333333332</v>
      </c>
      <c r="L36" s="56">
        <f t="shared" si="2"/>
        <v>19.591666666666665</v>
      </c>
      <c r="M36" s="56">
        <f t="shared" si="2"/>
        <v>20.658333333333335</v>
      </c>
      <c r="N36" s="56">
        <f t="shared" si="2"/>
        <v>19.583333333333332</v>
      </c>
      <c r="O36" s="56">
        <f t="shared" si="2"/>
        <v>14.416666666666666</v>
      </c>
      <c r="P36" s="56">
        <f t="shared" si="2"/>
        <v>17.108333333333334</v>
      </c>
      <c r="Q36" s="56">
        <f t="shared" si="2"/>
        <v>15.366666666666667</v>
      </c>
      <c r="R36" s="56">
        <f t="shared" si="2"/>
        <v>13.883333333333333</v>
      </c>
      <c r="S36" s="56">
        <f t="shared" si="2"/>
        <v>12.899999999999999</v>
      </c>
      <c r="T36" s="56">
        <f t="shared" si="2"/>
        <v>11.883333333333335</v>
      </c>
      <c r="U36" s="56">
        <f t="shared" si="2"/>
        <v>8.6999999999999993</v>
      </c>
      <c r="V36" s="56">
        <f t="shared" si="2"/>
        <v>8.4749999999999996</v>
      </c>
      <c r="W36" s="56">
        <f t="shared" si="2"/>
        <v>10.516666666666667</v>
      </c>
      <c r="X36" s="56">
        <f t="shared" si="2"/>
        <v>15.200000000000001</v>
      </c>
      <c r="Y36" s="56">
        <f t="shared" si="2"/>
        <v>18.666666666666668</v>
      </c>
      <c r="Z36" s="56">
        <f t="shared" si="2"/>
        <v>19.041666666666664</v>
      </c>
      <c r="AA36" s="56">
        <f t="shared" si="2"/>
        <v>19.724999999999998</v>
      </c>
      <c r="AB36" s="56">
        <f t="shared" si="2"/>
        <v>19.30833333333333</v>
      </c>
      <c r="AC36" s="56">
        <f t="shared" si="2"/>
        <v>22.8</v>
      </c>
      <c r="AD36" s="56">
        <f t="shared" si="2"/>
        <v>22.45</v>
      </c>
      <c r="AE36" s="56">
        <f t="shared" si="2"/>
        <v>22.700000000000003</v>
      </c>
      <c r="AF36" s="56">
        <f t="shared" si="2"/>
        <v>19.508333333333333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D4" workbookViewId="0">
      <selection activeCell="D4" sqref="A1:XFD1048576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2" x14ac:dyDescent="0.25">
      <c r="A1" s="71" t="s">
        <v>8</v>
      </c>
      <c r="B1" s="140" t="s">
        <v>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2" x14ac:dyDescent="0.25">
      <c r="A2" s="141" t="s">
        <v>0</v>
      </c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2" x14ac:dyDescent="0.25">
      <c r="A3" s="142"/>
      <c r="B3" s="71">
        <v>1</v>
      </c>
      <c r="C3" s="71">
        <v>2</v>
      </c>
      <c r="D3" s="71">
        <v>3</v>
      </c>
      <c r="E3" s="71">
        <v>4</v>
      </c>
      <c r="F3" s="71">
        <v>5</v>
      </c>
      <c r="G3" s="71">
        <v>6</v>
      </c>
      <c r="H3" s="71">
        <v>7</v>
      </c>
      <c r="I3" s="71">
        <v>8</v>
      </c>
      <c r="J3" s="71">
        <v>9</v>
      </c>
      <c r="K3" s="71">
        <v>10</v>
      </c>
      <c r="L3" s="71">
        <v>11</v>
      </c>
      <c r="M3" s="71">
        <v>12</v>
      </c>
      <c r="N3" s="71">
        <v>13</v>
      </c>
      <c r="O3" s="71">
        <v>14</v>
      </c>
      <c r="P3" s="71">
        <v>15</v>
      </c>
      <c r="Q3" s="71">
        <v>16</v>
      </c>
      <c r="R3" s="71">
        <v>17</v>
      </c>
      <c r="S3" s="71">
        <v>18</v>
      </c>
      <c r="T3" s="71">
        <v>19</v>
      </c>
      <c r="U3" s="71">
        <v>20</v>
      </c>
      <c r="V3" s="71">
        <v>21</v>
      </c>
      <c r="W3" s="71">
        <v>22</v>
      </c>
      <c r="X3" s="71">
        <v>23</v>
      </c>
      <c r="Y3" s="71">
        <v>24</v>
      </c>
      <c r="Z3" s="71">
        <v>25</v>
      </c>
      <c r="AA3" s="71">
        <v>26</v>
      </c>
      <c r="AB3" s="71">
        <v>27</v>
      </c>
      <c r="AC3" s="71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68">
        <v>14</v>
      </c>
      <c r="C4" s="68">
        <v>10</v>
      </c>
      <c r="D4" s="68">
        <v>8.9</v>
      </c>
      <c r="E4" s="68">
        <v>8.6</v>
      </c>
      <c r="F4" s="68">
        <v>11.5</v>
      </c>
      <c r="G4" s="72">
        <v>12</v>
      </c>
      <c r="H4" s="74">
        <v>10.3</v>
      </c>
      <c r="I4" s="76">
        <v>12.2</v>
      </c>
      <c r="J4" s="78">
        <v>14.9</v>
      </c>
      <c r="K4" s="80">
        <v>14.7</v>
      </c>
      <c r="L4" s="82">
        <v>16.2</v>
      </c>
      <c r="M4" s="85">
        <v>14</v>
      </c>
      <c r="N4" s="87">
        <v>12.6</v>
      </c>
      <c r="O4" s="89">
        <v>13.2</v>
      </c>
      <c r="P4" s="91">
        <v>11.6</v>
      </c>
      <c r="Q4" s="93">
        <v>15.8</v>
      </c>
      <c r="R4" s="95">
        <v>15.4</v>
      </c>
      <c r="S4" s="97">
        <v>13.9</v>
      </c>
      <c r="T4" s="99">
        <v>15.4</v>
      </c>
      <c r="U4" s="101">
        <v>14.28</v>
      </c>
      <c r="V4" s="103">
        <v>17.8</v>
      </c>
      <c r="W4" s="105">
        <v>16.8</v>
      </c>
      <c r="X4" s="107">
        <v>17.3</v>
      </c>
      <c r="Y4" s="109">
        <v>15.5</v>
      </c>
      <c r="Z4" s="111">
        <v>11.3</v>
      </c>
      <c r="AA4" s="113">
        <v>11.9</v>
      </c>
      <c r="AB4" s="115">
        <v>12.4</v>
      </c>
      <c r="AC4" s="119">
        <v>15.99</v>
      </c>
      <c r="AD4" s="120">
        <v>11.6</v>
      </c>
      <c r="AE4" s="120">
        <v>9.5</v>
      </c>
      <c r="AF4" s="120">
        <v>11</v>
      </c>
    </row>
    <row r="5" spans="1:32" x14ac:dyDescent="0.25">
      <c r="A5" s="53">
        <v>6</v>
      </c>
      <c r="B5" s="68">
        <v>13.7</v>
      </c>
      <c r="C5" s="68">
        <v>12.3</v>
      </c>
      <c r="D5" s="68">
        <v>8.9</v>
      </c>
      <c r="E5" s="68">
        <v>9.5</v>
      </c>
      <c r="F5" s="68">
        <v>11.7</v>
      </c>
      <c r="G5" s="72">
        <v>13.9</v>
      </c>
      <c r="H5" s="74">
        <v>11</v>
      </c>
      <c r="I5" s="76">
        <v>12.1</v>
      </c>
      <c r="J5" s="78">
        <v>15.7</v>
      </c>
      <c r="K5" s="80">
        <v>16.600000000000001</v>
      </c>
      <c r="L5" s="82">
        <v>17.39</v>
      </c>
      <c r="M5" s="85">
        <v>14.3</v>
      </c>
      <c r="N5" s="87">
        <v>13.3</v>
      </c>
      <c r="O5" s="89">
        <v>13.6</v>
      </c>
      <c r="P5" s="91">
        <v>11.9</v>
      </c>
      <c r="Q5" s="93">
        <v>15.8</v>
      </c>
      <c r="R5" s="95">
        <v>15.1</v>
      </c>
      <c r="S5" s="97">
        <v>13.9</v>
      </c>
      <c r="T5" s="99">
        <v>14.9</v>
      </c>
      <c r="U5" s="101">
        <v>15.17</v>
      </c>
      <c r="V5" s="103">
        <v>16.399999999999999</v>
      </c>
      <c r="W5" s="105">
        <v>17.2</v>
      </c>
      <c r="X5" s="107">
        <v>18</v>
      </c>
      <c r="Y5" s="109">
        <v>14.16</v>
      </c>
      <c r="Z5" s="111">
        <v>11.43</v>
      </c>
      <c r="AA5" s="113">
        <v>11.9</v>
      </c>
      <c r="AB5" s="115">
        <v>13.1</v>
      </c>
      <c r="AC5" s="119">
        <v>16.12</v>
      </c>
      <c r="AD5" s="120">
        <v>11.7</v>
      </c>
      <c r="AE5" s="120">
        <v>9.5</v>
      </c>
      <c r="AF5" s="120">
        <v>10.1</v>
      </c>
    </row>
    <row r="6" spans="1:32" x14ac:dyDescent="0.25">
      <c r="A6" s="53">
        <v>8</v>
      </c>
      <c r="B6" s="68">
        <v>14.3</v>
      </c>
      <c r="C6" s="68">
        <v>15.6</v>
      </c>
      <c r="D6" s="68">
        <v>10.4</v>
      </c>
      <c r="E6" s="68">
        <v>11.2</v>
      </c>
      <c r="F6" s="68">
        <v>12.6</v>
      </c>
      <c r="G6" s="72">
        <v>15.9</v>
      </c>
      <c r="H6" s="74">
        <v>12.8</v>
      </c>
      <c r="I6" s="76">
        <v>13</v>
      </c>
      <c r="J6" s="78">
        <v>18.399999999999999</v>
      </c>
      <c r="K6" s="80">
        <v>20.190000000000001</v>
      </c>
      <c r="L6" s="82">
        <v>20.100000000000001</v>
      </c>
      <c r="M6" s="85">
        <v>18.100000000000001</v>
      </c>
      <c r="N6" s="87">
        <v>17.7</v>
      </c>
      <c r="O6" s="89">
        <v>13.87</v>
      </c>
      <c r="P6" s="91">
        <v>15.2</v>
      </c>
      <c r="Q6" s="93">
        <v>16.8</v>
      </c>
      <c r="R6" s="95">
        <v>16.3</v>
      </c>
      <c r="S6" s="97">
        <v>19.899999999999999</v>
      </c>
      <c r="T6" s="99">
        <v>19.86</v>
      </c>
      <c r="U6" s="101">
        <v>18.03</v>
      </c>
      <c r="V6" s="103">
        <v>17.600000000000001</v>
      </c>
      <c r="W6" s="105">
        <v>21.92</v>
      </c>
      <c r="X6" s="107">
        <v>21.15</v>
      </c>
      <c r="Y6" s="109">
        <v>13.8</v>
      </c>
      <c r="Z6" s="111">
        <v>14.2</v>
      </c>
      <c r="AA6" s="113">
        <v>15.41</v>
      </c>
      <c r="AB6" s="115">
        <v>18.12</v>
      </c>
      <c r="AC6" s="119">
        <v>15</v>
      </c>
      <c r="AD6" s="120">
        <v>12.6</v>
      </c>
      <c r="AE6" s="120">
        <v>11.36</v>
      </c>
      <c r="AF6" s="120">
        <v>16.21</v>
      </c>
    </row>
    <row r="7" spans="1:32" x14ac:dyDescent="0.25">
      <c r="A7" s="53">
        <v>10</v>
      </c>
      <c r="B7" s="81">
        <v>14.1</v>
      </c>
      <c r="C7" s="81">
        <v>16.600000000000001</v>
      </c>
      <c r="D7" s="81">
        <v>9.6999999999999993</v>
      </c>
      <c r="E7" s="81">
        <v>12.8</v>
      </c>
      <c r="F7" s="81">
        <v>15.02</v>
      </c>
      <c r="G7" s="81">
        <v>15.9</v>
      </c>
      <c r="H7" s="74">
        <v>14.8</v>
      </c>
      <c r="I7" s="81">
        <v>14.7</v>
      </c>
      <c r="J7" s="81">
        <v>23.4</v>
      </c>
      <c r="K7" s="81">
        <v>23.66</v>
      </c>
      <c r="L7" s="82">
        <v>23.5</v>
      </c>
      <c r="M7" s="88">
        <v>21.8</v>
      </c>
      <c r="N7" s="88">
        <v>18.3</v>
      </c>
      <c r="O7" s="89">
        <v>15.7</v>
      </c>
      <c r="P7" s="91">
        <v>17.5</v>
      </c>
      <c r="Q7" s="93">
        <v>18.190000000000001</v>
      </c>
      <c r="R7" s="95">
        <v>19.2</v>
      </c>
      <c r="S7" s="97">
        <v>21.59</v>
      </c>
      <c r="T7" s="99">
        <v>21.79</v>
      </c>
      <c r="U7" s="101">
        <v>18.8</v>
      </c>
      <c r="V7" s="103">
        <v>22.5</v>
      </c>
      <c r="W7" s="105">
        <v>26.11</v>
      </c>
      <c r="X7" s="107">
        <v>25.07</v>
      </c>
      <c r="Y7" s="109">
        <v>14.8</v>
      </c>
      <c r="Z7" s="111">
        <v>16.399999999999999</v>
      </c>
      <c r="AA7" s="113">
        <v>18.45</v>
      </c>
      <c r="AB7" s="115">
        <v>19.600000000000001</v>
      </c>
      <c r="AC7" s="119">
        <v>18</v>
      </c>
      <c r="AD7" s="120">
        <v>13.7</v>
      </c>
      <c r="AE7" s="120">
        <v>14.48</v>
      </c>
      <c r="AF7" s="120">
        <v>18.13</v>
      </c>
    </row>
    <row r="8" spans="1:32" x14ac:dyDescent="0.25">
      <c r="A8" s="53">
        <v>12</v>
      </c>
      <c r="B8" s="68">
        <v>17.3</v>
      </c>
      <c r="C8" s="68">
        <v>15.5</v>
      </c>
      <c r="D8" s="68">
        <v>10.6</v>
      </c>
      <c r="E8" s="68">
        <v>12.9</v>
      </c>
      <c r="F8" s="68">
        <v>15.83</v>
      </c>
      <c r="G8" s="72">
        <v>16.5</v>
      </c>
      <c r="H8" s="74">
        <v>17.100000000000001</v>
      </c>
      <c r="I8" s="76">
        <v>17.600000000000001</v>
      </c>
      <c r="J8" s="78">
        <v>25.4</v>
      </c>
      <c r="K8" s="80">
        <v>25.58</v>
      </c>
      <c r="L8" s="82">
        <v>25.1</v>
      </c>
      <c r="M8" s="85">
        <v>22</v>
      </c>
      <c r="N8" s="87">
        <v>16.899999999999999</v>
      </c>
      <c r="O8" s="89">
        <v>16.34</v>
      </c>
      <c r="P8" s="91">
        <v>16.2</v>
      </c>
      <c r="Q8" s="93">
        <v>18.68</v>
      </c>
      <c r="R8" s="95">
        <v>20.5</v>
      </c>
      <c r="S8" s="97">
        <v>22.05</v>
      </c>
      <c r="T8" s="99">
        <v>22.48</v>
      </c>
      <c r="U8" s="101">
        <v>21.9</v>
      </c>
      <c r="V8" s="103">
        <v>22.5</v>
      </c>
      <c r="W8" s="105">
        <v>26.59</v>
      </c>
      <c r="X8" s="107">
        <v>26.37</v>
      </c>
      <c r="Y8" s="109">
        <v>17.100000000000001</v>
      </c>
      <c r="Z8" s="111">
        <v>17.899999999999999</v>
      </c>
      <c r="AA8" s="113">
        <v>20.37</v>
      </c>
      <c r="AB8" s="115">
        <v>22.19</v>
      </c>
      <c r="AC8" s="119">
        <v>20.6</v>
      </c>
      <c r="AD8" s="120">
        <v>13.2</v>
      </c>
      <c r="AE8" s="120">
        <v>15.84</v>
      </c>
      <c r="AF8" s="120">
        <v>18.73</v>
      </c>
    </row>
    <row r="9" spans="1:32" x14ac:dyDescent="0.25">
      <c r="A9" s="53">
        <v>14</v>
      </c>
      <c r="B9" s="68">
        <v>17.8</v>
      </c>
      <c r="C9" s="68">
        <v>15.5</v>
      </c>
      <c r="D9" s="68">
        <v>11</v>
      </c>
      <c r="E9" s="68">
        <v>13.8</v>
      </c>
      <c r="F9" s="68">
        <v>18.86</v>
      </c>
      <c r="G9" s="72">
        <v>15.9</v>
      </c>
      <c r="H9" s="74">
        <v>18.2</v>
      </c>
      <c r="I9" s="76">
        <v>19.899999999999999</v>
      </c>
      <c r="J9" s="78">
        <v>25.4</v>
      </c>
      <c r="K9" s="80">
        <v>26.18</v>
      </c>
      <c r="L9" s="82">
        <v>23.9</v>
      </c>
      <c r="M9" s="85">
        <v>19</v>
      </c>
      <c r="N9" s="87">
        <v>17.399999999999999</v>
      </c>
      <c r="O9" s="89">
        <v>18.66</v>
      </c>
      <c r="P9" s="91">
        <v>17.600000000000001</v>
      </c>
      <c r="Q9" s="93">
        <v>20.38</v>
      </c>
      <c r="R9" s="95">
        <v>22.3</v>
      </c>
      <c r="S9" s="97">
        <v>23.87</v>
      </c>
      <c r="T9" s="99">
        <v>23.13</v>
      </c>
      <c r="U9" s="101">
        <v>23.7</v>
      </c>
      <c r="V9" s="103">
        <v>24.8</v>
      </c>
      <c r="W9" s="105">
        <v>28.18</v>
      </c>
      <c r="X9" s="107">
        <v>25.52</v>
      </c>
      <c r="Y9" s="109">
        <v>17.600000000000001</v>
      </c>
      <c r="Z9" s="111">
        <v>17.8</v>
      </c>
      <c r="AA9" s="113">
        <v>20.399999999999999</v>
      </c>
      <c r="AB9" s="115">
        <v>22.1</v>
      </c>
      <c r="AC9" s="119">
        <v>22.4</v>
      </c>
      <c r="AD9" s="120">
        <v>14.8</v>
      </c>
      <c r="AE9" s="120">
        <v>17.45</v>
      </c>
      <c r="AF9" s="120">
        <v>18.52</v>
      </c>
    </row>
    <row r="10" spans="1:32" x14ac:dyDescent="0.25">
      <c r="A10" s="53">
        <v>16</v>
      </c>
      <c r="B10" s="68">
        <v>19.399999999999999</v>
      </c>
      <c r="C10" s="68">
        <v>14.8</v>
      </c>
      <c r="D10" s="68">
        <v>12.2</v>
      </c>
      <c r="E10" s="68">
        <v>14.9</v>
      </c>
      <c r="F10" s="68">
        <v>18.690000000000001</v>
      </c>
      <c r="G10" s="72">
        <v>15.3</v>
      </c>
      <c r="H10" s="74">
        <v>17.2</v>
      </c>
      <c r="I10" s="76">
        <v>20</v>
      </c>
      <c r="J10" s="78">
        <v>25.5</v>
      </c>
      <c r="K10" s="80">
        <v>26.16</v>
      </c>
      <c r="L10" s="82">
        <v>24</v>
      </c>
      <c r="M10" s="85">
        <v>21</v>
      </c>
      <c r="N10" s="87">
        <v>16.600000000000001</v>
      </c>
      <c r="O10" s="89">
        <v>18.09</v>
      </c>
      <c r="P10" s="91">
        <v>18.100000000000001</v>
      </c>
      <c r="Q10" s="93">
        <v>19.2</v>
      </c>
      <c r="R10" s="95">
        <v>21.6</v>
      </c>
      <c r="S10" s="97">
        <v>22.66</v>
      </c>
      <c r="T10" s="99">
        <v>22.34</v>
      </c>
      <c r="U10" s="101">
        <v>23.3</v>
      </c>
      <c r="V10" s="103">
        <v>24.6</v>
      </c>
      <c r="W10" s="105">
        <v>26.98</v>
      </c>
      <c r="X10" s="107">
        <v>26.5</v>
      </c>
      <c r="Y10" s="109">
        <v>15.9</v>
      </c>
      <c r="Z10" s="111">
        <v>18.899999999999999</v>
      </c>
      <c r="AA10" s="113">
        <v>20.48</v>
      </c>
      <c r="AB10" s="115">
        <v>22.85</v>
      </c>
      <c r="AC10" s="119">
        <v>21.6</v>
      </c>
      <c r="AD10" s="120">
        <v>15.2</v>
      </c>
      <c r="AE10" s="120">
        <v>16.760000000000002</v>
      </c>
      <c r="AF10" s="120">
        <v>17.68</v>
      </c>
    </row>
    <row r="11" spans="1:32" x14ac:dyDescent="0.25">
      <c r="A11" s="53">
        <v>18</v>
      </c>
      <c r="B11" s="68">
        <v>19.3</v>
      </c>
      <c r="C11" s="68">
        <v>14.5</v>
      </c>
      <c r="D11" s="68">
        <v>11.3</v>
      </c>
      <c r="E11" s="68">
        <v>14.05</v>
      </c>
      <c r="F11" s="68">
        <v>19.16</v>
      </c>
      <c r="G11" s="72">
        <v>12</v>
      </c>
      <c r="H11" s="74">
        <v>16.7</v>
      </c>
      <c r="I11" s="76">
        <v>20.5</v>
      </c>
      <c r="J11" s="78">
        <v>25.2</v>
      </c>
      <c r="K11" s="80">
        <v>25.2</v>
      </c>
      <c r="L11" s="82">
        <v>24.4</v>
      </c>
      <c r="M11" s="85">
        <v>21.8</v>
      </c>
      <c r="N11" s="87">
        <v>16.2</v>
      </c>
      <c r="O11" s="89">
        <v>18.329999999999998</v>
      </c>
      <c r="P11" s="91">
        <v>19.5</v>
      </c>
      <c r="Q11" s="93">
        <v>19.2</v>
      </c>
      <c r="R11" s="95">
        <v>22</v>
      </c>
      <c r="S11" s="97">
        <v>22.55</v>
      </c>
      <c r="T11" s="99">
        <v>21.77</v>
      </c>
      <c r="U11" s="101">
        <v>22.9</v>
      </c>
      <c r="V11" s="103">
        <v>24.8</v>
      </c>
      <c r="W11" s="105">
        <v>25.93</v>
      </c>
      <c r="X11" s="107">
        <v>21.01</v>
      </c>
      <c r="Y11" s="109">
        <v>15.47</v>
      </c>
      <c r="Z11" s="111">
        <v>19.100000000000001</v>
      </c>
      <c r="AA11" s="113">
        <v>19.600000000000001</v>
      </c>
      <c r="AB11" s="115">
        <v>21.07</v>
      </c>
      <c r="AC11" s="119">
        <v>16.7</v>
      </c>
      <c r="AD11" s="120">
        <v>14.9</v>
      </c>
      <c r="AE11" s="120">
        <v>16.579999999999998</v>
      </c>
      <c r="AF11" s="120">
        <v>15.28</v>
      </c>
    </row>
    <row r="12" spans="1:32" x14ac:dyDescent="0.25">
      <c r="A12" s="53">
        <v>20</v>
      </c>
      <c r="B12" s="68">
        <v>16.02</v>
      </c>
      <c r="C12" s="68">
        <v>12.9</v>
      </c>
      <c r="D12" s="68">
        <v>10.7</v>
      </c>
      <c r="E12" s="68">
        <v>13.62</v>
      </c>
      <c r="F12" s="68">
        <v>16.5</v>
      </c>
      <c r="G12" s="72">
        <v>12.06</v>
      </c>
      <c r="H12" s="74">
        <v>15.8</v>
      </c>
      <c r="I12" s="76">
        <v>17.5</v>
      </c>
      <c r="J12" s="78">
        <v>22</v>
      </c>
      <c r="K12" s="80">
        <v>21.3</v>
      </c>
      <c r="L12" s="82">
        <v>21.05</v>
      </c>
      <c r="M12" s="85">
        <v>17.600000000000001</v>
      </c>
      <c r="N12" s="87">
        <v>14.3</v>
      </c>
      <c r="O12" s="89">
        <v>16.3</v>
      </c>
      <c r="P12" s="91">
        <v>16.7</v>
      </c>
      <c r="Q12" s="93">
        <v>17.899999999999999</v>
      </c>
      <c r="R12" s="95">
        <v>18.3</v>
      </c>
      <c r="S12" s="97">
        <v>19.53</v>
      </c>
      <c r="T12" s="99">
        <v>19.170000000000002</v>
      </c>
      <c r="U12" s="101">
        <v>19.36</v>
      </c>
      <c r="V12" s="103">
        <v>21.3</v>
      </c>
      <c r="W12" s="105">
        <v>22.48</v>
      </c>
      <c r="X12" s="107">
        <v>17.559999999999999</v>
      </c>
      <c r="Y12" s="109">
        <v>14.66</v>
      </c>
      <c r="Z12" s="111">
        <v>15.99</v>
      </c>
      <c r="AA12" s="113">
        <v>16.5</v>
      </c>
      <c r="AB12" s="115">
        <v>18.75</v>
      </c>
      <c r="AC12" s="119">
        <v>15.53</v>
      </c>
      <c r="AD12" s="120">
        <v>13.3</v>
      </c>
      <c r="AE12" s="120">
        <v>14.8</v>
      </c>
      <c r="AF12" s="120">
        <v>13.19</v>
      </c>
    </row>
    <row r="13" spans="1:32" x14ac:dyDescent="0.25">
      <c r="A13" s="53">
        <v>22</v>
      </c>
      <c r="B13" s="68">
        <v>12.89</v>
      </c>
      <c r="C13" s="68">
        <v>11.3</v>
      </c>
      <c r="D13" s="68">
        <v>9.3000000000000007</v>
      </c>
      <c r="E13" s="68">
        <v>12.4</v>
      </c>
      <c r="F13" s="68">
        <v>14.3</v>
      </c>
      <c r="G13" s="72">
        <v>11.27</v>
      </c>
      <c r="H13" s="74">
        <v>14.1</v>
      </c>
      <c r="I13" s="76">
        <v>15.2</v>
      </c>
      <c r="J13" s="78">
        <v>19.5</v>
      </c>
      <c r="K13" s="80">
        <v>19.02</v>
      </c>
      <c r="L13" s="82">
        <v>19.48</v>
      </c>
      <c r="M13" s="85">
        <v>15.6</v>
      </c>
      <c r="N13" s="87">
        <v>13.2</v>
      </c>
      <c r="O13" s="89">
        <v>15.1</v>
      </c>
      <c r="P13" s="91">
        <v>16.7</v>
      </c>
      <c r="Q13" s="93">
        <v>17.21</v>
      </c>
      <c r="R13" s="95">
        <v>16.600000000000001</v>
      </c>
      <c r="S13" s="97">
        <v>18.2</v>
      </c>
      <c r="T13" s="99">
        <v>16.940000000000001</v>
      </c>
      <c r="U13" s="101">
        <v>18.14</v>
      </c>
      <c r="V13" s="103">
        <v>19.600000000000001</v>
      </c>
      <c r="W13" s="105">
        <v>20.100000000000001</v>
      </c>
      <c r="X13" s="107">
        <v>17.47</v>
      </c>
      <c r="Y13" s="109">
        <v>14.21</v>
      </c>
      <c r="Z13" s="111">
        <v>15</v>
      </c>
      <c r="AA13" s="113">
        <v>15.1</v>
      </c>
      <c r="AB13" s="115">
        <v>17.12</v>
      </c>
      <c r="AC13" s="119">
        <v>13.66</v>
      </c>
      <c r="AD13" s="120">
        <v>12.7</v>
      </c>
      <c r="AE13" s="120">
        <v>12.9</v>
      </c>
      <c r="AF13" s="120">
        <v>12.75</v>
      </c>
    </row>
    <row r="14" spans="1:32" x14ac:dyDescent="0.25">
      <c r="A14" s="53">
        <v>24</v>
      </c>
      <c r="B14" s="68">
        <v>12.72</v>
      </c>
      <c r="C14" s="68">
        <v>9.1</v>
      </c>
      <c r="D14" s="68">
        <v>9.4</v>
      </c>
      <c r="E14" s="68">
        <v>11.8</v>
      </c>
      <c r="F14" s="68">
        <v>13.05</v>
      </c>
      <c r="G14" s="72">
        <v>12.08</v>
      </c>
      <c r="H14" s="74">
        <v>14.5</v>
      </c>
      <c r="I14" s="76">
        <v>14.1</v>
      </c>
      <c r="J14" s="78">
        <v>17.3</v>
      </c>
      <c r="K14" s="80">
        <v>17.420000000000002</v>
      </c>
      <c r="L14" s="82">
        <v>15.92</v>
      </c>
      <c r="M14" s="85">
        <v>13.7</v>
      </c>
      <c r="N14" s="87">
        <v>13</v>
      </c>
      <c r="O14" s="89">
        <v>14</v>
      </c>
      <c r="P14" s="91">
        <v>16.2</v>
      </c>
      <c r="Q14" s="93">
        <v>16.809999999999999</v>
      </c>
      <c r="R14" s="95">
        <v>14.8</v>
      </c>
      <c r="S14" s="97">
        <v>17.8</v>
      </c>
      <c r="T14" s="99">
        <v>15.84</v>
      </c>
      <c r="U14" s="101">
        <v>17.61</v>
      </c>
      <c r="V14" s="103">
        <v>18.600000000000001</v>
      </c>
      <c r="W14" s="105">
        <v>19.100000000000001</v>
      </c>
      <c r="X14" s="107">
        <v>16.850000000000001</v>
      </c>
      <c r="Y14" s="109">
        <v>14.16</v>
      </c>
      <c r="Z14" s="111">
        <v>13.3</v>
      </c>
      <c r="AA14" s="113">
        <v>13.8</v>
      </c>
      <c r="AB14" s="115">
        <v>16.34</v>
      </c>
      <c r="AC14" s="119">
        <v>13.16</v>
      </c>
      <c r="AD14" s="120">
        <v>11.7</v>
      </c>
      <c r="AE14" s="120">
        <v>11.8</v>
      </c>
      <c r="AF14" s="120">
        <v>11.98</v>
      </c>
    </row>
    <row r="15" spans="1:32" x14ac:dyDescent="0.25">
      <c r="A15" s="53">
        <v>2</v>
      </c>
      <c r="B15" s="68">
        <v>9.9700000000000006</v>
      </c>
      <c r="C15" s="68">
        <v>9.01</v>
      </c>
      <c r="D15" s="68">
        <v>9.16</v>
      </c>
      <c r="E15" s="68">
        <v>11.35</v>
      </c>
      <c r="F15" s="68">
        <v>11.71</v>
      </c>
      <c r="G15" s="72">
        <v>10.91</v>
      </c>
      <c r="H15" s="74">
        <v>14.2</v>
      </c>
      <c r="I15" s="76">
        <v>14.37</v>
      </c>
      <c r="J15" s="78">
        <v>15.3</v>
      </c>
      <c r="K15" s="80">
        <v>17.88</v>
      </c>
      <c r="L15" s="82">
        <v>13.91</v>
      </c>
      <c r="M15" s="85">
        <v>12.8</v>
      </c>
      <c r="N15" s="87">
        <v>12.95</v>
      </c>
      <c r="O15" s="89">
        <v>12.95</v>
      </c>
      <c r="P15" s="91">
        <v>15.9</v>
      </c>
      <c r="Q15" s="93">
        <v>16.27</v>
      </c>
      <c r="R15" s="95">
        <v>16.100000000000001</v>
      </c>
      <c r="S15" s="97">
        <v>16.600000000000001</v>
      </c>
      <c r="T15" s="99">
        <v>15.25</v>
      </c>
      <c r="U15" s="101">
        <v>17.21</v>
      </c>
      <c r="V15" s="103">
        <v>17.7</v>
      </c>
      <c r="W15" s="105">
        <v>17.3</v>
      </c>
      <c r="X15" s="107">
        <v>16.3</v>
      </c>
      <c r="Y15" s="109">
        <v>12.4</v>
      </c>
      <c r="Z15" s="111">
        <v>12.2</v>
      </c>
      <c r="AA15" s="113">
        <v>13.3</v>
      </c>
      <c r="AB15" s="115">
        <v>17</v>
      </c>
      <c r="AC15" s="119">
        <v>12.1</v>
      </c>
      <c r="AD15" s="120">
        <v>10.4</v>
      </c>
      <c r="AE15" s="120">
        <v>12</v>
      </c>
      <c r="AF15" s="120">
        <v>11.7</v>
      </c>
    </row>
    <row r="16" spans="1:32" ht="28.5" x14ac:dyDescent="0.25">
      <c r="A16" s="55" t="s">
        <v>2</v>
      </c>
      <c r="B16" s="56">
        <f>AVERAGE(B4+B5+B6+B7+B8+B9+B10+B11+B12+B13+B14+B15)/12</f>
        <v>15.125</v>
      </c>
      <c r="C16" s="56">
        <f t="shared" ref="C16:AF16" si="0">AVERAGE(C4+C5+C6+C7+C8+C9+C10+C11+C12+C13+C14+C15)/12</f>
        <v>13.092499999999999</v>
      </c>
      <c r="D16" s="56">
        <f t="shared" si="0"/>
        <v>10.130000000000001</v>
      </c>
      <c r="E16" s="56">
        <f t="shared" si="0"/>
        <v>12.243333333333334</v>
      </c>
      <c r="F16" s="56">
        <f t="shared" si="0"/>
        <v>14.910000000000002</v>
      </c>
      <c r="G16" s="56">
        <f t="shared" si="0"/>
        <v>13.643333333333333</v>
      </c>
      <c r="H16" s="56">
        <f t="shared" si="0"/>
        <v>14.725</v>
      </c>
      <c r="I16" s="56">
        <f t="shared" si="0"/>
        <v>15.930833333333332</v>
      </c>
      <c r="J16" s="56">
        <f t="shared" si="0"/>
        <v>20.666666666666668</v>
      </c>
      <c r="K16" s="56">
        <f t="shared" si="0"/>
        <v>21.157499999999999</v>
      </c>
      <c r="L16" s="56">
        <f t="shared" si="0"/>
        <v>20.412499999999998</v>
      </c>
      <c r="M16" s="56">
        <f t="shared" si="0"/>
        <v>17.641666666666666</v>
      </c>
      <c r="N16" s="56">
        <f t="shared" si="0"/>
        <v>15.204166666666664</v>
      </c>
      <c r="O16" s="56">
        <f t="shared" si="0"/>
        <v>15.511666666666665</v>
      </c>
      <c r="P16" s="56">
        <f t="shared" si="0"/>
        <v>16.091666666666665</v>
      </c>
      <c r="Q16" s="56">
        <f t="shared" si="0"/>
        <v>17.686666666666671</v>
      </c>
      <c r="R16" s="56">
        <f t="shared" si="0"/>
        <v>18.183333333333334</v>
      </c>
      <c r="S16" s="56">
        <f t="shared" si="0"/>
        <v>19.379166666666666</v>
      </c>
      <c r="T16" s="56">
        <f t="shared" si="0"/>
        <v>19.072499999999998</v>
      </c>
      <c r="U16" s="56">
        <f t="shared" si="0"/>
        <v>19.2</v>
      </c>
      <c r="V16" s="56">
        <f t="shared" si="0"/>
        <v>20.683333333333334</v>
      </c>
      <c r="W16" s="56">
        <f t="shared" si="0"/>
        <v>22.390833333333333</v>
      </c>
      <c r="X16" s="56">
        <f t="shared" si="0"/>
        <v>20.758333333333333</v>
      </c>
      <c r="Y16" s="56">
        <f t="shared" si="0"/>
        <v>14.980000000000002</v>
      </c>
      <c r="Z16" s="56">
        <f t="shared" si="0"/>
        <v>15.293333333333331</v>
      </c>
      <c r="AA16" s="56">
        <f t="shared" si="0"/>
        <v>16.43416666666667</v>
      </c>
      <c r="AB16" s="56">
        <f t="shared" si="0"/>
        <v>18.386666666666667</v>
      </c>
      <c r="AC16" s="56">
        <f t="shared" si="0"/>
        <v>16.738333333333333</v>
      </c>
      <c r="AD16" s="56">
        <f t="shared" si="0"/>
        <v>12.983333333333333</v>
      </c>
      <c r="AE16" s="56">
        <f t="shared" si="0"/>
        <v>13.580833333333336</v>
      </c>
      <c r="AF16" s="56">
        <f t="shared" si="0"/>
        <v>14.605833333333331</v>
      </c>
    </row>
    <row r="21" spans="1:32" x14ac:dyDescent="0.25">
      <c r="A21" s="71" t="s">
        <v>7</v>
      </c>
      <c r="B21" s="140" t="s">
        <v>1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spans="1:32" x14ac:dyDescent="0.25">
      <c r="A22" s="143" t="s">
        <v>0</v>
      </c>
      <c r="B22" s="143" t="s">
        <v>62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</row>
    <row r="23" spans="1:32" x14ac:dyDescent="0.25">
      <c r="A23" s="143"/>
      <c r="B23" s="71">
        <v>1</v>
      </c>
      <c r="C23" s="71">
        <v>2</v>
      </c>
      <c r="D23" s="71">
        <v>3</v>
      </c>
      <c r="E23" s="71">
        <v>4</v>
      </c>
      <c r="F23" s="71">
        <v>5</v>
      </c>
      <c r="G23" s="71">
        <v>6</v>
      </c>
      <c r="H23" s="71">
        <v>7</v>
      </c>
      <c r="I23" s="71">
        <v>8</v>
      </c>
      <c r="J23" s="71">
        <v>9</v>
      </c>
      <c r="K23" s="71">
        <v>10</v>
      </c>
      <c r="L23" s="71">
        <v>11</v>
      </c>
      <c r="M23" s="71">
        <v>12</v>
      </c>
      <c r="N23" s="71">
        <v>13</v>
      </c>
      <c r="O23" s="71">
        <v>14</v>
      </c>
      <c r="P23" s="71">
        <v>15</v>
      </c>
      <c r="Q23" s="71">
        <v>16</v>
      </c>
      <c r="R23" s="71">
        <v>17</v>
      </c>
      <c r="S23" s="71">
        <v>18</v>
      </c>
      <c r="T23" s="71">
        <v>19</v>
      </c>
      <c r="U23" s="71">
        <v>20</v>
      </c>
      <c r="V23" s="71">
        <v>21</v>
      </c>
      <c r="W23" s="71">
        <v>22</v>
      </c>
      <c r="X23" s="71">
        <v>23</v>
      </c>
      <c r="Y23" s="71">
        <v>24</v>
      </c>
      <c r="Z23" s="71">
        <v>25</v>
      </c>
      <c r="AA23" s="71">
        <v>26</v>
      </c>
      <c r="AB23" s="71">
        <v>27</v>
      </c>
      <c r="AC23" s="71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68">
        <v>14.2</v>
      </c>
      <c r="C24" s="68">
        <v>8.8000000000000007</v>
      </c>
      <c r="D24" s="68">
        <v>8.8000000000000007</v>
      </c>
      <c r="E24" s="68">
        <v>8.4</v>
      </c>
      <c r="F24" s="68">
        <v>10.3</v>
      </c>
      <c r="G24" s="73">
        <v>10.7</v>
      </c>
      <c r="H24" s="75">
        <v>10</v>
      </c>
      <c r="I24" s="77">
        <v>11.9</v>
      </c>
      <c r="J24" s="79">
        <v>13.4</v>
      </c>
      <c r="K24" s="81">
        <v>12.8</v>
      </c>
      <c r="L24" s="84">
        <v>14.2</v>
      </c>
      <c r="M24" s="86">
        <v>10.9</v>
      </c>
      <c r="N24" s="88">
        <v>13.9</v>
      </c>
      <c r="O24" s="90">
        <v>12.3</v>
      </c>
      <c r="P24" s="92">
        <v>12.9</v>
      </c>
      <c r="Q24" s="94">
        <v>16.2</v>
      </c>
      <c r="R24" s="96">
        <v>15.6</v>
      </c>
      <c r="S24" s="98">
        <v>13.3</v>
      </c>
      <c r="T24" s="100">
        <v>16.600000000000001</v>
      </c>
      <c r="U24" s="102">
        <v>14.2</v>
      </c>
      <c r="V24" s="104">
        <v>16.8</v>
      </c>
      <c r="W24" s="106">
        <v>17.3</v>
      </c>
      <c r="X24" s="108">
        <v>16.7</v>
      </c>
      <c r="Y24" s="110">
        <v>16</v>
      </c>
      <c r="Z24" s="112">
        <v>11</v>
      </c>
      <c r="AA24" s="114">
        <v>10</v>
      </c>
      <c r="AB24" s="116">
        <v>13.1</v>
      </c>
      <c r="AC24" s="120">
        <v>17.399999999999999</v>
      </c>
      <c r="AD24" s="120">
        <v>12.9</v>
      </c>
      <c r="AE24" s="120">
        <v>11.8</v>
      </c>
      <c r="AF24" s="120">
        <v>8</v>
      </c>
    </row>
    <row r="25" spans="1:32" x14ac:dyDescent="0.25">
      <c r="A25" s="53">
        <v>6</v>
      </c>
      <c r="B25" s="68">
        <v>14.2</v>
      </c>
      <c r="C25" s="68">
        <v>13</v>
      </c>
      <c r="D25" s="68">
        <v>9.4</v>
      </c>
      <c r="E25" s="68">
        <v>8.8000000000000007</v>
      </c>
      <c r="F25" s="68">
        <v>11.8</v>
      </c>
      <c r="G25" s="73">
        <v>12.4</v>
      </c>
      <c r="H25" s="75">
        <v>11.5</v>
      </c>
      <c r="I25" s="77">
        <v>11.9</v>
      </c>
      <c r="J25" s="79">
        <v>16.399999999999999</v>
      </c>
      <c r="K25" s="81">
        <v>15.9</v>
      </c>
      <c r="L25" s="84">
        <v>16.2</v>
      </c>
      <c r="M25" s="86">
        <v>14.3</v>
      </c>
      <c r="N25" s="88">
        <v>14.5</v>
      </c>
      <c r="O25" s="90">
        <v>13.8</v>
      </c>
      <c r="P25" s="92">
        <v>13.3</v>
      </c>
      <c r="Q25" s="94">
        <v>16.8</v>
      </c>
      <c r="R25" s="96">
        <v>15.3</v>
      </c>
      <c r="S25" s="98">
        <v>15</v>
      </c>
      <c r="T25" s="100">
        <v>16</v>
      </c>
      <c r="U25" s="102">
        <v>14.8</v>
      </c>
      <c r="V25" s="104">
        <v>17</v>
      </c>
      <c r="W25" s="106">
        <v>18.600000000000001</v>
      </c>
      <c r="X25" s="108">
        <v>18.2</v>
      </c>
      <c r="Y25" s="110">
        <v>16</v>
      </c>
      <c r="Z25" s="112">
        <v>12</v>
      </c>
      <c r="AA25" s="114">
        <v>12.6</v>
      </c>
      <c r="AB25" s="116">
        <v>14.3</v>
      </c>
      <c r="AC25" s="120">
        <v>16.5</v>
      </c>
      <c r="AD25" s="120">
        <v>12.4</v>
      </c>
      <c r="AE25" s="120">
        <v>11.4</v>
      </c>
      <c r="AF25" s="120">
        <v>10.3</v>
      </c>
    </row>
    <row r="26" spans="1:32" x14ac:dyDescent="0.25">
      <c r="A26" s="53">
        <v>8</v>
      </c>
      <c r="B26" s="68">
        <v>14.6</v>
      </c>
      <c r="C26" s="68">
        <v>16.100000000000001</v>
      </c>
      <c r="D26" s="68">
        <v>9.3000000000000007</v>
      </c>
      <c r="E26" s="68">
        <v>10.4</v>
      </c>
      <c r="F26" s="68">
        <v>14.9</v>
      </c>
      <c r="G26" s="73">
        <v>14.8</v>
      </c>
      <c r="H26" s="75">
        <v>13</v>
      </c>
      <c r="I26" s="77">
        <v>13.5</v>
      </c>
      <c r="J26" s="79">
        <v>20.3</v>
      </c>
      <c r="K26" s="81">
        <v>22.4</v>
      </c>
      <c r="L26" s="84">
        <v>21.3</v>
      </c>
      <c r="M26" s="86">
        <v>19.7</v>
      </c>
      <c r="N26" s="88">
        <v>16.600000000000001</v>
      </c>
      <c r="O26" s="90">
        <v>16.399999999999999</v>
      </c>
      <c r="P26" s="92">
        <v>15.5</v>
      </c>
      <c r="Q26" s="94">
        <v>18.3</v>
      </c>
      <c r="R26" s="96">
        <v>16.899999999999999</v>
      </c>
      <c r="S26" s="98">
        <v>19.8</v>
      </c>
      <c r="T26" s="100">
        <v>19.3</v>
      </c>
      <c r="U26" s="102">
        <v>18.600000000000001</v>
      </c>
      <c r="V26" s="104">
        <v>18.7</v>
      </c>
      <c r="W26" s="106">
        <v>22.6</v>
      </c>
      <c r="X26" s="108">
        <v>22.7</v>
      </c>
      <c r="Y26" s="110">
        <v>14.5</v>
      </c>
      <c r="Z26" s="112">
        <v>14.1</v>
      </c>
      <c r="AA26" s="114">
        <v>16.399999999999999</v>
      </c>
      <c r="AB26" s="116">
        <v>17.2</v>
      </c>
      <c r="AC26" s="120">
        <v>16.399999999999999</v>
      </c>
      <c r="AD26" s="120">
        <v>13.1</v>
      </c>
      <c r="AE26" s="120">
        <v>14.3</v>
      </c>
      <c r="AF26" s="120">
        <v>15.4</v>
      </c>
    </row>
    <row r="27" spans="1:32" x14ac:dyDescent="0.25">
      <c r="A27" s="53">
        <v>10</v>
      </c>
      <c r="B27" s="68">
        <v>14.8</v>
      </c>
      <c r="C27" s="68">
        <v>16.899999999999999</v>
      </c>
      <c r="D27" s="68">
        <v>10.6</v>
      </c>
      <c r="E27" s="68">
        <v>13</v>
      </c>
      <c r="F27" s="68">
        <v>17.399999999999999</v>
      </c>
      <c r="G27" s="73">
        <v>15.8</v>
      </c>
      <c r="H27" s="75">
        <v>17.600000000000001</v>
      </c>
      <c r="I27" s="77">
        <v>16.899999999999999</v>
      </c>
      <c r="J27" s="79">
        <v>23.4</v>
      </c>
      <c r="K27" s="81">
        <v>24.3</v>
      </c>
      <c r="L27" s="83">
        <v>24.4</v>
      </c>
      <c r="M27" s="86">
        <v>22.1</v>
      </c>
      <c r="N27" s="88">
        <v>19.100000000000001</v>
      </c>
      <c r="O27" s="90">
        <v>17.399999999999999</v>
      </c>
      <c r="P27" s="92">
        <v>15.4</v>
      </c>
      <c r="Q27" s="94">
        <v>18.399999999999999</v>
      </c>
      <c r="R27" s="96">
        <v>19.600000000000001</v>
      </c>
      <c r="S27" s="98">
        <v>21.4</v>
      </c>
      <c r="T27" s="100">
        <v>22.6</v>
      </c>
      <c r="U27" s="102">
        <v>19.5</v>
      </c>
      <c r="V27" s="104">
        <v>21.4</v>
      </c>
      <c r="W27" s="106">
        <v>25.8</v>
      </c>
      <c r="X27" s="108">
        <v>25.5</v>
      </c>
      <c r="Y27" s="110">
        <v>14.9</v>
      </c>
      <c r="Z27" s="112">
        <v>16.8</v>
      </c>
      <c r="AA27" s="114">
        <v>18.2</v>
      </c>
      <c r="AB27" s="116">
        <v>20.5</v>
      </c>
      <c r="AC27" s="120">
        <v>19</v>
      </c>
      <c r="AD27" s="120">
        <v>15.2</v>
      </c>
      <c r="AE27" s="120">
        <v>15.6</v>
      </c>
      <c r="AF27" s="120">
        <v>18.2</v>
      </c>
    </row>
    <row r="28" spans="1:32" x14ac:dyDescent="0.25">
      <c r="A28" s="53">
        <v>12</v>
      </c>
      <c r="B28" s="68">
        <v>18.100000000000001</v>
      </c>
      <c r="C28" s="68">
        <v>15.9</v>
      </c>
      <c r="D28" s="68">
        <v>11.2</v>
      </c>
      <c r="E28" s="68">
        <v>15</v>
      </c>
      <c r="F28" s="68">
        <v>19.600000000000001</v>
      </c>
      <c r="G28" s="73">
        <v>15</v>
      </c>
      <c r="H28" s="75">
        <v>18.399999999999999</v>
      </c>
      <c r="I28" s="77">
        <v>20.100000000000001</v>
      </c>
      <c r="J28" s="79">
        <v>26</v>
      </c>
      <c r="K28" s="81">
        <v>26.6</v>
      </c>
      <c r="L28" s="83">
        <v>24.8</v>
      </c>
      <c r="M28" s="86">
        <v>24.3</v>
      </c>
      <c r="N28" s="88">
        <v>17.600000000000001</v>
      </c>
      <c r="O28" s="90">
        <v>15.8</v>
      </c>
      <c r="P28" s="92">
        <v>16.8</v>
      </c>
      <c r="Q28" s="94">
        <v>18.7</v>
      </c>
      <c r="R28" s="96">
        <v>20.5</v>
      </c>
      <c r="S28" s="98">
        <v>22.7</v>
      </c>
      <c r="T28" s="100">
        <v>22.3</v>
      </c>
      <c r="U28" s="102">
        <v>20.6</v>
      </c>
      <c r="V28" s="104">
        <v>23.9</v>
      </c>
      <c r="W28" s="106">
        <v>27.2</v>
      </c>
      <c r="X28" s="108">
        <v>26.1</v>
      </c>
      <c r="Y28" s="110">
        <v>15.6</v>
      </c>
      <c r="Z28" s="112">
        <v>19.600000000000001</v>
      </c>
      <c r="AA28" s="114">
        <v>20.100000000000001</v>
      </c>
      <c r="AB28" s="116">
        <v>21.7</v>
      </c>
      <c r="AC28" s="120">
        <v>18.399999999999999</v>
      </c>
      <c r="AD28" s="120">
        <v>15.6</v>
      </c>
      <c r="AE28" s="120">
        <v>17</v>
      </c>
      <c r="AF28" s="120">
        <v>20</v>
      </c>
    </row>
    <row r="29" spans="1:32" x14ac:dyDescent="0.25">
      <c r="A29" s="53">
        <v>14</v>
      </c>
      <c r="B29" s="68">
        <v>20</v>
      </c>
      <c r="C29" s="68">
        <v>14.4</v>
      </c>
      <c r="D29" s="68">
        <v>13.1</v>
      </c>
      <c r="E29" s="68">
        <v>14.3</v>
      </c>
      <c r="F29" s="68">
        <v>18.7</v>
      </c>
      <c r="G29" s="73">
        <v>15.6</v>
      </c>
      <c r="H29" s="75">
        <v>17.7</v>
      </c>
      <c r="I29" s="77">
        <v>21.5</v>
      </c>
      <c r="J29" s="79">
        <v>26.8</v>
      </c>
      <c r="K29" s="81">
        <v>26.8</v>
      </c>
      <c r="L29" s="83">
        <v>24.9</v>
      </c>
      <c r="M29" s="86">
        <v>20.100000000000001</v>
      </c>
      <c r="N29" s="88">
        <v>16.100000000000001</v>
      </c>
      <c r="O29" s="90">
        <v>18.600000000000001</v>
      </c>
      <c r="P29" s="92">
        <v>16.8</v>
      </c>
      <c r="Q29" s="94">
        <v>20.100000000000001</v>
      </c>
      <c r="R29" s="96">
        <v>22.4</v>
      </c>
      <c r="S29" s="98">
        <v>23.9</v>
      </c>
      <c r="T29" s="100">
        <v>24.7</v>
      </c>
      <c r="U29" s="102">
        <v>23.3</v>
      </c>
      <c r="V29" s="104">
        <v>24.5</v>
      </c>
      <c r="W29" s="106">
        <v>27.6</v>
      </c>
      <c r="X29" s="108">
        <v>28.1</v>
      </c>
      <c r="Y29" s="110">
        <v>17.5</v>
      </c>
      <c r="Z29" s="112">
        <v>21</v>
      </c>
      <c r="AA29" s="114">
        <v>20.7</v>
      </c>
      <c r="AB29" s="116">
        <v>23.3</v>
      </c>
      <c r="AC29" s="120">
        <v>21.6</v>
      </c>
      <c r="AD29" s="120">
        <v>15.2</v>
      </c>
      <c r="AE29" s="120">
        <v>20.3</v>
      </c>
      <c r="AF29" s="120">
        <v>18.3</v>
      </c>
    </row>
    <row r="30" spans="1:32" x14ac:dyDescent="0.25">
      <c r="A30" s="53">
        <v>16</v>
      </c>
      <c r="B30" s="68">
        <v>20.9</v>
      </c>
      <c r="C30" s="68">
        <v>15.2</v>
      </c>
      <c r="D30" s="68">
        <v>12.4</v>
      </c>
      <c r="E30" s="68">
        <v>15.2</v>
      </c>
      <c r="F30" s="68">
        <v>18.399999999999999</v>
      </c>
      <c r="G30" s="73">
        <v>13</v>
      </c>
      <c r="H30" s="75">
        <v>17.899999999999999</v>
      </c>
      <c r="I30" s="77">
        <v>21.8</v>
      </c>
      <c r="J30" s="79">
        <v>27.2</v>
      </c>
      <c r="K30" s="81">
        <v>27.5</v>
      </c>
      <c r="L30" s="83">
        <v>24.1</v>
      </c>
      <c r="M30" s="86">
        <v>23.2</v>
      </c>
      <c r="N30" s="88">
        <v>15.2</v>
      </c>
      <c r="O30" s="90">
        <v>18.8</v>
      </c>
      <c r="P30" s="92">
        <v>21</v>
      </c>
      <c r="Q30" s="94">
        <v>20.399999999999999</v>
      </c>
      <c r="R30" s="96">
        <v>22</v>
      </c>
      <c r="S30" s="98">
        <v>24.1</v>
      </c>
      <c r="T30" s="100">
        <v>22.5</v>
      </c>
      <c r="U30" s="102">
        <v>23.9</v>
      </c>
      <c r="V30" s="104">
        <v>26.7</v>
      </c>
      <c r="W30" s="106">
        <v>27.7</v>
      </c>
      <c r="X30" s="108">
        <v>26.1</v>
      </c>
      <c r="Y30" s="110">
        <v>17</v>
      </c>
      <c r="Z30" s="112">
        <v>19.600000000000001</v>
      </c>
      <c r="AA30" s="114">
        <v>21.1</v>
      </c>
      <c r="AB30" s="116">
        <v>22.7</v>
      </c>
      <c r="AC30" s="120">
        <v>22.3</v>
      </c>
      <c r="AD30" s="120">
        <v>14.6</v>
      </c>
      <c r="AE30" s="120">
        <v>17.7</v>
      </c>
      <c r="AF30" s="120">
        <v>21.4</v>
      </c>
    </row>
    <row r="31" spans="1:32" x14ac:dyDescent="0.25">
      <c r="A31" s="53">
        <v>18</v>
      </c>
      <c r="B31" s="68">
        <v>18.7</v>
      </c>
      <c r="C31" s="68">
        <v>14.4</v>
      </c>
      <c r="D31" s="68">
        <v>10.6</v>
      </c>
      <c r="E31" s="68">
        <v>13.4</v>
      </c>
      <c r="F31" s="68">
        <v>18.100000000000001</v>
      </c>
      <c r="G31" s="73">
        <v>12.2</v>
      </c>
      <c r="H31" s="75">
        <v>17.100000000000001</v>
      </c>
      <c r="I31" s="77">
        <v>20.100000000000001</v>
      </c>
      <c r="J31" s="79">
        <v>24.6</v>
      </c>
      <c r="K31" s="81">
        <v>25.1</v>
      </c>
      <c r="L31" s="83">
        <v>24.1</v>
      </c>
      <c r="M31" s="86">
        <v>16.5</v>
      </c>
      <c r="N31" s="88">
        <v>15.6</v>
      </c>
      <c r="O31" s="90">
        <v>18</v>
      </c>
      <c r="P31" s="92">
        <v>20</v>
      </c>
      <c r="Q31" s="94">
        <v>19.600000000000001</v>
      </c>
      <c r="R31" s="96">
        <v>21.1</v>
      </c>
      <c r="S31" s="98">
        <v>21.7</v>
      </c>
      <c r="T31" s="100">
        <v>20.2</v>
      </c>
      <c r="U31" s="102">
        <v>22.3</v>
      </c>
      <c r="V31" s="104">
        <v>23.3</v>
      </c>
      <c r="W31" s="106">
        <v>25.9</v>
      </c>
      <c r="X31" s="108">
        <v>23.1</v>
      </c>
      <c r="Y31" s="110">
        <v>15.4</v>
      </c>
      <c r="Z31" s="112">
        <v>17.5</v>
      </c>
      <c r="AA31" s="114">
        <v>19.2</v>
      </c>
      <c r="AB31" s="116">
        <v>21</v>
      </c>
      <c r="AC31" s="120">
        <v>16.5</v>
      </c>
      <c r="AD31" s="120">
        <v>14.5</v>
      </c>
      <c r="AE31" s="120">
        <v>17.8</v>
      </c>
      <c r="AF31" s="120">
        <v>15.7</v>
      </c>
    </row>
    <row r="32" spans="1:32" x14ac:dyDescent="0.25">
      <c r="A32" s="53">
        <v>20</v>
      </c>
      <c r="B32" s="68">
        <v>16.8</v>
      </c>
      <c r="C32" s="68">
        <v>12.5</v>
      </c>
      <c r="D32" s="68">
        <v>9.6999999999999993</v>
      </c>
      <c r="E32" s="68">
        <v>12.5</v>
      </c>
      <c r="F32" s="68">
        <v>14.4</v>
      </c>
      <c r="G32" s="73">
        <v>11.9</v>
      </c>
      <c r="H32" s="75">
        <v>14.9</v>
      </c>
      <c r="I32" s="77">
        <v>15.7</v>
      </c>
      <c r="J32" s="79">
        <v>21.4</v>
      </c>
      <c r="K32" s="81">
        <v>21</v>
      </c>
      <c r="L32" s="83">
        <v>20.8</v>
      </c>
      <c r="M32" s="86">
        <v>15.1</v>
      </c>
      <c r="N32" s="88">
        <v>14.1</v>
      </c>
      <c r="O32" s="90">
        <v>15.4</v>
      </c>
      <c r="P32" s="92">
        <v>17.5</v>
      </c>
      <c r="Q32" s="94">
        <v>16.5</v>
      </c>
      <c r="R32" s="96">
        <v>17.3</v>
      </c>
      <c r="S32" s="98">
        <v>18.3</v>
      </c>
      <c r="T32" s="100">
        <v>19.600000000000001</v>
      </c>
      <c r="U32" s="102">
        <v>19.899999999999999</v>
      </c>
      <c r="V32" s="104">
        <v>20.399999999999999</v>
      </c>
      <c r="W32" s="106">
        <v>21.6</v>
      </c>
      <c r="X32" s="108">
        <v>20</v>
      </c>
      <c r="Y32" s="110">
        <v>13.6</v>
      </c>
      <c r="Z32" s="112">
        <v>13.1</v>
      </c>
      <c r="AA32" s="114">
        <v>16.5</v>
      </c>
      <c r="AB32" s="116">
        <v>17.899999999999999</v>
      </c>
      <c r="AC32" s="120">
        <v>16.100000000000001</v>
      </c>
      <c r="AD32" s="120">
        <v>14</v>
      </c>
      <c r="AE32" s="120">
        <v>12.4</v>
      </c>
      <c r="AF32" s="120">
        <v>12</v>
      </c>
    </row>
    <row r="33" spans="1:32" x14ac:dyDescent="0.25">
      <c r="A33" s="53">
        <v>22</v>
      </c>
      <c r="B33" s="68">
        <v>14.1</v>
      </c>
      <c r="C33" s="68">
        <v>10.9</v>
      </c>
      <c r="D33" s="68">
        <v>8.6</v>
      </c>
      <c r="E33" s="68">
        <v>11.2</v>
      </c>
      <c r="F33" s="68">
        <v>11.6</v>
      </c>
      <c r="G33" s="73">
        <v>12.4</v>
      </c>
      <c r="H33" s="75">
        <v>13.2</v>
      </c>
      <c r="I33" s="77">
        <v>14.6</v>
      </c>
      <c r="J33" s="79">
        <v>15.4</v>
      </c>
      <c r="K33" s="81">
        <v>18.3</v>
      </c>
      <c r="L33" s="83">
        <v>16.899999999999999</v>
      </c>
      <c r="M33" s="86">
        <v>13.7</v>
      </c>
      <c r="N33" s="88">
        <v>13.8</v>
      </c>
      <c r="O33" s="90">
        <v>14.1</v>
      </c>
      <c r="P33" s="92">
        <v>16.899999999999999</v>
      </c>
      <c r="Q33" s="94">
        <v>15.9</v>
      </c>
      <c r="R33" s="96">
        <v>15.6</v>
      </c>
      <c r="S33" s="98">
        <v>16.8</v>
      </c>
      <c r="T33" s="100">
        <v>17.899999999999999</v>
      </c>
      <c r="U33" s="102">
        <v>18.5</v>
      </c>
      <c r="V33" s="104">
        <v>18.5</v>
      </c>
      <c r="W33" s="106">
        <v>20</v>
      </c>
      <c r="X33" s="108">
        <v>17.600000000000001</v>
      </c>
      <c r="Y33" s="110">
        <v>12.2</v>
      </c>
      <c r="Z33" s="112">
        <v>12.1</v>
      </c>
      <c r="AA33" s="114">
        <v>15.1</v>
      </c>
      <c r="AB33" s="116">
        <v>17.399999999999999</v>
      </c>
      <c r="AC33" s="120">
        <v>13.9</v>
      </c>
      <c r="AD33" s="120">
        <v>12</v>
      </c>
      <c r="AE33" s="120">
        <v>10.4</v>
      </c>
      <c r="AF33" s="120">
        <v>10.9</v>
      </c>
    </row>
    <row r="34" spans="1:32" x14ac:dyDescent="0.25">
      <c r="A34" s="53">
        <v>24</v>
      </c>
      <c r="B34" s="68">
        <v>14</v>
      </c>
      <c r="C34" s="68">
        <v>9.6</v>
      </c>
      <c r="D34" s="68">
        <v>8.6</v>
      </c>
      <c r="E34" s="68">
        <v>10.1</v>
      </c>
      <c r="F34" s="68">
        <v>10.7</v>
      </c>
      <c r="G34" s="73">
        <v>11.1</v>
      </c>
      <c r="H34" s="75">
        <v>13.5</v>
      </c>
      <c r="I34" s="77">
        <v>14.6</v>
      </c>
      <c r="J34" s="79">
        <v>13.8</v>
      </c>
      <c r="K34" s="81">
        <v>15.9</v>
      </c>
      <c r="L34" s="83">
        <v>13.8</v>
      </c>
      <c r="M34" s="86">
        <v>13.8</v>
      </c>
      <c r="N34" s="88">
        <v>13.5</v>
      </c>
      <c r="O34" s="90">
        <v>13.4</v>
      </c>
      <c r="P34" s="92">
        <v>16.600000000000001</v>
      </c>
      <c r="Q34" s="94">
        <v>15.8</v>
      </c>
      <c r="R34" s="96">
        <v>14.6</v>
      </c>
      <c r="S34" s="98">
        <v>16.899999999999999</v>
      </c>
      <c r="T34" s="100">
        <v>16.8</v>
      </c>
      <c r="U34" s="102">
        <v>18</v>
      </c>
      <c r="V34" s="104">
        <v>19</v>
      </c>
      <c r="W34" s="106">
        <v>17.3</v>
      </c>
      <c r="X34" s="108">
        <v>16.600000000000001</v>
      </c>
      <c r="Y34" s="110">
        <v>12.4</v>
      </c>
      <c r="Z34" s="112">
        <v>10.9</v>
      </c>
      <c r="AA34" s="114">
        <v>14.3</v>
      </c>
      <c r="AB34" s="116">
        <v>16.899999999999999</v>
      </c>
      <c r="AC34" s="120">
        <v>13.8</v>
      </c>
      <c r="AD34" s="120">
        <v>11.9</v>
      </c>
      <c r="AE34" s="120">
        <v>10.8</v>
      </c>
      <c r="AF34" s="120">
        <v>10.6</v>
      </c>
    </row>
    <row r="35" spans="1:32" x14ac:dyDescent="0.25">
      <c r="A35" s="53">
        <v>2</v>
      </c>
      <c r="B35" s="68">
        <v>10.9</v>
      </c>
      <c r="C35" s="68">
        <v>9.8000000000000007</v>
      </c>
      <c r="D35" s="68">
        <v>8.1</v>
      </c>
      <c r="E35" s="68">
        <v>10.199999999999999</v>
      </c>
      <c r="F35" s="68">
        <v>10.1</v>
      </c>
      <c r="G35" s="73">
        <v>10.8</v>
      </c>
      <c r="H35" s="75">
        <v>12.1</v>
      </c>
      <c r="I35" s="77">
        <v>14.8</v>
      </c>
      <c r="J35" s="79">
        <v>13.2</v>
      </c>
      <c r="K35" s="81">
        <v>15.4</v>
      </c>
      <c r="L35" s="83">
        <v>12.7</v>
      </c>
      <c r="M35" s="86">
        <v>13.1</v>
      </c>
      <c r="N35" s="88">
        <v>13.1</v>
      </c>
      <c r="O35" s="90">
        <v>12.9</v>
      </c>
      <c r="P35" s="92">
        <v>16.3</v>
      </c>
      <c r="Q35" s="94">
        <v>16.3</v>
      </c>
      <c r="R35" s="96">
        <v>14</v>
      </c>
      <c r="S35" s="98">
        <v>16.7</v>
      </c>
      <c r="T35" s="100">
        <v>15.9</v>
      </c>
      <c r="U35" s="102">
        <v>18.100000000000001</v>
      </c>
      <c r="V35" s="104">
        <v>18.600000000000001</v>
      </c>
      <c r="W35" s="106">
        <v>16.3</v>
      </c>
      <c r="X35" s="108">
        <v>16.5</v>
      </c>
      <c r="Y35" s="110">
        <v>12.2</v>
      </c>
      <c r="Z35" s="112">
        <v>10.9</v>
      </c>
      <c r="AA35" s="114">
        <v>14.3</v>
      </c>
      <c r="AB35" s="116">
        <v>17.399999999999999</v>
      </c>
      <c r="AC35" s="120">
        <v>13.6</v>
      </c>
      <c r="AD35" s="120">
        <v>11.5</v>
      </c>
      <c r="AE35" s="120">
        <v>8.5</v>
      </c>
      <c r="AF35" s="120">
        <v>10.4</v>
      </c>
    </row>
    <row r="36" spans="1:32" ht="28.5" x14ac:dyDescent="0.25">
      <c r="A36" s="55" t="s">
        <v>2</v>
      </c>
      <c r="B36" s="56">
        <f>AVERAGE(B24+B25+B26+B27+B28+B29+B30+B31+B32+B33+B34+B35)/12</f>
        <v>15.941666666666668</v>
      </c>
      <c r="C36" s="56">
        <f t="shared" ref="C36:AF36" si="1">AVERAGE(C24+C25+C26+C27+C28+C29+C30+C31+C32+C33+C34+C35)/12</f>
        <v>13.125000000000002</v>
      </c>
      <c r="D36" s="56">
        <f t="shared" si="1"/>
        <v>10.033333333333331</v>
      </c>
      <c r="E36" s="56">
        <f t="shared" si="1"/>
        <v>11.875</v>
      </c>
      <c r="F36" s="56">
        <f t="shared" si="1"/>
        <v>14.666666666666664</v>
      </c>
      <c r="G36" s="56">
        <f t="shared" si="1"/>
        <v>12.975000000000001</v>
      </c>
      <c r="H36" s="56">
        <f t="shared" si="1"/>
        <v>14.741666666666665</v>
      </c>
      <c r="I36" s="56">
        <f t="shared" si="1"/>
        <v>16.45</v>
      </c>
      <c r="J36" s="56">
        <f t="shared" si="1"/>
        <v>20.158333333333335</v>
      </c>
      <c r="K36" s="56">
        <f t="shared" si="1"/>
        <v>21.000000000000004</v>
      </c>
      <c r="L36" s="56">
        <f t="shared" si="1"/>
        <v>19.849999999999998</v>
      </c>
      <c r="M36" s="56">
        <f t="shared" si="1"/>
        <v>17.233333333333331</v>
      </c>
      <c r="N36" s="56">
        <f t="shared" si="1"/>
        <v>15.258333333333333</v>
      </c>
      <c r="O36" s="56">
        <f t="shared" si="1"/>
        <v>15.575000000000003</v>
      </c>
      <c r="P36" s="56">
        <f t="shared" si="1"/>
        <v>16.583333333333332</v>
      </c>
      <c r="Q36" s="56">
        <f t="shared" si="1"/>
        <v>17.750000000000004</v>
      </c>
      <c r="R36" s="56">
        <f t="shared" si="1"/>
        <v>17.908333333333335</v>
      </c>
      <c r="S36" s="56">
        <f t="shared" si="1"/>
        <v>19.216666666666665</v>
      </c>
      <c r="T36" s="56">
        <f t="shared" si="1"/>
        <v>19.533333333333335</v>
      </c>
      <c r="U36" s="56">
        <f t="shared" si="1"/>
        <v>19.308333333333334</v>
      </c>
      <c r="V36" s="56">
        <f t="shared" si="1"/>
        <v>20.733333333333334</v>
      </c>
      <c r="W36" s="56">
        <f t="shared" si="1"/>
        <v>22.325000000000003</v>
      </c>
      <c r="X36" s="56">
        <f t="shared" si="1"/>
        <v>21.433333333333326</v>
      </c>
      <c r="Y36" s="56">
        <f t="shared" si="1"/>
        <v>14.774999999999999</v>
      </c>
      <c r="Z36" s="56">
        <f t="shared" si="1"/>
        <v>14.883333333333333</v>
      </c>
      <c r="AA36" s="56">
        <f t="shared" si="1"/>
        <v>16.541666666666668</v>
      </c>
      <c r="AB36" s="56">
        <f t="shared" si="1"/>
        <v>18.616666666666667</v>
      </c>
      <c r="AC36" s="56">
        <f t="shared" si="1"/>
        <v>17.125</v>
      </c>
      <c r="AD36" s="56">
        <f t="shared" si="1"/>
        <v>13.575000000000001</v>
      </c>
      <c r="AE36" s="56">
        <f t="shared" si="1"/>
        <v>14</v>
      </c>
      <c r="AF36" s="56">
        <f t="shared" si="1"/>
        <v>14.266666666666667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opLeftCell="C7" workbookViewId="0">
      <selection activeCell="AD38" sqref="AD38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1" x14ac:dyDescent="0.25">
      <c r="A1" s="118" t="s">
        <v>8</v>
      </c>
      <c r="B1" s="140" t="s">
        <v>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 x14ac:dyDescent="0.25">
      <c r="A2" s="141" t="s">
        <v>0</v>
      </c>
      <c r="B2" s="143" t="s">
        <v>63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1" x14ac:dyDescent="0.25">
      <c r="A3" s="142"/>
      <c r="B3" s="118">
        <v>1</v>
      </c>
      <c r="C3" s="118">
        <v>2</v>
      </c>
      <c r="D3" s="118">
        <v>3</v>
      </c>
      <c r="E3" s="118">
        <v>4</v>
      </c>
      <c r="F3" s="118">
        <v>5</v>
      </c>
      <c r="G3" s="118">
        <v>6</v>
      </c>
      <c r="H3" s="118">
        <v>7</v>
      </c>
      <c r="I3" s="118">
        <v>8</v>
      </c>
      <c r="J3" s="118">
        <v>9</v>
      </c>
      <c r="K3" s="118">
        <v>10</v>
      </c>
      <c r="L3" s="118">
        <v>11</v>
      </c>
      <c r="M3" s="118">
        <v>12</v>
      </c>
      <c r="N3" s="118">
        <v>13</v>
      </c>
      <c r="O3" s="118">
        <v>14</v>
      </c>
      <c r="P3" s="118">
        <v>15</v>
      </c>
      <c r="Q3" s="118">
        <v>16</v>
      </c>
      <c r="R3" s="118">
        <v>17</v>
      </c>
      <c r="S3" s="118">
        <v>18</v>
      </c>
      <c r="T3" s="118">
        <v>19</v>
      </c>
      <c r="U3" s="118">
        <v>20</v>
      </c>
      <c r="V3" s="118">
        <v>21</v>
      </c>
      <c r="W3" s="118">
        <v>22</v>
      </c>
      <c r="X3" s="118">
        <v>23</v>
      </c>
      <c r="Y3" s="118">
        <v>24</v>
      </c>
      <c r="Z3" s="118">
        <v>25</v>
      </c>
      <c r="AA3" s="118">
        <v>26</v>
      </c>
      <c r="AB3" s="118">
        <v>27</v>
      </c>
      <c r="AC3" s="118">
        <v>28</v>
      </c>
      <c r="AD3" s="59">
        <v>29</v>
      </c>
      <c r="AE3" s="59">
        <v>30</v>
      </c>
    </row>
    <row r="4" spans="1:31" x14ac:dyDescent="0.25">
      <c r="A4" s="53">
        <v>4</v>
      </c>
      <c r="B4" s="120">
        <v>10.54</v>
      </c>
      <c r="C4" s="120">
        <v>9.9</v>
      </c>
      <c r="D4" s="120">
        <v>11.2</v>
      </c>
      <c r="E4" s="120">
        <v>9.6</v>
      </c>
      <c r="F4" s="120">
        <v>8.84</v>
      </c>
      <c r="G4" s="120">
        <v>8.6</v>
      </c>
      <c r="H4" s="120">
        <v>11.1</v>
      </c>
      <c r="I4" s="120">
        <v>13.8</v>
      </c>
      <c r="J4" s="120"/>
      <c r="K4" s="84">
        <v>9.84</v>
      </c>
      <c r="L4" s="120">
        <v>6.2</v>
      </c>
      <c r="M4" s="120">
        <v>6.3</v>
      </c>
      <c r="N4" s="120">
        <v>9.9499999999999993</v>
      </c>
      <c r="O4" s="120">
        <v>9.6999999999999993</v>
      </c>
      <c r="P4" s="120">
        <v>10.8</v>
      </c>
      <c r="Q4" s="120">
        <v>10.7</v>
      </c>
      <c r="R4" s="120">
        <v>7.44</v>
      </c>
      <c r="S4" s="120">
        <v>10.85</v>
      </c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</row>
    <row r="5" spans="1:31" x14ac:dyDescent="0.25">
      <c r="A5" s="53">
        <v>6</v>
      </c>
      <c r="B5" s="120">
        <v>11.45</v>
      </c>
      <c r="C5" s="120">
        <v>9.6999999999999993</v>
      </c>
      <c r="D5" s="120">
        <v>11.2</v>
      </c>
      <c r="E5" s="120">
        <v>10.199999999999999</v>
      </c>
      <c r="F5" s="120">
        <v>8.65</v>
      </c>
      <c r="G5" s="120">
        <v>9.4</v>
      </c>
      <c r="H5" s="120">
        <v>11.1</v>
      </c>
      <c r="I5" s="120">
        <v>12.7</v>
      </c>
      <c r="J5" s="120"/>
      <c r="K5" s="84">
        <v>9.74</v>
      </c>
      <c r="L5" s="120">
        <v>6.2</v>
      </c>
      <c r="M5" s="120">
        <v>6.1</v>
      </c>
      <c r="N5" s="120">
        <v>9.43</v>
      </c>
      <c r="O5" s="120">
        <v>9.1999999999999993</v>
      </c>
      <c r="P5" s="120">
        <v>11.2</v>
      </c>
      <c r="Q5" s="120">
        <v>10.7</v>
      </c>
      <c r="R5" s="120">
        <v>9.1999999999999993</v>
      </c>
      <c r="S5" s="120">
        <v>10.86</v>
      </c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</row>
    <row r="6" spans="1:31" x14ac:dyDescent="0.25">
      <c r="A6" s="53">
        <v>8</v>
      </c>
      <c r="B6" s="120">
        <v>13.8</v>
      </c>
      <c r="C6" s="120">
        <v>11.2</v>
      </c>
      <c r="D6" s="120">
        <v>11.63</v>
      </c>
      <c r="E6" s="120">
        <v>15.13</v>
      </c>
      <c r="F6" s="120">
        <v>12.59</v>
      </c>
      <c r="G6" s="120">
        <v>13.1</v>
      </c>
      <c r="H6" s="120">
        <v>12.5</v>
      </c>
      <c r="I6" s="120">
        <v>13.16</v>
      </c>
      <c r="J6" s="120"/>
      <c r="K6" s="84">
        <v>9.4</v>
      </c>
      <c r="L6" s="120">
        <v>7.1</v>
      </c>
      <c r="M6" s="120">
        <v>6.8</v>
      </c>
      <c r="N6" s="120">
        <v>9.8000000000000007</v>
      </c>
      <c r="O6" s="120">
        <v>10.3</v>
      </c>
      <c r="P6" s="120">
        <v>12.6</v>
      </c>
      <c r="Q6" s="120">
        <v>11</v>
      </c>
      <c r="R6" s="120">
        <v>11.19</v>
      </c>
      <c r="S6" s="120">
        <v>12.03</v>
      </c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</row>
    <row r="7" spans="1:31" x14ac:dyDescent="0.25">
      <c r="A7" s="53">
        <v>10</v>
      </c>
      <c r="B7" s="120">
        <v>17.399999999999999</v>
      </c>
      <c r="C7" s="120">
        <v>12.9</v>
      </c>
      <c r="D7" s="120">
        <v>14.81</v>
      </c>
      <c r="E7" s="120">
        <v>19.920000000000002</v>
      </c>
      <c r="F7" s="120">
        <v>16.100000000000001</v>
      </c>
      <c r="G7" s="120">
        <v>16.3</v>
      </c>
      <c r="H7" s="120">
        <v>15.53</v>
      </c>
      <c r="I7" s="120">
        <v>13.49</v>
      </c>
      <c r="J7" s="120"/>
      <c r="K7" s="84">
        <v>9.8000000000000007</v>
      </c>
      <c r="L7" s="120">
        <v>7.95</v>
      </c>
      <c r="M7" s="120">
        <v>10.62</v>
      </c>
      <c r="N7" s="120">
        <v>10.6</v>
      </c>
      <c r="O7" s="120">
        <v>14.1</v>
      </c>
      <c r="P7" s="120">
        <v>15.1</v>
      </c>
      <c r="Q7" s="120">
        <v>14.32</v>
      </c>
      <c r="R7" s="120">
        <v>13.99</v>
      </c>
      <c r="S7" s="120">
        <v>13.2</v>
      </c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</row>
    <row r="8" spans="1:31" x14ac:dyDescent="0.25">
      <c r="A8" s="53">
        <v>12</v>
      </c>
      <c r="B8" s="120">
        <v>18.2</v>
      </c>
      <c r="C8" s="120">
        <v>14.4</v>
      </c>
      <c r="D8" s="120">
        <v>17.7</v>
      </c>
      <c r="E8" s="120">
        <v>20.62</v>
      </c>
      <c r="F8" s="120">
        <v>17.7</v>
      </c>
      <c r="G8" s="120">
        <v>18.2</v>
      </c>
      <c r="H8" s="120">
        <v>15.86</v>
      </c>
      <c r="I8" s="120">
        <v>16.41</v>
      </c>
      <c r="J8" s="120"/>
      <c r="K8" s="84">
        <v>10.6</v>
      </c>
      <c r="L8" s="120">
        <v>10.09</v>
      </c>
      <c r="M8" s="120">
        <v>12.31</v>
      </c>
      <c r="N8" s="120">
        <v>11.5</v>
      </c>
      <c r="O8" s="120">
        <v>17.2</v>
      </c>
      <c r="P8" s="120">
        <v>17</v>
      </c>
      <c r="Q8" s="120">
        <v>15.17</v>
      </c>
      <c r="R8" s="120">
        <v>16.809999999999999</v>
      </c>
      <c r="S8" s="120">
        <v>13.2</v>
      </c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</row>
    <row r="9" spans="1:31" x14ac:dyDescent="0.25">
      <c r="A9" s="53">
        <v>14</v>
      </c>
      <c r="B9" s="120">
        <v>18.3</v>
      </c>
      <c r="C9" s="120">
        <v>14.9</v>
      </c>
      <c r="D9" s="120">
        <v>18.47</v>
      </c>
      <c r="E9" s="120">
        <v>21.13</v>
      </c>
      <c r="F9" s="120">
        <v>19.100000000000001</v>
      </c>
      <c r="G9" s="120">
        <v>18.3</v>
      </c>
      <c r="H9" s="120">
        <v>18.04</v>
      </c>
      <c r="I9" s="120">
        <v>14.12</v>
      </c>
      <c r="J9" s="120"/>
      <c r="K9" s="84">
        <v>10.9</v>
      </c>
      <c r="L9" s="120">
        <v>11.64</v>
      </c>
      <c r="M9" s="120">
        <v>12.34</v>
      </c>
      <c r="N9" s="120">
        <v>11.2</v>
      </c>
      <c r="O9" s="120">
        <v>19.2</v>
      </c>
      <c r="P9" s="120">
        <v>17.399999999999999</v>
      </c>
      <c r="Q9" s="120">
        <v>15.61</v>
      </c>
      <c r="R9" s="120">
        <v>17.16</v>
      </c>
      <c r="S9" s="120">
        <v>13.2</v>
      </c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</row>
    <row r="10" spans="1:31" x14ac:dyDescent="0.25">
      <c r="A10" s="53">
        <v>16</v>
      </c>
      <c r="B10" s="120">
        <v>16.5</v>
      </c>
      <c r="C10" s="120">
        <v>14.6</v>
      </c>
      <c r="D10" s="120">
        <v>20.09</v>
      </c>
      <c r="E10" s="120">
        <v>20.74</v>
      </c>
      <c r="F10" s="120">
        <v>18.100000000000001</v>
      </c>
      <c r="G10" s="120">
        <v>18</v>
      </c>
      <c r="H10" s="120">
        <v>17.48</v>
      </c>
      <c r="I10" s="120">
        <v>14.48</v>
      </c>
      <c r="J10" s="120"/>
      <c r="K10" s="84">
        <v>12.5</v>
      </c>
      <c r="L10" s="120">
        <v>11.38</v>
      </c>
      <c r="M10" s="120">
        <v>11.04</v>
      </c>
      <c r="N10" s="120">
        <v>11.6</v>
      </c>
      <c r="O10" s="120">
        <v>19.3</v>
      </c>
      <c r="P10" s="120">
        <v>17.2</v>
      </c>
      <c r="Q10" s="120">
        <v>17.2</v>
      </c>
      <c r="R10" s="120">
        <v>16.66</v>
      </c>
      <c r="S10" s="120">
        <v>13.25</v>
      </c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</row>
    <row r="11" spans="1:31" x14ac:dyDescent="0.25">
      <c r="A11" s="53">
        <v>18</v>
      </c>
      <c r="B11" s="120">
        <v>16.8</v>
      </c>
      <c r="C11" s="120">
        <v>14.8</v>
      </c>
      <c r="D11" s="120">
        <v>19.45</v>
      </c>
      <c r="E11" s="120">
        <v>18.8</v>
      </c>
      <c r="F11" s="120">
        <v>17.2</v>
      </c>
      <c r="G11" s="120">
        <v>15.5</v>
      </c>
      <c r="H11" s="120">
        <v>14.2</v>
      </c>
      <c r="I11" s="120">
        <v>13.27</v>
      </c>
      <c r="J11" s="120"/>
      <c r="K11" s="84">
        <v>9.6999999999999993</v>
      </c>
      <c r="L11" s="120">
        <v>9.1999999999999993</v>
      </c>
      <c r="M11" s="120">
        <v>9.9600000000000009</v>
      </c>
      <c r="N11" s="120">
        <v>11.82</v>
      </c>
      <c r="O11" s="120">
        <v>17</v>
      </c>
      <c r="P11" s="120">
        <v>15.3</v>
      </c>
      <c r="Q11" s="120">
        <v>13.52</v>
      </c>
      <c r="R11" s="120">
        <v>14.94</v>
      </c>
      <c r="S11" s="120">
        <v>13.25</v>
      </c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</row>
    <row r="12" spans="1:31" x14ac:dyDescent="0.25">
      <c r="A12" s="53">
        <v>20</v>
      </c>
      <c r="B12" s="120">
        <v>13.32</v>
      </c>
      <c r="C12" s="120">
        <v>12.3</v>
      </c>
      <c r="D12" s="120">
        <v>15.2</v>
      </c>
      <c r="E12" s="120">
        <v>14.8</v>
      </c>
      <c r="F12" s="120">
        <v>13.2</v>
      </c>
      <c r="G12" s="120">
        <v>13</v>
      </c>
      <c r="H12" s="120">
        <v>14.1</v>
      </c>
      <c r="I12" s="120">
        <v>12.58</v>
      </c>
      <c r="J12" s="120"/>
      <c r="K12" s="84">
        <v>7</v>
      </c>
      <c r="L12" s="120">
        <v>6.7</v>
      </c>
      <c r="M12" s="120">
        <v>9.8800000000000008</v>
      </c>
      <c r="N12" s="120">
        <v>10.74</v>
      </c>
      <c r="O12" s="120">
        <v>15.2</v>
      </c>
      <c r="P12" s="120">
        <v>12.7</v>
      </c>
      <c r="Q12" s="120">
        <v>11.73</v>
      </c>
      <c r="R12" s="120">
        <v>13.82</v>
      </c>
      <c r="S12" s="120">
        <v>13.25</v>
      </c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</row>
    <row r="13" spans="1:31" x14ac:dyDescent="0.25">
      <c r="A13" s="53">
        <v>22</v>
      </c>
      <c r="B13" s="120">
        <v>12.45</v>
      </c>
      <c r="C13" s="120">
        <v>12</v>
      </c>
      <c r="D13" s="120">
        <v>13.5</v>
      </c>
      <c r="E13" s="120">
        <v>13.23</v>
      </c>
      <c r="F13" s="120">
        <v>11.84</v>
      </c>
      <c r="G13" s="120">
        <v>11.9</v>
      </c>
      <c r="H13" s="120">
        <v>13.6</v>
      </c>
      <c r="I13" s="120">
        <v>12.41</v>
      </c>
      <c r="J13" s="120"/>
      <c r="K13" s="84">
        <v>6.9</v>
      </c>
      <c r="L13" s="120">
        <v>5.7</v>
      </c>
      <c r="M13" s="120">
        <v>9.9700000000000006</v>
      </c>
      <c r="N13" s="120">
        <v>9.0299999999999994</v>
      </c>
      <c r="O13" s="120">
        <v>14.4</v>
      </c>
      <c r="P13" s="120">
        <v>11.9</v>
      </c>
      <c r="Q13" s="120">
        <v>10.199999999999999</v>
      </c>
      <c r="R13" s="120">
        <v>13.04</v>
      </c>
      <c r="S13" s="120">
        <v>13.25</v>
      </c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</row>
    <row r="14" spans="1:31" x14ac:dyDescent="0.25">
      <c r="A14" s="53">
        <v>24</v>
      </c>
      <c r="B14" s="120">
        <v>11.76</v>
      </c>
      <c r="C14" s="120">
        <v>11.5</v>
      </c>
      <c r="D14" s="120">
        <v>12.6</v>
      </c>
      <c r="E14" s="120">
        <v>11.87</v>
      </c>
      <c r="F14" s="120">
        <v>10.24</v>
      </c>
      <c r="G14" s="120">
        <v>11.5</v>
      </c>
      <c r="H14" s="120">
        <v>13.2</v>
      </c>
      <c r="I14" s="120">
        <v>12.12</v>
      </c>
      <c r="J14" s="120"/>
      <c r="K14" s="84">
        <v>6.7</v>
      </c>
      <c r="L14" s="120">
        <v>4.5</v>
      </c>
      <c r="M14" s="120">
        <v>10.32</v>
      </c>
      <c r="N14" s="120">
        <v>7.89</v>
      </c>
      <c r="O14" s="120">
        <v>12.9</v>
      </c>
      <c r="P14" s="120">
        <v>12</v>
      </c>
      <c r="Q14" s="120">
        <v>9.36</v>
      </c>
      <c r="R14" s="120">
        <v>12.58</v>
      </c>
      <c r="S14" s="120">
        <v>13.25</v>
      </c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</row>
    <row r="15" spans="1:31" x14ac:dyDescent="0.25">
      <c r="A15" s="53">
        <v>2</v>
      </c>
      <c r="B15" s="120">
        <v>11.1</v>
      </c>
      <c r="C15" s="120">
        <v>11.2</v>
      </c>
      <c r="D15" s="120">
        <v>11.7</v>
      </c>
      <c r="E15" s="120">
        <v>10.1</v>
      </c>
      <c r="F15" s="120">
        <v>9.4</v>
      </c>
      <c r="G15" s="120">
        <v>11.1</v>
      </c>
      <c r="H15" s="120">
        <v>13.45</v>
      </c>
      <c r="I15" s="120">
        <v>11.91</v>
      </c>
      <c r="J15" s="120"/>
      <c r="K15" s="84">
        <v>6.16</v>
      </c>
      <c r="L15" s="120">
        <v>6.03</v>
      </c>
      <c r="M15" s="120">
        <v>10.34</v>
      </c>
      <c r="N15" s="120">
        <v>9.16</v>
      </c>
      <c r="O15" s="120">
        <v>11.4</v>
      </c>
      <c r="P15" s="120">
        <v>10.9</v>
      </c>
      <c r="Q15" s="120">
        <v>7.9</v>
      </c>
      <c r="R15" s="120">
        <v>10.039999999999999</v>
      </c>
      <c r="S15" s="120">
        <v>13.3</v>
      </c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</row>
    <row r="16" spans="1:31" ht="28.5" x14ac:dyDescent="0.25">
      <c r="A16" s="55" t="s">
        <v>2</v>
      </c>
      <c r="B16" s="56">
        <f>AVERAGE(B4+B5+B6+B7+B8+B9+B10+B11+B12+B13+B14+B15)/12</f>
        <v>14.301666666666664</v>
      </c>
      <c r="C16" s="56">
        <f t="shared" ref="C16:AE16" si="0">AVERAGE(C4+C5+C6+C7+C8+C9+C10+C11+C12+C13+C14+C15)/12</f>
        <v>12.449999999999998</v>
      </c>
      <c r="D16" s="56">
        <f t="shared" si="0"/>
        <v>14.795833333333333</v>
      </c>
      <c r="E16" s="56">
        <f t="shared" si="0"/>
        <v>15.511666666666665</v>
      </c>
      <c r="F16" s="56">
        <f t="shared" si="0"/>
        <v>13.580000000000004</v>
      </c>
      <c r="G16" s="56">
        <f t="shared" si="0"/>
        <v>13.741666666666667</v>
      </c>
      <c r="H16" s="56">
        <f t="shared" si="0"/>
        <v>14.179999999999998</v>
      </c>
      <c r="I16" s="56">
        <f t="shared" si="0"/>
        <v>13.370833333333335</v>
      </c>
      <c r="J16" s="56">
        <f t="shared" si="0"/>
        <v>0</v>
      </c>
      <c r="K16" s="56">
        <f t="shared" si="0"/>
        <v>9.1033333333333335</v>
      </c>
      <c r="L16" s="56">
        <f t="shared" si="0"/>
        <v>7.724166666666668</v>
      </c>
      <c r="M16" s="56">
        <f t="shared" si="0"/>
        <v>9.6649999999999991</v>
      </c>
      <c r="N16" s="56">
        <f t="shared" si="0"/>
        <v>10.226666666666667</v>
      </c>
      <c r="O16" s="56">
        <f t="shared" si="0"/>
        <v>14.158333333333333</v>
      </c>
      <c r="P16" s="56">
        <f t="shared" si="0"/>
        <v>13.674999999999999</v>
      </c>
      <c r="Q16" s="56">
        <f t="shared" si="0"/>
        <v>12.284166666666666</v>
      </c>
      <c r="R16" s="56">
        <f t="shared" si="0"/>
        <v>13.072499999999998</v>
      </c>
      <c r="S16" s="56">
        <f t="shared" si="0"/>
        <v>12.740833333333335</v>
      </c>
      <c r="T16" s="56">
        <f t="shared" si="0"/>
        <v>0</v>
      </c>
      <c r="U16" s="56">
        <f t="shared" si="0"/>
        <v>0</v>
      </c>
      <c r="V16" s="56">
        <f t="shared" si="0"/>
        <v>0</v>
      </c>
      <c r="W16" s="56">
        <f t="shared" si="0"/>
        <v>0</v>
      </c>
      <c r="X16" s="56">
        <f t="shared" si="0"/>
        <v>0</v>
      </c>
      <c r="Y16" s="56">
        <f t="shared" si="0"/>
        <v>0</v>
      </c>
      <c r="Z16" s="56">
        <f t="shared" si="0"/>
        <v>0</v>
      </c>
      <c r="AA16" s="56">
        <f t="shared" si="0"/>
        <v>0</v>
      </c>
      <c r="AB16" s="56">
        <f t="shared" si="0"/>
        <v>0</v>
      </c>
      <c r="AC16" s="56">
        <f t="shared" si="0"/>
        <v>0</v>
      </c>
      <c r="AD16" s="56">
        <f t="shared" si="0"/>
        <v>0</v>
      </c>
      <c r="AE16" s="56">
        <f t="shared" si="0"/>
        <v>0</v>
      </c>
    </row>
    <row r="21" spans="1:31" x14ac:dyDescent="0.25">
      <c r="A21" s="118" t="s">
        <v>7</v>
      </c>
      <c r="B21" s="140" t="s">
        <v>1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spans="1:31" x14ac:dyDescent="0.25">
      <c r="A22" s="143" t="s">
        <v>0</v>
      </c>
      <c r="B22" s="143" t="s">
        <v>63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</row>
    <row r="23" spans="1:31" x14ac:dyDescent="0.25">
      <c r="A23" s="143"/>
      <c r="B23" s="118">
        <v>1</v>
      </c>
      <c r="C23" s="118">
        <v>2</v>
      </c>
      <c r="D23" s="118">
        <v>3</v>
      </c>
      <c r="E23" s="118">
        <v>4</v>
      </c>
      <c r="F23" s="118">
        <v>5</v>
      </c>
      <c r="G23" s="118">
        <v>6</v>
      </c>
      <c r="H23" s="118">
        <v>7</v>
      </c>
      <c r="I23" s="118">
        <v>8</v>
      </c>
      <c r="J23" s="118">
        <v>9</v>
      </c>
      <c r="K23" s="118">
        <v>10</v>
      </c>
      <c r="L23" s="118">
        <v>11</v>
      </c>
      <c r="M23" s="118">
        <v>12</v>
      </c>
      <c r="N23" s="118">
        <v>13</v>
      </c>
      <c r="O23" s="118">
        <v>14</v>
      </c>
      <c r="P23" s="118">
        <v>15</v>
      </c>
      <c r="Q23" s="118">
        <v>16</v>
      </c>
      <c r="R23" s="118">
        <v>17</v>
      </c>
      <c r="S23" s="118">
        <v>18</v>
      </c>
      <c r="T23" s="118">
        <v>19</v>
      </c>
      <c r="U23" s="118">
        <v>20</v>
      </c>
      <c r="V23" s="118">
        <v>21</v>
      </c>
      <c r="W23" s="118">
        <v>22</v>
      </c>
      <c r="X23" s="118">
        <v>23</v>
      </c>
      <c r="Y23" s="118">
        <v>24</v>
      </c>
      <c r="Z23" s="118">
        <v>25</v>
      </c>
      <c r="AA23" s="118">
        <v>26</v>
      </c>
      <c r="AB23" s="118">
        <v>27</v>
      </c>
      <c r="AC23" s="118">
        <v>28</v>
      </c>
      <c r="AD23" s="59">
        <v>29</v>
      </c>
      <c r="AE23" s="59">
        <v>30</v>
      </c>
    </row>
    <row r="24" spans="1:31" x14ac:dyDescent="0.25">
      <c r="A24" s="53">
        <v>4</v>
      </c>
      <c r="B24" s="120">
        <v>9.6</v>
      </c>
      <c r="C24" s="120">
        <v>9.5</v>
      </c>
      <c r="D24" s="120">
        <v>12.2</v>
      </c>
      <c r="E24" s="120">
        <v>9.5</v>
      </c>
      <c r="F24" s="120">
        <v>8.8000000000000007</v>
      </c>
      <c r="G24" s="121">
        <v>8.5</v>
      </c>
      <c r="H24" s="120">
        <v>8.8000000000000007</v>
      </c>
      <c r="I24" s="120">
        <v>13.5</v>
      </c>
      <c r="J24" s="117"/>
      <c r="K24" s="120">
        <v>9.1</v>
      </c>
      <c r="L24" s="84">
        <v>6.7</v>
      </c>
      <c r="M24" s="120">
        <v>4.4000000000000004</v>
      </c>
      <c r="N24" s="120">
        <v>4.4000000000000004</v>
      </c>
      <c r="O24" s="120">
        <v>9.6999999999999993</v>
      </c>
      <c r="P24" s="120">
        <v>10.9</v>
      </c>
      <c r="Q24" s="120">
        <v>10.6</v>
      </c>
      <c r="R24" s="120">
        <v>7.9</v>
      </c>
      <c r="S24" s="120">
        <v>10.4</v>
      </c>
      <c r="T24" s="120">
        <v>11</v>
      </c>
      <c r="U24" s="121">
        <v>9.6</v>
      </c>
      <c r="V24" s="120">
        <v>9.1</v>
      </c>
      <c r="W24" s="120">
        <v>8.6999999999999993</v>
      </c>
      <c r="X24" s="120">
        <v>9.8000000000000007</v>
      </c>
      <c r="Y24" s="117">
        <v>9</v>
      </c>
      <c r="Z24" s="120">
        <v>6</v>
      </c>
      <c r="AA24" s="120">
        <v>0</v>
      </c>
      <c r="AB24" s="120">
        <v>-2</v>
      </c>
      <c r="AC24" s="120">
        <v>-4</v>
      </c>
      <c r="AD24" s="120">
        <v>-5</v>
      </c>
      <c r="AE24" s="120">
        <v>1</v>
      </c>
    </row>
    <row r="25" spans="1:31" x14ac:dyDescent="0.25">
      <c r="A25" s="53">
        <v>6</v>
      </c>
      <c r="B25" s="120">
        <v>11</v>
      </c>
      <c r="C25" s="120">
        <v>11.1</v>
      </c>
      <c r="D25" s="120">
        <v>12</v>
      </c>
      <c r="E25" s="120">
        <v>10</v>
      </c>
      <c r="F25" s="120">
        <v>7.8</v>
      </c>
      <c r="G25" s="121">
        <v>8.9</v>
      </c>
      <c r="H25" s="120">
        <v>9.5</v>
      </c>
      <c r="I25" s="120">
        <v>12.6</v>
      </c>
      <c r="J25" s="117"/>
      <c r="K25" s="120">
        <v>9.6</v>
      </c>
      <c r="L25" s="84">
        <v>6.1</v>
      </c>
      <c r="M25" s="120">
        <v>5.4</v>
      </c>
      <c r="N25" s="120">
        <v>5.4</v>
      </c>
      <c r="O25" s="120">
        <v>10.1</v>
      </c>
      <c r="P25" s="120">
        <v>10.8</v>
      </c>
      <c r="Q25" s="120">
        <v>10.4</v>
      </c>
      <c r="R25" s="120">
        <v>9.3000000000000007</v>
      </c>
      <c r="S25" s="120">
        <v>9.5</v>
      </c>
      <c r="T25" s="120">
        <v>10.4</v>
      </c>
      <c r="U25" s="121">
        <v>9</v>
      </c>
      <c r="V25" s="120">
        <v>9.4</v>
      </c>
      <c r="W25" s="120">
        <v>8.6</v>
      </c>
      <c r="X25" s="120">
        <v>9.8000000000000007</v>
      </c>
      <c r="Y25" s="117">
        <v>10</v>
      </c>
      <c r="Z25" s="120">
        <v>5</v>
      </c>
      <c r="AA25" s="120">
        <v>-1</v>
      </c>
      <c r="AB25" s="120">
        <v>-3</v>
      </c>
      <c r="AC25" s="120">
        <v>-4</v>
      </c>
      <c r="AD25" s="120">
        <v>-5</v>
      </c>
      <c r="AE25" s="120">
        <v>2</v>
      </c>
    </row>
    <row r="26" spans="1:31" x14ac:dyDescent="0.25">
      <c r="A26" s="53">
        <v>8</v>
      </c>
      <c r="B26" s="120">
        <v>15.4</v>
      </c>
      <c r="C26" s="120">
        <v>12</v>
      </c>
      <c r="D26" s="120">
        <v>13.9</v>
      </c>
      <c r="E26" s="120">
        <v>15.6</v>
      </c>
      <c r="F26" s="120">
        <v>13.3</v>
      </c>
      <c r="G26" s="121">
        <v>10.1</v>
      </c>
      <c r="H26" s="120">
        <v>12.2</v>
      </c>
      <c r="I26" s="120">
        <v>13.1</v>
      </c>
      <c r="J26" s="117"/>
      <c r="K26" s="120">
        <v>9.6999999999999993</v>
      </c>
      <c r="L26" s="84">
        <v>6.7</v>
      </c>
      <c r="M26" s="120">
        <v>6.8</v>
      </c>
      <c r="N26" s="120">
        <v>6.8</v>
      </c>
      <c r="O26" s="120">
        <v>11.1</v>
      </c>
      <c r="P26" s="120">
        <v>12.4</v>
      </c>
      <c r="Q26" s="120">
        <v>11.1</v>
      </c>
      <c r="R26" s="120">
        <v>11.1</v>
      </c>
      <c r="S26" s="120">
        <v>11.4</v>
      </c>
      <c r="T26" s="120">
        <v>12.4</v>
      </c>
      <c r="U26" s="121">
        <v>11.8</v>
      </c>
      <c r="V26" s="120">
        <v>10.5</v>
      </c>
      <c r="W26" s="120">
        <v>10.3</v>
      </c>
      <c r="X26" s="120">
        <v>10.3</v>
      </c>
      <c r="Y26" s="117">
        <v>10</v>
      </c>
      <c r="Z26" s="120">
        <v>5</v>
      </c>
      <c r="AA26" s="120">
        <v>0</v>
      </c>
      <c r="AB26" s="120">
        <v>-2</v>
      </c>
      <c r="AC26" s="120">
        <v>-3</v>
      </c>
      <c r="AD26" s="120">
        <v>-5</v>
      </c>
      <c r="AE26" s="120">
        <v>3</v>
      </c>
    </row>
    <row r="27" spans="1:31" x14ac:dyDescent="0.25">
      <c r="A27" s="53">
        <v>10</v>
      </c>
      <c r="B27" s="120">
        <v>18.3</v>
      </c>
      <c r="C27" s="120">
        <v>12.8</v>
      </c>
      <c r="D27" s="120">
        <v>16.100000000000001</v>
      </c>
      <c r="E27" s="120">
        <v>19.2</v>
      </c>
      <c r="F27" s="120">
        <v>18</v>
      </c>
      <c r="G27" s="121">
        <v>16.399999999999999</v>
      </c>
      <c r="H27" s="120">
        <v>15.4</v>
      </c>
      <c r="I27" s="120">
        <v>13.6</v>
      </c>
      <c r="J27" s="117"/>
      <c r="K27" s="120">
        <v>10.1</v>
      </c>
      <c r="L27" s="121">
        <v>7.9</v>
      </c>
      <c r="M27" s="120">
        <v>8.4</v>
      </c>
      <c r="N27" s="120">
        <v>8.4</v>
      </c>
      <c r="O27" s="120">
        <v>13.9</v>
      </c>
      <c r="P27" s="120">
        <v>14.6</v>
      </c>
      <c r="Q27" s="120">
        <v>14.9</v>
      </c>
      <c r="R27" s="120">
        <v>13.9</v>
      </c>
      <c r="S27" s="120">
        <v>14.4</v>
      </c>
      <c r="T27" s="120">
        <v>15.5</v>
      </c>
      <c r="U27" s="121">
        <v>15.6</v>
      </c>
      <c r="V27" s="120">
        <v>13.9</v>
      </c>
      <c r="W27" s="120">
        <v>12.8</v>
      </c>
      <c r="X27" s="120">
        <v>11.2</v>
      </c>
      <c r="Y27" s="117">
        <v>11</v>
      </c>
      <c r="Z27" s="120">
        <v>7</v>
      </c>
      <c r="AA27" s="120">
        <v>1</v>
      </c>
      <c r="AB27" s="120">
        <v>-3</v>
      </c>
      <c r="AC27" s="120">
        <v>-1</v>
      </c>
      <c r="AD27" s="120">
        <v>1</v>
      </c>
      <c r="AE27" s="120">
        <v>4</v>
      </c>
    </row>
    <row r="28" spans="1:31" x14ac:dyDescent="0.25">
      <c r="A28" s="53">
        <v>12</v>
      </c>
      <c r="B28" s="120">
        <v>18.3</v>
      </c>
      <c r="C28" s="120">
        <v>15.5</v>
      </c>
      <c r="D28" s="120">
        <v>17.100000000000001</v>
      </c>
      <c r="E28" s="120">
        <v>21</v>
      </c>
      <c r="F28" s="120">
        <v>17.5</v>
      </c>
      <c r="G28" s="121">
        <v>18.2</v>
      </c>
      <c r="H28" s="120">
        <v>17.3</v>
      </c>
      <c r="I28" s="120">
        <v>15.2</v>
      </c>
      <c r="J28" s="117"/>
      <c r="K28" s="120">
        <v>11</v>
      </c>
      <c r="L28" s="121">
        <v>9.9</v>
      </c>
      <c r="M28" s="120">
        <v>11.5</v>
      </c>
      <c r="N28" s="120">
        <v>11.5</v>
      </c>
      <c r="O28" s="120">
        <v>18.100000000000001</v>
      </c>
      <c r="P28" s="120">
        <v>17</v>
      </c>
      <c r="Q28" s="120">
        <v>15.4</v>
      </c>
      <c r="R28" s="120">
        <v>16.2</v>
      </c>
      <c r="S28" s="120">
        <v>16.600000000000001</v>
      </c>
      <c r="T28" s="120">
        <v>17.8</v>
      </c>
      <c r="U28" s="121">
        <v>17</v>
      </c>
      <c r="V28" s="120">
        <v>17</v>
      </c>
      <c r="W28" s="120">
        <v>16.600000000000001</v>
      </c>
      <c r="X28" s="120">
        <v>11.2</v>
      </c>
      <c r="Y28" s="117">
        <v>12</v>
      </c>
      <c r="Z28" s="120">
        <v>7</v>
      </c>
      <c r="AA28" s="120">
        <v>3</v>
      </c>
      <c r="AB28" s="120">
        <v>-2</v>
      </c>
      <c r="AC28" s="120">
        <v>1</v>
      </c>
      <c r="AD28" s="120">
        <v>3</v>
      </c>
      <c r="AE28" s="120">
        <v>5</v>
      </c>
    </row>
    <row r="29" spans="1:31" x14ac:dyDescent="0.25">
      <c r="A29" s="53">
        <v>14</v>
      </c>
      <c r="B29" s="120">
        <v>17</v>
      </c>
      <c r="C29" s="120">
        <v>14.6</v>
      </c>
      <c r="D29" s="120">
        <v>19</v>
      </c>
      <c r="E29" s="120">
        <v>21.5</v>
      </c>
      <c r="F29" s="120">
        <v>18.899999999999999</v>
      </c>
      <c r="G29" s="121">
        <v>18.399999999999999</v>
      </c>
      <c r="H29" s="120">
        <v>18.899999999999999</v>
      </c>
      <c r="I29" s="120">
        <v>16.399999999999999</v>
      </c>
      <c r="J29" s="117"/>
      <c r="K29" s="120">
        <v>10.9</v>
      </c>
      <c r="L29" s="121">
        <v>11.4</v>
      </c>
      <c r="M29" s="120">
        <v>12.4</v>
      </c>
      <c r="N29" s="120">
        <v>12.4</v>
      </c>
      <c r="O29" s="120">
        <v>18.600000000000001</v>
      </c>
      <c r="P29" s="120">
        <v>17.8</v>
      </c>
      <c r="Q29" s="120">
        <v>16.7</v>
      </c>
      <c r="R29" s="120">
        <v>17.7</v>
      </c>
      <c r="S29" s="120">
        <v>18.7</v>
      </c>
      <c r="T29" s="120">
        <v>18.8</v>
      </c>
      <c r="U29" s="121">
        <v>18.600000000000001</v>
      </c>
      <c r="V29" s="120">
        <v>17</v>
      </c>
      <c r="W29" s="120">
        <v>16.399999999999999</v>
      </c>
      <c r="X29" s="120">
        <v>11.2</v>
      </c>
      <c r="Y29" s="117">
        <v>11</v>
      </c>
      <c r="Z29" s="120">
        <v>7</v>
      </c>
      <c r="AA29" s="120">
        <v>5</v>
      </c>
      <c r="AB29" s="120">
        <v>0</v>
      </c>
      <c r="AC29" s="120">
        <v>2</v>
      </c>
      <c r="AD29" s="120">
        <v>4</v>
      </c>
      <c r="AE29" s="120">
        <v>6</v>
      </c>
    </row>
    <row r="30" spans="1:31" x14ac:dyDescent="0.25">
      <c r="A30" s="53">
        <v>16</v>
      </c>
      <c r="B30" s="120">
        <v>17.2</v>
      </c>
      <c r="C30" s="120">
        <v>15.5</v>
      </c>
      <c r="D30" s="120">
        <v>19.5</v>
      </c>
      <c r="E30" s="120">
        <v>21.3</v>
      </c>
      <c r="F30" s="120">
        <v>18.2</v>
      </c>
      <c r="G30" s="121">
        <v>18.5</v>
      </c>
      <c r="H30" s="120">
        <v>15.8</v>
      </c>
      <c r="I30" s="120">
        <v>15.1</v>
      </c>
      <c r="J30" s="117"/>
      <c r="K30" s="120">
        <v>11.4</v>
      </c>
      <c r="L30" s="121">
        <v>10.8</v>
      </c>
      <c r="M30" s="120">
        <v>11.7</v>
      </c>
      <c r="N30" s="120">
        <v>11.7</v>
      </c>
      <c r="O30" s="120">
        <v>19.399999999999999</v>
      </c>
      <c r="P30" s="120">
        <v>16.7</v>
      </c>
      <c r="Q30" s="120">
        <v>16.3</v>
      </c>
      <c r="R30" s="120">
        <v>16.3</v>
      </c>
      <c r="S30" s="120">
        <v>18.8</v>
      </c>
      <c r="T30" s="120">
        <v>19</v>
      </c>
      <c r="U30" s="121">
        <v>17.600000000000001</v>
      </c>
      <c r="V30" s="120">
        <v>16.5</v>
      </c>
      <c r="W30" s="120">
        <v>15.8</v>
      </c>
      <c r="X30" s="120">
        <v>11.2</v>
      </c>
      <c r="Y30" s="117">
        <v>11</v>
      </c>
      <c r="Z30" s="120">
        <v>7</v>
      </c>
      <c r="AA30" s="120">
        <v>4</v>
      </c>
      <c r="AB30" s="120">
        <v>0</v>
      </c>
      <c r="AC30" s="120">
        <v>2</v>
      </c>
      <c r="AD30" s="120">
        <v>3</v>
      </c>
      <c r="AE30" s="120">
        <v>7</v>
      </c>
    </row>
    <row r="31" spans="1:31" x14ac:dyDescent="0.25">
      <c r="A31" s="53">
        <v>18</v>
      </c>
      <c r="B31" s="120">
        <v>17.2</v>
      </c>
      <c r="C31" s="120">
        <v>15.1</v>
      </c>
      <c r="D31" s="120">
        <v>16.899999999999999</v>
      </c>
      <c r="E31" s="120">
        <v>18.8</v>
      </c>
      <c r="F31" s="120">
        <v>14.9</v>
      </c>
      <c r="G31" s="121">
        <v>15.1</v>
      </c>
      <c r="H31" s="120">
        <v>15.2</v>
      </c>
      <c r="I31" s="120">
        <v>14.1</v>
      </c>
      <c r="J31" s="117"/>
      <c r="K31" s="120">
        <v>9.3000000000000007</v>
      </c>
      <c r="L31" s="121">
        <v>8.8000000000000007</v>
      </c>
      <c r="M31" s="120">
        <v>10.1</v>
      </c>
      <c r="N31" s="120">
        <v>10.1</v>
      </c>
      <c r="O31" s="120">
        <v>16.600000000000001</v>
      </c>
      <c r="P31" s="120">
        <v>14.5</v>
      </c>
      <c r="Q31" s="120">
        <v>13.3</v>
      </c>
      <c r="R31" s="120">
        <v>15</v>
      </c>
      <c r="S31" s="120">
        <v>15.5</v>
      </c>
      <c r="T31" s="120">
        <v>15.1</v>
      </c>
      <c r="U31" s="121">
        <v>14.1</v>
      </c>
      <c r="V31" s="120">
        <v>15.4</v>
      </c>
      <c r="W31" s="120">
        <v>14.1</v>
      </c>
      <c r="X31" s="120">
        <v>11.2</v>
      </c>
      <c r="Y31" s="117">
        <v>10</v>
      </c>
      <c r="Z31" s="120">
        <v>6</v>
      </c>
      <c r="AA31" s="120">
        <v>3</v>
      </c>
      <c r="AB31" s="120">
        <v>-1</v>
      </c>
      <c r="AC31" s="120">
        <v>2</v>
      </c>
      <c r="AD31" s="120">
        <v>3</v>
      </c>
      <c r="AE31" s="120">
        <v>6</v>
      </c>
    </row>
    <row r="32" spans="1:31" x14ac:dyDescent="0.25">
      <c r="A32" s="53">
        <v>20</v>
      </c>
      <c r="B32" s="120">
        <v>13.2</v>
      </c>
      <c r="C32" s="120">
        <v>13.3</v>
      </c>
      <c r="D32" s="120">
        <v>13.1</v>
      </c>
      <c r="E32" s="120">
        <v>12.6</v>
      </c>
      <c r="F32" s="120">
        <v>11</v>
      </c>
      <c r="G32" s="121">
        <v>11.2</v>
      </c>
      <c r="H32" s="120">
        <v>13</v>
      </c>
      <c r="I32" s="120">
        <v>12.5</v>
      </c>
      <c r="J32" s="117"/>
      <c r="K32" s="120">
        <v>7.4</v>
      </c>
      <c r="L32" s="121">
        <v>5.3</v>
      </c>
      <c r="M32" s="120">
        <v>9.5</v>
      </c>
      <c r="N32" s="120">
        <v>9.5</v>
      </c>
      <c r="O32" s="120">
        <v>15.1</v>
      </c>
      <c r="P32" s="120">
        <v>12.6</v>
      </c>
      <c r="Q32" s="120">
        <v>10.8</v>
      </c>
      <c r="R32" s="120">
        <v>12.9</v>
      </c>
      <c r="S32" s="120">
        <v>13.7</v>
      </c>
      <c r="T32" s="120">
        <v>13.9</v>
      </c>
      <c r="U32" s="121">
        <v>12.5</v>
      </c>
      <c r="V32" s="120">
        <v>14.2</v>
      </c>
      <c r="W32" s="120">
        <v>10.6</v>
      </c>
      <c r="X32" s="120">
        <v>11.2</v>
      </c>
      <c r="Y32" s="117">
        <v>8</v>
      </c>
      <c r="Z32" s="120">
        <v>4</v>
      </c>
      <c r="AA32" s="120">
        <v>2</v>
      </c>
      <c r="AB32" s="120">
        <v>-1</v>
      </c>
      <c r="AC32" s="120">
        <v>-1</v>
      </c>
      <c r="AD32" s="120">
        <v>3</v>
      </c>
      <c r="AE32" s="120">
        <v>6</v>
      </c>
    </row>
    <row r="33" spans="1:31" x14ac:dyDescent="0.25">
      <c r="A33" s="53">
        <v>22</v>
      </c>
      <c r="B33" s="120">
        <v>10.9</v>
      </c>
      <c r="C33" s="120">
        <v>11.9</v>
      </c>
      <c r="D33" s="120">
        <v>11.8</v>
      </c>
      <c r="E33" s="120">
        <v>10.9</v>
      </c>
      <c r="F33" s="120">
        <v>9.3000000000000007</v>
      </c>
      <c r="G33" s="121">
        <v>9.9</v>
      </c>
      <c r="H33" s="120">
        <v>13.4</v>
      </c>
      <c r="I33" s="120">
        <v>12.3</v>
      </c>
      <c r="J33" s="117"/>
      <c r="K33" s="120">
        <v>6.5</v>
      </c>
      <c r="L33" s="121">
        <v>2.9</v>
      </c>
      <c r="M33" s="120">
        <v>9.6</v>
      </c>
      <c r="N33" s="120">
        <v>9.6</v>
      </c>
      <c r="O33" s="120">
        <v>13.9</v>
      </c>
      <c r="P33" s="120">
        <v>11.8</v>
      </c>
      <c r="Q33" s="120">
        <v>8.6</v>
      </c>
      <c r="R33" s="120">
        <v>12.4</v>
      </c>
      <c r="S33" s="120">
        <v>13.4</v>
      </c>
      <c r="T33" s="120">
        <v>13.8</v>
      </c>
      <c r="U33" s="121">
        <v>12.1</v>
      </c>
      <c r="V33" s="120">
        <v>12.7</v>
      </c>
      <c r="W33" s="120">
        <v>10</v>
      </c>
      <c r="X33" s="120">
        <v>11.4</v>
      </c>
      <c r="Y33" s="117">
        <v>7</v>
      </c>
      <c r="Z33" s="120">
        <v>3</v>
      </c>
      <c r="AA33" s="120">
        <v>0</v>
      </c>
      <c r="AB33" s="120">
        <v>-1</v>
      </c>
      <c r="AC33" s="120">
        <v>-4</v>
      </c>
      <c r="AD33" s="120">
        <v>2</v>
      </c>
      <c r="AE33" s="120">
        <v>5</v>
      </c>
    </row>
    <row r="34" spans="1:31" x14ac:dyDescent="0.25">
      <c r="A34" s="53">
        <v>24</v>
      </c>
      <c r="B34" s="120">
        <v>10.7</v>
      </c>
      <c r="C34" s="120">
        <v>12.1</v>
      </c>
      <c r="D34" s="120">
        <v>10.9</v>
      </c>
      <c r="E34" s="120">
        <v>9.6999999999999993</v>
      </c>
      <c r="F34" s="120">
        <v>7.5</v>
      </c>
      <c r="G34" s="121">
        <v>9.3000000000000007</v>
      </c>
      <c r="H34" s="120">
        <v>13.4</v>
      </c>
      <c r="I34" s="120">
        <v>12.4</v>
      </c>
      <c r="J34" s="117"/>
      <c r="K34" s="120">
        <v>6.6</v>
      </c>
      <c r="L34" s="121">
        <v>2.7</v>
      </c>
      <c r="M34" s="120">
        <v>10.1</v>
      </c>
      <c r="N34" s="120">
        <v>10.1</v>
      </c>
      <c r="O34" s="120">
        <v>12.6</v>
      </c>
      <c r="P34" s="120">
        <v>10.8</v>
      </c>
      <c r="Q34" s="120">
        <v>7.8</v>
      </c>
      <c r="R34" s="120">
        <v>13</v>
      </c>
      <c r="S34" s="120">
        <v>12.6</v>
      </c>
      <c r="T34" s="120">
        <v>11.9</v>
      </c>
      <c r="U34" s="121">
        <v>10.5</v>
      </c>
      <c r="V34" s="120">
        <v>11.4</v>
      </c>
      <c r="W34" s="120">
        <v>9.9</v>
      </c>
      <c r="X34" s="120">
        <v>11.2</v>
      </c>
      <c r="Y34" s="117">
        <v>6</v>
      </c>
      <c r="Z34" s="120">
        <v>2</v>
      </c>
      <c r="AA34" s="120">
        <v>-1</v>
      </c>
      <c r="AB34" s="120">
        <v>-2</v>
      </c>
      <c r="AC34" s="120">
        <v>-5</v>
      </c>
      <c r="AD34" s="120">
        <v>2</v>
      </c>
      <c r="AE34" s="120">
        <v>5</v>
      </c>
    </row>
    <row r="35" spans="1:31" x14ac:dyDescent="0.25">
      <c r="A35" s="53">
        <v>2</v>
      </c>
      <c r="B35" s="120">
        <v>10.8</v>
      </c>
      <c r="C35" s="120">
        <v>11.9</v>
      </c>
      <c r="D35" s="120">
        <v>10.1</v>
      </c>
      <c r="E35" s="120">
        <v>8.9</v>
      </c>
      <c r="F35" s="120">
        <v>6.9</v>
      </c>
      <c r="G35" s="121">
        <v>9.1999999999999993</v>
      </c>
      <c r="H35" s="120">
        <v>13.4</v>
      </c>
      <c r="I35" s="120">
        <v>11.9</v>
      </c>
      <c r="J35" s="117"/>
      <c r="K35" s="120">
        <v>6.8</v>
      </c>
      <c r="L35" s="121">
        <v>3.8</v>
      </c>
      <c r="M35" s="120">
        <v>10.3</v>
      </c>
      <c r="N35" s="120">
        <v>10.3</v>
      </c>
      <c r="O35" s="120">
        <v>11.4</v>
      </c>
      <c r="P35" s="120">
        <v>11.6</v>
      </c>
      <c r="Q35" s="120">
        <v>7.9</v>
      </c>
      <c r="R35" s="120">
        <v>12.3</v>
      </c>
      <c r="S35" s="120">
        <v>11.6</v>
      </c>
      <c r="T35" s="120">
        <v>10.4</v>
      </c>
      <c r="U35" s="121">
        <v>9.9</v>
      </c>
      <c r="V35" s="120">
        <v>10.5</v>
      </c>
      <c r="W35" s="120">
        <v>10</v>
      </c>
      <c r="X35" s="120">
        <v>11.2</v>
      </c>
      <c r="Y35" s="117">
        <v>5</v>
      </c>
      <c r="Z35" s="120">
        <v>1</v>
      </c>
      <c r="AA35" s="120">
        <v>-2</v>
      </c>
      <c r="AB35" s="120">
        <v>-4</v>
      </c>
      <c r="AC35" s="120">
        <v>-5</v>
      </c>
      <c r="AD35" s="120">
        <v>1</v>
      </c>
      <c r="AE35" s="120">
        <v>5</v>
      </c>
    </row>
    <row r="36" spans="1:31" ht="28.5" x14ac:dyDescent="0.25">
      <c r="A36" s="55" t="s">
        <v>2</v>
      </c>
      <c r="B36" s="56">
        <f>AVERAGE(B24+B25+B26+B27+B28+B29+B30+B31+B32+B33+B34+B35)/12</f>
        <v>14.133333333333333</v>
      </c>
      <c r="C36" s="56">
        <f t="shared" ref="C36:AE36" si="1">AVERAGE(C24+C25+C26+C27+C28+C29+C30+C31+C32+C33+C34+C35)/12</f>
        <v>12.941666666666665</v>
      </c>
      <c r="D36" s="56">
        <f t="shared" si="1"/>
        <v>14.383333333333335</v>
      </c>
      <c r="E36" s="56">
        <f t="shared" si="1"/>
        <v>14.916666666666666</v>
      </c>
      <c r="F36" s="56">
        <f t="shared" si="1"/>
        <v>12.675000000000004</v>
      </c>
      <c r="G36" s="56">
        <f t="shared" si="1"/>
        <v>12.808333333333332</v>
      </c>
      <c r="H36" s="56">
        <f t="shared" si="1"/>
        <v>13.858333333333334</v>
      </c>
      <c r="I36" s="56">
        <f t="shared" si="1"/>
        <v>13.558333333333335</v>
      </c>
      <c r="J36" s="56">
        <f t="shared" si="1"/>
        <v>0</v>
      </c>
      <c r="K36" s="56">
        <f t="shared" si="1"/>
        <v>9.0333333333333332</v>
      </c>
      <c r="L36" s="56">
        <f t="shared" si="1"/>
        <v>6.916666666666667</v>
      </c>
      <c r="M36" s="56">
        <f t="shared" si="1"/>
        <v>9.1833333333333318</v>
      </c>
      <c r="N36" s="56">
        <f t="shared" si="1"/>
        <v>9.1833333333333318</v>
      </c>
      <c r="O36" s="56">
        <f t="shared" si="1"/>
        <v>14.208333333333334</v>
      </c>
      <c r="P36" s="56">
        <f t="shared" si="1"/>
        <v>13.458333333333334</v>
      </c>
      <c r="Q36" s="56">
        <f t="shared" si="1"/>
        <v>11.983333333333334</v>
      </c>
      <c r="R36" s="56">
        <f t="shared" si="1"/>
        <v>13.16666666666667</v>
      </c>
      <c r="S36" s="56">
        <f t="shared" si="1"/>
        <v>13.883333333333333</v>
      </c>
      <c r="T36" s="56">
        <f t="shared" si="1"/>
        <v>14.166666666666666</v>
      </c>
      <c r="U36" s="56">
        <f t="shared" si="1"/>
        <v>13.191666666666665</v>
      </c>
      <c r="V36" s="56">
        <f t="shared" si="1"/>
        <v>13.133333333333335</v>
      </c>
      <c r="W36" s="56">
        <f t="shared" si="1"/>
        <v>11.983333333333333</v>
      </c>
      <c r="X36" s="56">
        <f t="shared" si="1"/>
        <v>10.908333333333333</v>
      </c>
      <c r="Y36" s="56">
        <f t="shared" si="1"/>
        <v>9.1666666666666661</v>
      </c>
      <c r="Z36" s="56">
        <f t="shared" si="1"/>
        <v>5</v>
      </c>
      <c r="AA36" s="56">
        <f t="shared" si="1"/>
        <v>1.1666666666666667</v>
      </c>
      <c r="AB36" s="56">
        <f t="shared" si="1"/>
        <v>-1.75</v>
      </c>
      <c r="AC36" s="56">
        <f t="shared" si="1"/>
        <v>-1.6666666666666667</v>
      </c>
      <c r="AD36" s="56">
        <f t="shared" si="1"/>
        <v>0.58333333333333337</v>
      </c>
      <c r="AE36" s="56">
        <f t="shared" si="1"/>
        <v>4.583333333333333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workbookViewId="0">
      <selection sqref="A1:XFD1048576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2" x14ac:dyDescent="0.25">
      <c r="A1" s="123" t="s">
        <v>8</v>
      </c>
      <c r="B1" s="140" t="s">
        <v>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2" x14ac:dyDescent="0.25">
      <c r="A2" s="141" t="s">
        <v>0</v>
      </c>
      <c r="B2" s="143" t="s">
        <v>64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2" x14ac:dyDescent="0.25">
      <c r="A3" s="142"/>
      <c r="B3" s="123">
        <v>1</v>
      </c>
      <c r="C3" s="123">
        <v>2</v>
      </c>
      <c r="D3" s="123">
        <v>3</v>
      </c>
      <c r="E3" s="123">
        <v>4</v>
      </c>
      <c r="F3" s="123">
        <v>5</v>
      </c>
      <c r="G3" s="123">
        <v>6</v>
      </c>
      <c r="H3" s="123">
        <v>7</v>
      </c>
      <c r="I3" s="123">
        <v>8</v>
      </c>
      <c r="J3" s="123">
        <v>9</v>
      </c>
      <c r="K3" s="123">
        <v>10</v>
      </c>
      <c r="L3" s="123">
        <v>11</v>
      </c>
      <c r="M3" s="123">
        <v>12</v>
      </c>
      <c r="N3" s="123">
        <v>13</v>
      </c>
      <c r="O3" s="123">
        <v>14</v>
      </c>
      <c r="P3" s="123">
        <v>15</v>
      </c>
      <c r="Q3" s="123">
        <v>16</v>
      </c>
      <c r="R3" s="123">
        <v>17</v>
      </c>
      <c r="S3" s="123">
        <v>18</v>
      </c>
      <c r="T3" s="123">
        <v>19</v>
      </c>
      <c r="U3" s="123">
        <v>20</v>
      </c>
      <c r="V3" s="123">
        <v>21</v>
      </c>
      <c r="W3" s="123">
        <v>22</v>
      </c>
      <c r="X3" s="123">
        <v>23</v>
      </c>
      <c r="Y3" s="123">
        <v>24</v>
      </c>
      <c r="Z3" s="123">
        <v>25</v>
      </c>
      <c r="AA3" s="123">
        <v>26</v>
      </c>
      <c r="AB3" s="123">
        <v>27</v>
      </c>
      <c r="AC3" s="123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120"/>
      <c r="C4" s="120"/>
      <c r="D4" s="120"/>
      <c r="E4" s="120"/>
      <c r="F4" s="120"/>
      <c r="G4" s="120"/>
      <c r="H4" s="120"/>
      <c r="I4" s="120"/>
      <c r="J4" s="120"/>
      <c r="K4" s="84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</row>
    <row r="5" spans="1:32" x14ac:dyDescent="0.25">
      <c r="A5" s="53">
        <v>6</v>
      </c>
      <c r="B5" s="120"/>
      <c r="C5" s="120"/>
      <c r="D5" s="120"/>
      <c r="E5" s="120"/>
      <c r="F5" s="120"/>
      <c r="G5" s="120"/>
      <c r="H5" s="120"/>
      <c r="I5" s="120"/>
      <c r="J5" s="120"/>
      <c r="K5" s="84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</row>
    <row r="6" spans="1:32" x14ac:dyDescent="0.25">
      <c r="A6" s="53">
        <v>8</v>
      </c>
      <c r="B6" s="120"/>
      <c r="C6" s="120"/>
      <c r="D6" s="120"/>
      <c r="E6" s="120"/>
      <c r="F6" s="120"/>
      <c r="G6" s="120"/>
      <c r="H6" s="120"/>
      <c r="I6" s="120"/>
      <c r="J6" s="120"/>
      <c r="K6" s="84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</row>
    <row r="7" spans="1:32" x14ac:dyDescent="0.25">
      <c r="A7" s="53">
        <v>10</v>
      </c>
      <c r="B7" s="120"/>
      <c r="C7" s="120"/>
      <c r="D7" s="120"/>
      <c r="E7" s="120"/>
      <c r="F7" s="120"/>
      <c r="G7" s="120"/>
      <c r="H7" s="120"/>
      <c r="I7" s="120"/>
      <c r="J7" s="120"/>
      <c r="K7" s="84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</row>
    <row r="8" spans="1:32" x14ac:dyDescent="0.25">
      <c r="A8" s="53">
        <v>12</v>
      </c>
      <c r="B8" s="120"/>
      <c r="C8" s="120"/>
      <c r="D8" s="120"/>
      <c r="E8" s="120"/>
      <c r="F8" s="120"/>
      <c r="G8" s="120"/>
      <c r="H8" s="120"/>
      <c r="I8" s="120"/>
      <c r="J8" s="120"/>
      <c r="K8" s="84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</row>
    <row r="9" spans="1:32" x14ac:dyDescent="0.25">
      <c r="A9" s="53">
        <v>14</v>
      </c>
      <c r="B9" s="120"/>
      <c r="C9" s="120"/>
      <c r="D9" s="120"/>
      <c r="E9" s="120"/>
      <c r="F9" s="120"/>
      <c r="G9" s="120"/>
      <c r="H9" s="120"/>
      <c r="I9" s="120"/>
      <c r="J9" s="120"/>
      <c r="K9" s="84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</row>
    <row r="10" spans="1:32" x14ac:dyDescent="0.25">
      <c r="A10" s="53">
        <v>16</v>
      </c>
      <c r="B10" s="120"/>
      <c r="C10" s="120"/>
      <c r="D10" s="120"/>
      <c r="E10" s="120"/>
      <c r="F10" s="120"/>
      <c r="G10" s="120"/>
      <c r="H10" s="120"/>
      <c r="I10" s="120"/>
      <c r="J10" s="120"/>
      <c r="K10" s="84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</row>
    <row r="11" spans="1:32" x14ac:dyDescent="0.25">
      <c r="A11" s="53">
        <v>18</v>
      </c>
      <c r="B11" s="120"/>
      <c r="C11" s="120"/>
      <c r="D11" s="120"/>
      <c r="E11" s="120"/>
      <c r="F11" s="120"/>
      <c r="G11" s="120"/>
      <c r="H11" s="120"/>
      <c r="I11" s="120"/>
      <c r="J11" s="120"/>
      <c r="K11" s="84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</row>
    <row r="12" spans="1:32" x14ac:dyDescent="0.25">
      <c r="A12" s="53">
        <v>20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84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</row>
    <row r="13" spans="1:32" x14ac:dyDescent="0.25">
      <c r="A13" s="53">
        <v>22</v>
      </c>
      <c r="B13" s="120"/>
      <c r="C13" s="120"/>
      <c r="D13" s="120"/>
      <c r="E13" s="120"/>
      <c r="F13" s="120"/>
      <c r="G13" s="120"/>
      <c r="H13" s="120"/>
      <c r="I13" s="120"/>
      <c r="J13" s="120"/>
      <c r="K13" s="84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</row>
    <row r="14" spans="1:32" x14ac:dyDescent="0.25">
      <c r="A14" s="53">
        <v>24</v>
      </c>
      <c r="B14" s="120"/>
      <c r="C14" s="120"/>
      <c r="D14" s="120"/>
      <c r="E14" s="120"/>
      <c r="F14" s="120"/>
      <c r="G14" s="120"/>
      <c r="H14" s="120"/>
      <c r="I14" s="120"/>
      <c r="J14" s="120"/>
      <c r="K14" s="84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</row>
    <row r="15" spans="1:32" x14ac:dyDescent="0.25">
      <c r="A15" s="53">
        <v>2</v>
      </c>
      <c r="B15" s="120"/>
      <c r="C15" s="120"/>
      <c r="D15" s="120"/>
      <c r="E15" s="120"/>
      <c r="F15" s="120"/>
      <c r="G15" s="120"/>
      <c r="H15" s="120"/>
      <c r="I15" s="120"/>
      <c r="J15" s="120"/>
      <c r="K15" s="84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</row>
    <row r="16" spans="1:32" ht="28.5" x14ac:dyDescent="0.25">
      <c r="A16" s="55" t="s">
        <v>2</v>
      </c>
      <c r="B16" s="56">
        <f>AVERAGE(B4+B5+B6+B7+B8+B9+B10+B11+B12+B13+B14+B15)/12</f>
        <v>0</v>
      </c>
      <c r="C16" s="56">
        <f t="shared" ref="C16:AF16" si="0">AVERAGE(C4+C5+C6+C7+C8+C9+C10+C11+C12+C13+C14+C15)/12</f>
        <v>0</v>
      </c>
      <c r="D16" s="56">
        <f t="shared" si="0"/>
        <v>0</v>
      </c>
      <c r="E16" s="56">
        <f t="shared" si="0"/>
        <v>0</v>
      </c>
      <c r="F16" s="56">
        <f t="shared" si="0"/>
        <v>0</v>
      </c>
      <c r="G16" s="56">
        <f t="shared" si="0"/>
        <v>0</v>
      </c>
      <c r="H16" s="56">
        <f t="shared" si="0"/>
        <v>0</v>
      </c>
      <c r="I16" s="56">
        <f t="shared" si="0"/>
        <v>0</v>
      </c>
      <c r="J16" s="56">
        <f t="shared" si="0"/>
        <v>0</v>
      </c>
      <c r="K16" s="56">
        <f t="shared" si="0"/>
        <v>0</v>
      </c>
      <c r="L16" s="56">
        <f t="shared" si="0"/>
        <v>0</v>
      </c>
      <c r="M16" s="56">
        <f t="shared" si="0"/>
        <v>0</v>
      </c>
      <c r="N16" s="56">
        <f t="shared" si="0"/>
        <v>0</v>
      </c>
      <c r="O16" s="56">
        <f t="shared" si="0"/>
        <v>0</v>
      </c>
      <c r="P16" s="56">
        <f t="shared" si="0"/>
        <v>0</v>
      </c>
      <c r="Q16" s="56">
        <f t="shared" si="0"/>
        <v>0</v>
      </c>
      <c r="R16" s="56">
        <f t="shared" si="0"/>
        <v>0</v>
      </c>
      <c r="S16" s="56">
        <f t="shared" si="0"/>
        <v>0</v>
      </c>
      <c r="T16" s="56">
        <f t="shared" si="0"/>
        <v>0</v>
      </c>
      <c r="U16" s="56">
        <f t="shared" si="0"/>
        <v>0</v>
      </c>
      <c r="V16" s="56">
        <f t="shared" si="0"/>
        <v>0</v>
      </c>
      <c r="W16" s="56">
        <f t="shared" si="0"/>
        <v>0</v>
      </c>
      <c r="X16" s="56">
        <f t="shared" si="0"/>
        <v>0</v>
      </c>
      <c r="Y16" s="56">
        <f t="shared" si="0"/>
        <v>0</v>
      </c>
      <c r="Z16" s="56">
        <f t="shared" si="0"/>
        <v>0</v>
      </c>
      <c r="AA16" s="56">
        <f t="shared" si="0"/>
        <v>0</v>
      </c>
      <c r="AB16" s="56">
        <f t="shared" si="0"/>
        <v>0</v>
      </c>
      <c r="AC16" s="56">
        <f t="shared" si="0"/>
        <v>0</v>
      </c>
      <c r="AD16" s="56">
        <f t="shared" si="0"/>
        <v>0</v>
      </c>
      <c r="AE16" s="56">
        <f t="shared" si="0"/>
        <v>0</v>
      </c>
      <c r="AF16" s="56">
        <f t="shared" si="0"/>
        <v>0</v>
      </c>
    </row>
    <row r="21" spans="1:32" x14ac:dyDescent="0.25">
      <c r="A21" s="123" t="s">
        <v>7</v>
      </c>
      <c r="B21" s="140" t="s">
        <v>1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spans="1:32" x14ac:dyDescent="0.25">
      <c r="A22" s="143" t="s">
        <v>0</v>
      </c>
      <c r="B22" s="143" t="s">
        <v>64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</row>
    <row r="23" spans="1:32" x14ac:dyDescent="0.25">
      <c r="A23" s="143"/>
      <c r="B23" s="123">
        <v>1</v>
      </c>
      <c r="C23" s="123">
        <v>2</v>
      </c>
      <c r="D23" s="123">
        <v>3</v>
      </c>
      <c r="E23" s="123">
        <v>4</v>
      </c>
      <c r="F23" s="123">
        <v>5</v>
      </c>
      <c r="G23" s="123">
        <v>6</v>
      </c>
      <c r="H23" s="123">
        <v>7</v>
      </c>
      <c r="I23" s="123">
        <v>8</v>
      </c>
      <c r="J23" s="123">
        <v>9</v>
      </c>
      <c r="K23" s="123">
        <v>10</v>
      </c>
      <c r="L23" s="123">
        <v>11</v>
      </c>
      <c r="M23" s="123">
        <v>12</v>
      </c>
      <c r="N23" s="123">
        <v>13</v>
      </c>
      <c r="O23" s="123">
        <v>14</v>
      </c>
      <c r="P23" s="123">
        <v>15</v>
      </c>
      <c r="Q23" s="123">
        <v>16</v>
      </c>
      <c r="R23" s="123">
        <v>17</v>
      </c>
      <c r="S23" s="123">
        <v>18</v>
      </c>
      <c r="T23" s="123">
        <v>19</v>
      </c>
      <c r="U23" s="123">
        <v>20</v>
      </c>
      <c r="V23" s="123">
        <v>21</v>
      </c>
      <c r="W23" s="123">
        <v>22</v>
      </c>
      <c r="X23" s="123">
        <v>23</v>
      </c>
      <c r="Y23" s="123">
        <v>24</v>
      </c>
      <c r="Z23" s="123">
        <v>25</v>
      </c>
      <c r="AA23" s="123">
        <v>26</v>
      </c>
      <c r="AB23" s="123">
        <v>27</v>
      </c>
      <c r="AC23" s="123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120">
        <v>5</v>
      </c>
      <c r="C24" s="120">
        <v>1</v>
      </c>
      <c r="D24" s="120">
        <v>-1</v>
      </c>
      <c r="E24" s="120">
        <v>-1</v>
      </c>
      <c r="F24" s="120">
        <v>-2</v>
      </c>
      <c r="G24" s="122">
        <v>-2</v>
      </c>
      <c r="H24" s="120">
        <v>1</v>
      </c>
      <c r="I24" s="120">
        <v>1</v>
      </c>
      <c r="J24" s="122">
        <v>0</v>
      </c>
      <c r="K24" s="120">
        <v>-3</v>
      </c>
      <c r="L24" s="84">
        <v>-5</v>
      </c>
      <c r="M24" s="120">
        <v>-8</v>
      </c>
      <c r="N24" s="120">
        <v>-5</v>
      </c>
      <c r="O24" s="120">
        <v>-7</v>
      </c>
      <c r="P24" s="120">
        <v>-8</v>
      </c>
      <c r="Q24" s="120">
        <v>-4</v>
      </c>
      <c r="R24" s="120">
        <v>-2</v>
      </c>
      <c r="S24" s="120">
        <v>-4</v>
      </c>
      <c r="T24" s="120">
        <v>-4</v>
      </c>
      <c r="U24" s="122">
        <v>-1</v>
      </c>
      <c r="V24" s="120">
        <v>-2</v>
      </c>
      <c r="W24" s="120">
        <v>-2</v>
      </c>
      <c r="X24" s="120">
        <v>2</v>
      </c>
      <c r="Y24" s="124">
        <f>'[2]24'!$A$10:$A$10</f>
        <v>1</v>
      </c>
      <c r="Z24" s="120">
        <v>0</v>
      </c>
      <c r="AA24" s="120">
        <v>1</v>
      </c>
      <c r="AB24" s="120">
        <v>1</v>
      </c>
      <c r="AC24" s="120">
        <v>-3</v>
      </c>
      <c r="AD24" s="120">
        <v>-2</v>
      </c>
      <c r="AE24" s="120">
        <v>1</v>
      </c>
      <c r="AF24" s="120">
        <v>2</v>
      </c>
    </row>
    <row r="25" spans="1:32" x14ac:dyDescent="0.25">
      <c r="A25" s="53">
        <v>6</v>
      </c>
      <c r="B25" s="120">
        <v>5</v>
      </c>
      <c r="C25" s="120">
        <v>0</v>
      </c>
      <c r="D25" s="120">
        <v>-1</v>
      </c>
      <c r="E25" s="120">
        <v>-1</v>
      </c>
      <c r="F25" s="120">
        <v>-2</v>
      </c>
      <c r="G25" s="122">
        <v>-2</v>
      </c>
      <c r="H25" s="120">
        <v>1</v>
      </c>
      <c r="I25" s="120">
        <v>1</v>
      </c>
      <c r="J25" s="122">
        <v>-2</v>
      </c>
      <c r="K25" s="120">
        <v>-4</v>
      </c>
      <c r="L25" s="84">
        <v>-5</v>
      </c>
      <c r="M25" s="120">
        <v>-9</v>
      </c>
      <c r="N25" s="120">
        <v>-6</v>
      </c>
      <c r="O25" s="120">
        <v>-7</v>
      </c>
      <c r="P25" s="120">
        <v>-6</v>
      </c>
      <c r="Q25" s="120">
        <v>-4</v>
      </c>
      <c r="R25" s="120">
        <v>-1</v>
      </c>
      <c r="S25" s="120">
        <v>-3</v>
      </c>
      <c r="T25" s="120">
        <v>-4</v>
      </c>
      <c r="U25" s="122">
        <v>-1</v>
      </c>
      <c r="V25" s="120">
        <v>-2</v>
      </c>
      <c r="W25" s="120">
        <v>-1</v>
      </c>
      <c r="X25" s="120">
        <v>2</v>
      </c>
      <c r="Y25" s="124">
        <f>'[2]24'!$A$12:$A$12</f>
        <v>0</v>
      </c>
      <c r="Z25" s="120">
        <v>0</v>
      </c>
      <c r="AA25" s="120">
        <v>1</v>
      </c>
      <c r="AB25" s="120">
        <v>0</v>
      </c>
      <c r="AC25" s="120">
        <v>-1</v>
      </c>
      <c r="AD25" s="120">
        <v>-2</v>
      </c>
      <c r="AE25" s="120">
        <v>1</v>
      </c>
      <c r="AF25" s="120">
        <v>2</v>
      </c>
    </row>
    <row r="26" spans="1:32" x14ac:dyDescent="0.25">
      <c r="A26" s="53">
        <v>8</v>
      </c>
      <c r="B26" s="120">
        <v>6</v>
      </c>
      <c r="C26" s="120">
        <v>1</v>
      </c>
      <c r="D26" s="120">
        <v>-1</v>
      </c>
      <c r="E26" s="120">
        <v>-1</v>
      </c>
      <c r="F26" s="120">
        <v>-1</v>
      </c>
      <c r="G26" s="122">
        <v>-1</v>
      </c>
      <c r="H26" s="120">
        <v>1</v>
      </c>
      <c r="I26" s="120">
        <v>1</v>
      </c>
      <c r="J26" s="122">
        <v>-1</v>
      </c>
      <c r="K26" s="120">
        <v>-2</v>
      </c>
      <c r="L26" s="84">
        <v>-6</v>
      </c>
      <c r="M26" s="120">
        <v>-8</v>
      </c>
      <c r="N26" s="120">
        <v>-6</v>
      </c>
      <c r="O26" s="120">
        <v>-8</v>
      </c>
      <c r="P26" s="120">
        <v>-6</v>
      </c>
      <c r="Q26" s="120">
        <v>-3</v>
      </c>
      <c r="R26" s="120">
        <v>-2</v>
      </c>
      <c r="S26" s="120">
        <v>-3</v>
      </c>
      <c r="T26" s="120">
        <v>-4</v>
      </c>
      <c r="U26" s="122">
        <v>-1</v>
      </c>
      <c r="V26" s="120">
        <v>-3</v>
      </c>
      <c r="W26" s="120">
        <v>-2</v>
      </c>
      <c r="X26" s="120">
        <v>1</v>
      </c>
      <c r="Y26" s="124">
        <f>'[2]24'!$A$14:$A$14</f>
        <v>0</v>
      </c>
      <c r="Z26" s="120">
        <v>0</v>
      </c>
      <c r="AA26" s="120">
        <v>1</v>
      </c>
      <c r="AB26" s="120">
        <v>0</v>
      </c>
      <c r="AC26" s="120">
        <v>0</v>
      </c>
      <c r="AD26" s="120">
        <v>-3</v>
      </c>
      <c r="AE26" s="120">
        <v>1</v>
      </c>
      <c r="AF26" s="120">
        <v>2</v>
      </c>
    </row>
    <row r="27" spans="1:32" x14ac:dyDescent="0.25">
      <c r="A27" s="53">
        <v>10</v>
      </c>
      <c r="B27" s="120">
        <v>5</v>
      </c>
      <c r="C27" s="120">
        <v>2</v>
      </c>
      <c r="D27" s="120">
        <v>1</v>
      </c>
      <c r="E27" s="120">
        <v>-1</v>
      </c>
      <c r="F27" s="120">
        <v>0</v>
      </c>
      <c r="G27" s="122">
        <v>-1</v>
      </c>
      <c r="H27" s="120">
        <v>2</v>
      </c>
      <c r="I27" s="120">
        <v>2</v>
      </c>
      <c r="J27" s="122">
        <v>-1</v>
      </c>
      <c r="K27" s="120">
        <v>0</v>
      </c>
      <c r="L27" s="122">
        <v>-3</v>
      </c>
      <c r="M27" s="120">
        <v>-5</v>
      </c>
      <c r="N27" s="120">
        <v>-6</v>
      </c>
      <c r="O27" s="120">
        <v>-6</v>
      </c>
      <c r="P27" s="120">
        <v>-5</v>
      </c>
      <c r="Q27" s="120">
        <v>-2</v>
      </c>
      <c r="R27" s="120">
        <v>1</v>
      </c>
      <c r="S27" s="120">
        <v>-1</v>
      </c>
      <c r="T27" s="120">
        <v>-2</v>
      </c>
      <c r="U27" s="122">
        <v>-1</v>
      </c>
      <c r="V27" s="120">
        <v>-1</v>
      </c>
      <c r="W27" s="120">
        <v>-2</v>
      </c>
      <c r="X27" s="120">
        <v>2</v>
      </c>
      <c r="Y27" s="124">
        <f>'[2]24'!$A$16:$A$16</f>
        <v>1</v>
      </c>
      <c r="Z27" s="120">
        <v>1</v>
      </c>
      <c r="AA27" s="120">
        <v>0</v>
      </c>
      <c r="AB27" s="120">
        <v>-1</v>
      </c>
      <c r="AC27" s="120">
        <v>0</v>
      </c>
      <c r="AD27" s="120">
        <v>0</v>
      </c>
      <c r="AE27" s="120">
        <v>2</v>
      </c>
      <c r="AF27" s="120">
        <v>2</v>
      </c>
    </row>
    <row r="28" spans="1:32" x14ac:dyDescent="0.25">
      <c r="A28" s="53">
        <v>12</v>
      </c>
      <c r="B28" s="120">
        <v>6</v>
      </c>
      <c r="C28" s="120">
        <v>3</v>
      </c>
      <c r="D28" s="120">
        <v>1</v>
      </c>
      <c r="E28" s="120">
        <v>0</v>
      </c>
      <c r="F28" s="120">
        <v>2</v>
      </c>
      <c r="G28" s="122">
        <v>1</v>
      </c>
      <c r="H28" s="120">
        <v>2</v>
      </c>
      <c r="I28" s="120">
        <v>2</v>
      </c>
      <c r="J28" s="122">
        <v>1</v>
      </c>
      <c r="K28" s="120">
        <v>1</v>
      </c>
      <c r="L28" s="122">
        <v>-1</v>
      </c>
      <c r="M28" s="120">
        <v>-3</v>
      </c>
      <c r="N28" s="120">
        <v>-2</v>
      </c>
      <c r="O28" s="120">
        <v>-2</v>
      </c>
      <c r="P28" s="120">
        <v>-2</v>
      </c>
      <c r="Q28" s="120">
        <v>0</v>
      </c>
      <c r="R28" s="120">
        <v>2</v>
      </c>
      <c r="S28" s="120">
        <v>0</v>
      </c>
      <c r="T28" s="120">
        <v>1</v>
      </c>
      <c r="U28" s="122">
        <v>0</v>
      </c>
      <c r="V28" s="120">
        <v>1</v>
      </c>
      <c r="W28" s="120">
        <v>0</v>
      </c>
      <c r="X28" s="120">
        <v>2</v>
      </c>
      <c r="Y28" s="124">
        <f>'[2]24'!$A$18:$A$18</f>
        <v>2</v>
      </c>
      <c r="Z28" s="120">
        <v>2</v>
      </c>
      <c r="AA28" s="120">
        <v>1</v>
      </c>
      <c r="AB28" s="120">
        <v>0</v>
      </c>
      <c r="AC28" s="120">
        <v>1</v>
      </c>
      <c r="AD28" s="120">
        <v>1</v>
      </c>
      <c r="AE28" s="120">
        <v>2</v>
      </c>
      <c r="AF28" s="120">
        <v>2</v>
      </c>
    </row>
    <row r="29" spans="1:32" x14ac:dyDescent="0.25">
      <c r="A29" s="53">
        <v>14</v>
      </c>
      <c r="B29" s="120">
        <v>6</v>
      </c>
      <c r="C29" s="120">
        <v>3</v>
      </c>
      <c r="D29" s="120">
        <v>2</v>
      </c>
      <c r="E29" s="120">
        <v>1</v>
      </c>
      <c r="F29" s="120">
        <v>3</v>
      </c>
      <c r="G29" s="122">
        <v>2</v>
      </c>
      <c r="H29" s="120">
        <v>2</v>
      </c>
      <c r="I29" s="120">
        <v>3</v>
      </c>
      <c r="J29" s="122">
        <v>2</v>
      </c>
      <c r="K29" s="120">
        <v>2</v>
      </c>
      <c r="L29" s="122">
        <v>0</v>
      </c>
      <c r="M29" s="120">
        <v>-1</v>
      </c>
      <c r="N29" s="120">
        <v>0</v>
      </c>
      <c r="O29" s="120">
        <v>0</v>
      </c>
      <c r="P29" s="120">
        <v>0</v>
      </c>
      <c r="Q29" s="120">
        <v>2</v>
      </c>
      <c r="R29" s="120">
        <v>3</v>
      </c>
      <c r="S29" s="120">
        <v>1</v>
      </c>
      <c r="T29" s="120">
        <v>1</v>
      </c>
      <c r="U29" s="122">
        <v>1</v>
      </c>
      <c r="V29" s="120">
        <v>1</v>
      </c>
      <c r="W29" s="120">
        <v>0</v>
      </c>
      <c r="X29" s="120">
        <v>1</v>
      </c>
      <c r="Y29" s="124">
        <f>'[2]24'!$A$20:$A$20</f>
        <v>3</v>
      </c>
      <c r="Z29" s="120">
        <v>2</v>
      </c>
      <c r="AA29" s="120">
        <v>1</v>
      </c>
      <c r="AB29" s="120">
        <v>1</v>
      </c>
      <c r="AC29" s="120">
        <v>2</v>
      </c>
      <c r="AD29" s="120">
        <v>2</v>
      </c>
      <c r="AE29" s="120">
        <v>3</v>
      </c>
      <c r="AF29" s="120">
        <v>2</v>
      </c>
    </row>
    <row r="30" spans="1:32" x14ac:dyDescent="0.25">
      <c r="A30" s="53">
        <v>16</v>
      </c>
      <c r="B30" s="120">
        <v>6</v>
      </c>
      <c r="C30" s="120">
        <v>2</v>
      </c>
      <c r="D30" s="120">
        <v>2</v>
      </c>
      <c r="E30" s="120">
        <v>1</v>
      </c>
      <c r="F30" s="120">
        <v>2</v>
      </c>
      <c r="G30" s="122">
        <v>2</v>
      </c>
      <c r="H30" s="120">
        <v>3</v>
      </c>
      <c r="I30" s="120">
        <v>2</v>
      </c>
      <c r="J30" s="122">
        <v>2</v>
      </c>
      <c r="K30" s="120">
        <v>1</v>
      </c>
      <c r="L30" s="122">
        <v>0</v>
      </c>
      <c r="M30" s="120">
        <v>0</v>
      </c>
      <c r="N30" s="120">
        <v>0</v>
      </c>
      <c r="O30" s="120">
        <v>-2</v>
      </c>
      <c r="P30" s="120">
        <v>1</v>
      </c>
      <c r="Q30" s="120">
        <v>1</v>
      </c>
      <c r="R30" s="120">
        <v>2</v>
      </c>
      <c r="S30" s="120">
        <v>1</v>
      </c>
      <c r="T30" s="120">
        <v>1</v>
      </c>
      <c r="U30" s="122">
        <v>1</v>
      </c>
      <c r="V30" s="120">
        <v>1</v>
      </c>
      <c r="W30" s="120">
        <v>-1</v>
      </c>
      <c r="X30" s="120">
        <v>1</v>
      </c>
      <c r="Y30" s="124">
        <f>'[2]24'!$A$22:$A$22</f>
        <v>3</v>
      </c>
      <c r="Z30" s="120">
        <v>2</v>
      </c>
      <c r="AA30" s="120">
        <v>0</v>
      </c>
      <c r="AB30" s="120">
        <v>2</v>
      </c>
      <c r="AC30" s="120">
        <v>1</v>
      </c>
      <c r="AD30" s="120">
        <v>2</v>
      </c>
      <c r="AE30" s="120">
        <v>3</v>
      </c>
      <c r="AF30" s="120">
        <v>1</v>
      </c>
    </row>
    <row r="31" spans="1:32" x14ac:dyDescent="0.25">
      <c r="A31" s="53">
        <v>18</v>
      </c>
      <c r="B31" s="120">
        <v>5</v>
      </c>
      <c r="C31" s="120">
        <v>1</v>
      </c>
      <c r="D31" s="120">
        <v>1</v>
      </c>
      <c r="E31" s="120">
        <v>1</v>
      </c>
      <c r="F31" s="120">
        <v>1</v>
      </c>
      <c r="G31" s="122">
        <v>2</v>
      </c>
      <c r="H31" s="120">
        <v>2</v>
      </c>
      <c r="I31" s="120">
        <v>2</v>
      </c>
      <c r="J31" s="122">
        <v>1</v>
      </c>
      <c r="K31" s="120">
        <v>-1</v>
      </c>
      <c r="L31" s="122">
        <v>0</v>
      </c>
      <c r="M31" s="120">
        <v>-3</v>
      </c>
      <c r="N31" s="120">
        <v>-1</v>
      </c>
      <c r="O31" s="120">
        <v>-4</v>
      </c>
      <c r="P31" s="120">
        <v>0</v>
      </c>
      <c r="Q31" s="120">
        <v>0</v>
      </c>
      <c r="R31" s="120">
        <v>1</v>
      </c>
      <c r="S31" s="120">
        <v>-1</v>
      </c>
      <c r="T31" s="120">
        <v>-1</v>
      </c>
      <c r="U31" s="122">
        <v>0</v>
      </c>
      <c r="V31" s="120">
        <v>0</v>
      </c>
      <c r="W31" s="120">
        <v>2</v>
      </c>
      <c r="X31" s="120">
        <v>3</v>
      </c>
      <c r="Y31" s="124">
        <f>'[2]24'!$A$24:$A$24</f>
        <v>2</v>
      </c>
      <c r="Z31" s="120">
        <v>2</v>
      </c>
      <c r="AA31" s="120">
        <v>2</v>
      </c>
      <c r="AB31" s="120">
        <v>1</v>
      </c>
      <c r="AC31" s="120">
        <v>0</v>
      </c>
      <c r="AD31" s="120">
        <v>1</v>
      </c>
      <c r="AE31" s="120">
        <v>2</v>
      </c>
      <c r="AF31" s="120">
        <v>1</v>
      </c>
    </row>
    <row r="32" spans="1:32" x14ac:dyDescent="0.25">
      <c r="A32" s="53">
        <v>20</v>
      </c>
      <c r="B32" s="120">
        <v>6</v>
      </c>
      <c r="C32" s="120">
        <v>0</v>
      </c>
      <c r="D32" s="120">
        <v>0</v>
      </c>
      <c r="E32" s="120">
        <v>-1</v>
      </c>
      <c r="F32" s="120">
        <v>1</v>
      </c>
      <c r="G32" s="122">
        <v>0</v>
      </c>
      <c r="H32" s="120">
        <v>2</v>
      </c>
      <c r="I32" s="120">
        <v>1</v>
      </c>
      <c r="J32" s="122">
        <v>1</v>
      </c>
      <c r="K32" s="120">
        <v>-2</v>
      </c>
      <c r="L32" s="122">
        <v>-4</v>
      </c>
      <c r="M32" s="120">
        <v>-5</v>
      </c>
      <c r="N32" s="120">
        <v>-4</v>
      </c>
      <c r="O32" s="120">
        <v>-6</v>
      </c>
      <c r="P32" s="120">
        <v>-1</v>
      </c>
      <c r="Q32" s="120">
        <v>-1</v>
      </c>
      <c r="R32" s="120">
        <v>0</v>
      </c>
      <c r="S32" s="120">
        <v>-4</v>
      </c>
      <c r="T32" s="120">
        <v>-1</v>
      </c>
      <c r="U32" s="122">
        <v>-1</v>
      </c>
      <c r="V32" s="120">
        <v>-1</v>
      </c>
      <c r="W32" s="120">
        <v>3</v>
      </c>
      <c r="X32" s="120">
        <v>0</v>
      </c>
      <c r="Y32" s="124">
        <f>'[2]24'!$A$26:$A$26</f>
        <v>1</v>
      </c>
      <c r="Z32" s="120">
        <v>2</v>
      </c>
      <c r="AA32" s="120">
        <v>2</v>
      </c>
      <c r="AB32" s="120">
        <v>0</v>
      </c>
      <c r="AC32" s="120">
        <v>-2</v>
      </c>
      <c r="AD32" s="120">
        <v>1</v>
      </c>
      <c r="AE32" s="120">
        <v>2</v>
      </c>
      <c r="AF32" s="120">
        <v>1</v>
      </c>
    </row>
    <row r="33" spans="1:32" x14ac:dyDescent="0.25">
      <c r="A33" s="53">
        <v>22</v>
      </c>
      <c r="B33" s="120">
        <v>5</v>
      </c>
      <c r="C33" s="120">
        <v>-2</v>
      </c>
      <c r="D33" s="120">
        <v>0</v>
      </c>
      <c r="E33" s="120">
        <v>-1</v>
      </c>
      <c r="F33" s="120">
        <v>0</v>
      </c>
      <c r="G33" s="122">
        <v>1</v>
      </c>
      <c r="H33" s="120">
        <v>2</v>
      </c>
      <c r="I33" s="120">
        <v>0</v>
      </c>
      <c r="J33" s="122">
        <v>-1</v>
      </c>
      <c r="K33" s="120">
        <v>-3</v>
      </c>
      <c r="L33" s="122">
        <v>-5</v>
      </c>
      <c r="M33" s="120">
        <v>-4</v>
      </c>
      <c r="N33" s="120">
        <v>-5</v>
      </c>
      <c r="O33" s="120">
        <v>-6</v>
      </c>
      <c r="P33" s="120">
        <v>-2</v>
      </c>
      <c r="Q33" s="120">
        <v>0</v>
      </c>
      <c r="R33" s="120">
        <v>-2</v>
      </c>
      <c r="S33" s="120">
        <v>-4</v>
      </c>
      <c r="T33" s="120">
        <v>-2</v>
      </c>
      <c r="U33" s="122">
        <v>-2</v>
      </c>
      <c r="V33" s="120">
        <v>-2</v>
      </c>
      <c r="W33" s="120">
        <v>2</v>
      </c>
      <c r="X33" s="120">
        <v>0</v>
      </c>
      <c r="Y33" s="124">
        <f>'[2]24'!$A$28:$A$28</f>
        <v>0</v>
      </c>
      <c r="Z33" s="120">
        <v>2</v>
      </c>
      <c r="AA33" s="120">
        <v>2</v>
      </c>
      <c r="AB33" s="120">
        <v>0</v>
      </c>
      <c r="AC33" s="120">
        <v>-1</v>
      </c>
      <c r="AD33" s="120">
        <v>1</v>
      </c>
      <c r="AE33" s="120">
        <v>2</v>
      </c>
      <c r="AF33" s="120">
        <v>3</v>
      </c>
    </row>
    <row r="34" spans="1:32" x14ac:dyDescent="0.25">
      <c r="A34" s="53">
        <v>24</v>
      </c>
      <c r="B34" s="120">
        <v>3</v>
      </c>
      <c r="C34" s="120">
        <v>-2</v>
      </c>
      <c r="D34" s="120">
        <v>-1</v>
      </c>
      <c r="E34" s="120">
        <v>-1</v>
      </c>
      <c r="F34" s="120">
        <v>-1</v>
      </c>
      <c r="G34" s="122">
        <v>1</v>
      </c>
      <c r="H34" s="120">
        <v>2</v>
      </c>
      <c r="I34" s="120">
        <v>-1</v>
      </c>
      <c r="J34" s="122">
        <v>-2</v>
      </c>
      <c r="K34" s="120">
        <v>-4</v>
      </c>
      <c r="L34" s="122">
        <v>-6</v>
      </c>
      <c r="M34" s="120">
        <v>-6</v>
      </c>
      <c r="N34" s="120">
        <v>-6</v>
      </c>
      <c r="O34" s="120">
        <v>-7</v>
      </c>
      <c r="P34" s="120">
        <v>-2</v>
      </c>
      <c r="Q34" s="120">
        <v>-1</v>
      </c>
      <c r="R34" s="120">
        <v>-2</v>
      </c>
      <c r="S34" s="120">
        <v>-3</v>
      </c>
      <c r="T34" s="120">
        <v>-2</v>
      </c>
      <c r="U34" s="122">
        <v>-3</v>
      </c>
      <c r="V34" s="120">
        <v>-4</v>
      </c>
      <c r="W34" s="120">
        <v>3</v>
      </c>
      <c r="X34" s="120">
        <v>0</v>
      </c>
      <c r="Y34" s="124">
        <f>'[2]24'!$A$30:$A$30</f>
        <v>0</v>
      </c>
      <c r="Z34" s="120">
        <v>1</v>
      </c>
      <c r="AA34" s="120">
        <v>1</v>
      </c>
      <c r="AB34" s="120">
        <v>-1</v>
      </c>
      <c r="AC34" s="120">
        <v>-1</v>
      </c>
      <c r="AD34" s="120">
        <v>1</v>
      </c>
      <c r="AE34" s="120">
        <v>2</v>
      </c>
      <c r="AF34" s="120">
        <v>2</v>
      </c>
    </row>
    <row r="35" spans="1:32" x14ac:dyDescent="0.25">
      <c r="A35" s="53">
        <v>2</v>
      </c>
      <c r="B35" s="120">
        <v>1</v>
      </c>
      <c r="C35" s="120">
        <v>-2</v>
      </c>
      <c r="D35" s="120">
        <v>-1</v>
      </c>
      <c r="E35" s="120">
        <v>-2</v>
      </c>
      <c r="F35" s="120">
        <v>-2</v>
      </c>
      <c r="G35" s="122">
        <v>1</v>
      </c>
      <c r="H35" s="120">
        <v>1</v>
      </c>
      <c r="I35" s="120">
        <v>-2</v>
      </c>
      <c r="J35" s="122">
        <v>-3</v>
      </c>
      <c r="K35" s="120">
        <v>-4</v>
      </c>
      <c r="L35" s="122">
        <v>-6</v>
      </c>
      <c r="M35" s="120">
        <v>-6</v>
      </c>
      <c r="N35" s="120">
        <v>-7</v>
      </c>
      <c r="O35" s="120">
        <v>-8</v>
      </c>
      <c r="P35" s="120">
        <v>-3</v>
      </c>
      <c r="Q35" s="120">
        <v>-1</v>
      </c>
      <c r="R35" s="120">
        <v>-3</v>
      </c>
      <c r="S35" s="120">
        <v>-4</v>
      </c>
      <c r="T35" s="120">
        <v>-2</v>
      </c>
      <c r="U35" s="122">
        <v>-3</v>
      </c>
      <c r="V35" s="120">
        <v>-4</v>
      </c>
      <c r="W35" s="120">
        <v>2</v>
      </c>
      <c r="X35" s="120">
        <v>0</v>
      </c>
      <c r="Y35" s="124">
        <f>'[2]24'!$A$32:$A$32</f>
        <v>0</v>
      </c>
      <c r="Z35" s="120">
        <v>1</v>
      </c>
      <c r="AA35" s="120">
        <v>1</v>
      </c>
      <c r="AB35" s="120">
        <v>-2</v>
      </c>
      <c r="AC35" s="120">
        <v>-2</v>
      </c>
      <c r="AD35" s="120">
        <v>1</v>
      </c>
      <c r="AE35" s="120">
        <v>2</v>
      </c>
      <c r="AF35" s="120">
        <v>2</v>
      </c>
    </row>
    <row r="36" spans="1:32" ht="28.5" x14ac:dyDescent="0.25">
      <c r="A36" s="55" t="s">
        <v>2</v>
      </c>
      <c r="B36" s="56">
        <f>AVERAGE(B24+B25+B26+B27+B28+B29+B30+B31+B32+B33+B34+B35)/12</f>
        <v>4.916666666666667</v>
      </c>
      <c r="C36" s="56">
        <f t="shared" ref="C36:AF36" si="1">AVERAGE(C24+C25+C26+C27+C28+C29+C30+C31+C32+C33+C34+C35)/12</f>
        <v>0.58333333333333337</v>
      </c>
      <c r="D36" s="56">
        <f t="shared" si="1"/>
        <v>0.16666666666666666</v>
      </c>
      <c r="E36" s="56">
        <f t="shared" si="1"/>
        <v>-0.5</v>
      </c>
      <c r="F36" s="56">
        <f t="shared" si="1"/>
        <v>8.3333333333333329E-2</v>
      </c>
      <c r="G36" s="56">
        <f t="shared" si="1"/>
        <v>0.33333333333333331</v>
      </c>
      <c r="H36" s="56">
        <f t="shared" si="1"/>
        <v>1.75</v>
      </c>
      <c r="I36" s="56">
        <f t="shared" si="1"/>
        <v>1</v>
      </c>
      <c r="J36" s="56">
        <f t="shared" si="1"/>
        <v>-0.25</v>
      </c>
      <c r="K36" s="56">
        <f t="shared" si="1"/>
        <v>-1.5833333333333333</v>
      </c>
      <c r="L36" s="56">
        <f t="shared" si="1"/>
        <v>-3.4166666666666665</v>
      </c>
      <c r="M36" s="56">
        <f t="shared" si="1"/>
        <v>-4.833333333333333</v>
      </c>
      <c r="N36" s="56">
        <f t="shared" si="1"/>
        <v>-4</v>
      </c>
      <c r="O36" s="56">
        <f t="shared" si="1"/>
        <v>-5.25</v>
      </c>
      <c r="P36" s="56">
        <f t="shared" si="1"/>
        <v>-2.8333333333333335</v>
      </c>
      <c r="Q36" s="56">
        <f t="shared" si="1"/>
        <v>-1.0833333333333333</v>
      </c>
      <c r="R36" s="56">
        <f t="shared" si="1"/>
        <v>-0.25</v>
      </c>
      <c r="S36" s="56">
        <f t="shared" si="1"/>
        <v>-2.0833333333333335</v>
      </c>
      <c r="T36" s="56">
        <f t="shared" si="1"/>
        <v>-1.5833333333333333</v>
      </c>
      <c r="U36" s="56">
        <f t="shared" si="1"/>
        <v>-0.91666666666666663</v>
      </c>
      <c r="V36" s="56">
        <f t="shared" si="1"/>
        <v>-1.3333333333333333</v>
      </c>
      <c r="W36" s="56">
        <f t="shared" si="1"/>
        <v>0.33333333333333331</v>
      </c>
      <c r="X36" s="56">
        <f t="shared" si="1"/>
        <v>1.1666666666666667</v>
      </c>
      <c r="Y36" s="56">
        <f t="shared" si="1"/>
        <v>1.0833333333333333</v>
      </c>
      <c r="Z36" s="56">
        <f t="shared" si="1"/>
        <v>1.25</v>
      </c>
      <c r="AA36" s="56">
        <f t="shared" si="1"/>
        <v>1.0833333333333333</v>
      </c>
      <c r="AB36" s="56">
        <f t="shared" si="1"/>
        <v>8.3333333333333329E-2</v>
      </c>
      <c r="AC36" s="56">
        <f t="shared" si="1"/>
        <v>-0.5</v>
      </c>
      <c r="AD36" s="56">
        <f t="shared" si="1"/>
        <v>0.25</v>
      </c>
      <c r="AE36" s="56">
        <f t="shared" si="1"/>
        <v>1.9166666666666667</v>
      </c>
      <c r="AF36" s="56">
        <f t="shared" si="1"/>
        <v>1.8333333333333333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opLeftCell="C4" workbookViewId="0">
      <selection activeCell="AD11" sqref="AD11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1" x14ac:dyDescent="0.25">
      <c r="A1" s="126" t="s">
        <v>8</v>
      </c>
      <c r="B1" s="140" t="s">
        <v>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 x14ac:dyDescent="0.25">
      <c r="A2" s="141" t="s">
        <v>0</v>
      </c>
      <c r="B2" s="143" t="s">
        <v>65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1" x14ac:dyDescent="0.25">
      <c r="A3" s="142"/>
      <c r="B3" s="126">
        <v>1</v>
      </c>
      <c r="C3" s="126">
        <v>2</v>
      </c>
      <c r="D3" s="126">
        <v>3</v>
      </c>
      <c r="E3" s="126">
        <v>4</v>
      </c>
      <c r="F3" s="126">
        <v>5</v>
      </c>
      <c r="G3" s="126">
        <v>6</v>
      </c>
      <c r="H3" s="126">
        <v>7</v>
      </c>
      <c r="I3" s="126">
        <v>8</v>
      </c>
      <c r="J3" s="126">
        <v>9</v>
      </c>
      <c r="K3" s="126">
        <v>10</v>
      </c>
      <c r="L3" s="126">
        <v>11</v>
      </c>
      <c r="M3" s="126">
        <v>12</v>
      </c>
      <c r="N3" s="126">
        <v>13</v>
      </c>
      <c r="O3" s="126">
        <v>14</v>
      </c>
      <c r="P3" s="126">
        <v>15</v>
      </c>
      <c r="Q3" s="126">
        <v>16</v>
      </c>
      <c r="R3" s="126">
        <v>17</v>
      </c>
      <c r="S3" s="126">
        <v>18</v>
      </c>
      <c r="T3" s="126">
        <v>19</v>
      </c>
      <c r="U3" s="126">
        <v>20</v>
      </c>
      <c r="V3" s="126">
        <v>21</v>
      </c>
      <c r="W3" s="126">
        <v>22</v>
      </c>
      <c r="X3" s="126">
        <v>23</v>
      </c>
      <c r="Y3" s="126">
        <v>24</v>
      </c>
      <c r="Z3" s="126">
        <v>25</v>
      </c>
      <c r="AA3" s="126">
        <v>26</v>
      </c>
      <c r="AB3" s="126">
        <v>27</v>
      </c>
      <c r="AC3" s="126">
        <v>28</v>
      </c>
      <c r="AD3" s="59">
        <v>29</v>
      </c>
      <c r="AE3" s="59">
        <v>30</v>
      </c>
    </row>
    <row r="4" spans="1:31" x14ac:dyDescent="0.25">
      <c r="A4" s="53">
        <v>4</v>
      </c>
      <c r="B4" s="120"/>
      <c r="C4" s="120"/>
      <c r="D4" s="120"/>
      <c r="E4" s="120"/>
      <c r="F4" s="120"/>
      <c r="G4" s="120"/>
      <c r="H4" s="120"/>
      <c r="I4" s="120"/>
      <c r="J4" s="120"/>
      <c r="K4" s="84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</row>
    <row r="5" spans="1:31" x14ac:dyDescent="0.25">
      <c r="A5" s="53">
        <v>6</v>
      </c>
      <c r="B5" s="120"/>
      <c r="C5" s="120"/>
      <c r="D5" s="120"/>
      <c r="E5" s="120"/>
      <c r="F5" s="120"/>
      <c r="G5" s="120"/>
      <c r="H5" s="120"/>
      <c r="I5" s="120"/>
      <c r="J5" s="120"/>
      <c r="K5" s="84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</row>
    <row r="6" spans="1:31" x14ac:dyDescent="0.25">
      <c r="A6" s="53">
        <v>8</v>
      </c>
      <c r="B6" s="120"/>
      <c r="C6" s="120"/>
      <c r="D6" s="120"/>
      <c r="E6" s="120"/>
      <c r="F6" s="120"/>
      <c r="G6" s="120"/>
      <c r="H6" s="120"/>
      <c r="I6" s="120"/>
      <c r="J6" s="120"/>
      <c r="K6" s="84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</row>
    <row r="7" spans="1:31" x14ac:dyDescent="0.25">
      <c r="A7" s="53">
        <v>10</v>
      </c>
      <c r="B7" s="120"/>
      <c r="C7" s="120"/>
      <c r="D7" s="120"/>
      <c r="E7" s="120"/>
      <c r="F7" s="120"/>
      <c r="G7" s="120"/>
      <c r="H7" s="120"/>
      <c r="I7" s="120"/>
      <c r="J7" s="120"/>
      <c r="K7" s="84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</row>
    <row r="8" spans="1:31" x14ac:dyDescent="0.25">
      <c r="A8" s="53">
        <v>12</v>
      </c>
      <c r="B8" s="120"/>
      <c r="C8" s="120"/>
      <c r="D8" s="120"/>
      <c r="E8" s="120"/>
      <c r="F8" s="120"/>
      <c r="G8" s="120"/>
      <c r="H8" s="120"/>
      <c r="I8" s="120"/>
      <c r="J8" s="120"/>
      <c r="K8" s="84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</row>
    <row r="9" spans="1:31" x14ac:dyDescent="0.25">
      <c r="A9" s="53">
        <v>14</v>
      </c>
      <c r="B9" s="120"/>
      <c r="C9" s="120"/>
      <c r="D9" s="120"/>
      <c r="E9" s="120"/>
      <c r="F9" s="120"/>
      <c r="G9" s="120"/>
      <c r="H9" s="120"/>
      <c r="I9" s="120"/>
      <c r="J9" s="120"/>
      <c r="K9" s="84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</row>
    <row r="10" spans="1:31" x14ac:dyDescent="0.25">
      <c r="A10" s="53">
        <v>16</v>
      </c>
      <c r="B10" s="120"/>
      <c r="C10" s="120"/>
      <c r="D10" s="120"/>
      <c r="E10" s="120"/>
      <c r="F10" s="120"/>
      <c r="G10" s="120"/>
      <c r="H10" s="120"/>
      <c r="I10" s="120"/>
      <c r="J10" s="120"/>
      <c r="K10" s="84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</row>
    <row r="11" spans="1:31" x14ac:dyDescent="0.25">
      <c r="A11" s="53">
        <v>18</v>
      </c>
      <c r="B11" s="120"/>
      <c r="C11" s="120"/>
      <c r="D11" s="120"/>
      <c r="E11" s="120"/>
      <c r="F11" s="120"/>
      <c r="G11" s="120"/>
      <c r="H11" s="120"/>
      <c r="I11" s="120"/>
      <c r="J11" s="120"/>
      <c r="K11" s="84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</row>
    <row r="12" spans="1:31" x14ac:dyDescent="0.25">
      <c r="A12" s="53">
        <v>20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84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</row>
    <row r="13" spans="1:31" x14ac:dyDescent="0.25">
      <c r="A13" s="53">
        <v>22</v>
      </c>
      <c r="B13" s="120"/>
      <c r="C13" s="120"/>
      <c r="D13" s="120"/>
      <c r="E13" s="120"/>
      <c r="F13" s="120"/>
      <c r="G13" s="120"/>
      <c r="H13" s="120"/>
      <c r="I13" s="120"/>
      <c r="J13" s="120"/>
      <c r="K13" s="84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</row>
    <row r="14" spans="1:31" x14ac:dyDescent="0.25">
      <c r="A14" s="53">
        <v>24</v>
      </c>
      <c r="B14" s="120"/>
      <c r="C14" s="120"/>
      <c r="D14" s="120"/>
      <c r="E14" s="120"/>
      <c r="F14" s="120"/>
      <c r="G14" s="120"/>
      <c r="H14" s="120"/>
      <c r="I14" s="120"/>
      <c r="J14" s="120"/>
      <c r="K14" s="84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</row>
    <row r="15" spans="1:31" x14ac:dyDescent="0.25">
      <c r="A15" s="53">
        <v>2</v>
      </c>
      <c r="B15" s="120"/>
      <c r="C15" s="120"/>
      <c r="D15" s="120"/>
      <c r="E15" s="120"/>
      <c r="F15" s="120"/>
      <c r="G15" s="120"/>
      <c r="H15" s="120"/>
      <c r="I15" s="120"/>
      <c r="J15" s="120"/>
      <c r="K15" s="84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</row>
    <row r="16" spans="1:31" ht="28.5" x14ac:dyDescent="0.25">
      <c r="A16" s="55" t="s">
        <v>2</v>
      </c>
      <c r="B16" s="56">
        <f>AVERAGE(B4+B5+B6+B7+B8+B9+B10+B11+B12+B13+B14+B15)/12</f>
        <v>0</v>
      </c>
      <c r="C16" s="56">
        <f t="shared" ref="C16:AE16" si="0">AVERAGE(C4+C5+C6+C7+C8+C9+C10+C11+C12+C13+C14+C15)/12</f>
        <v>0</v>
      </c>
      <c r="D16" s="56">
        <f t="shared" si="0"/>
        <v>0</v>
      </c>
      <c r="E16" s="56">
        <f t="shared" si="0"/>
        <v>0</v>
      </c>
      <c r="F16" s="56">
        <f t="shared" si="0"/>
        <v>0</v>
      </c>
      <c r="G16" s="56">
        <f t="shared" si="0"/>
        <v>0</v>
      </c>
      <c r="H16" s="56">
        <f t="shared" si="0"/>
        <v>0</v>
      </c>
      <c r="I16" s="56">
        <f t="shared" si="0"/>
        <v>0</v>
      </c>
      <c r="J16" s="56">
        <f t="shared" si="0"/>
        <v>0</v>
      </c>
      <c r="K16" s="56">
        <f t="shared" si="0"/>
        <v>0</v>
      </c>
      <c r="L16" s="56">
        <f t="shared" si="0"/>
        <v>0</v>
      </c>
      <c r="M16" s="56">
        <f t="shared" si="0"/>
        <v>0</v>
      </c>
      <c r="N16" s="56">
        <f t="shared" si="0"/>
        <v>0</v>
      </c>
      <c r="O16" s="56">
        <f t="shared" si="0"/>
        <v>0</v>
      </c>
      <c r="P16" s="56">
        <f t="shared" si="0"/>
        <v>0</v>
      </c>
      <c r="Q16" s="56">
        <f t="shared" si="0"/>
        <v>0</v>
      </c>
      <c r="R16" s="56">
        <f t="shared" si="0"/>
        <v>0</v>
      </c>
      <c r="S16" s="56">
        <f t="shared" si="0"/>
        <v>0</v>
      </c>
      <c r="T16" s="56">
        <f t="shared" si="0"/>
        <v>0</v>
      </c>
      <c r="U16" s="56">
        <f t="shared" si="0"/>
        <v>0</v>
      </c>
      <c r="V16" s="56">
        <f t="shared" si="0"/>
        <v>0</v>
      </c>
      <c r="W16" s="56">
        <f t="shared" si="0"/>
        <v>0</v>
      </c>
      <c r="X16" s="56">
        <f t="shared" si="0"/>
        <v>0</v>
      </c>
      <c r="Y16" s="56">
        <f t="shared" si="0"/>
        <v>0</v>
      </c>
      <c r="Z16" s="56">
        <f t="shared" si="0"/>
        <v>0</v>
      </c>
      <c r="AA16" s="56">
        <f t="shared" si="0"/>
        <v>0</v>
      </c>
      <c r="AB16" s="56">
        <f t="shared" si="0"/>
        <v>0</v>
      </c>
      <c r="AC16" s="56">
        <f t="shared" si="0"/>
        <v>0</v>
      </c>
      <c r="AD16" s="56">
        <f t="shared" si="0"/>
        <v>0</v>
      </c>
      <c r="AE16" s="56">
        <f t="shared" si="0"/>
        <v>0</v>
      </c>
    </row>
    <row r="21" spans="1:31" x14ac:dyDescent="0.25">
      <c r="A21" s="126" t="s">
        <v>7</v>
      </c>
      <c r="B21" s="140" t="s">
        <v>1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spans="1:31" x14ac:dyDescent="0.25">
      <c r="A22" s="143" t="s">
        <v>0</v>
      </c>
      <c r="B22" s="143" t="s">
        <v>65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</row>
    <row r="23" spans="1:31" x14ac:dyDescent="0.25">
      <c r="A23" s="143"/>
      <c r="B23" s="126">
        <v>1</v>
      </c>
      <c r="C23" s="126">
        <v>2</v>
      </c>
      <c r="D23" s="126">
        <v>3</v>
      </c>
      <c r="E23" s="126">
        <v>4</v>
      </c>
      <c r="F23" s="126">
        <v>5</v>
      </c>
      <c r="G23" s="126">
        <v>6</v>
      </c>
      <c r="H23" s="126">
        <v>7</v>
      </c>
      <c r="I23" s="126">
        <v>8</v>
      </c>
      <c r="J23" s="126">
        <v>9</v>
      </c>
      <c r="K23" s="126">
        <v>10</v>
      </c>
      <c r="L23" s="126">
        <v>11</v>
      </c>
      <c r="M23" s="126">
        <v>12</v>
      </c>
      <c r="N23" s="126">
        <v>13</v>
      </c>
      <c r="O23" s="126">
        <v>14</v>
      </c>
      <c r="P23" s="126">
        <v>15</v>
      </c>
      <c r="Q23" s="126">
        <v>16</v>
      </c>
      <c r="R23" s="126">
        <v>17</v>
      </c>
      <c r="S23" s="126">
        <v>18</v>
      </c>
      <c r="T23" s="126">
        <v>19</v>
      </c>
      <c r="U23" s="126">
        <v>20</v>
      </c>
      <c r="V23" s="126">
        <v>21</v>
      </c>
      <c r="W23" s="126">
        <v>22</v>
      </c>
      <c r="X23" s="126">
        <v>23</v>
      </c>
      <c r="Y23" s="126">
        <v>24</v>
      </c>
      <c r="Z23" s="126">
        <v>25</v>
      </c>
      <c r="AA23" s="126">
        <v>26</v>
      </c>
      <c r="AB23" s="126">
        <v>27</v>
      </c>
      <c r="AC23" s="126">
        <v>28</v>
      </c>
      <c r="AD23" s="59">
        <v>29</v>
      </c>
      <c r="AE23" s="59">
        <v>30</v>
      </c>
    </row>
    <row r="24" spans="1:31" x14ac:dyDescent="0.25">
      <c r="A24" s="53">
        <v>4</v>
      </c>
      <c r="B24" s="120">
        <v>1</v>
      </c>
      <c r="C24" s="120">
        <v>-10</v>
      </c>
      <c r="D24" s="120">
        <v>-14</v>
      </c>
      <c r="E24" s="120">
        <v>-14</v>
      </c>
      <c r="F24" s="120">
        <v>-2</v>
      </c>
      <c r="G24" s="127">
        <v>-6</v>
      </c>
      <c r="H24" s="120">
        <v>-8</v>
      </c>
      <c r="I24" s="120">
        <v>-8</v>
      </c>
      <c r="J24" s="125">
        <v>-17</v>
      </c>
      <c r="K24" s="120">
        <v>-22</v>
      </c>
      <c r="L24" s="84">
        <f>'[2]11'!$A$10:$A$10</f>
        <v>-15</v>
      </c>
      <c r="M24" s="120">
        <v>-12</v>
      </c>
      <c r="N24" s="120">
        <v>-18</v>
      </c>
      <c r="O24" s="120">
        <v>-29</v>
      </c>
      <c r="P24" s="120">
        <v>-8</v>
      </c>
      <c r="Q24" s="120">
        <v>1</v>
      </c>
      <c r="R24" s="120">
        <v>-5</v>
      </c>
      <c r="S24" s="120">
        <v>-9</v>
      </c>
      <c r="T24" s="120">
        <v>-4</v>
      </c>
      <c r="U24" s="125">
        <v>2</v>
      </c>
      <c r="V24" s="120">
        <v>-5</v>
      </c>
      <c r="W24" s="120">
        <v>-7</v>
      </c>
      <c r="X24" s="120">
        <v>-8</v>
      </c>
      <c r="Y24" s="125">
        <v>-15</v>
      </c>
      <c r="Z24" s="120">
        <v>-22</v>
      </c>
      <c r="AA24" s="120">
        <v>-7</v>
      </c>
      <c r="AB24" s="120">
        <v>-21</v>
      </c>
      <c r="AC24" s="120">
        <v>-33</v>
      </c>
      <c r="AD24" s="120">
        <v>-31</v>
      </c>
      <c r="AE24" s="120">
        <v>-14</v>
      </c>
    </row>
    <row r="25" spans="1:31" x14ac:dyDescent="0.25">
      <c r="A25" s="53">
        <v>6</v>
      </c>
      <c r="B25" s="120">
        <v>0</v>
      </c>
      <c r="C25" s="120">
        <v>-11</v>
      </c>
      <c r="D25" s="120">
        <v>-14</v>
      </c>
      <c r="E25" s="120">
        <v>-13</v>
      </c>
      <c r="F25" s="120">
        <v>-9</v>
      </c>
      <c r="G25" s="127">
        <v>-6</v>
      </c>
      <c r="H25" s="120">
        <v>-8</v>
      </c>
      <c r="I25" s="120">
        <v>-8</v>
      </c>
      <c r="J25" s="125">
        <v>-17</v>
      </c>
      <c r="K25" s="120">
        <v>-22</v>
      </c>
      <c r="L25" s="84">
        <f>'[2]11'!$A$12:$A$12</f>
        <v>-14</v>
      </c>
      <c r="M25" s="120">
        <v>-11</v>
      </c>
      <c r="N25" s="120">
        <v>-20</v>
      </c>
      <c r="O25" s="120">
        <v>-28</v>
      </c>
      <c r="P25" s="120">
        <v>-3</v>
      </c>
      <c r="Q25" s="120">
        <v>1</v>
      </c>
      <c r="R25" s="120">
        <v>-6</v>
      </c>
      <c r="S25" s="120">
        <v>-9</v>
      </c>
      <c r="T25" s="120">
        <v>-4</v>
      </c>
      <c r="U25" s="125">
        <v>1</v>
      </c>
      <c r="V25" s="120">
        <v>-5</v>
      </c>
      <c r="W25" s="120">
        <v>-7</v>
      </c>
      <c r="X25" s="120">
        <v>-6</v>
      </c>
      <c r="Y25" s="125">
        <v>-19</v>
      </c>
      <c r="Z25" s="120">
        <v>-21</v>
      </c>
      <c r="AA25" s="120">
        <v>-7</v>
      </c>
      <c r="AB25" s="120">
        <v>-21</v>
      </c>
      <c r="AC25" s="120">
        <v>-33</v>
      </c>
      <c r="AD25" s="120">
        <v>-30</v>
      </c>
      <c r="AE25" s="120">
        <v>-13</v>
      </c>
    </row>
    <row r="26" spans="1:31" x14ac:dyDescent="0.25">
      <c r="A26" s="53">
        <v>8</v>
      </c>
      <c r="B26" s="120">
        <v>-2</v>
      </c>
      <c r="C26" s="120">
        <v>-11</v>
      </c>
      <c r="D26" s="120">
        <v>-13</v>
      </c>
      <c r="E26" s="120">
        <v>-12</v>
      </c>
      <c r="F26" s="120">
        <v>-10</v>
      </c>
      <c r="G26" s="127">
        <v>-6</v>
      </c>
      <c r="H26" s="120">
        <v>-8</v>
      </c>
      <c r="I26" s="120">
        <v>-9</v>
      </c>
      <c r="J26" s="125">
        <v>-17</v>
      </c>
      <c r="K26" s="120">
        <v>-23</v>
      </c>
      <c r="L26" s="84">
        <f>'[2]11'!$A$14:$A$14</f>
        <v>-14</v>
      </c>
      <c r="M26" s="120">
        <v>-10</v>
      </c>
      <c r="N26" s="120">
        <v>-20</v>
      </c>
      <c r="O26" s="120">
        <v>-27</v>
      </c>
      <c r="P26" s="120">
        <v>-1</v>
      </c>
      <c r="Q26" s="120">
        <v>3</v>
      </c>
      <c r="R26" s="120">
        <v>-5</v>
      </c>
      <c r="S26" s="120">
        <v>-4</v>
      </c>
      <c r="T26" s="120">
        <v>-3</v>
      </c>
      <c r="U26" s="125">
        <v>-2</v>
      </c>
      <c r="V26" s="120">
        <v>-5</v>
      </c>
      <c r="W26" s="120">
        <v>-8</v>
      </c>
      <c r="X26" s="120">
        <v>-5</v>
      </c>
      <c r="Y26" s="125">
        <v>-22</v>
      </c>
      <c r="Z26" s="120">
        <v>-19</v>
      </c>
      <c r="AA26" s="120">
        <v>-6</v>
      </c>
      <c r="AB26" s="120">
        <v>-22</v>
      </c>
      <c r="AC26" s="120">
        <v>-33</v>
      </c>
      <c r="AD26" s="120">
        <v>-29</v>
      </c>
      <c r="AE26" s="120">
        <v>-11</v>
      </c>
    </row>
    <row r="27" spans="1:31" x14ac:dyDescent="0.25">
      <c r="A27" s="53">
        <v>10</v>
      </c>
      <c r="B27" s="120">
        <v>-3</v>
      </c>
      <c r="C27" s="120">
        <v>-11</v>
      </c>
      <c r="D27" s="120">
        <v>-12</v>
      </c>
      <c r="E27" s="120">
        <v>-9</v>
      </c>
      <c r="F27" s="120">
        <v>-9</v>
      </c>
      <c r="G27" s="127">
        <v>-6</v>
      </c>
      <c r="H27" s="120">
        <v>-7</v>
      </c>
      <c r="I27" s="120">
        <v>-10</v>
      </c>
      <c r="J27" s="125">
        <v>-16</v>
      </c>
      <c r="K27" s="120">
        <v>-20</v>
      </c>
      <c r="L27" s="128">
        <f>'[2]11'!$A$16:$A$16</f>
        <v>-13</v>
      </c>
      <c r="M27" s="120">
        <v>-8</v>
      </c>
      <c r="N27" s="120">
        <v>-20</v>
      </c>
      <c r="O27" s="120">
        <v>-23</v>
      </c>
      <c r="P27" s="120">
        <v>0</v>
      </c>
      <c r="Q27" s="120">
        <v>1</v>
      </c>
      <c r="R27" s="120">
        <v>-8</v>
      </c>
      <c r="S27" s="120">
        <v>-5</v>
      </c>
      <c r="T27" s="120">
        <v>-1</v>
      </c>
      <c r="U27" s="125">
        <v>-2</v>
      </c>
      <c r="V27" s="120">
        <v>-5</v>
      </c>
      <c r="W27" s="120">
        <v>-9</v>
      </c>
      <c r="X27" s="120">
        <v>-5</v>
      </c>
      <c r="Y27" s="125">
        <v>-20</v>
      </c>
      <c r="Z27" s="120">
        <v>-18</v>
      </c>
      <c r="AA27" s="120">
        <v>-6</v>
      </c>
      <c r="AB27" s="120">
        <v>-26</v>
      </c>
      <c r="AC27" s="120">
        <v>-28</v>
      </c>
      <c r="AD27" s="120">
        <v>-24</v>
      </c>
      <c r="AE27" s="120">
        <v>-11</v>
      </c>
    </row>
    <row r="28" spans="1:31" x14ac:dyDescent="0.25">
      <c r="A28" s="53">
        <v>12</v>
      </c>
      <c r="B28" s="120">
        <v>-3</v>
      </c>
      <c r="C28" s="120">
        <v>-11</v>
      </c>
      <c r="D28" s="120">
        <v>-10</v>
      </c>
      <c r="E28" s="120">
        <v>-8</v>
      </c>
      <c r="F28" s="120">
        <v>-8</v>
      </c>
      <c r="G28" s="127">
        <v>-5</v>
      </c>
      <c r="H28" s="120">
        <v>-6</v>
      </c>
      <c r="I28" s="120">
        <v>-10</v>
      </c>
      <c r="J28" s="125">
        <v>-14</v>
      </c>
      <c r="K28" s="120">
        <v>-20</v>
      </c>
      <c r="L28" s="128">
        <f>'[2]11'!$A$18:$A$18</f>
        <v>-13</v>
      </c>
      <c r="M28" s="120">
        <v>-7</v>
      </c>
      <c r="N28" s="120">
        <v>-19</v>
      </c>
      <c r="O28" s="120">
        <v>-19</v>
      </c>
      <c r="P28" s="120">
        <v>1</v>
      </c>
      <c r="Q28" s="120">
        <v>1</v>
      </c>
      <c r="R28" s="120">
        <v>-8</v>
      </c>
      <c r="S28" s="120">
        <v>-4</v>
      </c>
      <c r="T28" s="120">
        <v>1</v>
      </c>
      <c r="U28" s="125">
        <v>-2</v>
      </c>
      <c r="V28" s="120">
        <v>-5</v>
      </c>
      <c r="W28" s="120">
        <v>-10</v>
      </c>
      <c r="X28" s="120">
        <v>-5</v>
      </c>
      <c r="Y28" s="125">
        <v>-19</v>
      </c>
      <c r="Z28" s="120">
        <v>-16</v>
      </c>
      <c r="AA28" s="120">
        <v>-4</v>
      </c>
      <c r="AB28" s="120">
        <v>-27</v>
      </c>
      <c r="AC28" s="120">
        <v>-27</v>
      </c>
      <c r="AD28" s="120">
        <v>-19</v>
      </c>
      <c r="AE28" s="120">
        <v>-9</v>
      </c>
    </row>
    <row r="29" spans="1:31" x14ac:dyDescent="0.25">
      <c r="A29" s="53">
        <v>14</v>
      </c>
      <c r="B29" s="120">
        <v>-4</v>
      </c>
      <c r="C29" s="120">
        <v>-10</v>
      </c>
      <c r="D29" s="120">
        <v>-10</v>
      </c>
      <c r="E29" s="120">
        <v>-8</v>
      </c>
      <c r="F29" s="120">
        <v>-8</v>
      </c>
      <c r="G29" s="127">
        <v>-5</v>
      </c>
      <c r="H29" s="120">
        <v>-6</v>
      </c>
      <c r="I29" s="120">
        <v>-11</v>
      </c>
      <c r="J29" s="125">
        <v>-14</v>
      </c>
      <c r="K29" s="120">
        <v>-17</v>
      </c>
      <c r="L29" s="128">
        <f>'[2]11'!$A$20:$A$20</f>
        <v>-12</v>
      </c>
      <c r="M29" s="120">
        <v>-7</v>
      </c>
      <c r="N29" s="120">
        <v>-20</v>
      </c>
      <c r="O29" s="120">
        <v>-16</v>
      </c>
      <c r="P29" s="120">
        <v>2</v>
      </c>
      <c r="Q29" s="120">
        <v>2</v>
      </c>
      <c r="R29" s="120">
        <v>-8</v>
      </c>
      <c r="S29" s="120">
        <v>-4</v>
      </c>
      <c r="T29" s="120">
        <v>2</v>
      </c>
      <c r="U29" s="125">
        <v>-2</v>
      </c>
      <c r="V29" s="120">
        <v>-4</v>
      </c>
      <c r="W29" s="120">
        <v>-11</v>
      </c>
      <c r="X29" s="120">
        <v>-5</v>
      </c>
      <c r="Y29" s="125">
        <v>-19</v>
      </c>
      <c r="Z29" s="120">
        <v>-14</v>
      </c>
      <c r="AA29" s="120">
        <v>-5</v>
      </c>
      <c r="AB29" s="120">
        <v>-28</v>
      </c>
      <c r="AC29" s="120">
        <v>-25</v>
      </c>
      <c r="AD29" s="120">
        <v>-18</v>
      </c>
      <c r="AE29" s="120">
        <v>-8</v>
      </c>
    </row>
    <row r="30" spans="1:31" x14ac:dyDescent="0.25">
      <c r="A30" s="53">
        <v>16</v>
      </c>
      <c r="B30" s="120">
        <v>-5</v>
      </c>
      <c r="C30" s="120">
        <v>-11</v>
      </c>
      <c r="D30" s="120">
        <v>-11</v>
      </c>
      <c r="E30" s="120">
        <v>-8</v>
      </c>
      <c r="F30" s="120">
        <v>-7</v>
      </c>
      <c r="G30" s="127">
        <v>-5</v>
      </c>
      <c r="H30" s="120">
        <v>-6</v>
      </c>
      <c r="I30" s="120">
        <v>-12</v>
      </c>
      <c r="J30" s="125">
        <v>-15</v>
      </c>
      <c r="K30" s="120">
        <v>-18</v>
      </c>
      <c r="L30" s="128">
        <f>'[2]11'!$A$22:$A$22</f>
        <v>-14</v>
      </c>
      <c r="M30" s="120">
        <v>-8</v>
      </c>
      <c r="N30" s="120">
        <v>-20</v>
      </c>
      <c r="O30" s="120">
        <v>-13</v>
      </c>
      <c r="P30" s="120">
        <v>2</v>
      </c>
      <c r="Q30" s="120">
        <v>2</v>
      </c>
      <c r="R30" s="120">
        <v>-7</v>
      </c>
      <c r="S30" s="120">
        <v>-3</v>
      </c>
      <c r="T30" s="120">
        <v>2</v>
      </c>
      <c r="U30" s="125">
        <v>-3</v>
      </c>
      <c r="V30" s="120">
        <v>-5</v>
      </c>
      <c r="W30" s="120">
        <v>-11</v>
      </c>
      <c r="X30" s="120">
        <v>-6</v>
      </c>
      <c r="Y30" s="125">
        <v>-20</v>
      </c>
      <c r="Z30" s="120">
        <v>-12</v>
      </c>
      <c r="AA30" s="120">
        <v>-7</v>
      </c>
      <c r="AB30" s="120">
        <v>-30</v>
      </c>
      <c r="AC30" s="120">
        <v>-26</v>
      </c>
      <c r="AD30" s="120">
        <v>-17</v>
      </c>
      <c r="AE30" s="120">
        <v>-7</v>
      </c>
    </row>
    <row r="31" spans="1:31" x14ac:dyDescent="0.25">
      <c r="A31" s="53">
        <v>18</v>
      </c>
      <c r="B31" s="120">
        <v>-6</v>
      </c>
      <c r="C31" s="120">
        <v>-11</v>
      </c>
      <c r="D31" s="120">
        <v>-11</v>
      </c>
      <c r="E31" s="120">
        <v>-8</v>
      </c>
      <c r="F31" s="120">
        <v>-7</v>
      </c>
      <c r="G31" s="127">
        <v>-5</v>
      </c>
      <c r="H31" s="120">
        <v>-6</v>
      </c>
      <c r="I31" s="120">
        <v>-13</v>
      </c>
      <c r="J31" s="125">
        <v>-15</v>
      </c>
      <c r="K31" s="120">
        <v>-19</v>
      </c>
      <c r="L31" s="128">
        <f>'[2]11'!$A$24:$A$24</f>
        <v>-15</v>
      </c>
      <c r="M31" s="120">
        <v>-9</v>
      </c>
      <c r="N31" s="120">
        <v>-21</v>
      </c>
      <c r="O31" s="120">
        <v>-12</v>
      </c>
      <c r="P31" s="120">
        <v>2</v>
      </c>
      <c r="Q31" s="120">
        <v>2</v>
      </c>
      <c r="R31" s="120">
        <v>-6</v>
      </c>
      <c r="S31" s="120">
        <v>-2</v>
      </c>
      <c r="T31" s="120">
        <v>2</v>
      </c>
      <c r="U31" s="125">
        <v>-3</v>
      </c>
      <c r="V31" s="120">
        <v>-5</v>
      </c>
      <c r="W31" s="120">
        <v>-10</v>
      </c>
      <c r="X31" s="120">
        <v>-6</v>
      </c>
      <c r="Y31" s="125">
        <v>-20</v>
      </c>
      <c r="Z31" s="120">
        <v>-10</v>
      </c>
      <c r="AA31" s="120">
        <v>-9</v>
      </c>
      <c r="AB31" s="120">
        <v>-31</v>
      </c>
      <c r="AC31" s="120">
        <v>-29</v>
      </c>
      <c r="AD31" s="120">
        <v>-18</v>
      </c>
      <c r="AE31" s="120">
        <v>-6</v>
      </c>
    </row>
    <row r="32" spans="1:31" x14ac:dyDescent="0.25">
      <c r="A32" s="53">
        <v>20</v>
      </c>
      <c r="B32" s="120">
        <v>-6</v>
      </c>
      <c r="C32" s="120">
        <v>-13</v>
      </c>
      <c r="D32" s="120">
        <v>-12</v>
      </c>
      <c r="E32" s="120">
        <v>-9</v>
      </c>
      <c r="F32" s="120">
        <v>-7</v>
      </c>
      <c r="G32" s="127">
        <v>-6</v>
      </c>
      <c r="H32" s="120">
        <v>-7</v>
      </c>
      <c r="I32" s="120">
        <v>-13</v>
      </c>
      <c r="J32" s="125">
        <v>-20</v>
      </c>
      <c r="K32" s="120">
        <v>-19</v>
      </c>
      <c r="L32" s="128">
        <f>'[2]11'!$A$26:$A$26</f>
        <v>-14</v>
      </c>
      <c r="M32" s="120">
        <v>-10</v>
      </c>
      <c r="N32" s="120">
        <v>-27</v>
      </c>
      <c r="O32" s="120">
        <v>-11</v>
      </c>
      <c r="P32" s="120">
        <v>2</v>
      </c>
      <c r="Q32" s="120">
        <v>3</v>
      </c>
      <c r="R32" s="120">
        <v>-6</v>
      </c>
      <c r="S32" s="120">
        <v>-2</v>
      </c>
      <c r="T32" s="120">
        <v>2</v>
      </c>
      <c r="U32" s="125">
        <v>-3</v>
      </c>
      <c r="V32" s="120">
        <v>-6</v>
      </c>
      <c r="W32" s="120">
        <v>-9</v>
      </c>
      <c r="X32" s="120">
        <v>-8</v>
      </c>
      <c r="Y32" s="125">
        <v>-20</v>
      </c>
      <c r="Z32" s="120">
        <v>-10</v>
      </c>
      <c r="AA32" s="120">
        <v>-11</v>
      </c>
      <c r="AB32" s="120">
        <v>-32</v>
      </c>
      <c r="AC32" s="120">
        <v>-34</v>
      </c>
      <c r="AD32" s="120">
        <v>-18</v>
      </c>
      <c r="AE32" s="120">
        <v>-5</v>
      </c>
    </row>
    <row r="33" spans="1:31" x14ac:dyDescent="0.25">
      <c r="A33" s="53">
        <v>22</v>
      </c>
      <c r="B33" s="120">
        <v>-8</v>
      </c>
      <c r="C33" s="120">
        <v>-13</v>
      </c>
      <c r="D33" s="120">
        <v>-13</v>
      </c>
      <c r="E33" s="120">
        <v>-10</v>
      </c>
      <c r="F33" s="120">
        <v>-7</v>
      </c>
      <c r="G33" s="127">
        <v>-7</v>
      </c>
      <c r="H33" s="120">
        <v>-7</v>
      </c>
      <c r="I33" s="120">
        <v>-14</v>
      </c>
      <c r="J33" s="125">
        <v>-20</v>
      </c>
      <c r="K33" s="120">
        <v>-18</v>
      </c>
      <c r="L33" s="128">
        <f>'[2]11'!$A$28:$A$28</f>
        <v>-14</v>
      </c>
      <c r="M33" s="120">
        <v>-13</v>
      </c>
      <c r="N33" s="120">
        <v>-28</v>
      </c>
      <c r="O33" s="120">
        <v>-10</v>
      </c>
      <c r="P33" s="120">
        <v>1</v>
      </c>
      <c r="Q33" s="120">
        <v>1</v>
      </c>
      <c r="R33" s="120">
        <v>-8</v>
      </c>
      <c r="S33" s="120">
        <v>-4</v>
      </c>
      <c r="T33" s="120">
        <v>2</v>
      </c>
      <c r="U33" s="125">
        <v>-3</v>
      </c>
      <c r="V33" s="120">
        <v>-6</v>
      </c>
      <c r="W33" s="120">
        <v>-13</v>
      </c>
      <c r="X33" s="120">
        <v>-11</v>
      </c>
      <c r="Y33" s="125">
        <v>-21</v>
      </c>
      <c r="Z33" s="120">
        <v>-10</v>
      </c>
      <c r="AA33" s="120">
        <v>-14</v>
      </c>
      <c r="AB33" s="120">
        <v>-32</v>
      </c>
      <c r="AC33" s="120">
        <v>-34</v>
      </c>
      <c r="AD33" s="120">
        <v>-18</v>
      </c>
      <c r="AE33" s="120">
        <v>-4</v>
      </c>
    </row>
    <row r="34" spans="1:31" x14ac:dyDescent="0.25">
      <c r="A34" s="53">
        <v>24</v>
      </c>
      <c r="B34" s="120">
        <v>-9</v>
      </c>
      <c r="C34" s="120">
        <v>-14</v>
      </c>
      <c r="D34" s="120">
        <v>-14</v>
      </c>
      <c r="E34" s="120">
        <v>-9</v>
      </c>
      <c r="F34" s="120">
        <v>-7</v>
      </c>
      <c r="G34" s="127">
        <v>-7</v>
      </c>
      <c r="H34" s="120">
        <v>-7</v>
      </c>
      <c r="I34" s="120">
        <v>-16</v>
      </c>
      <c r="J34" s="125">
        <v>-20</v>
      </c>
      <c r="K34" s="120">
        <v>-18</v>
      </c>
      <c r="L34" s="128">
        <f>'[2]11'!$A$30:$A$30</f>
        <v>-13</v>
      </c>
      <c r="M34" s="120">
        <v>-15</v>
      </c>
      <c r="N34" s="120">
        <v>-29</v>
      </c>
      <c r="O34" s="120">
        <v>-8</v>
      </c>
      <c r="P34" s="120">
        <v>1</v>
      </c>
      <c r="Q34" s="120">
        <v>-3</v>
      </c>
      <c r="R34" s="120">
        <v>-8</v>
      </c>
      <c r="S34" s="120">
        <v>-4</v>
      </c>
      <c r="T34" s="120">
        <v>1</v>
      </c>
      <c r="U34" s="125">
        <v>-4</v>
      </c>
      <c r="V34" s="120">
        <v>-7</v>
      </c>
      <c r="W34" s="120">
        <v>-14</v>
      </c>
      <c r="X34" s="120">
        <v>-13</v>
      </c>
      <c r="Y34" s="125">
        <v>-22</v>
      </c>
      <c r="Z34" s="120">
        <v>-10</v>
      </c>
      <c r="AA34" s="120">
        <v>-17</v>
      </c>
      <c r="AB34" s="120">
        <v>-32</v>
      </c>
      <c r="AC34" s="120">
        <v>-34</v>
      </c>
      <c r="AD34" s="120">
        <v>-16</v>
      </c>
      <c r="AE34" s="120">
        <v>-4</v>
      </c>
    </row>
    <row r="35" spans="1:31" x14ac:dyDescent="0.25">
      <c r="A35" s="53">
        <v>2</v>
      </c>
      <c r="B35" s="120">
        <v>-9</v>
      </c>
      <c r="C35" s="120">
        <v>-14</v>
      </c>
      <c r="D35" s="120">
        <v>-14</v>
      </c>
      <c r="E35" s="120">
        <v>-9</v>
      </c>
      <c r="F35" s="120">
        <v>-6</v>
      </c>
      <c r="G35" s="127">
        <v>-7</v>
      </c>
      <c r="H35" s="120">
        <v>-7</v>
      </c>
      <c r="I35" s="120">
        <v>-17</v>
      </c>
      <c r="J35" s="125">
        <v>-20</v>
      </c>
      <c r="K35" s="120">
        <v>-17</v>
      </c>
      <c r="L35" s="128">
        <f>'[2]11'!$A$32:$A$32</f>
        <v>-12</v>
      </c>
      <c r="M35" s="120">
        <v>-17</v>
      </c>
      <c r="N35" s="120">
        <v>-28</v>
      </c>
      <c r="O35" s="120">
        <v>-6</v>
      </c>
      <c r="P35" s="120">
        <v>1</v>
      </c>
      <c r="Q35" s="120">
        <v>-4</v>
      </c>
      <c r="R35" s="120">
        <v>-10</v>
      </c>
      <c r="S35" s="120">
        <v>-4</v>
      </c>
      <c r="T35" s="120">
        <v>1</v>
      </c>
      <c r="U35" s="125">
        <v>-4</v>
      </c>
      <c r="V35" s="120">
        <v>-7</v>
      </c>
      <c r="W35" s="120">
        <v>-12</v>
      </c>
      <c r="X35" s="120">
        <v>-13</v>
      </c>
      <c r="Y35" s="125">
        <v>-23</v>
      </c>
      <c r="Z35" s="120">
        <v>-7</v>
      </c>
      <c r="AA35" s="120">
        <v>-19</v>
      </c>
      <c r="AB35" s="120">
        <v>-33</v>
      </c>
      <c r="AC35" s="120">
        <v>-34</v>
      </c>
      <c r="AD35" s="120">
        <v>-15</v>
      </c>
      <c r="AE35" s="120">
        <v>-3</v>
      </c>
    </row>
    <row r="36" spans="1:31" ht="28.5" x14ac:dyDescent="0.25">
      <c r="A36" s="55" t="s">
        <v>2</v>
      </c>
      <c r="B36" s="56">
        <f>AVERAGE(B24+B25+B26+B27+B28+B29+B30+B31+B32+B33+B34+B35)/12</f>
        <v>-4.5</v>
      </c>
      <c r="C36" s="56">
        <f t="shared" ref="C36:AE36" si="1">AVERAGE(C24+C25+C26+C27+C28+C29+C30+C31+C32+C33+C34+C35)/12</f>
        <v>-11.666666666666666</v>
      </c>
      <c r="D36" s="56">
        <f t="shared" si="1"/>
        <v>-12.333333333333334</v>
      </c>
      <c r="E36" s="56">
        <f t="shared" si="1"/>
        <v>-9.75</v>
      </c>
      <c r="F36" s="56">
        <f t="shared" si="1"/>
        <v>-7.25</v>
      </c>
      <c r="G36" s="56">
        <f t="shared" si="1"/>
        <v>-5.916666666666667</v>
      </c>
      <c r="H36" s="56">
        <f t="shared" si="1"/>
        <v>-6.916666666666667</v>
      </c>
      <c r="I36" s="56">
        <f t="shared" si="1"/>
        <v>-11.75</v>
      </c>
      <c r="J36" s="56">
        <f t="shared" si="1"/>
        <v>-17.083333333333332</v>
      </c>
      <c r="K36" s="56">
        <f t="shared" si="1"/>
        <v>-19.416666666666668</v>
      </c>
      <c r="L36" s="56">
        <f t="shared" si="1"/>
        <v>-13.583333333333334</v>
      </c>
      <c r="M36" s="56">
        <f t="shared" si="1"/>
        <v>-10.583333333333334</v>
      </c>
      <c r="N36" s="56">
        <f t="shared" si="1"/>
        <v>-22.5</v>
      </c>
      <c r="O36" s="56">
        <f t="shared" si="1"/>
        <v>-16.833333333333332</v>
      </c>
      <c r="P36" s="56">
        <f t="shared" si="1"/>
        <v>0</v>
      </c>
      <c r="Q36" s="56">
        <f t="shared" si="1"/>
        <v>0.83333333333333337</v>
      </c>
      <c r="R36" s="56">
        <f t="shared" si="1"/>
        <v>-7.083333333333333</v>
      </c>
      <c r="S36" s="56">
        <f t="shared" si="1"/>
        <v>-4.5</v>
      </c>
      <c r="T36" s="56">
        <f t="shared" si="1"/>
        <v>8.3333333333333329E-2</v>
      </c>
      <c r="U36" s="56">
        <f t="shared" si="1"/>
        <v>-2.0833333333333335</v>
      </c>
      <c r="V36" s="56">
        <f t="shared" si="1"/>
        <v>-5.416666666666667</v>
      </c>
      <c r="W36" s="56">
        <f t="shared" si="1"/>
        <v>-10.083333333333334</v>
      </c>
      <c r="X36" s="56">
        <f t="shared" si="1"/>
        <v>-7.583333333333333</v>
      </c>
      <c r="Y36" s="56">
        <f t="shared" si="1"/>
        <v>-20</v>
      </c>
      <c r="Z36" s="56">
        <f t="shared" si="1"/>
        <v>-14.083333333333334</v>
      </c>
      <c r="AA36" s="56">
        <f t="shared" si="1"/>
        <v>-9.3333333333333339</v>
      </c>
      <c r="AB36" s="56">
        <f t="shared" si="1"/>
        <v>-27.916666666666668</v>
      </c>
      <c r="AC36" s="56">
        <f t="shared" si="1"/>
        <v>-30.833333333333332</v>
      </c>
      <c r="AD36" s="56">
        <f t="shared" si="1"/>
        <v>-21.083333333333332</v>
      </c>
      <c r="AE36" s="56">
        <f t="shared" si="1"/>
        <v>-7.916666666666667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abSelected="1" topLeftCell="A4" workbookViewId="0">
      <selection activeCell="D31" sqref="D31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1" x14ac:dyDescent="0.25">
      <c r="A1" s="130" t="s">
        <v>8</v>
      </c>
      <c r="B1" s="140" t="s">
        <v>3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 x14ac:dyDescent="0.25">
      <c r="A2" s="141" t="s">
        <v>0</v>
      </c>
      <c r="B2" s="143" t="s">
        <v>65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1" x14ac:dyDescent="0.25">
      <c r="A3" s="142"/>
      <c r="B3" s="130">
        <v>1</v>
      </c>
      <c r="C3" s="130">
        <v>2</v>
      </c>
      <c r="D3" s="130">
        <v>3</v>
      </c>
      <c r="E3" s="130">
        <v>4</v>
      </c>
      <c r="F3" s="130">
        <v>5</v>
      </c>
      <c r="G3" s="130">
        <v>6</v>
      </c>
      <c r="H3" s="130">
        <v>7</v>
      </c>
      <c r="I3" s="130">
        <v>8</v>
      </c>
      <c r="J3" s="130">
        <v>9</v>
      </c>
      <c r="K3" s="130">
        <v>10</v>
      </c>
      <c r="L3" s="130">
        <v>11</v>
      </c>
      <c r="M3" s="130">
        <v>12</v>
      </c>
      <c r="N3" s="130">
        <v>13</v>
      </c>
      <c r="O3" s="130">
        <v>14</v>
      </c>
      <c r="P3" s="130">
        <v>15</v>
      </c>
      <c r="Q3" s="130">
        <v>16</v>
      </c>
      <c r="R3" s="130">
        <v>17</v>
      </c>
      <c r="S3" s="130">
        <v>18</v>
      </c>
      <c r="T3" s="130">
        <v>19</v>
      </c>
      <c r="U3" s="130">
        <v>20</v>
      </c>
      <c r="V3" s="130">
        <v>21</v>
      </c>
      <c r="W3" s="130">
        <v>22</v>
      </c>
      <c r="X3" s="130">
        <v>23</v>
      </c>
      <c r="Y3" s="130">
        <v>24</v>
      </c>
      <c r="Z3" s="130">
        <v>25</v>
      </c>
      <c r="AA3" s="130">
        <v>26</v>
      </c>
      <c r="AB3" s="130">
        <v>27</v>
      </c>
      <c r="AC3" s="130">
        <v>28</v>
      </c>
      <c r="AD3" s="59">
        <v>29</v>
      </c>
      <c r="AE3" s="59">
        <v>30</v>
      </c>
    </row>
    <row r="4" spans="1:31" x14ac:dyDescent="0.25">
      <c r="A4" s="53">
        <v>4</v>
      </c>
      <c r="B4" s="120"/>
      <c r="C4" s="120"/>
      <c r="D4" s="120"/>
      <c r="E4" s="120"/>
      <c r="F4" s="120"/>
      <c r="G4" s="120"/>
      <c r="H4" s="120"/>
      <c r="I4" s="120"/>
      <c r="J4" s="120"/>
      <c r="K4" s="84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</row>
    <row r="5" spans="1:31" x14ac:dyDescent="0.25">
      <c r="A5" s="53">
        <v>6</v>
      </c>
      <c r="B5" s="120"/>
      <c r="C5" s="120"/>
      <c r="D5" s="120"/>
      <c r="E5" s="120"/>
      <c r="F5" s="120"/>
      <c r="G5" s="120"/>
      <c r="H5" s="120"/>
      <c r="I5" s="120"/>
      <c r="J5" s="120"/>
      <c r="K5" s="84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</row>
    <row r="6" spans="1:31" x14ac:dyDescent="0.25">
      <c r="A6" s="53">
        <v>8</v>
      </c>
      <c r="B6" s="120"/>
      <c r="C6" s="120"/>
      <c r="D6" s="120"/>
      <c r="E6" s="120"/>
      <c r="F6" s="120"/>
      <c r="G6" s="120"/>
      <c r="H6" s="120"/>
      <c r="I6" s="120"/>
      <c r="J6" s="120"/>
      <c r="K6" s="84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</row>
    <row r="7" spans="1:31" x14ac:dyDescent="0.25">
      <c r="A7" s="53">
        <v>10</v>
      </c>
      <c r="B7" s="120"/>
      <c r="C7" s="120"/>
      <c r="D7" s="120"/>
      <c r="E7" s="120"/>
      <c r="F7" s="120"/>
      <c r="G7" s="120"/>
      <c r="H7" s="120"/>
      <c r="I7" s="120"/>
      <c r="J7" s="120"/>
      <c r="K7" s="84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</row>
    <row r="8" spans="1:31" x14ac:dyDescent="0.25">
      <c r="A8" s="53">
        <v>12</v>
      </c>
      <c r="B8" s="120"/>
      <c r="C8" s="120"/>
      <c r="D8" s="120"/>
      <c r="E8" s="120"/>
      <c r="F8" s="120"/>
      <c r="G8" s="120"/>
      <c r="H8" s="120"/>
      <c r="I8" s="120"/>
      <c r="J8" s="120"/>
      <c r="K8" s="84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</row>
    <row r="9" spans="1:31" x14ac:dyDescent="0.25">
      <c r="A9" s="53">
        <v>14</v>
      </c>
      <c r="B9" s="120"/>
      <c r="C9" s="120"/>
      <c r="D9" s="120"/>
      <c r="E9" s="120"/>
      <c r="F9" s="120"/>
      <c r="G9" s="120"/>
      <c r="H9" s="120"/>
      <c r="I9" s="120"/>
      <c r="J9" s="120"/>
      <c r="K9" s="84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</row>
    <row r="10" spans="1:31" x14ac:dyDescent="0.25">
      <c r="A10" s="53">
        <v>16</v>
      </c>
      <c r="B10" s="120"/>
      <c r="C10" s="120"/>
      <c r="D10" s="120"/>
      <c r="E10" s="120"/>
      <c r="F10" s="120"/>
      <c r="G10" s="120"/>
      <c r="H10" s="120"/>
      <c r="I10" s="120"/>
      <c r="J10" s="120"/>
      <c r="K10" s="84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</row>
    <row r="11" spans="1:31" x14ac:dyDescent="0.25">
      <c r="A11" s="53">
        <v>18</v>
      </c>
      <c r="B11" s="120"/>
      <c r="C11" s="120"/>
      <c r="D11" s="120"/>
      <c r="E11" s="120"/>
      <c r="F11" s="120"/>
      <c r="G11" s="120"/>
      <c r="H11" s="120"/>
      <c r="I11" s="120"/>
      <c r="J11" s="120"/>
      <c r="K11" s="84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</row>
    <row r="12" spans="1:31" x14ac:dyDescent="0.25">
      <c r="A12" s="53">
        <v>20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84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</row>
    <row r="13" spans="1:31" x14ac:dyDescent="0.25">
      <c r="A13" s="53">
        <v>22</v>
      </c>
      <c r="B13" s="120"/>
      <c r="C13" s="120"/>
      <c r="D13" s="120"/>
      <c r="E13" s="120"/>
      <c r="F13" s="120"/>
      <c r="G13" s="120"/>
      <c r="H13" s="120"/>
      <c r="I13" s="120"/>
      <c r="J13" s="120"/>
      <c r="K13" s="84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</row>
    <row r="14" spans="1:31" x14ac:dyDescent="0.25">
      <c r="A14" s="53">
        <v>24</v>
      </c>
      <c r="B14" s="120"/>
      <c r="C14" s="120"/>
      <c r="D14" s="120"/>
      <c r="E14" s="120"/>
      <c r="F14" s="120"/>
      <c r="G14" s="120"/>
      <c r="H14" s="120"/>
      <c r="I14" s="120"/>
      <c r="J14" s="120"/>
      <c r="K14" s="84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</row>
    <row r="15" spans="1:31" x14ac:dyDescent="0.25">
      <c r="A15" s="53">
        <v>2</v>
      </c>
      <c r="B15" s="120"/>
      <c r="C15" s="120"/>
      <c r="D15" s="120"/>
      <c r="E15" s="120"/>
      <c r="F15" s="120"/>
      <c r="G15" s="120"/>
      <c r="H15" s="120"/>
      <c r="I15" s="120"/>
      <c r="J15" s="120"/>
      <c r="K15" s="84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</row>
    <row r="16" spans="1:31" ht="28.5" x14ac:dyDescent="0.25">
      <c r="A16" s="55" t="s">
        <v>2</v>
      </c>
      <c r="B16" s="56">
        <f>AVERAGE(B4+B5+B6+B7+B8+B9+B10+B11+B12+B13+B14+B15)/12</f>
        <v>0</v>
      </c>
      <c r="C16" s="56">
        <f t="shared" ref="C16:AE16" si="0">AVERAGE(C4+C5+C6+C7+C8+C9+C10+C11+C12+C13+C14+C15)/12</f>
        <v>0</v>
      </c>
      <c r="D16" s="56">
        <f t="shared" si="0"/>
        <v>0</v>
      </c>
      <c r="E16" s="56">
        <f t="shared" si="0"/>
        <v>0</v>
      </c>
      <c r="F16" s="56">
        <f t="shared" si="0"/>
        <v>0</v>
      </c>
      <c r="G16" s="56">
        <f t="shared" si="0"/>
        <v>0</v>
      </c>
      <c r="H16" s="56">
        <f t="shared" si="0"/>
        <v>0</v>
      </c>
      <c r="I16" s="56">
        <f t="shared" si="0"/>
        <v>0</v>
      </c>
      <c r="J16" s="56">
        <f t="shared" si="0"/>
        <v>0</v>
      </c>
      <c r="K16" s="56">
        <f t="shared" si="0"/>
        <v>0</v>
      </c>
      <c r="L16" s="56">
        <f t="shared" si="0"/>
        <v>0</v>
      </c>
      <c r="M16" s="56">
        <f t="shared" si="0"/>
        <v>0</v>
      </c>
      <c r="N16" s="56">
        <f t="shared" si="0"/>
        <v>0</v>
      </c>
      <c r="O16" s="56">
        <f t="shared" si="0"/>
        <v>0</v>
      </c>
      <c r="P16" s="56">
        <f t="shared" si="0"/>
        <v>0</v>
      </c>
      <c r="Q16" s="56">
        <f t="shared" si="0"/>
        <v>0</v>
      </c>
      <c r="R16" s="56">
        <f t="shared" si="0"/>
        <v>0</v>
      </c>
      <c r="S16" s="56">
        <f t="shared" si="0"/>
        <v>0</v>
      </c>
      <c r="T16" s="56">
        <f t="shared" si="0"/>
        <v>0</v>
      </c>
      <c r="U16" s="56">
        <f t="shared" si="0"/>
        <v>0</v>
      </c>
      <c r="V16" s="56">
        <f t="shared" si="0"/>
        <v>0</v>
      </c>
      <c r="W16" s="56">
        <f t="shared" si="0"/>
        <v>0</v>
      </c>
      <c r="X16" s="56">
        <f t="shared" si="0"/>
        <v>0</v>
      </c>
      <c r="Y16" s="56">
        <f t="shared" si="0"/>
        <v>0</v>
      </c>
      <c r="Z16" s="56">
        <f t="shared" si="0"/>
        <v>0</v>
      </c>
      <c r="AA16" s="56">
        <f t="shared" si="0"/>
        <v>0</v>
      </c>
      <c r="AB16" s="56">
        <f t="shared" si="0"/>
        <v>0</v>
      </c>
      <c r="AC16" s="56">
        <f t="shared" si="0"/>
        <v>0</v>
      </c>
      <c r="AD16" s="56">
        <f t="shared" si="0"/>
        <v>0</v>
      </c>
      <c r="AE16" s="56">
        <f t="shared" si="0"/>
        <v>0</v>
      </c>
    </row>
    <row r="21" spans="1:31" x14ac:dyDescent="0.25">
      <c r="A21" s="130" t="s">
        <v>7</v>
      </c>
      <c r="B21" s="140" t="s">
        <v>1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spans="1:31" x14ac:dyDescent="0.25">
      <c r="A22" s="143" t="s">
        <v>0</v>
      </c>
      <c r="B22" s="143" t="s">
        <v>65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</row>
    <row r="23" spans="1:31" x14ac:dyDescent="0.25">
      <c r="A23" s="143"/>
      <c r="B23" s="130">
        <v>1</v>
      </c>
      <c r="C23" s="130">
        <v>2</v>
      </c>
      <c r="D23" s="130">
        <v>3</v>
      </c>
      <c r="E23" s="130">
        <v>4</v>
      </c>
      <c r="F23" s="130">
        <v>5</v>
      </c>
      <c r="G23" s="130">
        <v>6</v>
      </c>
      <c r="H23" s="130">
        <v>7</v>
      </c>
      <c r="I23" s="130">
        <v>8</v>
      </c>
      <c r="J23" s="130">
        <v>9</v>
      </c>
      <c r="K23" s="130">
        <v>10</v>
      </c>
      <c r="L23" s="130">
        <v>11</v>
      </c>
      <c r="M23" s="130">
        <v>12</v>
      </c>
      <c r="N23" s="130">
        <v>13</v>
      </c>
      <c r="O23" s="130">
        <v>14</v>
      </c>
      <c r="P23" s="130">
        <v>15</v>
      </c>
      <c r="Q23" s="130">
        <v>16</v>
      </c>
      <c r="R23" s="130">
        <v>17</v>
      </c>
      <c r="S23" s="130">
        <v>18</v>
      </c>
      <c r="T23" s="130">
        <v>19</v>
      </c>
      <c r="U23" s="130">
        <v>20</v>
      </c>
      <c r="V23" s="130">
        <v>21</v>
      </c>
      <c r="W23" s="130">
        <v>22</v>
      </c>
      <c r="X23" s="130">
        <v>23</v>
      </c>
      <c r="Y23" s="130">
        <v>24</v>
      </c>
      <c r="Z23" s="130">
        <v>25</v>
      </c>
      <c r="AA23" s="130">
        <v>26</v>
      </c>
      <c r="AB23" s="130">
        <v>27</v>
      </c>
      <c r="AC23" s="130">
        <v>28</v>
      </c>
      <c r="AD23" s="59">
        <v>29</v>
      </c>
      <c r="AE23" s="59">
        <v>30</v>
      </c>
    </row>
    <row r="24" spans="1:31" x14ac:dyDescent="0.25">
      <c r="A24" s="53">
        <v>4</v>
      </c>
      <c r="B24" s="120">
        <v>-2</v>
      </c>
      <c r="C24" s="120">
        <v>-3</v>
      </c>
      <c r="D24" s="120"/>
      <c r="E24" s="120"/>
      <c r="F24" s="120"/>
      <c r="G24" s="129"/>
      <c r="H24" s="120"/>
      <c r="I24" s="120"/>
      <c r="J24" s="129"/>
      <c r="K24" s="120"/>
      <c r="L24" s="84"/>
      <c r="M24" s="120"/>
      <c r="N24" s="120"/>
      <c r="O24" s="120"/>
      <c r="P24" s="120"/>
      <c r="Q24" s="120"/>
      <c r="R24" s="120"/>
      <c r="S24" s="120"/>
      <c r="T24" s="120"/>
      <c r="U24" s="129"/>
      <c r="V24" s="120"/>
      <c r="W24" s="120"/>
      <c r="X24" s="120"/>
      <c r="Y24" s="129"/>
      <c r="Z24" s="120"/>
      <c r="AA24" s="120"/>
      <c r="AB24" s="120"/>
      <c r="AC24" s="120"/>
      <c r="AD24" s="120"/>
      <c r="AE24" s="120"/>
    </row>
    <row r="25" spans="1:31" x14ac:dyDescent="0.25">
      <c r="A25" s="53">
        <v>6</v>
      </c>
      <c r="B25" s="120">
        <v>-2</v>
      </c>
      <c r="C25" s="120">
        <v>-2</v>
      </c>
      <c r="D25" s="120"/>
      <c r="E25" s="120"/>
      <c r="F25" s="120"/>
      <c r="G25" s="129"/>
      <c r="H25" s="120"/>
      <c r="I25" s="120"/>
      <c r="J25" s="129"/>
      <c r="K25" s="120"/>
      <c r="L25" s="84"/>
      <c r="M25" s="120"/>
      <c r="N25" s="120"/>
      <c r="O25" s="120"/>
      <c r="P25" s="120"/>
      <c r="Q25" s="120"/>
      <c r="R25" s="120"/>
      <c r="S25" s="120"/>
      <c r="T25" s="120"/>
      <c r="U25" s="129"/>
      <c r="V25" s="120"/>
      <c r="W25" s="120"/>
      <c r="X25" s="120"/>
      <c r="Y25" s="129"/>
      <c r="Z25" s="120"/>
      <c r="AA25" s="120"/>
      <c r="AB25" s="120"/>
      <c r="AC25" s="120"/>
      <c r="AD25" s="120"/>
      <c r="AE25" s="120"/>
    </row>
    <row r="26" spans="1:31" x14ac:dyDescent="0.25">
      <c r="A26" s="53">
        <v>8</v>
      </c>
      <c r="B26" s="120">
        <v>-1</v>
      </c>
      <c r="C26" s="120">
        <v>-2</v>
      </c>
      <c r="D26" s="120"/>
      <c r="E26" s="120"/>
      <c r="F26" s="120"/>
      <c r="G26" s="129"/>
      <c r="H26" s="120"/>
      <c r="I26" s="120"/>
      <c r="J26" s="129"/>
      <c r="K26" s="120"/>
      <c r="L26" s="84"/>
      <c r="M26" s="120"/>
      <c r="N26" s="120"/>
      <c r="O26" s="120"/>
      <c r="P26" s="120"/>
      <c r="Q26" s="120"/>
      <c r="R26" s="120"/>
      <c r="S26" s="120"/>
      <c r="T26" s="120"/>
      <c r="U26" s="129"/>
      <c r="V26" s="120"/>
      <c r="W26" s="120"/>
      <c r="X26" s="120"/>
      <c r="Y26" s="129"/>
      <c r="Z26" s="120"/>
      <c r="AA26" s="120"/>
      <c r="AB26" s="120"/>
      <c r="AC26" s="120"/>
      <c r="AD26" s="120"/>
      <c r="AE26" s="120"/>
    </row>
    <row r="27" spans="1:31" x14ac:dyDescent="0.25">
      <c r="A27" s="53">
        <v>10</v>
      </c>
      <c r="B27" s="120">
        <v>0</v>
      </c>
      <c r="C27" s="120">
        <v>-2</v>
      </c>
      <c r="D27" s="120"/>
      <c r="E27" s="120"/>
      <c r="F27" s="120"/>
      <c r="G27" s="129"/>
      <c r="H27" s="120"/>
      <c r="I27" s="120"/>
      <c r="J27" s="129"/>
      <c r="K27" s="120"/>
      <c r="L27" s="129"/>
      <c r="M27" s="120"/>
      <c r="N27" s="120"/>
      <c r="O27" s="120"/>
      <c r="P27" s="120"/>
      <c r="Q27" s="120"/>
      <c r="R27" s="120"/>
      <c r="S27" s="120"/>
      <c r="T27" s="120"/>
      <c r="U27" s="129"/>
      <c r="V27" s="120"/>
      <c r="W27" s="120"/>
      <c r="X27" s="120"/>
      <c r="Y27" s="129"/>
      <c r="Z27" s="120"/>
      <c r="AA27" s="120"/>
      <c r="AB27" s="120"/>
      <c r="AC27" s="120"/>
      <c r="AD27" s="120"/>
      <c r="AE27" s="120"/>
    </row>
    <row r="28" spans="1:31" x14ac:dyDescent="0.25">
      <c r="A28" s="53">
        <v>12</v>
      </c>
      <c r="B28" s="120">
        <v>0</v>
      </c>
      <c r="C28" s="120">
        <v>-4</v>
      </c>
      <c r="D28" s="120"/>
      <c r="E28" s="120"/>
      <c r="F28" s="120"/>
      <c r="G28" s="129"/>
      <c r="H28" s="120"/>
      <c r="I28" s="120"/>
      <c r="J28" s="129"/>
      <c r="K28" s="120"/>
      <c r="L28" s="129"/>
      <c r="M28" s="120"/>
      <c r="N28" s="120"/>
      <c r="O28" s="120"/>
      <c r="P28" s="120"/>
      <c r="Q28" s="120"/>
      <c r="R28" s="120"/>
      <c r="S28" s="120"/>
      <c r="T28" s="120"/>
      <c r="U28" s="129"/>
      <c r="V28" s="120"/>
      <c r="W28" s="120"/>
      <c r="X28" s="120"/>
      <c r="Y28" s="129"/>
      <c r="Z28" s="120"/>
      <c r="AA28" s="120"/>
      <c r="AB28" s="120"/>
      <c r="AC28" s="120"/>
      <c r="AD28" s="120"/>
      <c r="AE28" s="120"/>
    </row>
    <row r="29" spans="1:31" x14ac:dyDescent="0.25">
      <c r="A29" s="53">
        <v>14</v>
      </c>
      <c r="B29" s="120">
        <v>0</v>
      </c>
      <c r="C29" s="120">
        <v>-6</v>
      </c>
      <c r="D29" s="120"/>
      <c r="E29" s="120"/>
      <c r="F29" s="120"/>
      <c r="G29" s="129"/>
      <c r="H29" s="120"/>
      <c r="I29" s="120"/>
      <c r="J29" s="129"/>
      <c r="K29" s="120"/>
      <c r="L29" s="129"/>
      <c r="M29" s="120"/>
      <c r="N29" s="120"/>
      <c r="O29" s="120"/>
      <c r="P29" s="120"/>
      <c r="Q29" s="120"/>
      <c r="R29" s="120"/>
      <c r="S29" s="120"/>
      <c r="T29" s="120"/>
      <c r="U29" s="129"/>
      <c r="V29" s="120"/>
      <c r="W29" s="120"/>
      <c r="X29" s="120"/>
      <c r="Y29" s="129"/>
      <c r="Z29" s="120"/>
      <c r="AA29" s="120"/>
      <c r="AB29" s="120"/>
      <c r="AC29" s="120"/>
      <c r="AD29" s="120"/>
      <c r="AE29" s="120"/>
    </row>
    <row r="30" spans="1:31" x14ac:dyDescent="0.25">
      <c r="A30" s="53">
        <v>16</v>
      </c>
      <c r="B30" s="120">
        <v>0</v>
      </c>
      <c r="C30" s="120">
        <v>-6</v>
      </c>
      <c r="D30" s="120"/>
      <c r="E30" s="120"/>
      <c r="F30" s="120"/>
      <c r="G30" s="129"/>
      <c r="H30" s="120"/>
      <c r="I30" s="120"/>
      <c r="J30" s="129"/>
      <c r="K30" s="120"/>
      <c r="L30" s="129"/>
      <c r="M30" s="120"/>
      <c r="N30" s="120"/>
      <c r="O30" s="120"/>
      <c r="P30" s="120"/>
      <c r="Q30" s="120"/>
      <c r="R30" s="120"/>
      <c r="S30" s="120"/>
      <c r="T30" s="120"/>
      <c r="U30" s="129"/>
      <c r="V30" s="120"/>
      <c r="W30" s="120"/>
      <c r="X30" s="120"/>
      <c r="Y30" s="129"/>
      <c r="Z30" s="120"/>
      <c r="AA30" s="120"/>
      <c r="AB30" s="120"/>
      <c r="AC30" s="120"/>
      <c r="AD30" s="120"/>
      <c r="AE30" s="120"/>
    </row>
    <row r="31" spans="1:31" x14ac:dyDescent="0.25">
      <c r="A31" s="53">
        <v>18</v>
      </c>
      <c r="B31" s="120">
        <v>-2</v>
      </c>
      <c r="C31" s="120">
        <v>-6</v>
      </c>
      <c r="D31" s="120"/>
      <c r="E31" s="120"/>
      <c r="F31" s="120"/>
      <c r="G31" s="129"/>
      <c r="H31" s="120"/>
      <c r="I31" s="120"/>
      <c r="J31" s="129"/>
      <c r="K31" s="120"/>
      <c r="L31" s="129"/>
      <c r="M31" s="120"/>
      <c r="N31" s="120"/>
      <c r="O31" s="120"/>
      <c r="P31" s="120"/>
      <c r="Q31" s="120"/>
      <c r="R31" s="120"/>
      <c r="S31" s="120"/>
      <c r="T31" s="120"/>
      <c r="U31" s="129"/>
      <c r="V31" s="120"/>
      <c r="W31" s="120"/>
      <c r="X31" s="120"/>
      <c r="Y31" s="129"/>
      <c r="Z31" s="120"/>
      <c r="AA31" s="120"/>
      <c r="AB31" s="120"/>
      <c r="AC31" s="120"/>
      <c r="AD31" s="120"/>
      <c r="AE31" s="120"/>
    </row>
    <row r="32" spans="1:31" x14ac:dyDescent="0.25">
      <c r="A32" s="53">
        <v>20</v>
      </c>
      <c r="B32" s="120">
        <v>-3</v>
      </c>
      <c r="C32" s="120">
        <v>-5</v>
      </c>
      <c r="D32" s="120"/>
      <c r="E32" s="120"/>
      <c r="F32" s="120"/>
      <c r="G32" s="129"/>
      <c r="H32" s="120"/>
      <c r="I32" s="120"/>
      <c r="J32" s="129"/>
      <c r="K32" s="120"/>
      <c r="L32" s="129"/>
      <c r="M32" s="120"/>
      <c r="N32" s="120"/>
      <c r="O32" s="120"/>
      <c r="P32" s="120"/>
      <c r="Q32" s="120"/>
      <c r="R32" s="120"/>
      <c r="S32" s="120"/>
      <c r="T32" s="120"/>
      <c r="U32" s="129"/>
      <c r="V32" s="120"/>
      <c r="W32" s="120"/>
      <c r="X32" s="120"/>
      <c r="Y32" s="129"/>
      <c r="Z32" s="120"/>
      <c r="AA32" s="120"/>
      <c r="AB32" s="120"/>
      <c r="AC32" s="120"/>
      <c r="AD32" s="120"/>
      <c r="AE32" s="120"/>
    </row>
    <row r="33" spans="1:31" x14ac:dyDescent="0.25">
      <c r="A33" s="53">
        <v>22</v>
      </c>
      <c r="B33" s="120">
        <v>-2</v>
      </c>
      <c r="C33" s="120">
        <v>-9</v>
      </c>
      <c r="D33" s="120"/>
      <c r="E33" s="120"/>
      <c r="F33" s="120"/>
      <c r="G33" s="129"/>
      <c r="H33" s="120"/>
      <c r="I33" s="120"/>
      <c r="J33" s="129"/>
      <c r="K33" s="120"/>
      <c r="L33" s="129"/>
      <c r="M33" s="120"/>
      <c r="N33" s="120"/>
      <c r="O33" s="120"/>
      <c r="P33" s="120"/>
      <c r="Q33" s="120"/>
      <c r="R33" s="120"/>
      <c r="S33" s="120"/>
      <c r="T33" s="120"/>
      <c r="U33" s="129"/>
      <c r="V33" s="120"/>
      <c r="W33" s="120"/>
      <c r="X33" s="120"/>
      <c r="Y33" s="129"/>
      <c r="Z33" s="120"/>
      <c r="AA33" s="120"/>
      <c r="AB33" s="120"/>
      <c r="AC33" s="120"/>
      <c r="AD33" s="120"/>
      <c r="AE33" s="120"/>
    </row>
    <row r="34" spans="1:31" x14ac:dyDescent="0.25">
      <c r="A34" s="53">
        <v>24</v>
      </c>
      <c r="B34" s="120">
        <v>-2</v>
      </c>
      <c r="C34" s="120">
        <v>-9</v>
      </c>
      <c r="D34" s="120"/>
      <c r="E34" s="120"/>
      <c r="F34" s="120"/>
      <c r="G34" s="129"/>
      <c r="H34" s="120"/>
      <c r="I34" s="120"/>
      <c r="J34" s="129"/>
      <c r="K34" s="120"/>
      <c r="L34" s="129"/>
      <c r="M34" s="120"/>
      <c r="N34" s="120"/>
      <c r="O34" s="120"/>
      <c r="P34" s="120"/>
      <c r="Q34" s="120"/>
      <c r="R34" s="120"/>
      <c r="S34" s="120"/>
      <c r="T34" s="120"/>
      <c r="U34" s="129"/>
      <c r="V34" s="120"/>
      <c r="W34" s="120"/>
      <c r="X34" s="120"/>
      <c r="Y34" s="129"/>
      <c r="Z34" s="120"/>
      <c r="AA34" s="120"/>
      <c r="AB34" s="120"/>
      <c r="AC34" s="120"/>
      <c r="AD34" s="120"/>
      <c r="AE34" s="120"/>
    </row>
    <row r="35" spans="1:31" x14ac:dyDescent="0.25">
      <c r="A35" s="53">
        <v>2</v>
      </c>
      <c r="B35" s="120">
        <v>-3</v>
      </c>
      <c r="C35" s="120">
        <v>-8</v>
      </c>
      <c r="D35" s="120"/>
      <c r="E35" s="120"/>
      <c r="F35" s="120"/>
      <c r="G35" s="129"/>
      <c r="H35" s="120"/>
      <c r="I35" s="120"/>
      <c r="J35" s="129"/>
      <c r="K35" s="120"/>
      <c r="L35" s="129"/>
      <c r="M35" s="120"/>
      <c r="N35" s="120"/>
      <c r="O35" s="120"/>
      <c r="P35" s="120"/>
      <c r="Q35" s="120"/>
      <c r="R35" s="120"/>
      <c r="S35" s="120"/>
      <c r="T35" s="120"/>
      <c r="U35" s="129"/>
      <c r="V35" s="120"/>
      <c r="W35" s="120"/>
      <c r="X35" s="120"/>
      <c r="Y35" s="129"/>
      <c r="Z35" s="120"/>
      <c r="AA35" s="120"/>
      <c r="AB35" s="120"/>
      <c r="AC35" s="120"/>
      <c r="AD35" s="120"/>
      <c r="AE35" s="120"/>
    </row>
    <row r="36" spans="1:31" ht="28.5" x14ac:dyDescent="0.25">
      <c r="A36" s="55" t="s">
        <v>2</v>
      </c>
      <c r="B36" s="56">
        <f>AVERAGE(B24+B25+B26+B27+B28+B29+B30+B31+B32+B33+B34+B35)/12</f>
        <v>-1.4166666666666667</v>
      </c>
      <c r="C36" s="56">
        <f t="shared" ref="C36:AE36" si="1">AVERAGE(C24+C25+C26+C27+C28+C29+C30+C31+C32+C33+C34+C35)/12</f>
        <v>-5.166666666666667</v>
      </c>
      <c r="D36" s="56">
        <f t="shared" si="1"/>
        <v>0</v>
      </c>
      <c r="E36" s="56">
        <f t="shared" si="1"/>
        <v>0</v>
      </c>
      <c r="F36" s="56">
        <f t="shared" si="1"/>
        <v>0</v>
      </c>
      <c r="G36" s="56">
        <f t="shared" si="1"/>
        <v>0</v>
      </c>
      <c r="H36" s="56">
        <f t="shared" si="1"/>
        <v>0</v>
      </c>
      <c r="I36" s="56">
        <f t="shared" si="1"/>
        <v>0</v>
      </c>
      <c r="J36" s="56">
        <f t="shared" si="1"/>
        <v>0</v>
      </c>
      <c r="K36" s="56">
        <f t="shared" si="1"/>
        <v>0</v>
      </c>
      <c r="L36" s="56">
        <f t="shared" si="1"/>
        <v>0</v>
      </c>
      <c r="M36" s="56">
        <f t="shared" si="1"/>
        <v>0</v>
      </c>
      <c r="N36" s="56">
        <f t="shared" si="1"/>
        <v>0</v>
      </c>
      <c r="O36" s="56">
        <f t="shared" si="1"/>
        <v>0</v>
      </c>
      <c r="P36" s="56">
        <f t="shared" si="1"/>
        <v>0</v>
      </c>
      <c r="Q36" s="56">
        <f t="shared" si="1"/>
        <v>0</v>
      </c>
      <c r="R36" s="56">
        <f t="shared" si="1"/>
        <v>0</v>
      </c>
      <c r="S36" s="56">
        <f t="shared" si="1"/>
        <v>0</v>
      </c>
      <c r="T36" s="56">
        <f t="shared" si="1"/>
        <v>0</v>
      </c>
      <c r="U36" s="56">
        <f t="shared" si="1"/>
        <v>0</v>
      </c>
      <c r="V36" s="56">
        <f t="shared" si="1"/>
        <v>0</v>
      </c>
      <c r="W36" s="56">
        <f t="shared" si="1"/>
        <v>0</v>
      </c>
      <c r="X36" s="56">
        <f t="shared" si="1"/>
        <v>0</v>
      </c>
      <c r="Y36" s="56">
        <f t="shared" si="1"/>
        <v>0</v>
      </c>
      <c r="Z36" s="56">
        <f t="shared" si="1"/>
        <v>0</v>
      </c>
      <c r="AA36" s="56">
        <f t="shared" si="1"/>
        <v>0</v>
      </c>
      <c r="AB36" s="56">
        <f t="shared" si="1"/>
        <v>0</v>
      </c>
      <c r="AC36" s="56">
        <f t="shared" si="1"/>
        <v>0</v>
      </c>
      <c r="AD36" s="56">
        <f t="shared" si="1"/>
        <v>0</v>
      </c>
      <c r="AE36" s="56">
        <f t="shared" si="1"/>
        <v>0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48</vt:i4>
      </vt:variant>
    </vt:vector>
  </HeadingPairs>
  <TitlesOfParts>
    <vt:vector size="48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Январь 23</vt:lpstr>
      <vt:lpstr>Февраль 23</vt:lpstr>
      <vt:lpstr>Март 23</vt:lpstr>
      <vt:lpstr>Апрель 23</vt:lpstr>
      <vt:lpstr>Май 23</vt:lpstr>
      <vt:lpstr>Июнь 23</vt:lpstr>
      <vt:lpstr>Июль 23</vt:lpstr>
      <vt:lpstr>Август 23</vt:lpstr>
      <vt:lpstr>Сентябрь  23</vt:lpstr>
      <vt:lpstr>Октябрь 23</vt:lpstr>
      <vt:lpstr>Ноябрь 23</vt:lpstr>
      <vt:lpstr>Декабрь 23</vt:lpstr>
      <vt:lpstr>Январь 24</vt:lpstr>
      <vt:lpstr>Февраль 24</vt:lpstr>
      <vt:lpstr>Март 24</vt:lpstr>
      <vt:lpstr>Апрель 24</vt:lpstr>
      <vt:lpstr>Май 24</vt:lpstr>
      <vt:lpstr>Июнь 24</vt:lpstr>
      <vt:lpstr>Июль 24 </vt:lpstr>
      <vt:lpstr>Август 24</vt:lpstr>
      <vt:lpstr>Сентябрь 24</vt:lpstr>
      <vt:lpstr>Октябрь 24</vt:lpstr>
      <vt:lpstr>Ноябрь 24 </vt:lpstr>
      <vt:lpstr>Декабрь 24</vt:lpstr>
      <vt:lpstr>Январь 25</vt:lpstr>
      <vt:lpstr>Февраль 25</vt:lpstr>
      <vt:lpstr>Март 25</vt:lpstr>
      <vt:lpstr>Апрель25</vt:lpstr>
      <vt:lpstr>Май25</vt:lpstr>
      <vt:lpstr>Июнь25</vt:lpstr>
      <vt:lpstr>Июль25</vt:lpstr>
      <vt:lpstr>Август25</vt:lpstr>
      <vt:lpstr>Сентябрь25</vt:lpstr>
      <vt:lpstr>Октябрь25</vt:lpstr>
      <vt:lpstr>Ноябрь25</vt:lpstr>
      <vt:lpstr>Декабрь25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2025-12-03T03:29:07Z</dcterms:modified>
</cp:coreProperties>
</file>