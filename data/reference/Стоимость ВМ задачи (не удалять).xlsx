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-kglfl03.corp.lukoil.com\OPGRGI_PovhNG\Общее\Стоимость ВМ\"/>
    </mc:Choice>
  </mc:AlternateContent>
  <bookViews>
    <workbookView xWindow="1890" yWindow="0" windowWidth="7710" windowHeight="3285"/>
  </bookViews>
  <sheets>
    <sheet name="Прейск_2019" sheetId="1" r:id="rId1"/>
    <sheet name="Лист1" sheetId="2" r:id="rId2"/>
  </sheets>
  <externalReferences>
    <externalReference r:id="rId3"/>
    <externalReference r:id="rId4"/>
    <externalReference r:id="rId5"/>
  </externalReferences>
  <definedNames>
    <definedName name="_" localSheetId="0" hidden="1">#REF!</definedName>
    <definedName name="_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Sort" localSheetId="0" hidden="1">#REF!</definedName>
    <definedName name="_Sort" hidden="1">#REF!</definedName>
    <definedName name="_xlnm._FilterDatabase" localSheetId="0" hidden="1">Прейск_2019!$A$8:$P$3154</definedName>
    <definedName name="a" localSheetId="0" hidden="1">'[1]бюдж с расшифр(ст)'!#REF!,'[1]бюдж с расшифр(ст)'!#REF!</definedName>
    <definedName name="a" hidden="1">'[1]бюдж с расшифр(ст)'!#REF!,'[1]бюдж с расшифр(ст)'!#REF!</definedName>
    <definedName name="AccessDatabase" hidden="1">"C:\Мои документы\Базовая сводная обязательств1.mdb"</definedName>
    <definedName name="b" localSheetId="0" hidden="1">#REF!</definedName>
    <definedName name="b" hidden="1">#REF!</definedName>
    <definedName name="d" localSheetId="0" hidden="1">#REF!</definedName>
    <definedName name="d" hidden="1">#REF!</definedName>
    <definedName name="e" localSheetId="0" hidden="1">#REF!</definedName>
    <definedName name="e" hidden="1">#REF!</definedName>
    <definedName name="eee" localSheetId="0" hidden="1">#REF!</definedName>
    <definedName name="eee" hidden="1">#REF!</definedName>
    <definedName name="f" localSheetId="0" hidden="1">#REF!</definedName>
    <definedName name="f" hidden="1">#REF!</definedName>
    <definedName name="g" localSheetId="0" hidden="1">#REF!</definedName>
    <definedName name="g" hidden="1">#REF!</definedName>
    <definedName name="h" localSheetId="0" hidden="1">'[1]бюдж с расшифр(ст)'!#REF!,'[1]бюдж с расшифр(ст)'!#REF!</definedName>
    <definedName name="h" hidden="1">'[1]бюдж с расшифр(ст)'!#REF!,'[1]бюдж с расшифр(ст)'!#REF!</definedName>
    <definedName name="HTML_CodePage" hidden="1">1251</definedName>
    <definedName name="HTML_Control" hidden="1">{"'ПГДБК '!$B$6"}</definedName>
    <definedName name="HTML_Description" hidden="1">""</definedName>
    <definedName name="HTML_Email" hidden="1">""</definedName>
    <definedName name="HTML_Header" hidden="1">"ПГДБК"</definedName>
    <definedName name="HTML_LastUpdate" hidden="1">"19.10.99"</definedName>
    <definedName name="HTML_LineAfter" hidden="1">FALSE</definedName>
    <definedName name="HTML_LineBefore" hidden="1">TRUE</definedName>
    <definedName name="HTML_Name" hidden="1">"Дутова Марина Викторовна"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документы\MyHTML.htm"</definedName>
    <definedName name="HTML_Title" hidden="1">"Заряды ЗСК"</definedName>
    <definedName name="i" localSheetId="0" hidden="1">'[1]бюдж с расшифр(ст)'!#REF!,'[1]бюдж с расшифр(ст)'!#REF!</definedName>
    <definedName name="i" hidden="1">'[1]бюдж с расшифр(ст)'!#REF!,'[1]бюдж с расшифр(ст)'!#REF!</definedName>
    <definedName name="j" localSheetId="0" hidden="1">#REF!</definedName>
    <definedName name="j" hidden="1">#REF!</definedName>
    <definedName name="k" localSheetId="0" hidden="1">#REF!,#REF!,#REF!</definedName>
    <definedName name="k" hidden="1">#REF!,#REF!,#REF!</definedName>
    <definedName name="l" localSheetId="0" hidden="1">#REF!,#REF!,#REF!,#REF!,#REF!</definedName>
    <definedName name="l" hidden="1">#REF!,#REF!,#REF!,#REF!,#REF!</definedName>
    <definedName name="m" localSheetId="0" hidden="1">#REF!</definedName>
    <definedName name="m" hidden="1">#REF!</definedName>
    <definedName name="n" localSheetId="0" hidden="1">#REF!</definedName>
    <definedName name="n" hidden="1">#REF!</definedName>
    <definedName name="o" localSheetId="0" hidden="1">#REF!</definedName>
    <definedName name="o" hidden="1">#REF!</definedName>
    <definedName name="p" localSheetId="0" hidden="1">#REF!</definedName>
    <definedName name="p" hidden="1">#REF!</definedName>
    <definedName name="q" localSheetId="0" hidden="1">#REF!</definedName>
    <definedName name="q" hidden="1">#REF!</definedName>
    <definedName name="qqq" localSheetId="0" hidden="1">#REF!</definedName>
    <definedName name="qqq" hidden="1">#REF!</definedName>
    <definedName name="s" localSheetId="0" hidden="1">#REF!</definedName>
    <definedName name="s" hidden="1">#REF!</definedName>
    <definedName name="SAPBEXrevision" hidden="1">2</definedName>
    <definedName name="SAPBEXsysID" hidden="1">"BW4"</definedName>
    <definedName name="SAPBEXwbID" hidden="1">"42NXTZC2D4ZQHZLL6YR76UER1"</definedName>
    <definedName name="sort2" localSheetId="0" hidden="1">#REF!</definedName>
    <definedName name="sort2" hidden="1">#REF!</definedName>
    <definedName name="t" localSheetId="0" hidden="1">#REF!</definedName>
    <definedName name="t" hidden="1">#REF!</definedName>
    <definedName name="u" localSheetId="0" hidden="1">#REF!,#REF!,#REF!</definedName>
    <definedName name="u" hidden="1">#REF!,#REF!,#REF!</definedName>
    <definedName name="v" localSheetId="0" hidden="1">#REF!</definedName>
    <definedName name="v" hidden="1">#REF!</definedName>
    <definedName name="w" localSheetId="0" hidden="1">#REF!</definedName>
    <definedName name="w" hidden="1">#REF!</definedName>
    <definedName name="www" localSheetId="0" hidden="1">#REF!</definedName>
    <definedName name="www" hidden="1">#REF!</definedName>
    <definedName name="x" localSheetId="0" hidden="1">#REF!</definedName>
    <definedName name="x" hidden="1">#REF!</definedName>
    <definedName name="y" localSheetId="0" hidden="1">#REF!</definedName>
    <definedName name="y" hidden="1">#REF!</definedName>
    <definedName name="z" localSheetId="0" hidden="1">'[1]бюдж с расшифр(ст)'!#REF!,'[1]бюдж с расшифр(ст)'!#REF!</definedName>
    <definedName name="z" hidden="1">'[1]бюдж с расшифр(ст)'!#REF!,'[1]бюдж с расшифр(ст)'!#REF!</definedName>
    <definedName name="Z_1C3AD0CD_BF0C_4C4E_9071_158A2F5215E2_.wvu.Rows" localSheetId="0" hidden="1">#REF!,#REF!,#REF!</definedName>
    <definedName name="Z_1C3AD0CD_BF0C_4C4E_9071_158A2F5215E2_.wvu.Rows" hidden="1">#REF!,#REF!,#REF!</definedName>
    <definedName name="Z_4F7FD5E1_AFE0_11D4_AB84_00C04F9A6C2B_.wvu.Cols" localSheetId="0" hidden="1">'[1]бюдж с расшифр(ст)'!#REF!,'[1]бюдж с расшифр(ст)'!#REF!</definedName>
    <definedName name="Z_4F7FD5E1_AFE0_11D4_AB84_00C04F9A6C2B_.wvu.Cols" hidden="1">'[1]бюдж с расшифр(ст)'!#REF!,'[1]бюдж с расшифр(ст)'!#REF!</definedName>
    <definedName name="Z_4F7FD5E1_AFE0_11D4_AB84_00C04F9A6C2B_.wvu.Rows" hidden="1">'[1]бюдж с расшифр(ст)'!$A$11:$IV$16,'[1]бюдж с расшифр(ст)'!$A$638:$IV$1344</definedName>
    <definedName name="Z_4F7FD5E2_AFE0_11D4_AB84_00C04F9A6C2B_.wvu.Rows" hidden="1">'[1]бюдж с расшифр(ст)'!$A$11:$IV$16,'[1]бюдж с расшифр(ст)'!$A$638:$IV$1344</definedName>
    <definedName name="Z_87FB2E04_DA3E_11D4_84BF_00C04F322CF3_.wvu.Cols" localSheetId="0" hidden="1">#REF!</definedName>
    <definedName name="Z_87FB2E04_DA3E_11D4_84BF_00C04F322CF3_.wvu.Cols" hidden="1">#REF!</definedName>
    <definedName name="Z_87FB2E05_DA3E_11D4_84BF_00C04F322CF3_.wvu.Cols" localSheetId="0" hidden="1">#REF!</definedName>
    <definedName name="Z_87FB2E05_DA3E_11D4_84BF_00C04F322CF3_.wvu.Cols" hidden="1">#REF!</definedName>
    <definedName name="Z_9CDC4021_B996_11D4_AB84_00C04F9A6C2B_.wvu.Cols" localSheetId="0" hidden="1">'[1]бюдж с расшифр(ст)'!#REF!,'[1]бюдж с расшифр(ст)'!#REF!</definedName>
    <definedName name="Z_9CDC4021_B996_11D4_AB84_00C04F9A6C2B_.wvu.Cols" hidden="1">'[1]бюдж с расшифр(ст)'!#REF!,'[1]бюдж с расшифр(ст)'!#REF!</definedName>
    <definedName name="Z_9CDC4021_B996_11D4_AB84_00C04F9A6C2B_.wvu.Rows" hidden="1">'[1]бюдж с расшифр(ст)'!$A$11:$IV$16,'[1]бюдж с расшифр(ст)'!$A$638:$IV$1344</definedName>
    <definedName name="Z_9F4E9141_41FC_4B2C_AC1F_EC647474A564_.wvu.PrintArea" localSheetId="0" hidden="1">#REF!</definedName>
    <definedName name="Z_9F4E9141_41FC_4B2C_AC1F_EC647474A564_.wvu.PrintArea" hidden="1">#REF!</definedName>
    <definedName name="Z_9F4E9141_41FC_4B2C_AC1F_EC647474A564_.wvu.Rows" localSheetId="0" hidden="1">#REF!</definedName>
    <definedName name="Z_9F4E9141_41FC_4B2C_AC1F_EC647474A564_.wvu.Rows" hidden="1">#REF!</definedName>
    <definedName name="Z_B6EBA059_280B_4A6E_BA3E_AA849CF278A3_.wvu.PrintArea" localSheetId="0" hidden="1">#REF!</definedName>
    <definedName name="Z_B6EBA059_280B_4A6E_BA3E_AA849CF278A3_.wvu.PrintArea" hidden="1">#REF!</definedName>
    <definedName name="Z_B6EBA059_280B_4A6E_BA3E_AA849CF278A3_.wvu.Rows" localSheetId="0" hidden="1">#REF!</definedName>
    <definedName name="Z_B6EBA059_280B_4A6E_BA3E_AA849CF278A3_.wvu.Rows" hidden="1">#REF!</definedName>
    <definedName name="Z_C5284642_BACD_11D4_AB84_00C04F9A6C2B_.wvu.Cols" localSheetId="0" hidden="1">'[1]бюдж с расшифр(ст)'!#REF!,'[1]бюдж с расшифр(ст)'!#REF!</definedName>
    <definedName name="Z_C5284642_BACD_11D4_AB84_00C04F9A6C2B_.wvu.Cols" hidden="1">'[1]бюдж с расшифр(ст)'!#REF!,'[1]бюдж с расшифр(ст)'!#REF!</definedName>
    <definedName name="Z_C55956C1_7940_11D2_893F_00C04FC53645_.wvu.PrintTitles" localSheetId="0" hidden="1">#REF!</definedName>
    <definedName name="Z_C55956C1_7940_11D2_893F_00C04FC53645_.wvu.PrintTitles" hidden="1">#REF!</definedName>
    <definedName name="Z_C55956C1_7940_11D2_893F_00C04FC53645_.wvu.Rows" hidden="1">[2]расш.кальк.!$A$6:$IV$18,[2]расш.кальк.!$A$32:$IV$57,[2]расш.кальк.!$A$119:$IV$140,[2]расш.кальк.!$A$216:$IV$241,[2]расш.кальк.!$A$324:$IV$324</definedName>
    <definedName name="Z_CA0461C3_C18D_11D2_8D68_00C04F9DFD82_.wvu.Cols" localSheetId="0" hidden="1">#REF!,#REF!,#REF!</definedName>
    <definedName name="Z_CA0461C3_C18D_11D2_8D68_00C04F9DFD82_.wvu.Cols" hidden="1">#REF!,#REF!,#REF!</definedName>
    <definedName name="Z_CA0461C3_C18D_11D2_8D68_00C04F9DFD82_.wvu.Rows" localSheetId="0" hidden="1">#REF!,#REF!,#REF!,#REF!,#REF!</definedName>
    <definedName name="Z_CA0461C3_C18D_11D2_8D68_00C04F9DFD82_.wvu.Rows" hidden="1">#REF!,#REF!,#REF!,#REF!,#REF!</definedName>
    <definedName name="Z_CA96B2A2_B96B_11D4_AB84_00C04F9A6C2B_.wvu.Cols" localSheetId="0" hidden="1">'[1]бюдж с расшифр(ст)'!#REF!,'[1]бюдж с расшифр(ст)'!#REF!</definedName>
    <definedName name="Z_CA96B2A2_B96B_11D4_AB84_00C04F9A6C2B_.wvu.Cols" hidden="1">'[1]бюдж с расшифр(ст)'!#REF!,'[1]бюдж с расшифр(ст)'!#REF!</definedName>
    <definedName name="Z_CA96B2A2_B96B_11D4_AB84_00C04F9A6C2B_.wvu.Rows" hidden="1">'[1]бюдж с расшифр(ст)'!$A$11:$IV$16,'[1]бюдж с расшифр(ст)'!$A$638:$IV$1344</definedName>
    <definedName name="Z_E796ED81_7948_11D2_B83F_00C04FC56A76_.wvu.PrintArea" localSheetId="0" hidden="1">#REF!</definedName>
    <definedName name="Z_E796ED81_7948_11D2_B83F_00C04FC56A76_.wvu.PrintArea" hidden="1">#REF!</definedName>
    <definedName name="Z_E796ED81_7948_11D2_B83F_00C04FC56A76_.wvu.Rows" hidden="1">'[3]смета+расш.'!$A$180:$IV$181,'[3]смета+расш.'!$A$248:$IV$250,'[3]смета+расш.'!$A$252:$IV$253,'[3]смета+расш.'!$A$259:$IV$261,'[3]смета+расш.'!$A$263:$IV$263,'[3]смета+расш.'!$A$269:$IV$271,'[3]смета+расш.'!$A$273:$IV$273,'[3]смета+расш.'!$A$279:$IV$281,'[3]смета+расш.'!$A$283:$IV$283,'[3]смета+расш.'!$A$290:$IV$293,'[3]смета+расш.'!$A$297:$IV$300</definedName>
    <definedName name="вспом" localSheetId="0" hidden="1">#REF!</definedName>
    <definedName name="вспом" hidden="1">#REF!</definedName>
    <definedName name="геолпар" localSheetId="0" hidden="1">#REF!</definedName>
    <definedName name="геолпар" hidden="1">#REF!</definedName>
    <definedName name="ддлло" hidden="1">{"'ПГДБК '!$B$6"}</definedName>
    <definedName name="кеу2" localSheetId="0" hidden="1">#REF!</definedName>
    <definedName name="кеу2" hidden="1">#REF!</definedName>
    <definedName name="_xlnm.Print_Area" localSheetId="0">Прейск_2019!$A$1:$P$3166</definedName>
    <definedName name="пкло" hidden="1">{"'ПГДБК '!$B$6"}</definedName>
    <definedName name="ПШ3.1" localSheetId="0" hidden="1">#REF!</definedName>
    <definedName name="ПШ3.1" hidden="1">#REF!</definedName>
    <definedName name="т.5.2" localSheetId="0" hidden="1">#REF!</definedName>
    <definedName name="т.5.2" hidden="1">#REF!</definedName>
  </definedNames>
  <calcPr calcId="162913" refMode="R1C1"/>
</workbook>
</file>

<file path=xl/calcChain.xml><?xml version="1.0" encoding="utf-8"?>
<calcChain xmlns="http://schemas.openxmlformats.org/spreadsheetml/2006/main">
  <c r="A1666" i="1" l="1"/>
  <c r="A1667" i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1510" i="1"/>
  <c r="A1511" i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404" i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307" i="1"/>
  <c r="A1308" i="1"/>
  <c r="A1309" i="1"/>
  <c r="A1310" i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144" i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143" i="1"/>
  <c r="A1050" i="1"/>
  <c r="A1051" i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511" i="1"/>
  <c r="A512" i="1" s="1"/>
  <c r="A513" i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428" i="1"/>
  <c r="A429" i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427" i="1"/>
  <c r="A426" i="1"/>
  <c r="A394" i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393" i="1"/>
  <c r="A392" i="1"/>
  <c r="A166" i="1"/>
  <c r="A167" i="1" s="1"/>
  <c r="A168" i="1" s="1"/>
  <c r="A169" i="1" s="1"/>
  <c r="A170" i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165" i="1"/>
  <c r="A164" i="1"/>
  <c r="A73" i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55" i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54" i="1"/>
  <c r="A53" i="1"/>
  <c r="A42" i="1"/>
  <c r="A39" i="1"/>
  <c r="A40" i="1"/>
  <c r="A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3" i="1" l="1"/>
  <c r="A34" i="1" s="1"/>
  <c r="A35" i="1" l="1"/>
  <c r="A36" i="1" s="1"/>
  <c r="A37" i="1" l="1"/>
  <c r="A38" i="1" s="1"/>
  <c r="A43" i="1" s="1"/>
  <c r="A44" i="1" s="1"/>
  <c r="A45" i="1" s="1"/>
  <c r="A46" i="1" s="1"/>
  <c r="A47" i="1" s="1"/>
  <c r="A48" i="1" s="1"/>
  <c r="A49" i="1" s="1"/>
  <c r="A50" i="1" s="1"/>
  <c r="A51" i="1" s="1"/>
  <c r="A131" i="1" l="1"/>
  <c r="A132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1" i="1" s="1"/>
  <c r="A162" i="1" s="1"/>
  <c r="A1135" i="1" l="1"/>
  <c r="A1136" i="1" s="1"/>
  <c r="A1137" i="1" s="1"/>
  <c r="A1138" i="1" s="1"/>
  <c r="A1139" i="1" s="1"/>
  <c r="A1140" i="1" s="1"/>
  <c r="A1142" i="1" s="1"/>
  <c r="A2476" i="1" l="1"/>
  <c r="A2477" i="1" s="1"/>
  <c r="A2478" i="1" s="1"/>
  <c r="A2479" i="1" s="1"/>
  <c r="A2480" i="1" s="1"/>
  <c r="A2481" i="1" s="1"/>
  <c r="A2482" i="1" s="1"/>
  <c r="A2484" i="1" s="1"/>
  <c r="A2485" i="1" s="1"/>
  <c r="A2486" i="1" l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8" i="1" s="1"/>
  <c r="A3149" i="1" s="1"/>
  <c r="A3150" i="1" s="1"/>
  <c r="A3151" i="1" s="1"/>
  <c r="A3153" i="1" s="1"/>
</calcChain>
</file>

<file path=xl/sharedStrings.xml><?xml version="1.0" encoding="utf-8"?>
<sst xmlns="http://schemas.openxmlformats.org/spreadsheetml/2006/main" count="15451" uniqueCount="1214">
  <si>
    <t>Стоимость зарядного комплекта при проведении прострелочно-взрывных работ</t>
  </si>
  <si>
    <t>№ п/п</t>
  </si>
  <si>
    <t>№ Задачи</t>
  </si>
  <si>
    <t>Тип перфоратора</t>
  </si>
  <si>
    <t>Тип кумулятивного заряда</t>
  </si>
  <si>
    <t>Способ доставки</t>
  </si>
  <si>
    <t>Максимальная плотность отв./м</t>
  </si>
  <si>
    <t>Минимальная плотность отв./м</t>
  </si>
  <si>
    <t>Стоимость 1 отв. при max плотности руб. без НДС</t>
  </si>
  <si>
    <t>Стоимость 1 отв. при min плотности руб. без НДС</t>
  </si>
  <si>
    <t>Стоимость 1м секции пропуска руб. без НДС</t>
  </si>
  <si>
    <t>Перфораторы</t>
  </si>
  <si>
    <t>42mm</t>
  </si>
  <si>
    <t>кабель</t>
  </si>
  <si>
    <t>D=50mm</t>
  </si>
  <si>
    <t>10 (1 модуль)</t>
  </si>
  <si>
    <t>D=51mm</t>
  </si>
  <si>
    <t>D=54mm</t>
  </si>
  <si>
    <t>D=63mm</t>
  </si>
  <si>
    <t>трубы</t>
  </si>
  <si>
    <t>D=64mm</t>
  </si>
  <si>
    <t>D=73mm</t>
  </si>
  <si>
    <t>19 (1 модуль)</t>
  </si>
  <si>
    <t>D=80mm</t>
  </si>
  <si>
    <t>D=89mm</t>
  </si>
  <si>
    <t>D=102mm</t>
  </si>
  <si>
    <t>D=105mm</t>
  </si>
  <si>
    <t>D=114mm</t>
  </si>
  <si>
    <t>Шашечные торпеды и кумулятивные труборезы</t>
  </si>
  <si>
    <t>1шт</t>
  </si>
  <si>
    <t>Взрывные пакера</t>
  </si>
  <si>
    <t>RH, 5-3/4</t>
  </si>
  <si>
    <t>Мосты</t>
  </si>
  <si>
    <t>Термогазохимическое воздействие пороховыми шашками</t>
  </si>
  <si>
    <t>1шт.</t>
  </si>
  <si>
    <t>2шт.</t>
  </si>
  <si>
    <t>3шт.</t>
  </si>
  <si>
    <t>4шт.</t>
  </si>
  <si>
    <t>5шт.</t>
  </si>
  <si>
    <t>6шт.</t>
  </si>
  <si>
    <t>7шт.</t>
  </si>
  <si>
    <t>8шт.</t>
  </si>
  <si>
    <t>9шт.</t>
  </si>
  <si>
    <t>10шт.</t>
  </si>
  <si>
    <t>11шт.</t>
  </si>
  <si>
    <t>12шт.</t>
  </si>
  <si>
    <t>13шт.</t>
  </si>
  <si>
    <t>14шт.</t>
  </si>
  <si>
    <t>15шт.</t>
  </si>
  <si>
    <t>ПРК42С</t>
  </si>
  <si>
    <t>ЗПРК42С-01</t>
  </si>
  <si>
    <t>ПКО50С</t>
  </si>
  <si>
    <t>ЗПКО50С</t>
  </si>
  <si>
    <t xml:space="preserve">ПМ50С </t>
  </si>
  <si>
    <t xml:space="preserve">МПМ50С-10 </t>
  </si>
  <si>
    <t xml:space="preserve">Gun System DYNAWELL 51mm </t>
  </si>
  <si>
    <t xml:space="preserve">DYNAWELL 6.5g DP St RDX 2314473 </t>
  </si>
  <si>
    <t xml:space="preserve">ПРК54С-01 </t>
  </si>
  <si>
    <t>ЗПРК-54С-01</t>
  </si>
  <si>
    <t>DW 13g DP St RDX(2810653)</t>
  </si>
  <si>
    <t>ПКО 63-АТ</t>
  </si>
  <si>
    <t>ПК63КЛ ORION(K)</t>
  </si>
  <si>
    <t>ORION63-01</t>
  </si>
  <si>
    <t>ORION63-01 и ORION63-02</t>
  </si>
  <si>
    <t xml:space="preserve">ЗПК63-АТ-М-04 + ЗПК63-АТ-10 </t>
  </si>
  <si>
    <t>ПК63КЛ ORION(Т)</t>
  </si>
  <si>
    <t>ORION63-02</t>
  </si>
  <si>
    <t>ПКО 63М-АТ (Snake)</t>
  </si>
  <si>
    <t>ППШ64</t>
  </si>
  <si>
    <t>ЗПК64С(СА)</t>
  </si>
  <si>
    <t>ПКО64СМ</t>
  </si>
  <si>
    <t xml:space="preserve">ППШ64 </t>
  </si>
  <si>
    <t>ПКТ64С</t>
  </si>
  <si>
    <t>ЗПК64С (СА)</t>
  </si>
  <si>
    <t>ПМ73СК</t>
  </si>
  <si>
    <t>МПМ73С-10</t>
  </si>
  <si>
    <t>МПМ73СА-19</t>
  </si>
  <si>
    <t>ПКО73СА</t>
  </si>
  <si>
    <t>ЗПМ73СВА(01)</t>
  </si>
  <si>
    <t>ЗПМ73СВА(01) (Big hole)</t>
  </si>
  <si>
    <t>ПК73КЛ ORION(K)</t>
  </si>
  <si>
    <t>ORION73-01</t>
  </si>
  <si>
    <t>ORION73-02</t>
  </si>
  <si>
    <t>ORION73-03</t>
  </si>
  <si>
    <t>КПО73К</t>
  </si>
  <si>
    <t>ПКО 73-АТ</t>
  </si>
  <si>
    <t>ЗПК 73-АТ-01</t>
  </si>
  <si>
    <t>ППШ73</t>
  </si>
  <si>
    <t>ЗКПО-ПП-22-ГП(БО)</t>
  </si>
  <si>
    <t xml:space="preserve">Gun System DYNAWELL 73mm </t>
  </si>
  <si>
    <t xml:space="preserve">Shaped Charge  DYNAWELL 15 g DP St HMX </t>
  </si>
  <si>
    <t>Shaped Charge  DYNAWELL 15 g BH St HMX</t>
  </si>
  <si>
    <t>ПМ73СТ-10</t>
  </si>
  <si>
    <t xml:space="preserve">ПМ73СТ-19 </t>
  </si>
  <si>
    <t>МПМ73С-19</t>
  </si>
  <si>
    <t>ПМ73СТА-19</t>
  </si>
  <si>
    <t>ПМО73С-10</t>
  </si>
  <si>
    <t>МПМО73С-10</t>
  </si>
  <si>
    <t>ПМО73СА-10</t>
  </si>
  <si>
    <t>МПМО73СА-10</t>
  </si>
  <si>
    <t xml:space="preserve">ПКО73-АТ с механической головкой стреляющей с авто расцеплением предохранительного действия  </t>
  </si>
  <si>
    <t>ЗПК73-АТ-М-01</t>
  </si>
  <si>
    <t>ЗПК73-АТ-01</t>
  </si>
  <si>
    <t xml:space="preserve">ППШ73 </t>
  </si>
  <si>
    <t>КПО73Т</t>
  </si>
  <si>
    <t>ЗКПО-ПП-19-ГП(БО)</t>
  </si>
  <si>
    <t>ПК73КЛ ORION</t>
  </si>
  <si>
    <t>ПКС-80</t>
  </si>
  <si>
    <t>ЗПКС-80</t>
  </si>
  <si>
    <t>ПКО89СА</t>
  </si>
  <si>
    <t xml:space="preserve">ЗПКО89СМ </t>
  </si>
  <si>
    <t>ЗПКО89СМА-02 (Big hole)</t>
  </si>
  <si>
    <t>ПКО89С</t>
  </si>
  <si>
    <t>ЗПКО89С-02</t>
  </si>
  <si>
    <t>ПКО89СА-01</t>
  </si>
  <si>
    <t>ЗПКО89С</t>
  </si>
  <si>
    <t>ЗПКО89СМ + ЗПК89СМА</t>
  </si>
  <si>
    <t>ПКО 89-АТ</t>
  </si>
  <si>
    <t>ЗПК 89-АТ-09</t>
  </si>
  <si>
    <t>ЗПК 89-АТ-10</t>
  </si>
  <si>
    <t>ЗПК 89-АТ-М-04</t>
  </si>
  <si>
    <t>ЗПК 89-АТ-М-03 + ЗПК 89-АТ-09</t>
  </si>
  <si>
    <t>ЗПК 89-АТ-М-04 + ЗПК 89-АТ-09</t>
  </si>
  <si>
    <t>ЗПК 89-АТ-М-04 + ЗПК 89-АТ-10</t>
  </si>
  <si>
    <t>ЗПК 89-АТ-01</t>
  </si>
  <si>
    <t>ЗПКО89С-01</t>
  </si>
  <si>
    <t>ПК89КЛ ORION(K)</t>
  </si>
  <si>
    <t>ORION89-01</t>
  </si>
  <si>
    <t>ORION89-02</t>
  </si>
  <si>
    <t>ORION89-03</t>
  </si>
  <si>
    <t>ППШ89</t>
  </si>
  <si>
    <t xml:space="preserve"> ЗПКО89СМ(СМА)</t>
  </si>
  <si>
    <t xml:space="preserve"> ЗПКО89СВ(СВА)</t>
  </si>
  <si>
    <t>ПКТ 89</t>
  </si>
  <si>
    <t xml:space="preserve">ПКТ89СМ </t>
  </si>
  <si>
    <t xml:space="preserve">ПКТ89С2М </t>
  </si>
  <si>
    <t xml:space="preserve">ЗПКО89СМА (Big hole) </t>
  </si>
  <si>
    <t>ПКТ89С2М-01</t>
  </si>
  <si>
    <t xml:space="preserve">ЗПКО89С </t>
  </si>
  <si>
    <t xml:space="preserve">ЗПКО89СМ + ЗПКО89СМА </t>
  </si>
  <si>
    <t xml:space="preserve">ПКО 89-АТ </t>
  </si>
  <si>
    <t xml:space="preserve">ЗПК89-АТ-М-04 </t>
  </si>
  <si>
    <t xml:space="preserve">ЗПК89-АТ-М-03 </t>
  </si>
  <si>
    <t>ЗПК89-АТ-М-04 + ЗПК89-АТ-10</t>
  </si>
  <si>
    <t>ЗПК89-АТ-М-03 + ЗПК89-АТ-10</t>
  </si>
  <si>
    <t>ЗПК89-АТ-М-03 + ЗПК89-АТ-09</t>
  </si>
  <si>
    <t xml:space="preserve">ЗПК89-АТ-М-04 + ЗПК89-АТ-09 </t>
  </si>
  <si>
    <t>ЗПК89-АТ-01</t>
  </si>
  <si>
    <t>ПК89КЛ ORION</t>
  </si>
  <si>
    <t xml:space="preserve">ППШ89 </t>
  </si>
  <si>
    <t xml:space="preserve">ЗПКО89СМ (СМА) </t>
  </si>
  <si>
    <t xml:space="preserve">ЗПКО89СВ (СВА) </t>
  </si>
  <si>
    <t xml:space="preserve">ПКТ102СК </t>
  </si>
  <si>
    <t>ЗПКО102С</t>
  </si>
  <si>
    <t xml:space="preserve">ПКТ102КЛ </t>
  </si>
  <si>
    <t>ЗПКО-102 DN-01</t>
  </si>
  <si>
    <t>ПКО102-АТ</t>
  </si>
  <si>
    <t>ЗПК 102-АТ-09 + ЗПК 102-АТ-М-03</t>
  </si>
  <si>
    <t>ПКТ102КЛ-М</t>
  </si>
  <si>
    <t>ЗПКТ105Н-ТВ-ОП1</t>
  </si>
  <si>
    <t xml:space="preserve">Gun System DYNAWELL 102 mm </t>
  </si>
  <si>
    <t xml:space="preserve">Shaped Charge  DYNAWELL 32 g DP2 St RDX </t>
  </si>
  <si>
    <t>ПК102КЛ ORION(K)</t>
  </si>
  <si>
    <t>ORION102-01</t>
  </si>
  <si>
    <t>ORION102-02</t>
  </si>
  <si>
    <t>ORION102-03</t>
  </si>
  <si>
    <t>ORION102-01 и ORION102-02</t>
  </si>
  <si>
    <t>Gun System DYNAWELL 102 mm</t>
  </si>
  <si>
    <t>Shaped Charge  DYNAWELL 26 g GH St HMX</t>
  </si>
  <si>
    <t>Shaped Charge  DYNAWELL 26 g DP St RDX</t>
  </si>
  <si>
    <t>Shaped Charge  DYNAWELL 26 g DPEX St HMX</t>
  </si>
  <si>
    <t>КПО102К</t>
  </si>
  <si>
    <t>ЗКПО-ПП-30-БО</t>
  </si>
  <si>
    <t>ППШ102</t>
  </si>
  <si>
    <t xml:space="preserve">ЗПК102СМ(СМА) </t>
  </si>
  <si>
    <t>ЗКПО-ПП-30-ГП(БО)</t>
  </si>
  <si>
    <t>Shaped Charge  DYNAWELL 24 g DP St RDX</t>
  </si>
  <si>
    <t>ПКТ102СТ</t>
  </si>
  <si>
    <t>ЗПК102С</t>
  </si>
  <si>
    <t xml:space="preserve">ПКО102-АТ </t>
  </si>
  <si>
    <t xml:space="preserve">ЗПК102-АТ-09 + ЗПК102-АТ-М-03 </t>
  </si>
  <si>
    <t xml:space="preserve">Shaped Charge  DYNAWELL 26 g DP St RDX </t>
  </si>
  <si>
    <t>ПКТ102КЛ-М(Т)</t>
  </si>
  <si>
    <t>ПК102КЛ ORION</t>
  </si>
  <si>
    <t xml:space="preserve">Shaped Charge  DYNAWELL 26 g GH St HMX </t>
  </si>
  <si>
    <t xml:space="preserve">Shaped Charge  DYNAWELL 26 g DPEX St HMX  </t>
  </si>
  <si>
    <t>Gun System DYNAWELL 102mm с механической головкой стреляющей с авто расцеплением предохранительного действия</t>
  </si>
  <si>
    <t xml:space="preserve">DYNAWELL 26 g DPEX St </t>
  </si>
  <si>
    <t>КПО102Т</t>
  </si>
  <si>
    <t xml:space="preserve">ППШ102 </t>
  </si>
  <si>
    <t>ЗПК102СМ (СМА)</t>
  </si>
  <si>
    <t xml:space="preserve">Shaped Charge  DYNAWELL 24 g DP St RDX </t>
  </si>
  <si>
    <t xml:space="preserve">ПК105СМ-02 </t>
  </si>
  <si>
    <t>ЗПК105СА</t>
  </si>
  <si>
    <t>ЗПК105С</t>
  </si>
  <si>
    <t>ПК105СМ-02</t>
  </si>
  <si>
    <t>ЗПК105С и ЗПК105СА</t>
  </si>
  <si>
    <t>ПК105.20 КЛ</t>
  </si>
  <si>
    <t>ЗПК105 Н-БО</t>
  </si>
  <si>
    <t xml:space="preserve">ПКО 114-АТ </t>
  </si>
  <si>
    <t>ЗПК 114-АТ-М-03</t>
  </si>
  <si>
    <t>ЗПК 114-АТ-М-10</t>
  </si>
  <si>
    <t xml:space="preserve">ЗПК 114-АТ-М-03 + ЗПК 114-АТ-М-10 </t>
  </si>
  <si>
    <t>ПК114КЛ ORION(K)</t>
  </si>
  <si>
    <t>ORION 114-01</t>
  </si>
  <si>
    <t>ORION 114-03</t>
  </si>
  <si>
    <t>ORION 114-01 + ORION 114-03</t>
  </si>
  <si>
    <t>Gun System DYNAWELL 114 mm</t>
  </si>
  <si>
    <t>Shaped Charge  DYNAWELL 39 g DPEX St RDX</t>
  </si>
  <si>
    <t>ПК114КЛ ORION(Т)</t>
  </si>
  <si>
    <t xml:space="preserve">Gun System DYNAWELL 114 mm </t>
  </si>
  <si>
    <t xml:space="preserve">Shaped Charge  DYNAWELL 39 g DPEX St RDX </t>
  </si>
  <si>
    <t>ТДШ</t>
  </si>
  <si>
    <t>1 ряд</t>
  </si>
  <si>
    <t>8 рядов</t>
  </si>
  <si>
    <t>2 ряда</t>
  </si>
  <si>
    <t>3 ряда</t>
  </si>
  <si>
    <t>4 ряда</t>
  </si>
  <si>
    <t>5 рядов</t>
  </si>
  <si>
    <t>6 рядов</t>
  </si>
  <si>
    <t>7 рядов</t>
  </si>
  <si>
    <t>ТРК-45</t>
  </si>
  <si>
    <t>ТРК-55</t>
  </si>
  <si>
    <t>ТРК-68</t>
  </si>
  <si>
    <t>ТРК-85</t>
  </si>
  <si>
    <t>ТРК-110</t>
  </si>
  <si>
    <t>ТРК-118</t>
  </si>
  <si>
    <t>ТРК-135</t>
  </si>
  <si>
    <t>ТШТ-84/90</t>
  </si>
  <si>
    <t>ТШТ-65/70</t>
  </si>
  <si>
    <t>ТШТ-50/55</t>
  </si>
  <si>
    <t>ТШТ-43/48</t>
  </si>
  <si>
    <t>ТШТ-35/40</t>
  </si>
  <si>
    <t>ТШТ-20/23</t>
  </si>
  <si>
    <t>ТФ-С35</t>
  </si>
  <si>
    <t>ТФ-С48</t>
  </si>
  <si>
    <t>ТФ-С55</t>
  </si>
  <si>
    <t>ТФ-С70</t>
  </si>
  <si>
    <t>ТФ-С90</t>
  </si>
  <si>
    <t>ТК-С44</t>
  </si>
  <si>
    <t>ТК-С54</t>
  </si>
  <si>
    <t>ТК-С67</t>
  </si>
  <si>
    <t>ТКЛ-С35</t>
  </si>
  <si>
    <t>ВПШ 82</t>
  </si>
  <si>
    <t>ВПШ 92</t>
  </si>
  <si>
    <t>ВПШ 97</t>
  </si>
  <si>
    <t>ВПШ 102</t>
  </si>
  <si>
    <t>ВПШ 110</t>
  </si>
  <si>
    <t>ВПШ 118</t>
  </si>
  <si>
    <t>ВПШ 135</t>
  </si>
  <si>
    <t>ВПШ 146</t>
  </si>
  <si>
    <t>МГДИ-54</t>
  </si>
  <si>
    <t>ПВЦ2</t>
  </si>
  <si>
    <t>Пакер типа RH, 5-3/4;
ПВМ-О 122-52-100;
ПВМ-О 140-60-100;
ПВМ-О 145-60-100;
ПМ-Р (ГРП) 122-52-100;
ПМ-Р (ГРП) 118-52-100;
ПМ-Р 118-52-100</t>
  </si>
  <si>
    <t>ЦСК-01М</t>
  </si>
  <si>
    <t xml:space="preserve">ПГД42Т </t>
  </si>
  <si>
    <t>ЗГДК-38</t>
  </si>
  <si>
    <t>ЗГДК-54</t>
  </si>
  <si>
    <t>ЗГДК-65</t>
  </si>
  <si>
    <t>ЗГДК-85</t>
  </si>
  <si>
    <t>ПКТ89КЛ-М(К)</t>
  </si>
  <si>
    <t>ЗПКТ89Н-СП1</t>
  </si>
  <si>
    <t>-</t>
  </si>
  <si>
    <t>ЗПКТ89Н-БО1</t>
  </si>
  <si>
    <t>ПКТ73КЛ(К)</t>
  </si>
  <si>
    <t>ЗПКТ73-БО</t>
  </si>
  <si>
    <t>ЗПК 73-АТ-М-02</t>
  </si>
  <si>
    <t>КПО89К</t>
  </si>
  <si>
    <t>ПК 63 КЛ  ORION  (К)</t>
  </si>
  <si>
    <t>ORION 63-03</t>
  </si>
  <si>
    <t>ПКО73-АТ-К</t>
  </si>
  <si>
    <t>ЗПК73-АТ-М-02+ЗПК73-АТ-М-04</t>
  </si>
  <si>
    <t>ПКО102-АТ-К</t>
  </si>
  <si>
    <t>ЗПК102-АТ-М-03 (АТ-М-04, АТ-М-09, АТ-М-10)</t>
  </si>
  <si>
    <t>ПКН102</t>
  </si>
  <si>
    <t>ВЕКТОР102 БО</t>
  </si>
  <si>
    <t>ВЕКТОР102 ГП</t>
  </si>
  <si>
    <t>ВЕКТОР102 ГП+БО</t>
  </si>
  <si>
    <t>Gun System DYNAWELL 89mm</t>
  </si>
  <si>
    <t>DW 26g DP HMX</t>
  </si>
  <si>
    <t>ПКО102-АТ-Т</t>
  </si>
  <si>
    <t>DW 26g DP St  RDX</t>
  </si>
  <si>
    <t>DW 26g DP St RDX</t>
  </si>
  <si>
    <t>ЗПКО89С-03</t>
  </si>
  <si>
    <t>ГП105</t>
  </si>
  <si>
    <t>ЗПК105 Н-БО (Н-ГП) + ЗГП 105</t>
  </si>
  <si>
    <t>20/16</t>
  </si>
  <si>
    <t>10/2</t>
  </si>
  <si>
    <t>МПМ73С-05</t>
  </si>
  <si>
    <t>ПРК54СА</t>
  </si>
  <si>
    <t>ПГМ102С</t>
  </si>
  <si>
    <t>МПМ73С-19+ заряд ЗП92С</t>
  </si>
  <si>
    <t>МПМ73С-15</t>
  </si>
  <si>
    <t>76(&gt;4 модулей)</t>
  </si>
  <si>
    <t>ЗПКО89С-04</t>
  </si>
  <si>
    <t>МПМ73СА-15+ заряд ЗП92С</t>
  </si>
  <si>
    <t>ЗПКТ89Н-СП+ ЗПКТ89Н-БО1</t>
  </si>
  <si>
    <t>ЗПКТ105Н-ТВ-СП1+ЗПКТ105Н-ТВ-ОП1</t>
  </si>
  <si>
    <t>ЗПКТ105Н-ТВ-СП1</t>
  </si>
  <si>
    <t>ЗПКТ73-СП</t>
  </si>
  <si>
    <t>ЗПКТ73-СП+ЗПКТ73-БО</t>
  </si>
  <si>
    <t>ЗПКО89СО1 (ЗПКО89СО2; ЗПКО89СО3)</t>
  </si>
  <si>
    <t>DW 26g GH  St RDX</t>
  </si>
  <si>
    <t>ПМ73СТА-15</t>
  </si>
  <si>
    <t>МПМ73СА-15</t>
  </si>
  <si>
    <t>ПМ73СТ-20</t>
  </si>
  <si>
    <t>ЗПМ73С</t>
  </si>
  <si>
    <t>ПМ73СТ-05</t>
  </si>
  <si>
    <t>ЗПМ73С-05</t>
  </si>
  <si>
    <t>ПМ73СТ-15</t>
  </si>
  <si>
    <t>ЗПМ73С-15</t>
  </si>
  <si>
    <t>ПКТ89КЛ-М(Т)</t>
  </si>
  <si>
    <t>МПМ73С-20-01</t>
  </si>
  <si>
    <t>58.6</t>
  </si>
  <si>
    <t>58.98</t>
  </si>
  <si>
    <t>58.102</t>
  </si>
  <si>
    <t>58.190</t>
  </si>
  <si>
    <t>58.91</t>
  </si>
  <si>
    <t>58.16</t>
  </si>
  <si>
    <t>58.247</t>
  </si>
  <si>
    <t>58.29</t>
  </si>
  <si>
    <t>58.94</t>
  </si>
  <si>
    <t>58.169</t>
  </si>
  <si>
    <t>58.170</t>
  </si>
  <si>
    <t>58.173</t>
  </si>
  <si>
    <t>58.119</t>
  </si>
  <si>
    <t>58.174</t>
  </si>
  <si>
    <t>58.175</t>
  </si>
  <si>
    <t>58.176</t>
  </si>
  <si>
    <t>58.208</t>
  </si>
  <si>
    <t>58.289</t>
  </si>
  <si>
    <t>58.156</t>
  </si>
  <si>
    <t>58.165</t>
  </si>
  <si>
    <t>58.157</t>
  </si>
  <si>
    <t>58.166</t>
  </si>
  <si>
    <t>58.24</t>
  </si>
  <si>
    <t>58.35</t>
  </si>
  <si>
    <t>58.37</t>
  </si>
  <si>
    <t>58.38</t>
  </si>
  <si>
    <t>58.129</t>
  </si>
  <si>
    <t>58.130</t>
  </si>
  <si>
    <t>58.131</t>
  </si>
  <si>
    <t>58.132</t>
  </si>
  <si>
    <t>58.137</t>
  </si>
  <si>
    <t>58.155</t>
  </si>
  <si>
    <t>58.158</t>
  </si>
  <si>
    <t>58.164</t>
  </si>
  <si>
    <t>58.171</t>
  </si>
  <si>
    <t>58.179</t>
  </si>
  <si>
    <t>58.194</t>
  </si>
  <si>
    <t>58.25</t>
  </si>
  <si>
    <t>58.39</t>
  </si>
  <si>
    <t>58.43</t>
  </si>
  <si>
    <t>58.69</t>
  </si>
  <si>
    <t>58.70</t>
  </si>
  <si>
    <t>58.114</t>
  </si>
  <si>
    <t>58.154</t>
  </si>
  <si>
    <t>58.159</t>
  </si>
  <si>
    <t>58.168</t>
  </si>
  <si>
    <t>58.1</t>
  </si>
  <si>
    <t>58.172</t>
  </si>
  <si>
    <t>58.121</t>
  </si>
  <si>
    <t>58.122</t>
  </si>
  <si>
    <t>58.123</t>
  </si>
  <si>
    <t>58.124</t>
  </si>
  <si>
    <t>58.180</t>
  </si>
  <si>
    <t>58.195</t>
  </si>
  <si>
    <t>58.106</t>
  </si>
  <si>
    <t>58.307</t>
  </si>
  <si>
    <t>58.308</t>
  </si>
  <si>
    <t>58.23</t>
  </si>
  <si>
    <t>58.33</t>
  </si>
  <si>
    <t>58.107</t>
  </si>
  <si>
    <t>58.142</t>
  </si>
  <si>
    <t>58.36</t>
  </si>
  <si>
    <t>58.40</t>
  </si>
  <si>
    <t>58.41</t>
  </si>
  <si>
    <t>58.42</t>
  </si>
  <si>
    <t>58.118</t>
  </si>
  <si>
    <t>58.220</t>
  </si>
  <si>
    <t>58.3</t>
  </si>
  <si>
    <t>58.5</t>
  </si>
  <si>
    <t>58.26</t>
  </si>
  <si>
    <t>58.27</t>
  </si>
  <si>
    <t>58.47</t>
  </si>
  <si>
    <t>58.54</t>
  </si>
  <si>
    <t>58.64</t>
  </si>
  <si>
    <t>58.65</t>
  </si>
  <si>
    <t>58.76</t>
  </si>
  <si>
    <t>58.77</t>
  </si>
  <si>
    <t>58.78</t>
  </si>
  <si>
    <t>58.79</t>
  </si>
  <si>
    <t>58.80</t>
  </si>
  <si>
    <t>58.81</t>
  </si>
  <si>
    <t>58.96</t>
  </si>
  <si>
    <t>58.103</t>
  </si>
  <si>
    <t>58.104</t>
  </si>
  <si>
    <t>58.105</t>
  </si>
  <si>
    <t>58.133</t>
  </si>
  <si>
    <t>58.134</t>
  </si>
  <si>
    <t>58.135</t>
  </si>
  <si>
    <t>58.136</t>
  </si>
  <si>
    <t>58.160</t>
  </si>
  <si>
    <t>58.162</t>
  </si>
  <si>
    <t>58.188</t>
  </si>
  <si>
    <t>58.14</t>
  </si>
  <si>
    <t>58.49</t>
  </si>
  <si>
    <t>58.50</t>
  </si>
  <si>
    <t>58.52</t>
  </si>
  <si>
    <t>58.68</t>
  </si>
  <si>
    <t>58.82</t>
  </si>
  <si>
    <t>58.83</t>
  </si>
  <si>
    <t>58.84</t>
  </si>
  <si>
    <t>58.86</t>
  </si>
  <si>
    <t>58.87</t>
  </si>
  <si>
    <t>58.88</t>
  </si>
  <si>
    <t>58.89</t>
  </si>
  <si>
    <t>58.90</t>
  </si>
  <si>
    <t>58.95</t>
  </si>
  <si>
    <t>58.125</t>
  </si>
  <si>
    <t>58.126</t>
  </si>
  <si>
    <t>58.127</t>
  </si>
  <si>
    <t>58.128</t>
  </si>
  <si>
    <t>58.161</t>
  </si>
  <si>
    <t>58.163</t>
  </si>
  <si>
    <t>58.189</t>
  </si>
  <si>
    <t>58.288</t>
  </si>
  <si>
    <t>581.303</t>
  </si>
  <si>
    <t>581.302</t>
  </si>
  <si>
    <t>58.252</t>
  </si>
  <si>
    <t>58.9</t>
  </si>
  <si>
    <t>58.34</t>
  </si>
  <si>
    <t>58.45</t>
  </si>
  <si>
    <t>58.46</t>
  </si>
  <si>
    <t>58.48</t>
  </si>
  <si>
    <t>58.97</t>
  </si>
  <si>
    <t>58.601</t>
  </si>
  <si>
    <t>58.248</t>
  </si>
  <si>
    <t>58.51</t>
  </si>
  <si>
    <t>58.53</t>
  </si>
  <si>
    <t>58.108</t>
  </si>
  <si>
    <t>58.109</t>
  </si>
  <si>
    <t>58.110</t>
  </si>
  <si>
    <t>58.12</t>
  </si>
  <si>
    <t>58.21</t>
  </si>
  <si>
    <t>58.93</t>
  </si>
  <si>
    <t>58.101</t>
  </si>
  <si>
    <t>58.120</t>
  </si>
  <si>
    <t>58.138</t>
  </si>
  <si>
    <t>58.139</t>
  </si>
  <si>
    <t>58.140</t>
  </si>
  <si>
    <t>58.141</t>
  </si>
  <si>
    <t>58.149</t>
  </si>
  <si>
    <t>58.151</t>
  </si>
  <si>
    <t>58.153</t>
  </si>
  <si>
    <t>58.167</t>
  </si>
  <si>
    <t>58.178</t>
  </si>
  <si>
    <t>58.181</t>
  </si>
  <si>
    <t>58.184</t>
  </si>
  <si>
    <t>58.186</t>
  </si>
  <si>
    <t>58.193</t>
  </si>
  <si>
    <t>58.17</t>
  </si>
  <si>
    <t>58.28</t>
  </si>
  <si>
    <t>58.92</t>
  </si>
  <si>
    <t>58.150</t>
  </si>
  <si>
    <t>58.112</t>
  </si>
  <si>
    <t>58.116</t>
  </si>
  <si>
    <t>58.117</t>
  </si>
  <si>
    <t>58.143</t>
  </si>
  <si>
    <t>58.144</t>
  </si>
  <si>
    <t>58.145</t>
  </si>
  <si>
    <t>58.146</t>
  </si>
  <si>
    <t>58.147</t>
  </si>
  <si>
    <t>58.148</t>
  </si>
  <si>
    <t>58.152</t>
  </si>
  <si>
    <t>58.177</t>
  </si>
  <si>
    <t>58.182</t>
  </si>
  <si>
    <t>58.183</t>
  </si>
  <si>
    <t>58.185</t>
  </si>
  <si>
    <t>58.187</t>
  </si>
  <si>
    <t>58.192</t>
  </si>
  <si>
    <t>58.310</t>
  </si>
  <si>
    <t>58.287</t>
  </si>
  <si>
    <t>58.286</t>
  </si>
  <si>
    <t>58.268</t>
  </si>
  <si>
    <t>581.304</t>
  </si>
  <si>
    <t>58.305</t>
  </si>
  <si>
    <t>58.309</t>
  </si>
  <si>
    <t>58.254</t>
  </si>
  <si>
    <t>58.31</t>
  </si>
  <si>
    <t>58.55</t>
  </si>
  <si>
    <t>58.99</t>
  </si>
  <si>
    <t>58.100</t>
  </si>
  <si>
    <t>58.111</t>
  </si>
  <si>
    <t>58.113</t>
  </si>
  <si>
    <t>58.2</t>
  </si>
  <si>
    <t>58.44</t>
  </si>
  <si>
    <t>58.115</t>
  </si>
  <si>
    <t>58.18</t>
  </si>
  <si>
    <t>58.199</t>
  </si>
  <si>
    <t>58.200</t>
  </si>
  <si>
    <t>58.201</t>
  </si>
  <si>
    <t>58.205</t>
  </si>
  <si>
    <t>58.206</t>
  </si>
  <si>
    <t>58.207</t>
  </si>
  <si>
    <t>58.209</t>
  </si>
  <si>
    <t>58.196</t>
  </si>
  <si>
    <t>58.197</t>
  </si>
  <si>
    <t>58.198</t>
  </si>
  <si>
    <t>58.202</t>
  </si>
  <si>
    <t>58.203</t>
  </si>
  <si>
    <t>58.204</t>
  </si>
  <si>
    <t>58.210</t>
  </si>
  <si>
    <t>59.1</t>
  </si>
  <si>
    <t>59.2</t>
  </si>
  <si>
    <t>59.3</t>
  </si>
  <si>
    <t>59.4</t>
  </si>
  <si>
    <t>59.5</t>
  </si>
  <si>
    <t>59.6</t>
  </si>
  <si>
    <t>56.2</t>
  </si>
  <si>
    <t>56.3</t>
  </si>
  <si>
    <t>56.4</t>
  </si>
  <si>
    <t>56.5</t>
  </si>
  <si>
    <t>56.6</t>
  </si>
  <si>
    <t>65.3</t>
  </si>
  <si>
    <t>65.7</t>
  </si>
  <si>
    <t>581.306</t>
  </si>
  <si>
    <t>ПКО73-АТ-Т</t>
  </si>
  <si>
    <t>58.231</t>
  </si>
  <si>
    <t>Скорпион89К</t>
  </si>
  <si>
    <t>58.227</t>
  </si>
  <si>
    <t>Скорпион ПП-25СГП</t>
  </si>
  <si>
    <t>ЗПК 63-АТ-М-04</t>
  </si>
  <si>
    <t xml:space="preserve">ЗПК64С -01(СА-01) </t>
  </si>
  <si>
    <t>ORION73-01 +ORION73-02</t>
  </si>
  <si>
    <t xml:space="preserve"> ЗПК73С-01(СА-01)</t>
  </si>
  <si>
    <t>ПКО 73-АТ-К</t>
  </si>
  <si>
    <t>ЗПМ73С-10</t>
  </si>
  <si>
    <t xml:space="preserve">ЗПК73С-01 (СА-01) </t>
  </si>
  <si>
    <t>ПК73КЛ ORION(Т)</t>
  </si>
  <si>
    <t>ORION73-01 + ORION73-02</t>
  </si>
  <si>
    <t>ЗПК73-АТ-М-01(АТ-М-02, АТ-М-04)</t>
  </si>
  <si>
    <t>60 (&gt;4 модулей)</t>
  </si>
  <si>
    <t>150 (&gt;10 модулей)</t>
  </si>
  <si>
    <t>581.40</t>
  </si>
  <si>
    <t>800 (&gt;20 модулей)</t>
  </si>
  <si>
    <t>50 (&gt;10 модулей)</t>
  </si>
  <si>
    <t>ПКТ73КЛ(Т)</t>
  </si>
  <si>
    <t>581.220</t>
  </si>
  <si>
    <t>6000 (&gt;300 модулей)</t>
  </si>
  <si>
    <t>ЗПК 89-АТ-М-10</t>
  </si>
  <si>
    <t>ЗПК 89-АТ-М-03 + ЗПК 89-АТ-М-10</t>
  </si>
  <si>
    <t>ORION89-01 +ORION89-02</t>
  </si>
  <si>
    <t>ЗПКО 89DN (ЗПКО 89DN-01)</t>
  </si>
  <si>
    <t>20/19</t>
  </si>
  <si>
    <t>915.95/937.18</t>
  </si>
  <si>
    <t>Скорпион ПП-25СГП+Скорпион ПП-25СБО</t>
  </si>
  <si>
    <t>ЗПК89-АТ-М-10</t>
  </si>
  <si>
    <t>ЗПК89-АТ-М-04</t>
  </si>
  <si>
    <t>ЗПК89-АТ-М-04+ЗПК89-АТ-М-10</t>
  </si>
  <si>
    <t>ORION89-01 + ORION89-02</t>
  </si>
  <si>
    <t>581.110</t>
  </si>
  <si>
    <t>ЗПКТ89Н-СП1+ ЗПКТ89Н-БО1</t>
  </si>
  <si>
    <t>ORION102-01 +ORION102-02</t>
  </si>
  <si>
    <t>ПКО 102Д</t>
  </si>
  <si>
    <t>ЗПКО 102-DN (ЗПКО 102-DN-01)</t>
  </si>
  <si>
    <t>ПК102КЛ ORION(Т)</t>
  </si>
  <si>
    <t>ORION102-01 + ORION102-03</t>
  </si>
  <si>
    <t>ЗПК 114-АТ-М-03(АТ-М-04, АТ-М-09, АТ-М-10)</t>
  </si>
  <si>
    <t xml:space="preserve">ЗПК 114-АТ-М-03( АТ-М-04, АТ-М-09, АТ-М-10) </t>
  </si>
  <si>
    <t>ПКО 50-АТ</t>
  </si>
  <si>
    <t>ЗПК50-АТ-М-03+ЗПК50-АТ-М-10</t>
  </si>
  <si>
    <t>ПКО63-АТ</t>
  </si>
  <si>
    <t>ЗПК63-АТ-М-10</t>
  </si>
  <si>
    <t>ЗПК63-АТ-М-04</t>
  </si>
  <si>
    <t xml:space="preserve">  DW 15 g DP St RDX </t>
  </si>
  <si>
    <t xml:space="preserve">  DW 15 g DP St HMX </t>
  </si>
  <si>
    <t xml:space="preserve">  DW 15 g DP St HNS</t>
  </si>
  <si>
    <t>58.318</t>
  </si>
  <si>
    <t>DW 26g DP  St RDX</t>
  </si>
  <si>
    <t>58.319</t>
  </si>
  <si>
    <t>DW 26g DP  St HMX</t>
  </si>
  <si>
    <t>58.320</t>
  </si>
  <si>
    <t>58.321</t>
  </si>
  <si>
    <t>DW 26g GH  St HMX</t>
  </si>
  <si>
    <t>58.322</t>
  </si>
  <si>
    <t>DW 26g DPEX  St RDX</t>
  </si>
  <si>
    <t>58.323</t>
  </si>
  <si>
    <t>DW 25g DP3  St RDX</t>
  </si>
  <si>
    <t>DW 25g DP3  St HMX</t>
  </si>
  <si>
    <t>58.324</t>
  </si>
  <si>
    <t>58.325</t>
  </si>
  <si>
    <t>DW 25g BH  St RDX</t>
  </si>
  <si>
    <t>58.330</t>
  </si>
  <si>
    <t>58.331</t>
  </si>
  <si>
    <t>58.332</t>
  </si>
  <si>
    <t xml:space="preserve"> DW 39 g DPEX St RDX </t>
  </si>
  <si>
    <t xml:space="preserve"> DW 39 g DP2 St HMX </t>
  </si>
  <si>
    <t xml:space="preserve"> DW 39 g DP3 St HMX </t>
  </si>
  <si>
    <t xml:space="preserve"> DW 39 g DP3 St RDX </t>
  </si>
  <si>
    <t>581.340</t>
  </si>
  <si>
    <t>581.341</t>
  </si>
  <si>
    <t>581.342</t>
  </si>
  <si>
    <t>581.343</t>
  </si>
  <si>
    <t>581.344</t>
  </si>
  <si>
    <t>581.345</t>
  </si>
  <si>
    <t>581.346</t>
  </si>
  <si>
    <t>581.347</t>
  </si>
  <si>
    <t>581.348</t>
  </si>
  <si>
    <t>581.349</t>
  </si>
  <si>
    <t>581.350</t>
  </si>
  <si>
    <t>581.351</t>
  </si>
  <si>
    <t>581.352</t>
  </si>
  <si>
    <t>581.353</t>
  </si>
  <si>
    <t>581.354</t>
  </si>
  <si>
    <t>581.355</t>
  </si>
  <si>
    <t>581.360</t>
  </si>
  <si>
    <t>ЗПКО89СМ</t>
  </si>
  <si>
    <t>58.361</t>
  </si>
  <si>
    <t xml:space="preserve">ЗПКО89СВ </t>
  </si>
  <si>
    <t>58.362</t>
  </si>
  <si>
    <t>ЗПКО89СВА</t>
  </si>
  <si>
    <t>58.363</t>
  </si>
  <si>
    <t>581.364</t>
  </si>
  <si>
    <t>ЗПКО89СВ</t>
  </si>
  <si>
    <t>581.365</t>
  </si>
  <si>
    <t>581.366</t>
  </si>
  <si>
    <t>58.367</t>
  </si>
  <si>
    <t>ЗПК102СМ</t>
  </si>
  <si>
    <t>58.368</t>
  </si>
  <si>
    <t>ЗПК102СМА</t>
  </si>
  <si>
    <t>58.369</t>
  </si>
  <si>
    <t>581.370</t>
  </si>
  <si>
    <t>ЗПК102СМ+СМА</t>
  </si>
  <si>
    <t>нет в расценках</t>
  </si>
  <si>
    <t>15(1 модуль)</t>
  </si>
  <si>
    <t>15 (1 модуль)</t>
  </si>
  <si>
    <t>40 (1 модуль)</t>
  </si>
  <si>
    <t>Производитель</t>
  </si>
  <si>
    <t>Номер перфоратора</t>
  </si>
  <si>
    <t>ФКП "ЧМЗ"</t>
  </si>
  <si>
    <t>ЗАО "ВГС"</t>
  </si>
  <si>
    <t>ЗАО "НТФ ПерфоТех"</t>
  </si>
  <si>
    <t>ООО "Промперфоратор"</t>
  </si>
  <si>
    <t>DYNAWELL</t>
  </si>
  <si>
    <t>Манжеты сваба</t>
  </si>
  <si>
    <t>Regal R-25</t>
  </si>
  <si>
    <t>PW3</t>
  </si>
  <si>
    <t>1 шт.</t>
  </si>
  <si>
    <t>581.311</t>
  </si>
  <si>
    <t>581.174</t>
  </si>
  <si>
    <t>581.175</t>
  </si>
  <si>
    <t>581.176</t>
  </si>
  <si>
    <t>58.312</t>
  </si>
  <si>
    <t>581.313</t>
  </si>
  <si>
    <t>581.314</t>
  </si>
  <si>
    <t>581.39</t>
  </si>
  <si>
    <t>581.43</t>
  </si>
  <si>
    <t>581.159</t>
  </si>
  <si>
    <t>581.121</t>
  </si>
  <si>
    <t>581.122</t>
  </si>
  <si>
    <t>581.124</t>
  </si>
  <si>
    <t>581.118</t>
  </si>
  <si>
    <t>58.315</t>
  </si>
  <si>
    <t>58.316</t>
  </si>
  <si>
    <t>58.317</t>
  </si>
  <si>
    <t>58.337</t>
  </si>
  <si>
    <t>581.338</t>
  </si>
  <si>
    <t>581.339</t>
  </si>
  <si>
    <t>581.125</t>
  </si>
  <si>
    <t>581.126</t>
  </si>
  <si>
    <t>581.127</t>
  </si>
  <si>
    <t>581.128</t>
  </si>
  <si>
    <t>581.189</t>
  </si>
  <si>
    <t>581.108</t>
  </si>
  <si>
    <t>581.109</t>
  </si>
  <si>
    <t>581.147</t>
  </si>
  <si>
    <t>581.309</t>
  </si>
  <si>
    <t>58.326</t>
  </si>
  <si>
    <t>58.327</t>
  </si>
  <si>
    <t>58.328</t>
  </si>
  <si>
    <t>58.329</t>
  </si>
  <si>
    <t>58.333</t>
  </si>
  <si>
    <t>58.334</t>
  </si>
  <si>
    <t>58.335</t>
  </si>
  <si>
    <t>58.336</t>
  </si>
  <si>
    <t>581.356</t>
  </si>
  <si>
    <t>581.357</t>
  </si>
  <si>
    <t>581.358</t>
  </si>
  <si>
    <t>581.359</t>
  </si>
  <si>
    <t>58.302</t>
  </si>
  <si>
    <t>950 (&gt;50 модулей)</t>
  </si>
  <si>
    <t>580.2</t>
  </si>
  <si>
    <t>580.3</t>
  </si>
  <si>
    <t>58.290</t>
  </si>
  <si>
    <t>DW 25 DP 3 St HMX (DW 26g DP HMX)</t>
  </si>
  <si>
    <t>Cверло перфоратора</t>
  </si>
  <si>
    <t>58.10</t>
  </si>
  <si>
    <t>Сверло перфоратора ПС-12</t>
  </si>
  <si>
    <t>58.377</t>
  </si>
  <si>
    <t>58.375</t>
  </si>
  <si>
    <t>МС 63,5</t>
  </si>
  <si>
    <t>58.217</t>
  </si>
  <si>
    <t>58.388</t>
  </si>
  <si>
    <t>DW 25g BH  St RDX+DW 25g DP3  St HMX</t>
  </si>
  <si>
    <t>58.243</t>
  </si>
  <si>
    <t>Скорпион102К</t>
  </si>
  <si>
    <t>58.242</t>
  </si>
  <si>
    <t>Скорпион102Т</t>
  </si>
  <si>
    <t>Скорпион ПП-32СБО</t>
  </si>
  <si>
    <t>Скорпион ПП-32СГП+Скорпион ПП-32СБО</t>
  </si>
  <si>
    <t>58.244</t>
  </si>
  <si>
    <t>58.241</t>
  </si>
  <si>
    <t>58.240</t>
  </si>
  <si>
    <t>Скорпион ПП-32СГП</t>
  </si>
  <si>
    <t>58.239</t>
  </si>
  <si>
    <t>58.238</t>
  </si>
  <si>
    <t>58.233</t>
  </si>
  <si>
    <t>58.234</t>
  </si>
  <si>
    <t>58.235</t>
  </si>
  <si>
    <t>58.236</t>
  </si>
  <si>
    <t>58.237</t>
  </si>
  <si>
    <t>Скорпион ПП-25СБО</t>
  </si>
  <si>
    <t>58.232</t>
  </si>
  <si>
    <t>Скорпион89Т</t>
  </si>
  <si>
    <t>58.230</t>
  </si>
  <si>
    <t>58.229</t>
  </si>
  <si>
    <t>58.228</t>
  </si>
  <si>
    <t>76 / 8</t>
  </si>
  <si>
    <t xml:space="preserve"> 19 / 2</t>
  </si>
  <si>
    <t>581.25</t>
  </si>
  <si>
    <t>10 отв(1 модуль)</t>
  </si>
  <si>
    <t>2 842,03 (28 420,30)</t>
  </si>
  <si>
    <t>6 636,23 (66 362,30)</t>
  </si>
  <si>
    <t>ЗПКО89С-04+ ЗПКО89С-03 (Big hole)</t>
  </si>
  <si>
    <t>1572,98 (29 886,62)</t>
  </si>
  <si>
    <t>1847,93 (35 110,67)</t>
  </si>
  <si>
    <t>4 170,31(79 235,94)</t>
  </si>
  <si>
    <t>5 (1 модуль)</t>
  </si>
  <si>
    <t>1 525,4 (28 982,48)</t>
  </si>
  <si>
    <t>4 137,48 (78 611,97)</t>
  </si>
  <si>
    <t>100 (&gt;10 модулей)</t>
  </si>
  <si>
    <t>800 (&gt;80 модулей)</t>
  </si>
  <si>
    <t>DW 32g DP2 St RDX (2313275)</t>
  </si>
  <si>
    <t>ЗПК64С(СА)-01</t>
  </si>
  <si>
    <t>58.191</t>
  </si>
  <si>
    <t>58.213</t>
  </si>
  <si>
    <t xml:space="preserve"> -</t>
  </si>
  <si>
    <t>58.214</t>
  </si>
  <si>
    <t>Скорпион114К</t>
  </si>
  <si>
    <t>Скорпион ПП-36СГП</t>
  </si>
  <si>
    <t>58.215</t>
  </si>
  <si>
    <t>Скорпион114Т</t>
  </si>
  <si>
    <t>58.216</t>
  </si>
  <si>
    <t>ПРКУ40ВЦ</t>
  </si>
  <si>
    <t>ЗКУ40-ВЦ</t>
  </si>
  <si>
    <t>Дата расчета</t>
  </si>
  <si>
    <t>58.218</t>
  </si>
  <si>
    <t>ЗПКО89С01 (ЗПКО89С02; ЗПКО89С03)</t>
  </si>
  <si>
    <t>58.221</t>
  </si>
  <si>
    <t>Скорпион73К</t>
  </si>
  <si>
    <t>Скорпион ПП-20СГП</t>
  </si>
  <si>
    <t>581.222</t>
  </si>
  <si>
    <t>Скорпион73Т</t>
  </si>
  <si>
    <t>58.223</t>
  </si>
  <si>
    <t>Скорпион ПП-20СБО</t>
  </si>
  <si>
    <t>581.224</t>
  </si>
  <si>
    <t>Скорпион ПП-20БО</t>
  </si>
  <si>
    <t>581.226</t>
  </si>
  <si>
    <t>58.225</t>
  </si>
  <si>
    <t>Скорпион ПП-20СГП+Скорпион ПП-20СБО</t>
  </si>
  <si>
    <t>Strip System DYNAWEEL 54 mm(СМОТРИ.58.191)</t>
  </si>
  <si>
    <t>Strip System DYNAWEEL 54 mm (58.247)</t>
  </si>
  <si>
    <t>58.296</t>
  </si>
  <si>
    <t>DW 25g BH St RDX (DW 25 DP 3 St RDX)</t>
  </si>
  <si>
    <t>DW 25g BH St RDX (DW 25 DP 3 St RDX)+DW 25 DP 3 St HMX</t>
  </si>
  <si>
    <t>581.301</t>
  </si>
  <si>
    <t>581.300</t>
  </si>
  <si>
    <t>581.299</t>
  </si>
  <si>
    <t xml:space="preserve"> на ГНКТ</t>
  </si>
  <si>
    <t xml:space="preserve">  DW 15g DP St HNS </t>
  </si>
  <si>
    <t>581.372</t>
  </si>
  <si>
    <t>06.06.2018+01/01/19</t>
  </si>
  <si>
    <t>ЗПГД-42/200, ЗПГД-65/200</t>
  </si>
  <si>
    <t>ЗПК102СМ+ЗПК102СМА</t>
  </si>
  <si>
    <t>58.385</t>
  </si>
  <si>
    <t>DW 25g DP3 St RDX+DW 25g BH St RDX</t>
  </si>
  <si>
    <t>58.389</t>
  </si>
  <si>
    <t>58.379</t>
  </si>
  <si>
    <t>ТРК-90</t>
  </si>
  <si>
    <t>ТРК-146</t>
  </si>
  <si>
    <t>58.270</t>
  </si>
  <si>
    <t>ППШ114</t>
  </si>
  <si>
    <t>ЗПК 102 СМ(СМА)</t>
  </si>
  <si>
    <t>ЗПКО102С(CA)</t>
  </si>
  <si>
    <t>595</t>
  </si>
  <si>
    <t>АО "БашВзрывТех"</t>
  </si>
  <si>
    <t>ТКЛ-С36</t>
  </si>
  <si>
    <t>ЗПКС-80 150/800</t>
  </si>
  <si>
    <t>581.88</t>
  </si>
  <si>
    <t>581.95</t>
  </si>
  <si>
    <t>581.117</t>
  </si>
  <si>
    <t xml:space="preserve">DW 32g DP2 St RDX  </t>
  </si>
  <si>
    <t>581.119</t>
  </si>
  <si>
    <t xml:space="preserve">DW 32 g DP2 St RDX </t>
  </si>
  <si>
    <t>16 ,5</t>
  </si>
  <si>
    <t>581.144</t>
  </si>
  <si>
    <t>581.145</t>
  </si>
  <si>
    <t>581.146</t>
  </si>
  <si>
    <t>581.157</t>
  </si>
  <si>
    <t>581.168</t>
  </si>
  <si>
    <t>КПО73T</t>
  </si>
  <si>
    <t>581.172</t>
  </si>
  <si>
    <t>ORION63-02 (SDP)</t>
  </si>
  <si>
    <t>581.182</t>
  </si>
  <si>
    <t>581.198</t>
  </si>
  <si>
    <t>D=57mm</t>
  </si>
  <si>
    <t>58.212</t>
  </si>
  <si>
    <t>ПКЦ57</t>
  </si>
  <si>
    <t>ЗПКЦ57</t>
  </si>
  <si>
    <t>ОАО"ВНИПИ"</t>
  </si>
  <si>
    <t>581.228</t>
  </si>
  <si>
    <t>581.230</t>
  </si>
  <si>
    <t>10616.93</t>
  </si>
  <si>
    <t>581.234</t>
  </si>
  <si>
    <t>581.236</t>
  </si>
  <si>
    <t>581.238</t>
  </si>
  <si>
    <t>581.240</t>
  </si>
  <si>
    <t>581.242</t>
  </si>
  <si>
    <t>581.244</t>
  </si>
  <si>
    <t>581.337</t>
  </si>
  <si>
    <t>581.373</t>
  </si>
  <si>
    <t>на НКТ</t>
  </si>
  <si>
    <t>58.374</t>
  </si>
  <si>
    <t>58.376</t>
  </si>
  <si>
    <t>58.378</t>
  </si>
  <si>
    <t>581.380</t>
  </si>
  <si>
    <t>Скорпион ПП-32ОП</t>
  </si>
  <si>
    <t>581.381</t>
  </si>
  <si>
    <t>581.382</t>
  </si>
  <si>
    <t>581.384</t>
  </si>
  <si>
    <t>58.392</t>
  </si>
  <si>
    <t>Скорпион ПП-20ГП</t>
  </si>
  <si>
    <t>58.394</t>
  </si>
  <si>
    <t>Скорпион ПП-20ГП+ Скорпион ПП-20БО</t>
  </si>
  <si>
    <t>2819,12(28191,20)</t>
  </si>
  <si>
    <t>6636,23(66362,30)</t>
  </si>
  <si>
    <t>58.390</t>
  </si>
  <si>
    <t>КПО36к</t>
  </si>
  <si>
    <t>ЗКПО-ПП-ЗГП-00</t>
  </si>
  <si>
    <t>58.391</t>
  </si>
  <si>
    <t>56.10</t>
  </si>
  <si>
    <t>ПШ 82</t>
  </si>
  <si>
    <t>ПШ 92</t>
  </si>
  <si>
    <t>ПШ 118</t>
  </si>
  <si>
    <t>ПШ 136</t>
  </si>
  <si>
    <t>ПШ 145</t>
  </si>
  <si>
    <t>581.232</t>
  </si>
  <si>
    <t>609</t>
  </si>
  <si>
    <t>600</t>
  </si>
  <si>
    <t>RW2-1/2R (PETRO RUBBER)</t>
  </si>
  <si>
    <t>209 (11 модулей)</t>
  </si>
  <si>
    <t>1710,2(32493,8)</t>
  </si>
  <si>
    <t>15000 отв(1500модулей)</t>
  </si>
  <si>
    <t>604</t>
  </si>
  <si>
    <t>606</t>
  </si>
  <si>
    <t>4170,31 (79235,94)</t>
  </si>
  <si>
    <t>58.383</t>
  </si>
  <si>
    <t>581.393</t>
  </si>
  <si>
    <t>584</t>
  </si>
  <si>
    <t>58.297</t>
  </si>
  <si>
    <t>DW 25 BNSt RDX (DW 25g DP3St RDX)</t>
  </si>
  <si>
    <t>323 (17 модулей)</t>
  </si>
  <si>
    <t>1641,44(31187,45)</t>
  </si>
  <si>
    <t>40 (4модуля)</t>
  </si>
  <si>
    <t>ТК-С108</t>
  </si>
  <si>
    <t>56.9</t>
  </si>
  <si>
    <t>ГПШ082</t>
  </si>
  <si>
    <t>ГПШ092</t>
  </si>
  <si>
    <t>ГПШ118</t>
  </si>
  <si>
    <t>74469.50</t>
  </si>
  <si>
    <t>74992.71</t>
  </si>
  <si>
    <t>132308.77</t>
  </si>
  <si>
    <t>устаревшая стоимость</t>
  </si>
  <si>
    <t>ORION89-02 (SDP)</t>
  </si>
  <si>
    <t xml:space="preserve"> </t>
  </si>
  <si>
    <t>ППШ90</t>
  </si>
  <si>
    <t>ORION73-02 (SPD)</t>
  </si>
  <si>
    <t>ORION63-01 Big Hole</t>
  </si>
  <si>
    <t>581.257</t>
  </si>
  <si>
    <t>ORION63-01 (Big Hole)</t>
  </si>
  <si>
    <t>247 (13 модулей)</t>
  </si>
  <si>
    <t>581.395</t>
  </si>
  <si>
    <t>581.397</t>
  </si>
  <si>
    <t>ЗПКО89СВ + ЗПКО89СВА</t>
  </si>
  <si>
    <t>ПМ73СТ-19</t>
  </si>
  <si>
    <t>380 (20 модулей)</t>
  </si>
  <si>
    <t>76 (4 модуля)</t>
  </si>
  <si>
    <t>114 (6 модулей)</t>
  </si>
  <si>
    <t>ВПШ 138</t>
  </si>
  <si>
    <t>D=52mm</t>
  </si>
  <si>
    <t>58.400</t>
  </si>
  <si>
    <t>ПСК52</t>
  </si>
  <si>
    <t>ЗПСКА-52</t>
  </si>
  <si>
    <t>58.398</t>
  </si>
  <si>
    <t>ORION102-01 (Big Hole)</t>
  </si>
  <si>
    <t>ЦСК-01М (с взрывпатроном)</t>
  </si>
  <si>
    <t>МЖТ-00-000</t>
  </si>
  <si>
    <t>ВГС73-ЖВЦ-000</t>
  </si>
  <si>
    <t>ВГС89-ЖВЦ-000</t>
  </si>
  <si>
    <t>ВГС102-ЖВЦ-000</t>
  </si>
  <si>
    <t>ЖЦ-110</t>
  </si>
  <si>
    <t>МСА</t>
  </si>
  <si>
    <t>манжета</t>
  </si>
  <si>
    <t>ПК102КЛ ORION (Т)</t>
  </si>
  <si>
    <t>581.143</t>
  </si>
  <si>
    <t>ORION102-01 (Big Hole) + ORION102-02 (SDP)</t>
  </si>
  <si>
    <t>58.399</t>
  </si>
  <si>
    <t>ЗПК50-АТ-М-03</t>
  </si>
  <si>
    <t>ВГС73-ЖВЦ-100</t>
  </si>
  <si>
    <t>ВГС89-ЖВЦ-100</t>
  </si>
  <si>
    <t>ВГС102-ЖВЦ-100</t>
  </si>
  <si>
    <t>58.419</t>
  </si>
  <si>
    <t>ПКТ102СТА</t>
  </si>
  <si>
    <t>56.12</t>
  </si>
  <si>
    <t>ПВШ-82ПП.400</t>
  </si>
  <si>
    <t>ПВШ-92ПП.400</t>
  </si>
  <si>
    <t>ПВШ-118ПП.400</t>
  </si>
  <si>
    <t>ПВШ-1135ПП.400</t>
  </si>
  <si>
    <t>ПВШ-146ПП.400</t>
  </si>
  <si>
    <t>ЗКПО-ПП-ЗГП-01</t>
  </si>
  <si>
    <t>58.381</t>
  </si>
  <si>
    <t>ORION102-02 (SDP)</t>
  </si>
  <si>
    <t>ORION89-01 (Big Hole) + ORION89-02 (SDP)</t>
  </si>
  <si>
    <t>ORION89-04</t>
  </si>
  <si>
    <t>ORION89-01 (Big Hole)</t>
  </si>
  <si>
    <t>ORION73-01 (Big Hole) +ORION73-03 (SDP)</t>
  </si>
  <si>
    <t xml:space="preserve">ORION73-01 (Big Hole) </t>
  </si>
  <si>
    <t>ПК89КЛ ORION (Т)</t>
  </si>
  <si>
    <t>58.404</t>
  </si>
  <si>
    <t>ЗПК102АТ-М-04</t>
  </si>
  <si>
    <t>58.406</t>
  </si>
  <si>
    <t>ЗПК102АТ-М-04 + ЗПК102-АТ-М-10</t>
  </si>
  <si>
    <t>58.408</t>
  </si>
  <si>
    <t>ПКО114-АТ</t>
  </si>
  <si>
    <t>ЗПК114-АТ-М-04 + ЗПК114-АТ-М-10</t>
  </si>
  <si>
    <t>581.411</t>
  </si>
  <si>
    <t>ПКО73-АТ</t>
  </si>
  <si>
    <t>ЗПК73-АТ-М-02</t>
  </si>
  <si>
    <t>58.407</t>
  </si>
  <si>
    <t>ЗПК114-АТ-М-04</t>
  </si>
  <si>
    <t>20</t>
  </si>
  <si>
    <t>581.412</t>
  </si>
  <si>
    <t>ЗПК73-АТ-М-04</t>
  </si>
  <si>
    <t>581.418</t>
  </si>
  <si>
    <t>581.417</t>
  </si>
  <si>
    <t>581.416</t>
  </si>
  <si>
    <t>581.415</t>
  </si>
  <si>
    <t>ЗПК102-АТ-М-10</t>
  </si>
  <si>
    <t>ПКО89-АТ</t>
  </si>
  <si>
    <t>ЗПК89-АТ-М-04 + ЗПК89-АТ-М-10</t>
  </si>
  <si>
    <t>58.403</t>
  </si>
  <si>
    <t>581.413</t>
  </si>
  <si>
    <t>ЗПК73-АТ-М-02 + ЗПК73-АТ-М-04</t>
  </si>
  <si>
    <t>581.414</t>
  </si>
  <si>
    <t>59.8</t>
  </si>
  <si>
    <t>ТрайпанФ-42</t>
  </si>
  <si>
    <t>ТрайпанФ-52</t>
  </si>
  <si>
    <t>ТрайпанФ-62</t>
  </si>
  <si>
    <t>ТрайпанФ-70</t>
  </si>
  <si>
    <t>ТрайпанФ-90</t>
  </si>
  <si>
    <t>ЗКПО-ПП-ЗДК</t>
  </si>
  <si>
    <t>ЗПКТ89Н-СП+ ЗПКТ89Н-БО2</t>
  </si>
  <si>
    <t>ЗПК63-АТ-М-04 + ЗПК63-АТ-М-10</t>
  </si>
  <si>
    <t>ЗПМ73СА</t>
  </si>
  <si>
    <t>581.220.1</t>
  </si>
  <si>
    <t>1 модуль</t>
  </si>
  <si>
    <t>комплектующий набор</t>
  </si>
  <si>
    <t>ПКО-73АТ</t>
  </si>
  <si>
    <t>581.373.1</t>
  </si>
  <si>
    <t>58.405</t>
  </si>
  <si>
    <t>ЗПК102АТ-М-10</t>
  </si>
  <si>
    <t>581.420</t>
  </si>
  <si>
    <t>ЗПК73-АТ-М-01 + ЗПК73-АТ-М-02</t>
  </si>
  <si>
    <t>581.421</t>
  </si>
  <si>
    <t>ЗПК102АТ-М-03</t>
  </si>
  <si>
    <t>581.422</t>
  </si>
  <si>
    <t>ЗПК102АТ-М-03 + ЗПК102-АТ-М-10</t>
  </si>
  <si>
    <t>56.11</t>
  </si>
  <si>
    <t>ПСШ82</t>
  </si>
  <si>
    <t>ПСШ92</t>
  </si>
  <si>
    <t>ПСШ97</t>
  </si>
  <si>
    <t>ПСШ102</t>
  </si>
  <si>
    <t>ПСШ110</t>
  </si>
  <si>
    <t>ПСШ118</t>
  </si>
  <si>
    <t>ПСШ135</t>
  </si>
  <si>
    <t>ПСШ138</t>
  </si>
  <si>
    <t>ПСШ146</t>
  </si>
  <si>
    <t>581.360.1</t>
  </si>
  <si>
    <t>ЗПКО89СВ+ЗПКО89СВА</t>
  </si>
  <si>
    <t>количество отверстий в 16 модулях равно 640</t>
  </si>
  <si>
    <t>МПМ73С</t>
  </si>
  <si>
    <t>581.39.1</t>
  </si>
  <si>
    <t>1 модуль (переменная часть)</t>
  </si>
  <si>
    <t>581.40.1</t>
  </si>
  <si>
    <t>581.43.1</t>
  </si>
  <si>
    <t>581.69</t>
  </si>
  <si>
    <t>581.69.1</t>
  </si>
  <si>
    <t>581.157.1</t>
  </si>
  <si>
    <t>581.159.1</t>
  </si>
  <si>
    <t>581.364.1</t>
  </si>
  <si>
    <t>581.365.1</t>
  </si>
  <si>
    <t>581.366.1</t>
  </si>
  <si>
    <t>581.370.1</t>
  </si>
  <si>
    <t>581.372.1</t>
  </si>
  <si>
    <t>581.119.1</t>
  </si>
  <si>
    <t>581.198.1</t>
  </si>
  <si>
    <t>581.311.1</t>
  </si>
  <si>
    <t>581.313.1</t>
  </si>
  <si>
    <t>581.410</t>
  </si>
  <si>
    <t>581.410.1</t>
  </si>
  <si>
    <t>581.409</t>
  </si>
  <si>
    <t>581.409.1</t>
  </si>
  <si>
    <t>581.378</t>
  </si>
  <si>
    <t>581.378.1</t>
  </si>
  <si>
    <t>581.232.1</t>
  </si>
  <si>
    <t>581.230.1</t>
  </si>
  <si>
    <t>*комплектующий набор на 1 СПО</t>
  </si>
  <si>
    <t>верно</t>
  </si>
  <si>
    <t>581.228.1</t>
  </si>
  <si>
    <t>581.226.1</t>
  </si>
  <si>
    <t>581.224.1</t>
  </si>
  <si>
    <t>581.395.1</t>
  </si>
  <si>
    <t>581.393.1</t>
  </si>
  <si>
    <t>581.222.1</t>
  </si>
  <si>
    <t>58.215.1</t>
  </si>
  <si>
    <t>581.242.1</t>
  </si>
  <si>
    <t>581.382.1</t>
  </si>
  <si>
    <t>58.240.1</t>
  </si>
  <si>
    <t>581.244.1</t>
  </si>
  <si>
    <t>581.25.1</t>
  </si>
  <si>
    <t>ГПШ097</t>
  </si>
  <si>
    <t>ГПШ102</t>
  </si>
  <si>
    <t>ГПШ110</t>
  </si>
  <si>
    <t>ГПШ146</t>
  </si>
  <si>
    <t>581.124.1</t>
  </si>
  <si>
    <t>581.125.1</t>
  </si>
  <si>
    <t>581.126.1</t>
  </si>
  <si>
    <t>581.128.1</t>
  </si>
  <si>
    <t>581.143.1</t>
  </si>
  <si>
    <t>581.144.1</t>
  </si>
  <si>
    <t>581.145.1</t>
  </si>
  <si>
    <t>581.146.1</t>
  </si>
  <si>
    <t>581.147.1</t>
  </si>
  <si>
    <t>581.174.1</t>
  </si>
  <si>
    <t xml:space="preserve">ORION63-01 </t>
  </si>
  <si>
    <t>581.175.1</t>
  </si>
  <si>
    <t xml:space="preserve">ORION63-02 </t>
  </si>
  <si>
    <t>581.176.1</t>
  </si>
  <si>
    <t>581.306.1</t>
  </si>
  <si>
    <t>581.314.1</t>
  </si>
  <si>
    <t>581.384.1</t>
  </si>
  <si>
    <t>581.411.1</t>
  </si>
  <si>
    <t>581.412.1</t>
  </si>
  <si>
    <t>581.414.1</t>
  </si>
  <si>
    <t>581.415.1</t>
  </si>
  <si>
    <t>581.416.1</t>
  </si>
  <si>
    <t>581.417.1</t>
  </si>
  <si>
    <t>581.418.1</t>
  </si>
  <si>
    <t>58.123.1</t>
  </si>
  <si>
    <t>581.187</t>
  </si>
  <si>
    <t>была 58.187 исправили на 581.187</t>
  </si>
  <si>
    <t>898.55-765.22</t>
  </si>
  <si>
    <t>58.424</t>
  </si>
  <si>
    <t>COFRAC</t>
  </si>
  <si>
    <t>CFS-ZX8</t>
  </si>
  <si>
    <t>КНР, Сиань Жуйтон Энерджи Технолоджи КО</t>
  </si>
  <si>
    <t>581.427</t>
  </si>
  <si>
    <t>Скорпион-73 (Т)</t>
  </si>
  <si>
    <t>581.427.1</t>
  </si>
  <si>
    <t>1 отв.-3548,2руб</t>
  </si>
  <si>
    <t>581.121.1</t>
  </si>
  <si>
    <t>ПВШ-97ПП.400</t>
  </si>
  <si>
    <t>ПВШ-135ПП.400</t>
  </si>
  <si>
    <t>16,5</t>
  </si>
  <si>
    <t>581.240.1</t>
  </si>
  <si>
    <t>581.426</t>
  </si>
  <si>
    <t>581.426.1</t>
  </si>
  <si>
    <t>Скорпион102</t>
  </si>
  <si>
    <t>Скорпион ПП-32ГП</t>
  </si>
  <si>
    <t>58.402</t>
  </si>
  <si>
    <t>3ПК73-АТ-М-02</t>
  </si>
  <si>
    <t>58.420</t>
  </si>
  <si>
    <t>58.421</t>
  </si>
  <si>
    <t>58.422</t>
  </si>
  <si>
    <t>58.423</t>
  </si>
  <si>
    <t>ПКО-50-АТ</t>
  </si>
  <si>
    <t xml:space="preserve">ЗПК50АТ-М-10 </t>
  </si>
  <si>
    <t>58.425</t>
  </si>
  <si>
    <t>Скорпион-102К</t>
  </si>
  <si>
    <t>58.428</t>
  </si>
  <si>
    <t>Скорпион-73К</t>
  </si>
  <si>
    <t xml:space="preserve">Скорпион ПП-20СГП+ Скорпион ПП-20БО </t>
  </si>
  <si>
    <t>581.187.1</t>
  </si>
  <si>
    <t>ПКТ 102</t>
  </si>
  <si>
    <t>581.189.1</t>
  </si>
  <si>
    <t>581.215</t>
  </si>
  <si>
    <t>581.215.1</t>
  </si>
  <si>
    <t>581.413.1</t>
  </si>
  <si>
    <t>МТЖ-00-000</t>
  </si>
  <si>
    <t>ПШ/82</t>
  </si>
  <si>
    <t>ПШ92</t>
  </si>
  <si>
    <t>ПШ118</t>
  </si>
  <si>
    <t>ПШ136</t>
  </si>
  <si>
    <t>ПШ145</t>
  </si>
  <si>
    <t>581.122.1</t>
  </si>
  <si>
    <t>581.123</t>
  </si>
  <si>
    <t>581.123.1</t>
  </si>
  <si>
    <t>581.127.1</t>
  </si>
  <si>
    <t>581.202</t>
  </si>
  <si>
    <t>581.202.1</t>
  </si>
  <si>
    <t>581.203</t>
  </si>
  <si>
    <t>581.203.1</t>
  </si>
  <si>
    <t>56.13</t>
  </si>
  <si>
    <t>ГПШ 82</t>
  </si>
  <si>
    <t>ГПШ 92</t>
  </si>
  <si>
    <t>ГПШ 97</t>
  </si>
  <si>
    <t>ГПШ 102</t>
  </si>
  <si>
    <t>ГПШ 110</t>
  </si>
  <si>
    <t>ГПШ 118</t>
  </si>
  <si>
    <t>ГПШ 135</t>
  </si>
  <si>
    <t>ГПШ 138</t>
  </si>
  <si>
    <t>ГПШ 146</t>
  </si>
  <si>
    <t>58.429</t>
  </si>
  <si>
    <t>ЗКТ-01-01</t>
  </si>
  <si>
    <t>ЗКТ-01-02</t>
  </si>
  <si>
    <t>АО "Взрывгеосервис"</t>
  </si>
  <si>
    <t>59.7</t>
  </si>
  <si>
    <t>ЗТК 45 ORION</t>
  </si>
  <si>
    <t>ЗТК 55 ORION</t>
  </si>
  <si>
    <t>59.9</t>
  </si>
  <si>
    <t>ТК-45ПП</t>
  </si>
  <si>
    <t>ТК-55ПП</t>
  </si>
  <si>
    <t>ТК-68ПП</t>
  </si>
  <si>
    <t>1443.54</t>
  </si>
  <si>
    <t>18 601.21</t>
  </si>
  <si>
    <t>17 644.10</t>
  </si>
  <si>
    <t>1 755.16</t>
  </si>
  <si>
    <t>2 802.95</t>
  </si>
  <si>
    <t>24 354.60</t>
  </si>
  <si>
    <t>1 343 54</t>
  </si>
  <si>
    <t>1 886 26</t>
  </si>
  <si>
    <t>12 655.06</t>
  </si>
  <si>
    <t>22 802.02</t>
  </si>
  <si>
    <t>35 952.61</t>
  </si>
  <si>
    <t>581.371</t>
  </si>
  <si>
    <t>581.371.1</t>
  </si>
  <si>
    <t>Обновлено по последним данным!</t>
  </si>
  <si>
    <t>31 902.26</t>
  </si>
  <si>
    <t>ГПШ135</t>
  </si>
  <si>
    <t>ГПШ138</t>
  </si>
  <si>
    <t>ПШ82</t>
  </si>
  <si>
    <t>АО "ВГС"</t>
  </si>
  <si>
    <t>АО "НТФ ПерфоТех"</t>
  </si>
  <si>
    <t>16</t>
  </si>
  <si>
    <t>2 ряд</t>
  </si>
  <si>
    <t>3 ряд</t>
  </si>
  <si>
    <t>4 ряд</t>
  </si>
  <si>
    <t>АО "НТФ Перфотех"</t>
  </si>
  <si>
    <t>19</t>
  </si>
  <si>
    <t>18</t>
  </si>
  <si>
    <t>17</t>
  </si>
  <si>
    <t>15</t>
  </si>
  <si>
    <t>58.430</t>
  </si>
  <si>
    <t>Скорпион ПП-36ОП</t>
  </si>
  <si>
    <t>581.432</t>
  </si>
  <si>
    <t>581.432.1</t>
  </si>
  <si>
    <t>Скорпион-102 (Т)</t>
  </si>
  <si>
    <t>581.433</t>
  </si>
  <si>
    <t>Скорпион ПП36СГП+Скорпион ПП-36ОП</t>
  </si>
  <si>
    <t xml:space="preserve">АО "Взрывгеосервис" </t>
  </si>
  <si>
    <t xml:space="preserve">АО "Взрывгеосервнс" </t>
  </si>
  <si>
    <t>58.431</t>
  </si>
  <si>
    <t>38 mm</t>
  </si>
  <si>
    <t>58.434</t>
  </si>
  <si>
    <t>ПКО 38-АТ</t>
  </si>
  <si>
    <t>ЗПК-38-АТ-03</t>
  </si>
  <si>
    <t>ЗТК 90 ORION</t>
  </si>
  <si>
    <t>Скат 80</t>
  </si>
  <si>
    <t>Скат 90</t>
  </si>
  <si>
    <t>Скат 100</t>
  </si>
  <si>
    <t>Скат 110</t>
  </si>
  <si>
    <t>Скат 120</t>
  </si>
  <si>
    <t>Скат 136</t>
  </si>
  <si>
    <t>Скат 144</t>
  </si>
  <si>
    <t>ФПК "ЧапаевскийМехЗав"</t>
  </si>
  <si>
    <t xml:space="preserve"> ПКС-80</t>
  </si>
  <si>
    <t xml:space="preserve"> ПРК42С </t>
  </si>
  <si>
    <t>ЭПМ73С</t>
  </si>
  <si>
    <t>ПМ73С</t>
  </si>
  <si>
    <t>581.433.1</t>
  </si>
  <si>
    <t>ГПШ82</t>
  </si>
  <si>
    <t>ГПШ92</t>
  </si>
  <si>
    <t>ГПШ97</t>
  </si>
  <si>
    <t>Скорпион ПП-36СГП+Скорпион ПП-36ОП</t>
  </si>
  <si>
    <t>58.435</t>
  </si>
  <si>
    <t>58.437</t>
  </si>
  <si>
    <t>ЗКТ-03</t>
  </si>
  <si>
    <t>58.119.1</t>
  </si>
  <si>
    <t>ЗПК 114-АТ-М-03 (ЗПК 114-АТ-М-10)</t>
  </si>
  <si>
    <t>ORION 102-01</t>
  </si>
  <si>
    <t>ORION 102-02</t>
  </si>
  <si>
    <t>581.436</t>
  </si>
  <si>
    <t>581.436.1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</si>
</sst>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3">
    <numFmt numFmtId="41" formatCode="_-* #,##0_-;\-* #,##0_-;_-* &quot;-&quot;_-;_-@_-"/>
    <numFmt numFmtId="43" formatCode="_-* #,##0.00_-;\-* #,##0.00_-;_-* &quot;-&quot;??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0.0%"/>
    <numFmt numFmtId="168" formatCode="d\.mmm"/>
    <numFmt numFmtId="169" formatCode="d\.m\.yy"/>
    <numFmt numFmtId="170" formatCode="d\.mmm\.yy"/>
    <numFmt numFmtId="171" formatCode="_-&quot;$&quot;\ * #,##0.00_-;_-&quot;$&quot;\ * #,##0.00\-;_-&quot;$&quot;\ * &quot;-&quot;??_-;_-@_-"/>
    <numFmt numFmtId="172" formatCode="_-&quot;$&quot;\ * #,##0_-;_-&quot;$&quot;\ * #,##0\-;_-&quot;$&quot;\ * &quot;-&quot;_-;_-@_-"/>
    <numFmt numFmtId="173" formatCode="0_)"/>
    <numFmt numFmtId="174" formatCode="@\ *."/>
    <numFmt numFmtId="175" formatCode="0.0"/>
    <numFmt numFmtId="176" formatCode="0\ &quot;cu.m&quot;"/>
    <numFmt numFmtId="177" formatCode="_(* #,##0.0_);_(* \(#,##0.0\);_(* &quot;-&quot;??_);_(@_)"/>
    <numFmt numFmtId="178" formatCode="000000"/>
    <numFmt numFmtId="179" formatCode="0000"/>
    <numFmt numFmtId="180" formatCode="0.0E+00"/>
    <numFmt numFmtId="181" formatCode="#,##0.0_);[Red]\(#,##0.0\)"/>
    <numFmt numFmtId="182" formatCode="_ * #,##0_)&quot;£&quot;_ ;_ * \(#,##0\)&quot;£&quot;_ ;_ * &quot;-&quot;_)&quot;£&quot;_ ;_ @_ "/>
    <numFmt numFmtId="183" formatCode="#,##0.00&quot;£&quot;_);[Red]\(#,##0.00&quot;£&quot;\)"/>
    <numFmt numFmtId="184" formatCode="&quot;RM&quot;#,##0.00_);\(&quot;RM&quot;#,##0.00\)"/>
    <numFmt numFmtId="185" formatCode="&quot;$&quot;#,##0.0_);[Red]\(&quot;$&quot;#,##0.0\)"/>
    <numFmt numFmtId="186" formatCode="&quot;RM&quot;#,##0.00_);[Red]\(&quot;RM&quot;#,##0.00\)"/>
    <numFmt numFmtId="187" formatCode="_ * #,##0.00_)&quot;£&quot;_ ;_ * \(#,##0.00\)&quot;£&quot;_ ;_ * &quot;-&quot;??_)&quot;£&quot;_ ;_ @_ "/>
    <numFmt numFmtId="188" formatCode="_ * #,##0_)_£_ ;_ * \(#,##0\)_£_ ;_ * &quot;-&quot;_)_£_ ;_ @_ "/>
    <numFmt numFmtId="189" formatCode="&quot;RM&quot;#,##0_);[Red]\(&quot;RM&quot;#,##0\)"/>
    <numFmt numFmtId="190" formatCode="0.0&quot;  &quot;"/>
    <numFmt numFmtId="191" formatCode="&quot;$&quot;#,##0.00_);[Red]\(&quot;$&quot;#,##0.00\)"/>
    <numFmt numFmtId="192" formatCode="d\-mmm\-yy\ h:mm"/>
    <numFmt numFmtId="193" formatCode="#,##0.00&quot; $&quot;;[Red]\-#,##0.00&quot; $&quot;"/>
    <numFmt numFmtId="194" formatCode="dd\.mm\.yyyy&quot;г.&quot;"/>
    <numFmt numFmtId="195" formatCode="mmm\ d\,\ yyyy\ "/>
    <numFmt numFmtId="196" formatCode="&quot;$&quot;#,##0_);\(&quot;$&quot;#,##0\)"/>
    <numFmt numFmtId="197" formatCode="_(* #,##0_);_(* \(#,##0\);_(* &quot;-&quot;_);_(@_)"/>
    <numFmt numFmtId="198" formatCode="_(* #,##0.00_);_(* \(#,##0.00\);_(* &quot;-&quot;??_);_(@_)"/>
    <numFmt numFmtId="199" formatCode="#,##0.00&quot; F&quot;_);\(#,##0.00&quot; F&quot;\)"/>
    <numFmt numFmtId="200" formatCode="#,##0&quot; F&quot;_);[Red]\(#,##0&quot; F&quot;\)"/>
    <numFmt numFmtId="201" formatCode="#,##0.00&quot; F&quot;_);[Red]\(#,##0.00&quot; F&quot;\)"/>
    <numFmt numFmtId="202" formatCode="#,##0&quot; $&quot;;[Red]\-#,##0&quot; $&quot;"/>
    <numFmt numFmtId="203" formatCode="#,##0.00&quot; $&quot;;\-#,##0.00&quot; $&quot;"/>
    <numFmt numFmtId="204" formatCode="#,##0&quot; $&quot;;\-#,##0&quot; $&quot;"/>
    <numFmt numFmtId="205" formatCode="_(&quot;$&quot;* #,##0_);_(&quot;$&quot;* \(#,##0\);_(&quot;$&quot;* &quot;-&quot;_);_(@_)"/>
    <numFmt numFmtId="206" formatCode="_(&quot;$&quot;* #,##0.00_);_(&quot;$&quot;* \(#,##0.00\);_(&quot;$&quot;* &quot;-&quot;??_);_(@_)"/>
    <numFmt numFmtId="207" formatCode="0.0&quot; N&quot;"/>
    <numFmt numFmtId="208" formatCode="0.000000000"/>
    <numFmt numFmtId="209" formatCode="#,##0\ &quot;F&quot;;[Red]\-#,##0\ &quot;F&quot;"/>
    <numFmt numFmtId="210" formatCode="_(&quot;$&quot;* #,##0.0_);_(&quot;$&quot;* \(#,##0.0\);_(&quot;$&quot;* &quot;-&quot;??_);_(@_)"/>
    <numFmt numFmtId="211" formatCode="#,##0.00\ &quot;F&quot;;[Red]\-#,##0.00\ &quot;F&quot;"/>
    <numFmt numFmtId="212" formatCode="_-* #,##0\ &quot;F&quot;_-;\-* #,##0\ &quot;F&quot;_-;_-* &quot;-&quot;\ &quot;F&quot;_-;_-@_-"/>
    <numFmt numFmtId="213" formatCode="#,##0&quot;£&quot;_);\(#,##0&quot;£&quot;\)"/>
    <numFmt numFmtId="214" formatCode="_-* #,##0.00\ _F_-;\-* #,##0.00\ _F_-;_-* &quot;-&quot;??\ _F_-;_-@_-"/>
    <numFmt numFmtId="215" formatCode="_-* #,##0.00\ &quot;F&quot;_-;\-* #,##0.00\ &quot;F&quot;_-;_-* &quot;-&quot;??\ &quot;F&quot;_-;_-@_-"/>
    <numFmt numFmtId="216" formatCode="#,##0&quot; F&quot;_);\(#,##0&quot; F&quot;\)"/>
    <numFmt numFmtId="217" formatCode="#,##0.0\ ;\(#,##0.0\)"/>
    <numFmt numFmtId="218" formatCode="_-* #,##0\ &quot;DM&quot;_-;\-* #,##0\ &quot;DM&quot;_-;_-* &quot;-&quot;\ &quot;DM&quot;_-;_-@_-"/>
    <numFmt numFmtId="219" formatCode="#,##0.00&quot; DM&quot;;[Red]\-#,##0.00&quot; DM&quot;"/>
    <numFmt numFmtId="220" formatCode="yyyy"/>
    <numFmt numFmtId="221" formatCode="yyyy\ &quot;год&quot;"/>
    <numFmt numFmtId="222" formatCode="&quot;$&quot;#,##0;[Red]\-&quot;$&quot;#,##0"/>
    <numFmt numFmtId="223" formatCode="_ * #,##0.00_)\ _$_ ;_ * \(#,##0.00\)\ _$_ ;_ * &quot;-&quot;??_)\ _$_ ;_ @_ "/>
    <numFmt numFmtId="224" formatCode="0.000"/>
    <numFmt numFmtId="225" formatCode="_ * #,##0.00_)\ &quot;$&quot;_ ;_ * \(#,##0.00\)\ &quot;$&quot;_ ;_ * &quot;-&quot;??_)\ &quot;$&quot;_ ;_ @_ "/>
    <numFmt numFmtId="226" formatCode="#,##0_ ;[Red]\-#,##0\ "/>
    <numFmt numFmtId="227" formatCode="#,##0_р_.;[Red]\(#,##0\)_р_."/>
    <numFmt numFmtId="228" formatCode="#,##0.0000_ ;[Red]\-#,##0.0000\ "/>
    <numFmt numFmtId="229" formatCode="#,###,;[Red]\-#,##0,"/>
    <numFmt numFmtId="230" formatCode="#\ ##0.0_ ;[Red]\-#\ ##0.0\ "/>
    <numFmt numFmtId="231" formatCode="#,##0.000_ ;[Red]\-#,##0.000\ "/>
    <numFmt numFmtId="232" formatCode="#,##0.0;[Red]\-#,##0.0"/>
    <numFmt numFmtId="233" formatCode="#,##0.0"/>
    <numFmt numFmtId="234" formatCode="#,##0.00\ _₽;\-#,##0.00\ _₽"/>
  </numFmts>
  <fonts count="111">
    <font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theme="1"/>
      <name val="Times New Roman"/>
      <family val="2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u/>
      <sz val="10"/>
      <color theme="10"/>
      <name val="Times New Roman"/>
      <family val="1"/>
      <charset val="204"/>
    </font>
    <font>
      <sz val="10"/>
      <name val="Arial"/>
      <family val="2"/>
      <charset val="204"/>
    </font>
    <font>
      <sz val="10"/>
      <name val="Helv"/>
    </font>
    <font>
      <sz val="10"/>
      <name val="Helv"/>
      <charset val="204"/>
    </font>
    <font>
      <sz val="8"/>
      <name val="Times New Roman"/>
      <family val="1"/>
    </font>
    <font>
      <sz val="14"/>
      <name val="Futuris"/>
      <charset val="204"/>
    </font>
    <font>
      <sz val="10"/>
      <name val="Arial Cyr"/>
      <charset val="204"/>
    </font>
    <font>
      <sz val="10"/>
      <name val="Courier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0"/>
      <name val="MS Sans Serif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  <charset val="204"/>
    </font>
    <font>
      <sz val="8"/>
      <name val="Helv"/>
      <charset val="204"/>
    </font>
    <font>
      <sz val="9"/>
      <name val="Times New Roman"/>
      <family val="1"/>
    </font>
    <font>
      <sz val="11"/>
      <color indexed="10"/>
      <name val="Calibri"/>
      <family val="2"/>
      <charset val="204"/>
    </font>
    <font>
      <sz val="8"/>
      <color indexed="12"/>
      <name val="Tms Rmn"/>
      <family val="1"/>
      <charset val="204"/>
    </font>
    <font>
      <b/>
      <sz val="8"/>
      <name val="MS Sans Serif"/>
      <family val="2"/>
      <charset val="204"/>
    </font>
    <font>
      <sz val="11"/>
      <color indexed="9"/>
      <name val="Calibri"/>
      <family val="2"/>
      <charset val="204"/>
    </font>
    <font>
      <sz val="10"/>
      <color indexed="18"/>
      <name val="Times New Roman"/>
      <family val="1"/>
      <charset val="204"/>
    </font>
    <font>
      <b/>
      <sz val="11"/>
      <color indexed="10"/>
      <name val="Calibri"/>
      <family val="2"/>
      <charset val="204"/>
    </font>
    <font>
      <sz val="10"/>
      <name val="Helv"/>
      <charset val="178"/>
    </font>
    <font>
      <sz val="12"/>
      <name val="Geneva"/>
      <charset val="178"/>
    </font>
    <font>
      <sz val="10"/>
      <color indexed="22"/>
      <name val="Arial"/>
      <family val="2"/>
      <charset val="204"/>
    </font>
    <font>
      <b/>
      <sz val="10"/>
      <name val="Times New Roman"/>
      <family val="1"/>
      <charset val="178"/>
    </font>
    <font>
      <sz val="10"/>
      <color indexed="8"/>
      <name val="Arial"/>
      <family val="2"/>
      <charset val="204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b/>
      <sz val="10"/>
      <name val="Arial"/>
      <family val="2"/>
      <charset val="204"/>
    </font>
    <font>
      <sz val="12"/>
      <name val="Tms Rmn"/>
      <charset val="178"/>
    </font>
    <font>
      <b/>
      <sz val="10"/>
      <name val="Arial Cyr"/>
      <family val="2"/>
      <charset val="204"/>
    </font>
    <font>
      <b/>
      <sz val="12"/>
      <color indexed="22"/>
      <name val="Arial"/>
      <family val="2"/>
      <charset val="204"/>
    </font>
    <font>
      <b/>
      <sz val="11"/>
      <color indexed="8"/>
      <name val="Calibri"/>
      <family val="2"/>
      <charset val="204"/>
    </font>
    <font>
      <i/>
      <sz val="1"/>
      <color indexed="8"/>
      <name val="Courier"/>
      <family val="1"/>
      <charset val="204"/>
    </font>
    <font>
      <u/>
      <sz val="10"/>
      <color indexed="36"/>
      <name val="Arial Cyr"/>
      <charset val="204"/>
    </font>
    <font>
      <sz val="11"/>
      <color indexed="17"/>
      <name val="Calibri"/>
      <family val="2"/>
      <charset val="204"/>
    </font>
    <font>
      <b/>
      <sz val="12"/>
      <name val="Arial"/>
      <family val="2"/>
      <charset val="204"/>
    </font>
    <font>
      <u/>
      <sz val="10"/>
      <color indexed="12"/>
      <name val="Arial Cyr"/>
      <charset val="204"/>
    </font>
    <font>
      <sz val="11"/>
      <color indexed="18"/>
      <name val="Calibri"/>
      <family val="2"/>
      <charset val="204"/>
    </font>
    <font>
      <b/>
      <sz val="12"/>
      <name val="Geneva"/>
      <charset val="204"/>
    </font>
    <font>
      <sz val="11"/>
      <color indexed="8"/>
      <name val="Calibri"/>
      <family val="2"/>
      <charset val="204"/>
    </font>
    <font>
      <b/>
      <sz val="10"/>
      <color indexed="10"/>
      <name val="Tms Rmn"/>
      <charset val="178"/>
    </font>
    <font>
      <sz val="11"/>
      <color indexed="19"/>
      <name val="Calibri"/>
      <family val="2"/>
      <charset val="204"/>
    </font>
    <font>
      <sz val="6"/>
      <name val="Helv"/>
      <charset val="178"/>
    </font>
    <font>
      <sz val="6"/>
      <color indexed="10"/>
      <name val="Helv"/>
      <charset val="178"/>
    </font>
    <font>
      <sz val="12"/>
      <name val="№ЩЕБГј"/>
      <charset val="129"/>
    </font>
    <font>
      <sz val="8"/>
      <name val="Times New Roman"/>
      <family val="1"/>
      <charset val="204"/>
    </font>
    <font>
      <b/>
      <sz val="13.5"/>
      <name val="MS Sans Serif"/>
      <family val="2"/>
      <charset val="204"/>
    </font>
    <font>
      <b/>
      <sz val="11"/>
      <color indexed="9"/>
      <name val="Calibri"/>
      <family val="2"/>
      <charset val="204"/>
    </font>
    <font>
      <sz val="10"/>
      <name val="Geneva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color indexed="12"/>
      <name val="Helv"/>
      <charset val="178"/>
    </font>
    <font>
      <sz val="12"/>
      <color indexed="8"/>
      <name val="Arial Cyr"/>
      <family val="2"/>
      <charset val="204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10"/>
      <name val="Arial"/>
      <family val="2"/>
      <charset val="204"/>
    </font>
    <font>
      <b/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sz val="10"/>
      <color indexed="48"/>
      <name val="Arial"/>
      <family val="2"/>
      <charset val="204"/>
    </font>
    <font>
      <sz val="10"/>
      <color indexed="10"/>
      <name val="Arial"/>
      <family val="2"/>
      <charset val="204"/>
    </font>
    <font>
      <b/>
      <i/>
      <sz val="10"/>
      <color indexed="8"/>
      <name val="Arial"/>
      <family val="2"/>
    </font>
    <font>
      <b/>
      <sz val="16"/>
      <name val="Arial"/>
      <family val="2"/>
      <charset val="204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b/>
      <sz val="18"/>
      <color indexed="8"/>
      <name val="Calibri"/>
      <family val="2"/>
      <charset val="204"/>
    </font>
    <font>
      <b/>
      <u/>
      <sz val="14"/>
      <name val="TimesNewRomanPS"/>
      <charset val="178"/>
    </font>
    <font>
      <sz val="12"/>
      <name val="TimesNewRomanPS"/>
      <charset val="178"/>
    </font>
    <font>
      <b/>
      <sz val="12"/>
      <name val="TimesNewRomanPS"/>
      <charset val="178"/>
    </font>
    <font>
      <sz val="8"/>
      <color indexed="12"/>
      <name val="Helv"/>
      <charset val="178"/>
    </font>
    <font>
      <sz val="12"/>
      <name val="Helv"/>
      <charset val="178"/>
    </font>
    <font>
      <sz val="8"/>
      <color indexed="14"/>
      <name val="Helv"/>
      <charset val="178"/>
    </font>
    <font>
      <sz val="8"/>
      <name val="Tms Rmn"/>
      <charset val="178"/>
    </font>
    <font>
      <b/>
      <sz val="8"/>
      <name val="Helv"/>
      <charset val="178"/>
    </font>
    <font>
      <b/>
      <sz val="9"/>
      <name val="Arial Cyr"/>
      <family val="2"/>
      <charset val="204"/>
    </font>
    <font>
      <sz val="12"/>
      <color indexed="24"/>
      <name val="Modern Cyrillic"/>
      <charset val="204"/>
    </font>
    <font>
      <sz val="10"/>
      <color indexed="12"/>
      <name val="Times New Roman Cyr"/>
      <family val="1"/>
      <charset val="204"/>
    </font>
    <font>
      <b/>
      <sz val="11"/>
      <name val="Times New Roman CYR"/>
      <family val="1"/>
      <charset val="204"/>
    </font>
    <font>
      <i/>
      <sz val="10"/>
      <name val="Times New Roman CYR"/>
      <family val="1"/>
      <charset val="204"/>
    </font>
    <font>
      <b/>
      <sz val="11"/>
      <name val="FuturisCTT"/>
      <family val="2"/>
      <charset val="204"/>
    </font>
    <font>
      <b/>
      <i/>
      <sz val="11"/>
      <name val="Times New Roman Cyr"/>
      <family val="1"/>
      <charset val="204"/>
    </font>
    <font>
      <sz val="11"/>
      <name val="µёїт"/>
      <charset val="129"/>
    </font>
    <font>
      <sz val="9"/>
      <name val="Times New Roman"/>
      <family val="1"/>
      <charset val="204"/>
    </font>
    <font>
      <sz val="12"/>
      <name val="Times New Roman Cyr"/>
      <family val="1"/>
      <charset val="204"/>
    </font>
    <font>
      <sz val="10"/>
      <name val="Arial Cyr"/>
      <family val="2"/>
      <charset val="204"/>
    </font>
    <font>
      <sz val="8"/>
      <color indexed="25"/>
      <name val="Times New Roman Cyr"/>
      <family val="1"/>
      <charset val="204"/>
    </font>
    <font>
      <sz val="12"/>
      <name val="NTTimes/Cyrillic"/>
      <charset val="204"/>
    </font>
    <font>
      <sz val="12"/>
      <color indexed="24"/>
      <name val="Arial"/>
      <family val="2"/>
      <charset val="204"/>
    </font>
    <font>
      <sz val="10"/>
      <name val="Times New Roman Cyr"/>
      <charset val="204"/>
    </font>
    <font>
      <b/>
      <sz val="10"/>
      <color indexed="12"/>
      <name val="Times New Roman Cyr"/>
      <charset val="204"/>
    </font>
    <font>
      <b/>
      <sz val="10"/>
      <name val="Arial Cyr"/>
      <charset val="204"/>
    </font>
    <font>
      <sz val="9"/>
      <name val="Times New Roman Cyr"/>
      <family val="1"/>
      <charset val="204"/>
    </font>
    <font>
      <sz val="12"/>
      <color indexed="8"/>
      <name val="Times New Roman"/>
      <family val="2"/>
      <charset val="204"/>
    </font>
    <font>
      <sz val="10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2"/>
        <bgColor indexed="42"/>
      </patternFill>
    </fill>
    <fill>
      <patternFill patternType="solid">
        <fgColor indexed="27"/>
      </patternFill>
    </fill>
    <fill>
      <patternFill patternType="solid">
        <fgColor indexed="17"/>
        <bgColor indexed="9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  <fill>
      <patternFill patternType="solid">
        <fgColor indexed="8"/>
        <bgColor indexed="8"/>
      </patternFill>
    </fill>
    <fill>
      <patternFill patternType="solid">
        <fgColor indexed="10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8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14"/>
      </patternFill>
    </fill>
    <fill>
      <patternFill patternType="solid">
        <fgColor indexed="54"/>
        <bgColor indexed="64"/>
      </patternFill>
    </fill>
    <fill>
      <patternFill patternType="solid">
        <fgColor indexed="14"/>
      </patternFill>
    </fill>
    <fill>
      <patternFill patternType="solid">
        <fgColor indexed="43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44"/>
      </patternFill>
    </fill>
    <fill>
      <patternFill patternType="solid">
        <fgColor indexed="3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1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90">
    <xf numFmtId="0" fontId="0" fillId="0" borderId="0"/>
    <xf numFmtId="166" fontId="1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  <xf numFmtId="168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1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1" fillId="0" borderId="0" applyFill="0" applyBorder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1" fillId="0" borderId="0" applyFill="0" applyBorder="0" applyProtection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1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3" fillId="0" borderId="0"/>
    <xf numFmtId="0" fontId="13" fillId="0" borderId="0"/>
    <xf numFmtId="0" fontId="17" fillId="0" borderId="0">
      <alignment vertical="center"/>
    </xf>
    <xf numFmtId="0" fontId="13" fillId="0" borderId="0"/>
    <xf numFmtId="0" fontId="13" fillId="0" borderId="0"/>
    <xf numFmtId="0" fontId="12" fillId="0" borderId="0"/>
    <xf numFmtId="0" fontId="13" fillId="0" borderId="0"/>
    <xf numFmtId="0" fontId="17" fillId="0" borderId="0">
      <alignment vertical="center"/>
    </xf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>
      <alignment vertical="center"/>
    </xf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171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" fontId="18" fillId="0" borderId="0">
      <protection locked="0"/>
    </xf>
    <xf numFmtId="1" fontId="18" fillId="0" borderId="0">
      <protection locked="0"/>
    </xf>
    <xf numFmtId="1" fontId="18" fillId="0" borderId="0">
      <protection locked="0"/>
    </xf>
    <xf numFmtId="0" fontId="18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1" fillId="0" borderId="0"/>
    <xf numFmtId="0" fontId="18" fillId="0" borderId="8">
      <protection locked="0"/>
    </xf>
    <xf numFmtId="173" fontId="20" fillId="0" borderId="0"/>
    <xf numFmtId="9" fontId="11" fillId="0" borderId="0"/>
    <xf numFmtId="174" fontId="1" fillId="0" borderId="0">
      <alignment horizontal="center"/>
    </xf>
    <xf numFmtId="175" fontId="20" fillId="0" borderId="0"/>
    <xf numFmtId="167" fontId="20" fillId="0" borderId="0"/>
    <xf numFmtId="2" fontId="20" fillId="0" borderId="0"/>
    <xf numFmtId="10" fontId="20" fillId="0" borderId="0"/>
    <xf numFmtId="176" fontId="11" fillId="0" borderId="3">
      <alignment horizontal="center"/>
      <protection locked="0"/>
    </xf>
    <xf numFmtId="0" fontId="16" fillId="0" borderId="0"/>
    <xf numFmtId="177" fontId="11" fillId="0" borderId="0" applyProtection="0">
      <protection locked="0"/>
    </xf>
    <xf numFmtId="178" fontId="21" fillId="0" borderId="0" applyFont="0" applyFill="0" applyBorder="0">
      <alignment horizontal="center"/>
    </xf>
    <xf numFmtId="37" fontId="22" fillId="0" borderId="0">
      <alignment horizontal="center"/>
    </xf>
    <xf numFmtId="0" fontId="23" fillId="0" borderId="0">
      <alignment horizontal="right"/>
    </xf>
    <xf numFmtId="0" fontId="1" fillId="0" borderId="0"/>
    <xf numFmtId="0" fontId="24" fillId="0" borderId="0"/>
    <xf numFmtId="0" fontId="25" fillId="3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0"/>
    <xf numFmtId="0" fontId="28" fillId="4" borderId="9" applyNumberFormat="0" applyAlignment="0" applyProtection="0"/>
    <xf numFmtId="1" fontId="29" fillId="0" borderId="0"/>
    <xf numFmtId="0" fontId="30" fillId="0" borderId="0" applyNumberFormat="0" applyFill="0" applyBorder="0" applyAlignment="0" applyProtection="0"/>
    <xf numFmtId="179" fontId="11" fillId="0" borderId="10" applyFont="0" applyFill="0" applyBorder="0" applyProtection="0">
      <alignment horizontal="center"/>
      <protection locked="0"/>
    </xf>
    <xf numFmtId="180" fontId="31" fillId="0" borderId="0"/>
    <xf numFmtId="180" fontId="31" fillId="0" borderId="0"/>
    <xf numFmtId="180" fontId="31" fillId="0" borderId="0"/>
    <xf numFmtId="180" fontId="31" fillId="0" borderId="0"/>
    <xf numFmtId="180" fontId="31" fillId="0" borderId="0"/>
    <xf numFmtId="180" fontId="31" fillId="0" borderId="0"/>
    <xf numFmtId="180" fontId="31" fillId="0" borderId="0"/>
    <xf numFmtId="180" fontId="31" fillId="0" borderId="0"/>
    <xf numFmtId="181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33" fillId="0" borderId="11" applyNumberFormat="0" applyFill="0" applyAlignment="0" applyProtection="0"/>
    <xf numFmtId="185" fontId="32" fillId="0" borderId="0" applyFont="0" applyFill="0" applyBorder="0" applyAlignment="0" applyProtection="0"/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72" fontId="34" fillId="0" borderId="12" applyBorder="0"/>
    <xf numFmtId="37" fontId="35" fillId="0" borderId="13" applyFont="0" applyFill="0" applyBorder="0"/>
    <xf numFmtId="37" fontId="36" fillId="0" borderId="13" applyFont="0" applyFill="0" applyBorder="0">
      <protection locked="0"/>
    </xf>
    <xf numFmtId="37" fontId="37" fillId="5" borderId="1" applyFill="0" applyBorder="0" applyProtection="0"/>
    <xf numFmtId="37" fontId="36" fillId="0" borderId="13" applyFill="0" applyBorder="0">
      <protection locked="0"/>
    </xf>
    <xf numFmtId="190" fontId="31" fillId="0" borderId="0">
      <protection locked="0"/>
    </xf>
    <xf numFmtId="191" fontId="12" fillId="0" borderId="0" applyFont="0" applyFill="0" applyBorder="0" applyAlignment="0" applyProtection="0"/>
    <xf numFmtId="0" fontId="33" fillId="0" borderId="11" applyNumberFormat="0" applyFill="0" applyAlignment="0" applyProtection="0"/>
    <xf numFmtId="14" fontId="38" fillId="0" borderId="4" applyFont="0">
      <alignment horizontal="right"/>
    </xf>
    <xf numFmtId="15" fontId="32" fillId="0" borderId="0" applyFont="0" applyFill="0" applyBorder="0" applyAlignment="0" applyProtection="0"/>
    <xf numFmtId="14" fontId="32" fillId="0" borderId="0" applyFont="0" applyFill="0" applyBorder="0" applyAlignment="0" applyProtection="0"/>
    <xf numFmtId="17" fontId="32" fillId="0" borderId="0" applyFont="0" applyFill="0" applyBorder="0" applyAlignment="0" applyProtection="0"/>
    <xf numFmtId="15" fontId="39" fillId="0" borderId="0" applyFont="0" applyFill="0" applyBorder="0" applyAlignment="0" applyProtection="0"/>
    <xf numFmtId="14" fontId="39" fillId="0" borderId="0" applyFont="0" applyFill="0" applyBorder="0" applyAlignment="0" applyProtection="0"/>
    <xf numFmtId="192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17" fontId="39" fillId="0" borderId="0" applyFont="0" applyFill="0" applyBorder="0" applyAlignment="0" applyProtection="0"/>
    <xf numFmtId="15" fontId="40" fillId="0" borderId="7" applyFont="0" applyFill="0" applyBorder="0" applyAlignment="0">
      <alignment horizontal="centerContinuous"/>
    </xf>
    <xf numFmtId="194" fontId="40" fillId="0" borderId="7" applyFont="0" applyFill="0" applyBorder="0" applyAlignment="0">
      <alignment horizontal="centerContinuous"/>
    </xf>
    <xf numFmtId="22" fontId="32" fillId="0" borderId="0" applyFont="0" applyFill="0" applyBorder="0" applyAlignment="0" applyProtection="0"/>
    <xf numFmtId="0" fontId="41" fillId="0" borderId="14" applyNumberFormat="0" applyFill="0" applyAlignment="0" applyProtection="0"/>
    <xf numFmtId="195" fontId="1" fillId="0" borderId="0"/>
    <xf numFmtId="0" fontId="3" fillId="5" borderId="15" applyFont="0" applyFill="0" applyBorder="0" applyProtection="0">
      <alignment horizontal="right" vertical="center"/>
    </xf>
    <xf numFmtId="196" fontId="35" fillId="0" borderId="0" applyFont="0" applyFill="0" applyBorder="0" applyAlignment="0" applyProtection="0">
      <protection locked="0"/>
    </xf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16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43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43" fillId="0" borderId="0">
      <protection locked="0"/>
    </xf>
    <xf numFmtId="0" fontId="41" fillId="0" borderId="14" applyNumberFormat="0" applyFill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5" fillId="8" borderId="0" applyNumberFormat="0" applyBorder="0" applyAlignment="0" applyProtection="0"/>
    <xf numFmtId="0" fontId="46" fillId="0" borderId="16" applyNumberFormat="0" applyAlignment="0" applyProtection="0">
      <alignment horizontal="left" vertical="center"/>
    </xf>
    <xf numFmtId="0" fontId="46" fillId="0" borderId="4">
      <alignment horizontal="left" vertical="center"/>
    </xf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42" fillId="0" borderId="17" applyNumberFormat="0" applyFill="0" applyAlignment="0" applyProtection="0"/>
    <xf numFmtId="0" fontId="42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9" borderId="18" applyNumberFormat="0" applyAlignment="0" applyProtection="0"/>
    <xf numFmtId="0" fontId="49" fillId="10" borderId="5" applyNumberFormat="0" applyFont="0" applyBorder="0" applyAlignment="0" applyProtection="0">
      <alignment horizontal="left"/>
      <protection locked="0"/>
    </xf>
    <xf numFmtId="0" fontId="50" fillId="11" borderId="19" applyNumberFormat="0" applyFont="0" applyAlignment="0" applyProtection="0"/>
    <xf numFmtId="197" fontId="11" fillId="0" borderId="0" applyFont="0" applyFill="0" applyBorder="0" applyAlignment="0" applyProtection="0"/>
    <xf numFmtId="198" fontId="11" fillId="0" borderId="0" applyFont="0" applyFill="0" applyBorder="0" applyAlignment="0" applyProtection="0"/>
    <xf numFmtId="199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201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203" fontId="11" fillId="0" borderId="0" applyFont="0" applyFill="0" applyBorder="0" applyAlignment="0" applyProtection="0"/>
    <xf numFmtId="204" fontId="11" fillId="0" borderId="0" applyFont="0" applyFill="0" applyBorder="0" applyAlignment="0" applyProtection="0"/>
    <xf numFmtId="205" fontId="11" fillId="0" borderId="0" applyFont="0" applyFill="0" applyBorder="0" applyAlignment="0" applyProtection="0"/>
    <xf numFmtId="206" fontId="11" fillId="0" borderId="0" applyFont="0" applyFill="0" applyBorder="0" applyAlignment="0" applyProtection="0"/>
    <xf numFmtId="207" fontId="51" fillId="0" borderId="0" applyFill="0" applyBorder="0" applyAlignment="0"/>
    <xf numFmtId="0" fontId="52" fillId="12" borderId="0" applyNumberFormat="0" applyBorder="0" applyAlignment="0" applyProtection="0"/>
    <xf numFmtId="208" fontId="31" fillId="0" borderId="0"/>
    <xf numFmtId="0" fontId="16" fillId="0" borderId="0"/>
    <xf numFmtId="16" fontId="53" fillId="0" borderId="20" applyNumberFormat="0" applyBorder="0" applyAlignment="0">
      <alignment horizontal="center"/>
    </xf>
    <xf numFmtId="0" fontId="54" fillId="0" borderId="21" applyBorder="0">
      <alignment horizontal="center"/>
    </xf>
    <xf numFmtId="0" fontId="12" fillId="0" borderId="0"/>
    <xf numFmtId="0" fontId="50" fillId="12" borderId="22" applyNumberFormat="0" applyFont="0" applyAlignment="0" applyProtection="0"/>
    <xf numFmtId="9" fontId="5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56" fillId="0" borderId="1">
      <alignment horizontal="right" vertical="center" wrapText="1"/>
    </xf>
    <xf numFmtId="0" fontId="57" fillId="0" borderId="0">
      <alignment horizontal="left"/>
    </xf>
    <xf numFmtId="0" fontId="58" fillId="13" borderId="23" applyNumberFormat="0" applyAlignment="0" applyProtection="0"/>
    <xf numFmtId="208" fontId="31" fillId="14" borderId="24"/>
    <xf numFmtId="9" fontId="32" fillId="0" borderId="0" applyFont="0" applyFill="0" applyBorder="0" applyAlignment="0" applyProtection="0"/>
    <xf numFmtId="209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60" fillId="0" borderId="0">
      <protection locked="0"/>
    </xf>
    <xf numFmtId="0" fontId="61" fillId="0" borderId="0">
      <protection locked="0"/>
    </xf>
    <xf numFmtId="0" fontId="60" fillId="0" borderId="0">
      <protection locked="0"/>
    </xf>
    <xf numFmtId="0" fontId="62" fillId="0" borderId="0">
      <protection locked="0"/>
    </xf>
    <xf numFmtId="0" fontId="63" fillId="0" borderId="0" applyNumberFormat="0" applyFill="0" applyBorder="0" applyAlignment="0" applyProtection="0"/>
    <xf numFmtId="0" fontId="64" fillId="0" borderId="0" applyNumberFormat="0" applyBorder="0" applyAlignment="0"/>
    <xf numFmtId="4" fontId="65" fillId="15" borderId="25" applyNumberFormat="0" applyProtection="0">
      <alignment vertical="center"/>
    </xf>
    <xf numFmtId="4" fontId="66" fillId="15" borderId="25" applyNumberFormat="0" applyProtection="0">
      <alignment vertical="center"/>
    </xf>
    <xf numFmtId="4" fontId="65" fillId="15" borderId="25" applyNumberFormat="0" applyProtection="0">
      <alignment horizontal="left" vertical="center" indent="1"/>
    </xf>
    <xf numFmtId="4" fontId="65" fillId="15" borderId="25" applyNumberFormat="0" applyProtection="0">
      <alignment horizontal="left" vertical="center" indent="1"/>
    </xf>
    <xf numFmtId="0" fontId="67" fillId="16" borderId="26" applyNumberFormat="0" applyProtection="0">
      <alignment horizontal="left" vertical="center" indent="2"/>
    </xf>
    <xf numFmtId="4" fontId="65" fillId="17" borderId="25" applyNumberFormat="0" applyProtection="0">
      <alignment horizontal="right" vertical="center"/>
    </xf>
    <xf numFmtId="4" fontId="65" fillId="18" borderId="25" applyNumberFormat="0" applyProtection="0">
      <alignment horizontal="right" vertical="center"/>
    </xf>
    <xf numFmtId="4" fontId="65" fillId="19" borderId="25" applyNumberFormat="0" applyProtection="0">
      <alignment horizontal="right" vertical="center"/>
    </xf>
    <xf numFmtId="4" fontId="65" fillId="20" borderId="25" applyNumberFormat="0" applyProtection="0">
      <alignment horizontal="right" vertical="center"/>
    </xf>
    <xf numFmtId="4" fontId="65" fillId="21" borderId="25" applyNumberFormat="0" applyProtection="0">
      <alignment horizontal="right" vertical="center"/>
    </xf>
    <xf numFmtId="4" fontId="65" fillId="22" borderId="25" applyNumberFormat="0" applyProtection="0">
      <alignment horizontal="right" vertical="center"/>
    </xf>
    <xf numFmtId="4" fontId="65" fillId="23" borderId="25" applyNumberFormat="0" applyProtection="0">
      <alignment horizontal="right" vertical="center"/>
    </xf>
    <xf numFmtId="4" fontId="65" fillId="24" borderId="25" applyNumberFormat="0" applyProtection="0">
      <alignment horizontal="right" vertical="center"/>
    </xf>
    <xf numFmtId="4" fontId="65" fillId="25" borderId="25" applyNumberFormat="0" applyProtection="0">
      <alignment horizontal="right" vertical="center"/>
    </xf>
    <xf numFmtId="4" fontId="68" fillId="26" borderId="26" applyNumberFormat="0" applyProtection="0">
      <alignment horizontal="left" vertical="center" indent="1"/>
    </xf>
    <xf numFmtId="4" fontId="65" fillId="8" borderId="27" applyNumberFormat="0" applyProtection="0">
      <alignment horizontal="left" vertical="center" indent="1"/>
    </xf>
    <xf numFmtId="4" fontId="69" fillId="27" borderId="0" applyNumberFormat="0" applyProtection="0">
      <alignment horizontal="left" vertical="center" indent="1"/>
    </xf>
    <xf numFmtId="0" fontId="70" fillId="16" borderId="26" applyNumberFormat="0" applyProtection="0">
      <alignment horizontal="left" vertical="center" indent="1"/>
    </xf>
    <xf numFmtId="4" fontId="35" fillId="28" borderId="26" applyNumberFormat="0" applyProtection="0">
      <alignment horizontal="left" vertical="center" indent="1"/>
    </xf>
    <xf numFmtId="4" fontId="71" fillId="16" borderId="26" applyNumberFormat="0" applyProtection="0">
      <alignment horizontal="left" vertical="center" indent="2"/>
    </xf>
    <xf numFmtId="0" fontId="11" fillId="29" borderId="26" applyNumberFormat="0" applyProtection="0">
      <alignment horizontal="left" vertical="center" indent="1"/>
    </xf>
    <xf numFmtId="0" fontId="11" fillId="30" borderId="25" applyNumberFormat="0" applyProtection="0">
      <alignment horizontal="left" vertical="center" indent="1"/>
    </xf>
    <xf numFmtId="0" fontId="11" fillId="29" borderId="26" applyNumberFormat="0" applyProtection="0">
      <alignment horizontal="left" vertical="center" indent="1"/>
    </xf>
    <xf numFmtId="0" fontId="11" fillId="31" borderId="25" applyNumberFormat="0" applyProtection="0">
      <alignment horizontal="left" vertical="center" indent="1"/>
    </xf>
    <xf numFmtId="0" fontId="11" fillId="29" borderId="26" applyNumberFormat="0" applyProtection="0">
      <alignment horizontal="left" vertical="center" indent="1"/>
    </xf>
    <xf numFmtId="0" fontId="11" fillId="5" borderId="25" applyNumberFormat="0" applyProtection="0">
      <alignment horizontal="left" vertical="center" indent="1"/>
    </xf>
    <xf numFmtId="0" fontId="11" fillId="29" borderId="26" applyNumberFormat="0" applyProtection="0">
      <alignment horizontal="left" vertical="center" indent="1"/>
    </xf>
    <xf numFmtId="0" fontId="11" fillId="32" borderId="25" applyNumberFormat="0" applyProtection="0">
      <alignment horizontal="left" vertical="center" indent="1"/>
    </xf>
    <xf numFmtId="4" fontId="65" fillId="33" borderId="25" applyNumberFormat="0" applyProtection="0">
      <alignment vertical="center"/>
    </xf>
    <xf numFmtId="4" fontId="66" fillId="33" borderId="25" applyNumberFormat="0" applyProtection="0">
      <alignment vertical="center"/>
    </xf>
    <xf numFmtId="4" fontId="65" fillId="33" borderId="25" applyNumberFormat="0" applyProtection="0">
      <alignment horizontal="left" vertical="center" indent="1"/>
    </xf>
    <xf numFmtId="4" fontId="65" fillId="33" borderId="25" applyNumberFormat="0" applyProtection="0">
      <alignment horizontal="left" vertical="center" indent="1"/>
    </xf>
    <xf numFmtId="4" fontId="72" fillId="34" borderId="26" applyNumberFormat="0" applyProtection="0">
      <alignment horizontal="right" vertical="center"/>
    </xf>
    <xf numFmtId="4" fontId="60" fillId="28" borderId="28" applyNumberFormat="0" applyProtection="0">
      <alignment horizontal="right" vertical="center"/>
    </xf>
    <xf numFmtId="0" fontId="11" fillId="29" borderId="26" applyNumberFormat="0" applyProtection="0">
      <alignment horizontal="left" vertical="center" indent="1"/>
    </xf>
    <xf numFmtId="0" fontId="71" fillId="16" borderId="26" applyNumberFormat="0" applyProtection="0">
      <alignment horizontal="left" vertical="center" indent="1"/>
    </xf>
    <xf numFmtId="0" fontId="73" fillId="0" borderId="0" applyNumberFormat="0" applyProtection="0">
      <alignment horizontal="left" vertical="center"/>
    </xf>
    <xf numFmtId="4" fontId="74" fillId="35" borderId="25" applyNumberFormat="0" applyProtection="0">
      <alignment horizontal="right" vertical="center"/>
    </xf>
    <xf numFmtId="0" fontId="75" fillId="36" borderId="0"/>
    <xf numFmtId="49" fontId="76" fillId="36" borderId="0"/>
    <xf numFmtId="49" fontId="77" fillId="36" borderId="29"/>
    <xf numFmtId="49" fontId="77" fillId="36" borderId="0"/>
    <xf numFmtId="0" fontId="75" fillId="37" borderId="29">
      <protection locked="0"/>
    </xf>
    <xf numFmtId="0" fontId="75" fillId="36" borderId="0"/>
    <xf numFmtId="0" fontId="78" fillId="38" borderId="0"/>
    <xf numFmtId="0" fontId="78" fillId="25" borderId="0"/>
    <xf numFmtId="0" fontId="78" fillId="20" borderId="0"/>
    <xf numFmtId="0" fontId="7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horizontal="center"/>
    </xf>
    <xf numFmtId="0" fontId="39" fillId="0" borderId="0" applyFont="0" applyFill="0" applyBorder="0" applyAlignment="0" applyProtection="0"/>
    <xf numFmtId="0" fontId="80" fillId="0" borderId="0" applyProtection="0">
      <alignment vertical="center"/>
    </xf>
    <xf numFmtId="0" fontId="81" fillId="0" borderId="0" applyProtection="0">
      <alignment vertical="center"/>
    </xf>
    <xf numFmtId="0" fontId="82" fillId="0" borderId="0"/>
    <xf numFmtId="0" fontId="12" fillId="0" borderId="0"/>
    <xf numFmtId="211" fontId="11" fillId="0" borderId="0" applyFont="0" applyFill="0" applyAlignment="0" applyProtection="0"/>
    <xf numFmtId="212" fontId="11" fillId="0" borderId="0" applyFont="0" applyFill="0" applyBorder="0" applyAlignment="0" applyProtection="0"/>
    <xf numFmtId="213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216" fontId="11" fillId="0" borderId="0" applyFont="0" applyFill="0" applyBorder="0" applyAlignment="0" applyProtection="0"/>
    <xf numFmtId="12" fontId="83" fillId="0" borderId="0" applyFill="0" applyBorder="0"/>
    <xf numFmtId="20" fontId="32" fillId="0" borderId="0" applyFont="0" applyFill="0" applyBorder="0" applyAlignment="0" applyProtection="0"/>
    <xf numFmtId="21" fontId="84" fillId="0" borderId="0" applyFont="0" applyFill="0" applyBorder="0" applyAlignment="0" applyProtection="0"/>
    <xf numFmtId="18" fontId="32" fillId="0" borderId="0" applyFont="0" applyFill="0" applyBorder="0" applyAlignment="0" applyProtection="0"/>
    <xf numFmtId="19" fontId="32" fillId="0" borderId="0" applyFont="0" applyFill="0" applyBorder="0" applyAlignment="0" applyProtection="0"/>
    <xf numFmtId="12" fontId="83" fillId="0" borderId="0" applyFill="0" applyBorder="0"/>
    <xf numFmtId="12" fontId="83" fillId="0" borderId="0"/>
    <xf numFmtId="12" fontId="85" fillId="0" borderId="30" applyBorder="0" applyAlignment="0">
      <alignment horizontal="center"/>
    </xf>
    <xf numFmtId="1" fontId="86" fillId="0" borderId="31" applyNumberFormat="0" applyFill="0" applyBorder="0" applyAlignment="0"/>
    <xf numFmtId="1" fontId="87" fillId="0" borderId="32"/>
    <xf numFmtId="0" fontId="33" fillId="0" borderId="11" applyNumberFormat="0" applyFill="0" applyAlignment="0" applyProtection="0"/>
    <xf numFmtId="217" fontId="1" fillId="0" borderId="0" applyNumberFormat="0"/>
    <xf numFmtId="0" fontId="25" fillId="0" borderId="0" applyNumberFormat="0" applyFill="0" applyBorder="0" applyAlignment="0" applyProtection="0"/>
    <xf numFmtId="218" fontId="11" fillId="0" borderId="0" applyFont="0" applyFill="0" applyBorder="0" applyAlignment="0" applyProtection="0"/>
    <xf numFmtId="219" fontId="59" fillId="0" borderId="0" applyFont="0" applyFill="0" applyBorder="0" applyAlignment="0" applyProtection="0"/>
    <xf numFmtId="220" fontId="40" fillId="0" borderId="7" applyFont="0" applyFill="0" applyBorder="0" applyAlignment="0">
      <alignment horizontal="centerContinuous"/>
    </xf>
    <xf numFmtId="221" fontId="88" fillId="0" borderId="7" applyFont="0" applyFill="0" applyBorder="0" applyAlignment="0">
      <alignment horizontal="centerContinuous"/>
    </xf>
    <xf numFmtId="0" fontId="47" fillId="0" borderId="0" applyNumberFormat="0" applyFill="0" applyBorder="0" applyAlignment="0" applyProtection="0">
      <alignment vertical="top"/>
      <protection locked="0"/>
    </xf>
    <xf numFmtId="0" fontId="89" fillId="0" borderId="0" applyFont="0" applyFill="0" applyBorder="0" applyAlignment="0" applyProtection="0"/>
    <xf numFmtId="222" fontId="90" fillId="5" borderId="0" applyFont="0" applyFill="0" applyBorder="0" applyAlignment="0" applyProtection="0">
      <alignment horizontal="right"/>
    </xf>
    <xf numFmtId="165" fontId="16" fillId="0" borderId="0" applyFont="0" applyFill="0" applyBorder="0" applyAlignment="0" applyProtection="0"/>
    <xf numFmtId="223" fontId="11" fillId="0" borderId="0" applyFont="0" applyFill="0" applyBorder="0" applyAlignment="0" applyProtection="0"/>
    <xf numFmtId="224" fontId="11" fillId="0" borderId="0" applyFont="0" applyFill="0" applyBorder="0" applyAlignment="0" applyProtection="0"/>
    <xf numFmtId="22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" fontId="91" fillId="0" borderId="3" applyBorder="0">
      <alignment horizontal="left" vertical="center" wrapText="1"/>
    </xf>
    <xf numFmtId="3" fontId="92" fillId="0" borderId="1" applyBorder="0">
      <alignment horizontal="left" vertical="center" wrapText="1" indent="3"/>
    </xf>
    <xf numFmtId="226" fontId="93" fillId="0" borderId="1" applyNumberFormat="0" applyBorder="0" applyAlignment="0">
      <alignment horizontal="centerContinuous" vertical="center" wrapText="1"/>
    </xf>
    <xf numFmtId="226" fontId="94" fillId="0" borderId="33">
      <alignment horizontal="center" vertical="center" wrapText="1"/>
    </xf>
    <xf numFmtId="0" fontId="6" fillId="0" borderId="0"/>
    <xf numFmtId="0" fontId="89" fillId="0" borderId="0" applyNumberFormat="0" applyFont="0" applyFill="0" applyBorder="0" applyAlignment="0" applyProtection="0"/>
    <xf numFmtId="0" fontId="89" fillId="0" borderId="0" applyNumberFormat="0" applyFont="0" applyFill="0" applyBorder="0" applyAlignment="0" applyProtection="0"/>
    <xf numFmtId="0" fontId="95" fillId="0" borderId="0"/>
    <xf numFmtId="0" fontId="89" fillId="0" borderId="8" applyNumberFormat="0" applyFont="0" applyFill="0" applyAlignment="0" applyProtection="0"/>
    <xf numFmtId="0" fontId="96" fillId="0" borderId="1">
      <alignment horizontal="left" vertical="top" indent="1"/>
    </xf>
    <xf numFmtId="0" fontId="56" fillId="0" borderId="1">
      <alignment horizontal="left" wrapText="1" indent="4"/>
    </xf>
    <xf numFmtId="1" fontId="97" fillId="0" borderId="0" applyBorder="0"/>
    <xf numFmtId="227" fontId="16" fillId="0" borderId="0"/>
    <xf numFmtId="0" fontId="16" fillId="0" borderId="0"/>
    <xf numFmtId="0" fontId="1" fillId="0" borderId="0"/>
    <xf numFmtId="0" fontId="16" fillId="0" borderId="0"/>
    <xf numFmtId="0" fontId="98" fillId="0" borderId="0"/>
    <xf numFmtId="228" fontId="99" fillId="15" borderId="0" applyFont="0" applyFill="0" applyBorder="0" applyAlignment="0" applyProtection="0">
      <alignment horizontal="right"/>
    </xf>
    <xf numFmtId="9" fontId="10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7" fillId="0" borderId="34" applyNumberFormat="0" applyFont="0" applyAlignment="0">
      <alignment horizontal="center" vertical="center"/>
    </xf>
    <xf numFmtId="0" fontId="12" fillId="0" borderId="0"/>
    <xf numFmtId="0" fontId="101" fillId="0" borderId="0"/>
    <xf numFmtId="229" fontId="102" fillId="0" borderId="0"/>
    <xf numFmtId="230" fontId="103" fillId="5" borderId="1" applyFont="0" applyFill="0" applyBorder="0" applyAlignment="0" applyProtection="0"/>
    <xf numFmtId="226" fontId="104" fillId="0" borderId="2" applyFont="0" applyFill="0" applyBorder="0" applyAlignment="0" applyProtection="0">
      <alignment horizontal="center"/>
    </xf>
    <xf numFmtId="231" fontId="40" fillId="0" borderId="1" applyFont="0" applyFill="0" applyBorder="0" applyAlignment="0" applyProtection="0">
      <alignment wrapText="1"/>
    </xf>
    <xf numFmtId="232" fontId="105" fillId="0" borderId="6" applyFont="0" applyFill="0" applyBorder="0" applyAlignment="0" applyProtection="0">
      <alignment wrapText="1"/>
    </xf>
    <xf numFmtId="38" fontId="16" fillId="0" borderId="0" applyFont="0" applyFill="0" applyBorder="0" applyAlignment="0" applyProtection="0"/>
    <xf numFmtId="226" fontId="103" fillId="5" borderId="1" applyFont="0" applyFill="0" applyBorder="0" applyAlignment="0" applyProtection="0"/>
    <xf numFmtId="2" fontId="89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" fillId="0" borderId="0" applyFont="0" applyFill="0" applyBorder="0" applyAlignment="0" applyProtection="0"/>
    <xf numFmtId="1" fontId="18" fillId="0" borderId="0">
      <protection locked="0"/>
    </xf>
    <xf numFmtId="0" fontId="56" fillId="0" borderId="1">
      <alignment horizontal="center" vertical="center" wrapText="1"/>
    </xf>
    <xf numFmtId="0" fontId="16" fillId="0" borderId="0"/>
  </cellStyleXfs>
  <cellXfs count="214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1" xfId="2" applyFont="1" applyFill="1" applyBorder="1" applyAlignment="1">
      <alignment horizontal="center" vertical="center" wrapText="1"/>
    </xf>
    <xf numFmtId="0" fontId="1" fillId="0" borderId="1" xfId="3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3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Border="1" applyAlignment="1">
      <alignment horizontal="center" vertical="center"/>
    </xf>
    <xf numFmtId="0" fontId="0" fillId="0" borderId="1" xfId="3" applyFont="1" applyFill="1" applyBorder="1" applyAlignment="1" applyProtection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3" applyFont="1" applyBorder="1" applyAlignment="1" applyProtection="1">
      <alignment horizontal="center" vertical="center"/>
    </xf>
    <xf numFmtId="3" fontId="1" fillId="0" borderId="1" xfId="3" applyNumberFormat="1" applyFont="1" applyBorder="1" applyAlignment="1" applyProtection="1">
      <alignment horizontal="center" vertical="center"/>
    </xf>
    <xf numFmtId="3" fontId="1" fillId="0" borderId="1" xfId="3" applyNumberFormat="1" applyFont="1" applyFill="1" applyBorder="1" applyAlignment="1" applyProtection="1">
      <alignment horizontal="center" vertical="center"/>
    </xf>
    <xf numFmtId="49" fontId="0" fillId="0" borderId="1" xfId="3" applyNumberFormat="1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39" borderId="1" xfId="0" applyFill="1" applyBorder="1" applyAlignment="1">
      <alignment horizontal="center" vertical="center"/>
    </xf>
    <xf numFmtId="3" fontId="0" fillId="0" borderId="1" xfId="3" applyNumberFormat="1" applyFont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39" borderId="0" xfId="0" applyFont="1" applyFill="1" applyBorder="1" applyAlignment="1">
      <alignment horizontal="center" vertical="center"/>
    </xf>
    <xf numFmtId="166" fontId="1" fillId="0" borderId="1" xfId="3" applyNumberFormat="1" applyFont="1" applyFill="1" applyBorder="1" applyAlignment="1" applyProtection="1">
      <alignment horizontal="center" vertical="center"/>
    </xf>
    <xf numFmtId="166" fontId="0" fillId="0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1" fillId="0" borderId="1" xfId="3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/>
    <xf numFmtId="0" fontId="1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166" fontId="1" fillId="0" borderId="1" xfId="1" applyFont="1" applyFill="1" applyBorder="1" applyAlignment="1" applyProtection="1">
      <alignment vertical="center"/>
    </xf>
    <xf numFmtId="49" fontId="0" fillId="0" borderId="1" xfId="0" applyNumberFormat="1" applyFill="1" applyBorder="1" applyAlignment="1">
      <alignment horizontal="center" vertical="center"/>
    </xf>
    <xf numFmtId="3" fontId="0" fillId="0" borderId="1" xfId="3" applyNumberFormat="1" applyFont="1" applyFill="1" applyBorder="1" applyAlignment="1" applyProtection="1">
      <alignment horizontal="center" vertical="center"/>
    </xf>
    <xf numFmtId="166" fontId="1" fillId="0" borderId="1" xfId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49" fontId="0" fillId="40" borderId="1" xfId="0" applyNumberFormat="1" applyFill="1" applyBorder="1" applyAlignment="1">
      <alignment horizontal="center" vertical="center"/>
    </xf>
    <xf numFmtId="0" fontId="1" fillId="0" borderId="1" xfId="3" applyFont="1" applyBorder="1" applyAlignment="1" applyProtection="1">
      <alignment vertical="center"/>
    </xf>
    <xf numFmtId="0" fontId="1" fillId="0" borderId="1" xfId="3" applyFont="1" applyBorder="1" applyAlignment="1" applyProtection="1">
      <alignment horizontal="center" vertical="center"/>
    </xf>
    <xf numFmtId="0" fontId="1" fillId="0" borderId="1" xfId="3" applyFont="1" applyBorder="1" applyAlignment="1" applyProtection="1">
      <alignment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NumberFormat="1" applyFill="1" applyBorder="1" applyAlignment="1">
      <alignment vertical="center"/>
    </xf>
    <xf numFmtId="0" fontId="0" fillId="0" borderId="1" xfId="3" applyNumberFormat="1" applyFont="1" applyFill="1" applyBorder="1" applyAlignment="1" applyProtection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66" fontId="0" fillId="0" borderId="1" xfId="1" applyFont="1" applyFill="1" applyBorder="1" applyAlignment="1" applyProtection="1">
      <alignment horizontal="center" vertical="center"/>
    </xf>
    <xf numFmtId="49" fontId="0" fillId="0" borderId="1" xfId="3" applyNumberFormat="1" applyFont="1" applyFill="1" applyBorder="1" applyAlignment="1" applyProtection="1">
      <alignment horizontal="center" vertical="center"/>
    </xf>
    <xf numFmtId="166" fontId="0" fillId="0" borderId="1" xfId="1" applyFont="1" applyFill="1" applyBorder="1" applyAlignment="1" applyProtection="1">
      <alignment vertical="center"/>
    </xf>
    <xf numFmtId="233" fontId="1" fillId="0" borderId="1" xfId="3" applyNumberFormat="1" applyFont="1" applyBorder="1" applyAlignment="1" applyProtection="1">
      <alignment horizontal="center" vertical="center"/>
    </xf>
    <xf numFmtId="0" fontId="1" fillId="0" borderId="1" xfId="3" applyFont="1" applyFill="1" applyBorder="1" applyAlignment="1" applyProtection="1">
      <alignment vertical="center"/>
    </xf>
    <xf numFmtId="0" fontId="0" fillId="39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3" applyFont="1" applyBorder="1" applyAlignment="1" applyProtection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" fillId="41" borderId="0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 wrapText="1"/>
    </xf>
    <xf numFmtId="0" fontId="107" fillId="42" borderId="1" xfId="2" applyFont="1" applyFill="1" applyBorder="1" applyAlignment="1">
      <alignment horizontal="center" vertical="center" wrapText="1"/>
    </xf>
    <xf numFmtId="166" fontId="1" fillId="41" borderId="1" xfId="3" applyNumberFormat="1" applyFont="1" applyFill="1" applyBorder="1" applyAlignment="1" applyProtection="1">
      <alignment horizontal="center" vertical="center"/>
    </xf>
    <xf numFmtId="166" fontId="0" fillId="41" borderId="1" xfId="3" applyNumberFormat="1" applyFont="1" applyFill="1" applyBorder="1" applyAlignment="1" applyProtection="1">
      <alignment horizontal="center" vertical="center"/>
    </xf>
    <xf numFmtId="0" fontId="0" fillId="42" borderId="1" xfId="3" applyFont="1" applyFill="1" applyBorder="1" applyAlignment="1" applyProtection="1">
      <alignment horizontal="center" vertical="center"/>
    </xf>
    <xf numFmtId="0" fontId="1" fillId="42" borderId="1" xfId="0" applyFont="1" applyFill="1" applyBorder="1" applyAlignment="1">
      <alignment horizontal="center" vertical="center"/>
    </xf>
    <xf numFmtId="3" fontId="1" fillId="42" borderId="1" xfId="3" applyNumberFormat="1" applyFont="1" applyFill="1" applyBorder="1" applyAlignment="1" applyProtection="1">
      <alignment horizontal="center" vertical="center"/>
    </xf>
    <xf numFmtId="166" fontId="1" fillId="42" borderId="1" xfId="3" applyNumberFormat="1" applyFont="1" applyFill="1" applyBorder="1" applyAlignment="1" applyProtection="1">
      <alignment horizontal="center" vertical="center"/>
    </xf>
    <xf numFmtId="166" fontId="0" fillId="42" borderId="1" xfId="3" applyNumberFormat="1" applyFont="1" applyFill="1" applyBorder="1" applyAlignment="1" applyProtection="1">
      <alignment horizontal="center" vertical="center"/>
    </xf>
    <xf numFmtId="0" fontId="0" fillId="42" borderId="1" xfId="0" applyNumberFormat="1" applyFill="1" applyBorder="1" applyAlignment="1">
      <alignment horizontal="center"/>
    </xf>
    <xf numFmtId="14" fontId="0" fillId="42" borderId="1" xfId="0" applyNumberFormat="1" applyFill="1" applyBorder="1" applyAlignment="1">
      <alignment horizontal="center" vertical="center"/>
    </xf>
    <xf numFmtId="0" fontId="1" fillId="42" borderId="1" xfId="3" applyFont="1" applyFill="1" applyBorder="1" applyAlignment="1" applyProtection="1">
      <alignment horizontal="center" vertical="center"/>
    </xf>
    <xf numFmtId="0" fontId="0" fillId="42" borderId="1" xfId="0" applyFont="1" applyFill="1" applyBorder="1" applyAlignment="1">
      <alignment horizontal="center" vertical="center"/>
    </xf>
    <xf numFmtId="166" fontId="1" fillId="42" borderId="1" xfId="1" applyFont="1" applyFill="1" applyBorder="1" applyAlignment="1" applyProtection="1">
      <alignment vertical="center"/>
    </xf>
    <xf numFmtId="166" fontId="1" fillId="42" borderId="1" xfId="1" applyFont="1" applyFill="1" applyBorder="1" applyAlignment="1" applyProtection="1">
      <alignment horizontal="center" vertical="center"/>
    </xf>
    <xf numFmtId="49" fontId="0" fillId="42" borderId="1" xfId="0" applyNumberFormat="1" applyFill="1" applyBorder="1" applyAlignment="1">
      <alignment horizontal="center"/>
    </xf>
    <xf numFmtId="0" fontId="1" fillId="42" borderId="0" xfId="0" applyFont="1" applyFill="1"/>
    <xf numFmtId="0" fontId="1" fillId="42" borderId="1" xfId="0" applyFont="1" applyFill="1" applyBorder="1" applyAlignment="1">
      <alignment horizontal="center"/>
    </xf>
    <xf numFmtId="0" fontId="0" fillId="42" borderId="0" xfId="0" applyFill="1"/>
    <xf numFmtId="0" fontId="1" fillId="41" borderId="0" xfId="0" applyFont="1" applyFill="1" applyAlignment="1">
      <alignment horizontal="center" vertical="center"/>
    </xf>
    <xf numFmtId="0" fontId="4" fillId="41" borderId="0" xfId="0" applyFont="1" applyFill="1" applyBorder="1" applyAlignment="1">
      <alignment horizontal="center" vertical="center"/>
    </xf>
    <xf numFmtId="166" fontId="1" fillId="41" borderId="1" xfId="1" applyFont="1" applyFill="1" applyBorder="1" applyAlignment="1" applyProtection="1">
      <alignment horizontal="center" vertical="center"/>
    </xf>
    <xf numFmtId="0" fontId="108" fillId="2" borderId="0" xfId="2" applyFont="1" applyFill="1" applyBorder="1" applyAlignment="1">
      <alignment vertical="center" wrapText="1"/>
    </xf>
    <xf numFmtId="0" fontId="108" fillId="2" borderId="2" xfId="2" applyFont="1" applyFill="1" applyBorder="1" applyAlignment="1">
      <alignment vertical="center" wrapText="1"/>
    </xf>
    <xf numFmtId="0" fontId="1" fillId="42" borderId="1" xfId="2" applyFont="1" applyFill="1" applyBorder="1" applyAlignment="1">
      <alignment horizontal="center" vertical="center" wrapText="1"/>
    </xf>
    <xf numFmtId="0" fontId="0" fillId="42" borderId="1" xfId="2" applyFont="1" applyFill="1" applyBorder="1" applyAlignment="1">
      <alignment horizontal="center" vertical="center" wrapText="1"/>
    </xf>
    <xf numFmtId="0" fontId="107" fillId="42" borderId="1" xfId="2" applyFont="1" applyFill="1" applyBorder="1" applyAlignment="1">
      <alignment horizontal="center" vertical="center"/>
    </xf>
    <xf numFmtId="14" fontId="107" fillId="42" borderId="1" xfId="2" applyNumberFormat="1" applyFont="1" applyFill="1" applyBorder="1" applyAlignment="1">
      <alignment horizontal="center" vertical="center" wrapText="1"/>
    </xf>
    <xf numFmtId="0" fontId="8" fillId="42" borderId="1" xfId="2" applyFont="1" applyFill="1" applyBorder="1" applyAlignment="1">
      <alignment horizontal="center" vertical="center" wrapText="1"/>
    </xf>
    <xf numFmtId="0" fontId="0" fillId="43" borderId="0" xfId="0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 wrapText="1"/>
    </xf>
    <xf numFmtId="0" fontId="9" fillId="2" borderId="0" xfId="2" applyFont="1" applyFill="1" applyBorder="1" applyAlignment="1">
      <alignment horizontal="center" vertical="center" wrapText="1"/>
    </xf>
    <xf numFmtId="0" fontId="0" fillId="40" borderId="1" xfId="0" applyFont="1" applyFill="1" applyBorder="1" applyAlignment="1">
      <alignment horizontal="center" vertical="center"/>
    </xf>
    <xf numFmtId="0" fontId="0" fillId="4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1" fillId="41" borderId="0" xfId="0" applyFont="1" applyFill="1" applyAlignment="1">
      <alignment horizontal="right" vertical="center"/>
    </xf>
    <xf numFmtId="166" fontId="1" fillId="41" borderId="1" xfId="3" applyNumberFormat="1" applyFont="1" applyFill="1" applyBorder="1" applyAlignment="1" applyProtection="1">
      <alignment horizontal="right" vertical="center"/>
    </xf>
    <xf numFmtId="0" fontId="0" fillId="0" borderId="1" xfId="3" applyFont="1" applyBorder="1" applyAlignment="1" applyProtection="1">
      <alignment vertical="center" wrapText="1"/>
    </xf>
    <xf numFmtId="0" fontId="0" fillId="4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3" fillId="41" borderId="0" xfId="0" applyFont="1" applyFill="1" applyBorder="1" applyAlignment="1">
      <alignment horizontal="right" vertical="center"/>
    </xf>
    <xf numFmtId="0" fontId="3" fillId="41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107" fillId="41" borderId="1" xfId="2" applyFont="1" applyFill="1" applyBorder="1" applyAlignment="1">
      <alignment horizontal="right" vertical="center" wrapText="1"/>
    </xf>
    <xf numFmtId="0" fontId="107" fillId="42" borderId="1" xfId="2" applyFont="1" applyFill="1" applyBorder="1" applyAlignment="1">
      <alignment horizontal="right" vertical="center" wrapText="1"/>
    </xf>
    <xf numFmtId="4" fontId="107" fillId="41" borderId="1" xfId="2" applyNumberFormat="1" applyFont="1" applyFill="1" applyBorder="1" applyAlignment="1">
      <alignment horizontal="right" vertical="center" wrapText="1"/>
    </xf>
    <xf numFmtId="166" fontId="1" fillId="0" borderId="1" xfId="1" applyFont="1" applyFill="1" applyBorder="1" applyAlignment="1" applyProtection="1">
      <alignment horizontal="right" vertical="center"/>
    </xf>
    <xf numFmtId="166" fontId="1" fillId="41" borderId="1" xfId="1" applyFont="1" applyFill="1" applyBorder="1" applyAlignment="1" applyProtection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1" fillId="41" borderId="1" xfId="2" applyFont="1" applyFill="1" applyBorder="1" applyAlignment="1">
      <alignment horizontal="right" vertical="center" wrapText="1"/>
    </xf>
    <xf numFmtId="0" fontId="1" fillId="42" borderId="1" xfId="2" applyFont="1" applyFill="1" applyBorder="1" applyAlignment="1">
      <alignment horizontal="right" vertical="center" wrapText="1"/>
    </xf>
    <xf numFmtId="166" fontId="1" fillId="0" borderId="1" xfId="3" applyNumberFormat="1" applyFont="1" applyFill="1" applyBorder="1" applyAlignment="1" applyProtection="1">
      <alignment horizontal="right" vertical="center"/>
    </xf>
    <xf numFmtId="166" fontId="0" fillId="41" borderId="1" xfId="3" applyNumberFormat="1" applyFont="1" applyFill="1" applyBorder="1" applyAlignment="1" applyProtection="1">
      <alignment horizontal="right" vertical="center"/>
    </xf>
    <xf numFmtId="166" fontId="0" fillId="41" borderId="1" xfId="1" applyFont="1" applyFill="1" applyBorder="1" applyAlignment="1" applyProtection="1">
      <alignment horizontal="right" vertical="center"/>
    </xf>
    <xf numFmtId="166" fontId="0" fillId="0" borderId="1" xfId="1" applyFont="1" applyFill="1" applyBorder="1" applyAlignment="1" applyProtection="1">
      <alignment horizontal="right" vertical="center"/>
    </xf>
    <xf numFmtId="166" fontId="0" fillId="0" borderId="1" xfId="3" applyNumberFormat="1" applyFont="1" applyFill="1" applyBorder="1" applyAlignment="1" applyProtection="1">
      <alignment horizontal="right" vertical="center"/>
    </xf>
    <xf numFmtId="166" fontId="109" fillId="41" borderId="1" xfId="3" applyNumberFormat="1" applyFont="1" applyFill="1" applyBorder="1" applyAlignment="1" applyProtection="1">
      <alignment horizontal="right" vertical="center"/>
    </xf>
    <xf numFmtId="166" fontId="1" fillId="42" borderId="1" xfId="3" applyNumberFormat="1" applyFont="1" applyFill="1" applyBorder="1" applyAlignment="1" applyProtection="1">
      <alignment horizontal="right" vertical="center"/>
    </xf>
    <xf numFmtId="166" fontId="1" fillId="42" borderId="1" xfId="1" applyFont="1" applyFill="1" applyBorder="1" applyAlignment="1" applyProtection="1">
      <alignment horizontal="right" vertical="center"/>
    </xf>
    <xf numFmtId="0" fontId="1" fillId="0" borderId="1" xfId="0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 wrapText="1"/>
    </xf>
    <xf numFmtId="14" fontId="1" fillId="42" borderId="1" xfId="2" applyNumberFormat="1" applyFont="1" applyFill="1" applyBorder="1" applyAlignment="1">
      <alignment vertical="center" wrapText="1"/>
    </xf>
    <xf numFmtId="0" fontId="0" fillId="0" borderId="1" xfId="0" applyFont="1" applyBorder="1"/>
    <xf numFmtId="0" fontId="0" fillId="41" borderId="1" xfId="0" applyFill="1" applyBorder="1" applyAlignment="1">
      <alignment horizontal="right"/>
    </xf>
    <xf numFmtId="0" fontId="0" fillId="41" borderId="0" xfId="0" applyFont="1" applyFill="1" applyAlignment="1">
      <alignment horizontal="center" vertical="center"/>
    </xf>
    <xf numFmtId="4" fontId="1" fillId="41" borderId="1" xfId="0" applyNumberFormat="1" applyFont="1" applyFill="1" applyBorder="1" applyAlignment="1">
      <alignment horizontal="right" vertical="center"/>
    </xf>
    <xf numFmtId="0" fontId="1" fillId="4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41" borderId="1" xfId="0" applyFont="1" applyFill="1" applyBorder="1" applyAlignment="1">
      <alignment horizontal="right" vertical="center"/>
    </xf>
    <xf numFmtId="0" fontId="0" fillId="44" borderId="1" xfId="0" applyFont="1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0" fillId="42" borderId="1" xfId="0" applyFont="1" applyFill="1" applyBorder="1" applyAlignment="1">
      <alignment horizontal="center"/>
    </xf>
    <xf numFmtId="49" fontId="0" fillId="44" borderId="1" xfId="0" applyNumberFormat="1" applyFill="1" applyBorder="1" applyAlignment="1">
      <alignment horizontal="center" vertical="center"/>
    </xf>
    <xf numFmtId="0" fontId="107" fillId="44" borderId="1" xfId="2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 applyProtection="1">
      <alignment vertical="center"/>
    </xf>
    <xf numFmtId="0" fontId="6" fillId="41" borderId="0" xfId="0" applyFont="1" applyFill="1" applyBorder="1" applyAlignment="1">
      <alignment horizontal="center" vertical="center"/>
    </xf>
    <xf numFmtId="0" fontId="107" fillId="41" borderId="1" xfId="2" applyFont="1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/>
    </xf>
    <xf numFmtId="166" fontId="0" fillId="41" borderId="1" xfId="1" applyFont="1" applyFill="1" applyBorder="1" applyAlignment="1" applyProtection="1">
      <alignment horizontal="center" vertical="center"/>
    </xf>
    <xf numFmtId="0" fontId="1" fillId="41" borderId="1" xfId="2" applyFont="1" applyFill="1" applyBorder="1" applyAlignment="1">
      <alignment horizontal="center" vertical="center" wrapText="1"/>
    </xf>
    <xf numFmtId="0" fontId="107" fillId="0" borderId="1" xfId="2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wrapText="1"/>
    </xf>
    <xf numFmtId="0" fontId="0" fillId="0" borderId="1" xfId="2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1" xfId="0" applyFont="1" applyFill="1" applyBorder="1" applyAlignment="1">
      <alignment horizontal="center"/>
    </xf>
    <xf numFmtId="3" fontId="1" fillId="0" borderId="6" xfId="3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45" borderId="1" xfId="0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4" fontId="1" fillId="41" borderId="1" xfId="0" applyNumberFormat="1" applyFont="1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49" fontId="0" fillId="42" borderId="1" xfId="0" applyNumberFormat="1" applyFill="1" applyBorder="1" applyAlignment="1">
      <alignment horizontal="center" vertical="center"/>
    </xf>
    <xf numFmtId="234" fontId="1" fillId="41" borderId="1" xfId="3" applyNumberFormat="1" applyFont="1" applyFill="1" applyBorder="1" applyAlignment="1" applyProtection="1">
      <alignment horizontal="right" vertical="center"/>
    </xf>
    <xf numFmtId="0" fontId="0" fillId="45" borderId="1" xfId="0" applyFont="1" applyFill="1" applyBorder="1" applyAlignment="1">
      <alignment horizontal="center" vertical="center"/>
    </xf>
    <xf numFmtId="49" fontId="0" fillId="45" borderId="1" xfId="0" applyNumberFormat="1" applyFill="1" applyBorder="1" applyAlignment="1">
      <alignment horizontal="center" vertical="center"/>
    </xf>
    <xf numFmtId="3" fontId="0" fillId="42" borderId="1" xfId="3" applyNumberFormat="1" applyFont="1" applyFill="1" applyBorder="1" applyAlignment="1" applyProtection="1">
      <alignment horizontal="center" vertical="center"/>
    </xf>
    <xf numFmtId="0" fontId="0" fillId="42" borderId="1" xfId="0" applyFill="1" applyBorder="1" applyAlignment="1">
      <alignment horizontal="center"/>
    </xf>
    <xf numFmtId="166" fontId="0" fillId="42" borderId="1" xfId="3" applyNumberFormat="1" applyFont="1" applyFill="1" applyBorder="1" applyAlignment="1" applyProtection="1">
      <alignment horizontal="right" vertical="center"/>
    </xf>
    <xf numFmtId="0" fontId="0" fillId="42" borderId="35" xfId="0" applyFill="1" applyBorder="1" applyAlignment="1">
      <alignment horizontal="center" vertical="center"/>
    </xf>
    <xf numFmtId="0" fontId="0" fillId="41" borderId="1" xfId="0" applyFont="1" applyFill="1" applyBorder="1" applyAlignment="1">
      <alignment horizontal="center" vertical="center"/>
    </xf>
    <xf numFmtId="4" fontId="0" fillId="41" borderId="1" xfId="0" applyNumberFormat="1" applyFont="1" applyFill="1" applyBorder="1" applyAlignment="1">
      <alignment horizontal="center" vertical="center"/>
    </xf>
    <xf numFmtId="3" fontId="0" fillId="0" borderId="1" xfId="3" applyNumberFormat="1" applyFont="1" applyFill="1" applyBorder="1" applyAlignment="1" applyProtection="1">
      <alignment horizontal="left" vertical="center"/>
    </xf>
    <xf numFmtId="0" fontId="0" fillId="46" borderId="1" xfId="0" applyFont="1" applyFill="1" applyBorder="1" applyAlignment="1">
      <alignment horizontal="center" vertical="center"/>
    </xf>
    <xf numFmtId="14" fontId="0" fillId="47" borderId="1" xfId="0" applyNumberFormat="1" applyFill="1" applyBorder="1" applyAlignment="1">
      <alignment horizontal="center" vertical="center"/>
    </xf>
    <xf numFmtId="14" fontId="107" fillId="47" borderId="1" xfId="2" applyNumberFormat="1" applyFont="1" applyFill="1" applyBorder="1" applyAlignment="1">
      <alignment horizontal="center" vertical="center" wrapText="1"/>
    </xf>
    <xf numFmtId="14" fontId="110" fillId="47" borderId="1" xfId="0" applyNumberFormat="1" applyFont="1" applyFill="1" applyBorder="1" applyAlignment="1">
      <alignment horizontal="center" vertical="center"/>
    </xf>
    <xf numFmtId="2" fontId="1" fillId="41" borderId="1" xfId="0" applyNumberFormat="1" applyFont="1" applyFill="1" applyBorder="1" applyAlignment="1">
      <alignment horizontal="right" vertical="center"/>
    </xf>
    <xf numFmtId="4" fontId="0" fillId="41" borderId="1" xfId="0" applyNumberFormat="1" applyFont="1" applyFill="1" applyBorder="1" applyAlignment="1">
      <alignment horizontal="right" vertical="center"/>
    </xf>
    <xf numFmtId="0" fontId="110" fillId="44" borderId="1" xfId="0" applyFont="1" applyFill="1" applyBorder="1" applyAlignment="1">
      <alignment horizontal="center" vertical="center"/>
    </xf>
    <xf numFmtId="0" fontId="0" fillId="42" borderId="35" xfId="0" applyFill="1" applyBorder="1" applyAlignment="1">
      <alignment horizontal="center" vertical="center"/>
    </xf>
    <xf numFmtId="0" fontId="0" fillId="42" borderId="6" xfId="0" applyFill="1" applyBorder="1" applyAlignment="1">
      <alignment horizontal="center" vertical="center"/>
    </xf>
    <xf numFmtId="0" fontId="0" fillId="42" borderId="3" xfId="0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0" fillId="44" borderId="35" xfId="0" applyFill="1" applyBorder="1" applyAlignment="1">
      <alignment horizontal="center" vertical="center"/>
    </xf>
    <xf numFmtId="0" fontId="0" fillId="44" borderId="6" xfId="0" applyFill="1" applyBorder="1" applyAlignment="1">
      <alignment horizontal="center" vertical="center"/>
    </xf>
    <xf numFmtId="0" fontId="0" fillId="44" borderId="3" xfId="0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41" borderId="0" xfId="0" applyFont="1" applyFill="1" applyBorder="1" applyAlignment="1">
      <alignment horizontal="center" vertical="center"/>
    </xf>
    <xf numFmtId="0" fontId="108" fillId="2" borderId="1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36" xfId="2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4" fontId="107" fillId="0" borderId="1" xfId="2" applyNumberFormat="1" applyFont="1" applyFill="1" applyBorder="1" applyAlignment="1">
      <alignment horizontal="center" vertical="center" wrapText="1"/>
    </xf>
  </cellXfs>
  <cellStyles count="1790">
    <cellStyle name="$* #,##0.0;[Red]" xfId="4"/>
    <cellStyle name="$* #,##0.00;[Red]" xfId="5"/>
    <cellStyle name="$* #,##0;[Red]" xfId="6"/>
    <cellStyle name="%" xfId="7"/>
    <cellStyle name="?…‹?ђ?‚? [0.00]_GE 3 MINIMUM" xfId="8"/>
    <cellStyle name="?…‹?ђ?‚?_GE 3 MINIMUM" xfId="9"/>
    <cellStyle name="]_x000d__x000a_Zoomed=1_x000d__x000a_Row=0_x000d__x000a_Column=0_x000d__x000a_Height=0_x000d__x000a_Width=0_x000d__x000a_FontName=FoxFont_x000d__x000a_FontStyle=0_x000d__x000a_FontSize=9_x000d__x000a_PrtFontName=FoxPrin" xfId="10"/>
    <cellStyle name="_  СМЕТЫ 2003Г-3вар." xfId="11"/>
    <cellStyle name="_  СМЕТЫ 2003Г-4вар." xfId="12"/>
    <cellStyle name="_~9200804" xfId="13"/>
    <cellStyle name="_06_ожид.(ув. себ.)" xfId="14"/>
    <cellStyle name="_06_оперативка_(30.06.04)" xfId="15"/>
    <cellStyle name="_1 1  Расчет порог ценв (3)" xfId="16"/>
    <cellStyle name="_1 КВ03_ПДС" xfId="17"/>
    <cellStyle name="_1 кв-л" xfId="18"/>
    <cellStyle name="_1.0. Станд форма  ИНВ 10 11 12" xfId="19"/>
    <cellStyle name="_1_ квартал_ РИТЭК_К1" xfId="20"/>
    <cellStyle name="_1-2 кв. (21C и 21 от 28.05.03)" xfId="21"/>
    <cellStyle name="_13 01 2003 Форма 52 НОВАЯ рассылка 15-00 (14.01.03)" xfId="22"/>
    <cellStyle name="_13 Расходы будущих периодов (27.07)" xfId="23"/>
    <cellStyle name="_18 форма" xfId="24"/>
    <cellStyle name="_2 кв - М. (GAAP)" xfId="25"/>
    <cellStyle name="_2 кв 2003 НК вероятный_Консолидация" xfId="26"/>
    <cellStyle name="_2 кв 2003 НК вероятный_Российская часть1" xfId="27"/>
    <cellStyle name="_2 кв 2003 НК пессимист_Консолидация" xfId="28"/>
    <cellStyle name="_2 квартал план" xfId="29"/>
    <cellStyle name="_2002 ЗАО Пермь прогноз" xfId="30"/>
    <cellStyle name="_2002 Пермь Прогноз" xfId="31"/>
    <cellStyle name="_2003 07 29 Верхн бюдж формы (шаблон)" xfId="32"/>
    <cellStyle name="_2003 г - ожид выполн ИП" xfId="33"/>
    <cellStyle name="_2003 ож нов стр-ра_10дек03" xfId="34"/>
    <cellStyle name="_2003 Ф21" xfId="35"/>
    <cellStyle name="_2003-возвратный план в НК_2512" xfId="36"/>
    <cellStyle name="_2004 ГОД_ПЕРМЬутвержд." xfId="37"/>
    <cellStyle name="_2005г (17.07.04г) план  Аксаитовнефть  (реал на Белорус) " xfId="38"/>
    <cellStyle name="_2009 Ожидаемые ИНВ" xfId="39"/>
    <cellStyle name="_2009 Ожидаемые СЕБ" xfId="40"/>
    <cellStyle name="_2009-2010-2011-2012 от 26.08.09" xfId="41"/>
    <cellStyle name="_21 НГДО-1" xfId="42"/>
    <cellStyle name="_21 НГДО-1.(изм.Коми)" xfId="43"/>
    <cellStyle name="_21 Российские НГДО (БК)" xfId="44"/>
    <cellStyle name="_21 Российские НГДО ЛОХЛ (БК)" xfId="45"/>
    <cellStyle name="_21Н_БС" xfId="46"/>
    <cellStyle name="_21Н_НГДО" xfId="47"/>
    <cellStyle name="_21С-2003г" xfId="48"/>
    <cellStyle name="_21С-2003г_2003 07 29 Верхн бюдж формы (шаблон)" xfId="49"/>
    <cellStyle name="_21С-2003г_21 НГДО-3кв (принято)" xfId="50"/>
    <cellStyle name="_21С-2003г_5 Формы документов по Врем.рег" xfId="51"/>
    <cellStyle name="_21С-2003г_51" xfId="52"/>
    <cellStyle name="_21С-2003г_51к" xfId="53"/>
    <cellStyle name="_21С-2003г_Book11" xfId="54"/>
    <cellStyle name="_21С-2003г_Budget_Form СВОД ВРЕМ РЕГЛ" xfId="55"/>
    <cellStyle name="_21С-2003г_БН_БС" xfId="56"/>
    <cellStyle name="_21С-2003г_БНГ_БС" xfId="57"/>
    <cellStyle name="_21С-2003г_БПГ_НГДО" xfId="58"/>
    <cellStyle name="_21С-2003г_бюд.2004г.(упр.расх.ООО ЛЗС)Моск.Люба 24.11.03" xfId="59"/>
    <cellStyle name="_21С-2003г_бюд.Упр.расх.2004г.ООО" xfId="60"/>
    <cellStyle name="_21С-2003г_внер-18.(возвр)" xfId="61"/>
    <cellStyle name="_21С-2003г_Вспомогательные 2002" xfId="62"/>
    <cellStyle name="_21С-2003г_ДДС" xfId="63"/>
    <cellStyle name="_21С-2003г_Книга1" xfId="64"/>
    <cellStyle name="_21С-2003г_Книга2" xfId="65"/>
    <cellStyle name="_21С-2003г_Книга2_IVквНВгод03" xfId="66"/>
    <cellStyle name="_21С-2003г_Книга3" xfId="67"/>
    <cellStyle name="_21С-2003г_Комм и управл" xfId="68"/>
    <cellStyle name="_21С-2003г_Комм и управл1" xfId="69"/>
    <cellStyle name="_21С-2003г_Лист1" xfId="70"/>
    <cellStyle name="_21С-2003г_новая форма 14- 2003г" xfId="71"/>
    <cellStyle name="_21С-2003г_новая форма 21-НГДО" xfId="72"/>
    <cellStyle name="_21С-2003г_новая форма по НГДО" xfId="73"/>
    <cellStyle name="_21С-2003г_ОР комиссия_2007г_290906" xfId="74"/>
    <cellStyle name="_21С-2003г_Пакет РФ_опт3_низ сс_26авг03 (1)" xfId="75"/>
    <cellStyle name="_21С-2003г_ПДДС  форма НК (20) п" xfId="76"/>
    <cellStyle name="_21С-2003г_ПДДС  форма НК (20)_23май03" xfId="77"/>
    <cellStyle name="_21С-2003г_ПДДС  форма НК (20)_26май03" xfId="78"/>
    <cellStyle name="_21С-2003г_ПДДС  форма НК (22)_23май03" xfId="79"/>
    <cellStyle name="_21С-2003г_ПДДС  форма НК (22)_26май03" xfId="80"/>
    <cellStyle name="_21С-2003г_ПДДС  форма НК (22)п" xfId="81"/>
    <cellStyle name="_21С-2003г_План  ФАКТ Газ 2002г." xfId="82"/>
    <cellStyle name="_21С-2003г_План Январь Утвер.предв." xfId="83"/>
    <cellStyle name="_21С-2003г_приб-уб(51к)" xfId="84"/>
    <cellStyle name="_21С-2003г_Ритэк-2003" xfId="85"/>
    <cellStyle name="_21С-2003г_Смета коммерческих и управл.на 2003 г" xfId="86"/>
    <cellStyle name="_21С-2003г_структура цены" xfId="87"/>
    <cellStyle name="_21С-2003г_Управленческие" xfId="88"/>
    <cellStyle name="_21С-2003г_Управленческие по ф.2004" xfId="89"/>
    <cellStyle name="_21С-2003г_Ф 53" xfId="90"/>
    <cellStyle name="_21С-2003г_форма 14- 2003г (после СД)." xfId="91"/>
    <cellStyle name="_21С-2003г_форма 14- 2003г 1." xfId="92"/>
    <cellStyle name="_21С-2003г_Форма 21.1" xfId="93"/>
    <cellStyle name="_21С-2003г_форма 21-НГДО 2003г" xfId="94"/>
    <cellStyle name="_21С-2003г_формы 18 " xfId="95"/>
    <cellStyle name="_21С-2003г_Формы ГПЗ 3кв" xfId="96"/>
    <cellStyle name="_21С-2003г_Формы для БК" xfId="97"/>
    <cellStyle name="_21С-2003г_Формы ежемес отчетов" xfId="98"/>
    <cellStyle name="_21С-2003г_формы по добыче и газопереработке1" xfId="99"/>
    <cellStyle name="_21С-2003г_Формы_2004-2006_060803" xfId="100"/>
    <cellStyle name="_21С-2003г_ФормыАГДдлябюджетIIIкв03гскорр" xfId="101"/>
    <cellStyle name="_21С-уточ" xfId="102"/>
    <cellStyle name="_21С-уточ_2 кв 2003 НК вероятный_Консолидация" xfId="103"/>
    <cellStyle name="_21С-уточ_2 кв 2003 НК вероятный_Российская часть1" xfId="104"/>
    <cellStyle name="_21С-уточ_2 кв 2003 НК пессимист_Консолидация" xfId="105"/>
    <cellStyle name="_21С-уточ_2002 ЗАО Пермь прогноз" xfId="106"/>
    <cellStyle name="_21С-уточ_2003 2 кв  Хазар" xfId="107"/>
    <cellStyle name="_21С-уточ_2003-возвратный план в НК_2512" xfId="108"/>
    <cellStyle name="_21С-уточ_2004-2006гг_240903_01-20" xfId="109"/>
    <cellStyle name="_21С-уточ_21 НГДО-1" xfId="110"/>
    <cellStyle name="_21С-уточ_21 НГДО-1.(изм.Коми)" xfId="111"/>
    <cellStyle name="_21С-уточ_21 НГДО-3кв (принято)" xfId="112"/>
    <cellStyle name="_21С-уточ_2кв_18ф_28.02.03" xfId="113"/>
    <cellStyle name="_21С-уточ_5 Формы документов по Врем.рег" xfId="114"/>
    <cellStyle name="_21С-уточ_Book11" xfId="115"/>
    <cellStyle name="_21С-уточ_BUDGET_ 2003_3кв_070703" xfId="116"/>
    <cellStyle name="_21С-уточ_IIквАГДгод03" xfId="117"/>
    <cellStyle name="_21С-уточ_IIквНВЭконпл02К" xfId="118"/>
    <cellStyle name="_21С-уточ_IVквАГДгод03" xfId="119"/>
    <cellStyle name="_21С-уточ_IVквНВгод03" xfId="120"/>
    <cellStyle name="_21С-уточ_LUKOIL forms 2003 LOHL consolidated v5 16 oct 2002" xfId="121"/>
    <cellStyle name="_21С-уточ_АГДгод03" xfId="122"/>
    <cellStyle name="_21С-уточ_АГДгод03_21 НГДО-3кв (принято)" xfId="123"/>
    <cellStyle name="_21С-уточ_Битран2003-после рассмотрения" xfId="124"/>
    <cellStyle name="_21С-уточ_Битран-март" xfId="125"/>
    <cellStyle name="_21С-уточ_Бюд на янв" xfId="126"/>
    <cellStyle name="_21С-уточ_Бюд.2002г энон.план(ожид)" xfId="127"/>
    <cellStyle name="_21С-уточ_Бюд.2003г энон.план." xfId="128"/>
    <cellStyle name="_21С-уточ_Бюд.2003г энон.план.(инвест.3925,2)" xfId="129"/>
    <cellStyle name="_21С-уточ_Бюд.ПНГП на I кв.2003.(для фин)" xfId="130"/>
    <cellStyle name="_21С-уточ_Бюджет на 2004-2006ггКоми" xfId="131"/>
    <cellStyle name="_21С-уточ_БЮДЖЕТ на ноябрь" xfId="132"/>
    <cellStyle name="_21С-уточ_БЮДЖЕТ-ЗС-2003год-44680Лена" xfId="133"/>
    <cellStyle name="_21С-уточ_БюдЗС-2002год-4кв" xfId="134"/>
    <cellStyle name="_21С-уточ_временно" xfId="135"/>
    <cellStyle name="_21С-уточ_ЗАО_20_АЛД_3июн03" xfId="136"/>
    <cellStyle name="_21С-уточ_Защита  III  квартала (таблицы)" xfId="137"/>
    <cellStyle name="_21С-уточ_Источники-2002(1кв)" xfId="138"/>
    <cellStyle name="_21С-уточ_Итоги 2002г-(ожид.) 30.01.03г." xfId="139"/>
    <cellStyle name="_21С-уточ_Книга1" xfId="140"/>
    <cellStyle name="_21С-уточ_Книга2" xfId="141"/>
    <cellStyle name="_21С-уточ_Книга23" xfId="142"/>
    <cellStyle name="_21С-уточ_Книга3" xfId="143"/>
    <cellStyle name="_21С-уточ_Книга3_1" xfId="144"/>
    <cellStyle name="_21С-уточ_Книга4" xfId="145"/>
    <cellStyle name="_21С-уточ_Комм и управл1" xfId="146"/>
    <cellStyle name="_21С-уточ_коммерч" xfId="147"/>
    <cellStyle name="_21С-уточ_Контр и контролир показатели 1кв 2004" xfId="148"/>
    <cellStyle name="_21С-уточ_ЛУКОЙЛ_Бюджет-2003_3008" xfId="149"/>
    <cellStyle name="_21С-уточ_НВгод03" xfId="150"/>
    <cellStyle name="_21С-уточ_НВгод03_21 НГДО-3кв (принято)" xfId="151"/>
    <cellStyle name="_21С-уточ_НВгод03_структура цены" xfId="152"/>
    <cellStyle name="_21С-уточ_НГДО-2002-2кв 1" xfId="153"/>
    <cellStyle name="_21С-уточ_НГДО-2002-2кв 1кристина" xfId="154"/>
    <cellStyle name="_21С-уточ_НГДО-2002-2кв-11" xfId="155"/>
    <cellStyle name="_21С-уточ_НГДО-2002-2кв2" xfId="156"/>
    <cellStyle name="_21С-уточ_НГДО-2002-3кв" xfId="157"/>
    <cellStyle name="_21С-уточ_НГДО-2002-3кв(нов)-4" xfId="158"/>
    <cellStyle name="_21С-уточ_НГДО-2002-3кв(нов)-8" xfId="159"/>
    <cellStyle name="_21С-уточ_НГДО-2002-4кв" xfId="160"/>
    <cellStyle name="_21С-уточ_НГДО-2002-расчет2002-СнижДобычи" xfId="161"/>
    <cellStyle name="_21С-уточ_НГДО-Анашкин2" xfId="162"/>
    <cellStyle name="_21С-уточ_новая форма 14- 2003г" xfId="163"/>
    <cellStyle name="_21С-уточ_новая форма 21 С- 2003г" xfId="164"/>
    <cellStyle name="_21С-уточ_новая форма 21-НГДО" xfId="165"/>
    <cellStyle name="_21С-уточ_новая форма по НГДО" xfId="166"/>
    <cellStyle name="_21С-уточ_Ожид 1кв2003_фЛУК_ЛОХЛв1_14мар031" xfId="167"/>
    <cellStyle name="_21С-уточ_Пермнефть2003 -1 квартал" xfId="168"/>
    <cellStyle name="_21С-уточ_Пермнефть2003 -1 кварталс учетом ИСУ НГДО" xfId="169"/>
    <cellStyle name="_21С-уточ_Пермнефть2003 после рассмотрения" xfId="170"/>
    <cellStyle name="_21С-уточ_Пермнефть-март" xfId="171"/>
    <cellStyle name="_21С-уточ_пЛУК_ЛОХЛк2к03_НИВв1_280403" xfId="172"/>
    <cellStyle name="_21С-уточ_По кварталам приб" xfId="173"/>
    <cellStyle name="_21С-уточ_По кварталам приб (прил21-3кварт)" xfId="174"/>
    <cellStyle name="_21С-уточ_показатели 1полугод_Кристине" xfId="175"/>
    <cellStyle name="_21С-уточ_ПредложенияЗСна2003год" xfId="176"/>
    <cellStyle name="_21С-уточ_ПРОГНОЗ 2002-2005г(Люба)" xfId="177"/>
    <cellStyle name="_21С-уточ_прогноз 2005(21)-допГаз" xfId="178"/>
    <cellStyle name="_21С-уточ_ПРОГНОЗдо2006г(апр2003г)" xfId="179"/>
    <cellStyle name="_21С-уточ_ПроектЗС-2003г(дляЗС)18.10.2002г" xfId="180"/>
    <cellStyle name="_21С-уточ_Расшифровки статей себестоимости" xfId="181"/>
    <cellStyle name="_21С-уточ_РИТЭК-2003-нов" xfId="182"/>
    <cellStyle name="_21С-уточ_СВОД-2002-07.12.2001г" xfId="183"/>
    <cellStyle name="_21С-уточ_себ по Регламенту" xfId="184"/>
    <cellStyle name="_21С-уточ_Сентябрь-Люба" xfId="185"/>
    <cellStyle name="_21С-уточ_смета дох и расходов" xfId="186"/>
    <cellStyle name="_21С-уточ_смета дох и расходов-янв" xfId="187"/>
    <cellStyle name="_21С-уточ_структура цены" xfId="188"/>
    <cellStyle name="_21С-уточ_ТЭП 2002" xfId="189"/>
    <cellStyle name="_21С-уточ_управл" xfId="190"/>
    <cellStyle name="_21С-уточ_Ф 51" xfId="191"/>
    <cellStyle name="_21С-уточ_Ф 51 (по регламенту)" xfId="192"/>
    <cellStyle name="_21С-уточ_Ф 511" xfId="193"/>
    <cellStyle name="_21С-уточ_ф.18" xfId="194"/>
    <cellStyle name="_21С-уточ_ф.51" xfId="195"/>
    <cellStyle name="_21С-уточ_ф.51 ноябрь 2002 г." xfId="196"/>
    <cellStyle name="_21С-уточ_ф.51 ноябрь 2002 г._21 НГДО-3кв (принято)" xfId="197"/>
    <cellStyle name="_21С-уточ_ф.51 ноябрь 2002 г._структура цены" xfId="198"/>
    <cellStyle name="_21С-уточ_Ф_14-_2003_Л" xfId="199"/>
    <cellStyle name="_21С-уточ_Ф_18_2003_Л" xfId="200"/>
    <cellStyle name="_21С-уточ_Ф_20-_2003_Л" xfId="201"/>
    <cellStyle name="_21С-уточ_Ф_21 НГДО 2003_Л" xfId="202"/>
    <cellStyle name="_21С-уточ_Ф_21 С_ 2003_Л" xfId="203"/>
    <cellStyle name="_21С-уточ_Ф_31_2003_Л" xfId="204"/>
    <cellStyle name="_21С-уточ_Ф21К1_фЛУК_ЛОХЛк1-2к03_АЛД_02июнь03_1550" xfId="205"/>
    <cellStyle name="_21С-уточ_Ф21К1К251-53_пЛУК_ЛОХЛк1к03_ННВв1_ЛУКОЙЛ_22111" xfId="206"/>
    <cellStyle name="_21С-уточ_форма 14- 2003г" xfId="207"/>
    <cellStyle name="_21С-уточ_форма 14- 2003г (после СД)." xfId="208"/>
    <cellStyle name="_21С-уточ_Форма 14- для ГУКБЭПИ" xfId="209"/>
    <cellStyle name="_21С-уточ_форма 14,1- 2003г" xfId="210"/>
    <cellStyle name="_21С-уточ_форма 14." xfId="211"/>
    <cellStyle name="_21С-уточ_форма 18- 2003г" xfId="212"/>
    <cellStyle name="_21С-уточ_форма 20- 2003г" xfId="213"/>
    <cellStyle name="_21С-уточ_форма 21 С- 2003г" xfId="214"/>
    <cellStyle name="_21С-уточ_форма 21 С- 2003г(после СД)" xfId="215"/>
    <cellStyle name="_21С-уточ_форма 21-НГДО 2003г" xfId="216"/>
    <cellStyle name="_21С-уточ_форма 21-НГДО 2003г-1" xfId="217"/>
    <cellStyle name="_21С-уточ_форма 21-НГДО 2003г-мой1" xfId="218"/>
    <cellStyle name="_21С-уточ_форма 21-НГДО от 28.11.02" xfId="219"/>
    <cellStyle name="_21С-уточ_форма 31- 2003г" xfId="220"/>
    <cellStyle name="_21С-уточ_форма 51_Люба" xfId="221"/>
    <cellStyle name="_21С-уточ_ФОРМЫ ГУКБЭПИ-04.07.03" xfId="222"/>
    <cellStyle name="_21С-уточ_ФОРМЫ ГУКБЭПИ-10.07.03" xfId="223"/>
    <cellStyle name="_21С-уточ_Формы для БК" xfId="224"/>
    <cellStyle name="_21С-уточ_Формы для Вик. Андр" xfId="225"/>
    <cellStyle name="_21С-уточ_Формы для предприятий  2004-2006 г.г." xfId="226"/>
    <cellStyle name="_21С-уточ_Формы для РИТЭК 2004-2006г (раб.)" xfId="227"/>
    <cellStyle name="_21С-уточ_ФОРМЫ_2003_ЗАО" xfId="228"/>
    <cellStyle name="_21С-уточ_ФОРМЫ2003годНГДО" xfId="229"/>
    <cellStyle name="_21С-уточ_ФОРМЫ2003годНК эконом8663" xfId="230"/>
    <cellStyle name="_21С-уточ_ФОРМЫ2003годНК эконом8663 ( 170)" xfId="231"/>
    <cellStyle name="_21С-уточПН" xfId="232"/>
    <cellStyle name="_21С-уточПН_21 НГДО-3кв (принято)" xfId="233"/>
    <cellStyle name="_21С-уточПН_IIквАГДгод03" xfId="234"/>
    <cellStyle name="_21С-уточПН_IVквАГДгод03" xfId="235"/>
    <cellStyle name="_21С-уточПН_IVквНВгод03" xfId="236"/>
    <cellStyle name="_21С-уточПН_Бюд.ПНГП на III кв.2003г." xfId="237"/>
    <cellStyle name="_21С-уточПН_Бюджет 4 квартала из Москвы" xfId="238"/>
    <cellStyle name="_21С-уточПН_Книга1" xfId="239"/>
    <cellStyle name="_21С-уточПН_Контр и контролир показатели 1кв 2004" xfId="240"/>
    <cellStyle name="_21С-уточПН_показатели 1полугод_Кристине" xfId="241"/>
    <cellStyle name="_21С-уточПН_Форма 21.1.2 кв" xfId="242"/>
    <cellStyle name="_21форма_2007факт" xfId="243"/>
    <cellStyle name="_2кв_18ф_28.02.03" xfId="244"/>
    <cellStyle name="_3 КВ 2004 ПЛАН РОССИЯ" xfId="245"/>
    <cellStyle name="_3 КВ02_ПДС" xfId="246"/>
    <cellStyle name="_4 КВ02_ПДС утвержденный" xfId="247"/>
    <cellStyle name="_4 квартал 2002 г  смета  и  прочие" xfId="248"/>
    <cellStyle name="_5 Формы документов по Врем.рег" xfId="249"/>
    <cellStyle name="_51" xfId="250"/>
    <cellStyle name="_51_070803" xfId="251"/>
    <cellStyle name="_51_21 НГДО-3кв (принято)" xfId="252"/>
    <cellStyle name="_51_структура цены" xfId="253"/>
    <cellStyle name="_51к" xfId="254"/>
    <cellStyle name="_51к_21 НГДО-3кв (принято)" xfId="255"/>
    <cellStyle name="_51к_структура цены" xfId="256"/>
    <cellStyle name="_7 1 ПНП от 1 07 08" xfId="257"/>
    <cellStyle name="_7.1." xfId="258"/>
    <cellStyle name="_7.1.ПНП от 1.07.08" xfId="259"/>
    <cellStyle name="_anabokova_36801109" xfId="260"/>
    <cellStyle name="_April_оперативка" xfId="261"/>
    <cellStyle name="_Book11" xfId="262"/>
    <cellStyle name="_Budget_Form СВОД ВРЕМ РЕГЛ" xfId="263"/>
    <cellStyle name="_Budget_Form СВОД ВРЕМ РЕГЛ_21 НГДО-3кв (принято)" xfId="264"/>
    <cellStyle name="_Budget_Form СВОД ВРЕМ РЕГЛ_изменения10" xfId="265"/>
    <cellStyle name="_Budget_Form СВОД ВРЕМ РЕГЛ_структура цены" xfId="266"/>
    <cellStyle name="_BUDGET_ПН2002(2)" xfId="267"/>
    <cellStyle name="_BUDGET_ПН2002(2)_БЮДЖЕТ-ЗС-2003год-44680Лена" xfId="268"/>
    <cellStyle name="_BUDGET_ПН2002(2)_новая форма по НГДО" xfId="269"/>
    <cellStyle name="_BUDGET_ПН2002(2)_По кварталам приб" xfId="270"/>
    <cellStyle name="_BUDGET_ПН2002(2)_По кварталам приб (прил21-3кварт)" xfId="271"/>
    <cellStyle name="_BUDGET_ПН2002(2)_ПредложенияЗСна2003год" xfId="272"/>
    <cellStyle name="_BUDGET_ПН2002(2)_ПроектЗС-2003г(дляЗС)18.10.2002г" xfId="273"/>
    <cellStyle name="_BUDGET_ПН2002(2)_ф.51 ноябрь 2002 г." xfId="274"/>
    <cellStyle name="_BUDGET_ПН2002(2)_форма 14- 2003г" xfId="275"/>
    <cellStyle name="_BUDGET_ПН2002(2)_форма 14- 2003г (после СД)." xfId="276"/>
    <cellStyle name="_BUDGET_ПН2002(2)_форма 14,1- 2003г" xfId="277"/>
    <cellStyle name="_BUDGET_ПН2002(2)_форма 18- 2003г" xfId="278"/>
    <cellStyle name="_BUDGET_ПН2002(2)_форма 20- 2003г" xfId="279"/>
    <cellStyle name="_BUDGET_ПН2002(2)_форма 21 С- 2003г" xfId="280"/>
    <cellStyle name="_BUDGET_ПН2002(2)_форма 21 С- 2003г(после СД)" xfId="281"/>
    <cellStyle name="_BUDGET_ПН2002(2)_форма 21-НГДО 2003г" xfId="282"/>
    <cellStyle name="_BUDGET_ПН2002(2)_форма 31- 2003г" xfId="283"/>
    <cellStyle name="_IIквНВЭконпл02К" xfId="284"/>
    <cellStyle name="_IVквАГДгод03" xfId="285"/>
    <cellStyle name="_IVквНВгод03" xfId="286"/>
    <cellStyle name="_IквАМнЭконпл02К" xfId="287"/>
    <cellStyle name="_LUKOIL forms 2003 LOHL consolidated v5 16 oct 2002" xfId="288"/>
    <cellStyle name="_LUKOIL forms 2003 LOHL consolidated v5 16 oct 2002_21 НГДО-3кв (принято)" xfId="289"/>
    <cellStyle name="_May_group" xfId="290"/>
    <cellStyle name="_May_group (1)" xfId="291"/>
    <cellStyle name="_PL на 26.12с ГРР квартал прав КД (1)" xfId="292"/>
    <cellStyle name="_RITEK К-1К-2 2 кв 2004 19.02.04" xfId="293"/>
    <cellStyle name="_RITEK_K-1_K-2_2004" xfId="294"/>
    <cellStyle name="_SIP-09-2001" xfId="295"/>
    <cellStyle name="_Versiy-5" xfId="296"/>
    <cellStyle name="_АГДгод03" xfId="297"/>
    <cellStyle name="_АГДгод03_21 НГДО-3кв (принято)" xfId="298"/>
    <cellStyle name="_Аксаитовнефть ПДДС на 2003г." xfId="299"/>
    <cellStyle name="_Анализ товарных услуг 2005г." xfId="300"/>
    <cellStyle name="_АрхГД_план(консолидир)_январь_261201" xfId="301"/>
    <cellStyle name="_АрхГД_план_январь_261201" xfId="302"/>
    <cellStyle name="_АстрМН_план_январь_251201" xfId="303"/>
    <cellStyle name="_Битран_план_январь_251201" xfId="304"/>
    <cellStyle name="_Битран2003-после рассмотрения" xfId="305"/>
    <cellStyle name="_БН_БС" xfId="306"/>
    <cellStyle name="_БНГ_БС" xfId="307"/>
    <cellStyle name="_БПГ_НГДО" xfId="308"/>
    <cellStyle name="_Бюд на янв" xfId="309"/>
    <cellStyle name="_Бюд.2002г ЛУКОЙЛ-Коми.раб" xfId="310"/>
    <cellStyle name="_Бюд.2002г ЛУКОЙЛ-КомиЛена" xfId="311"/>
    <cellStyle name="_Бюд.2002г ЛУКОЙЛ-КомиЛена_2003 07 29 Верхн бюдж формы (шаблон)" xfId="312"/>
    <cellStyle name="_Бюд.2002г ЛУКОЙЛ-КомиЛена_2003 ож нов стр-ра_10дек03" xfId="313"/>
    <cellStyle name="_Бюд.2002г ЛУКОЙЛ-КомиЛена_21 НГДО-3кв (принято)" xfId="314"/>
    <cellStyle name="_Бюд.2002г ЛУКОЙЛ-КомиЛена_5 Формы документов по Врем.рег" xfId="315"/>
    <cellStyle name="_Бюд.2002г ЛУКОЙЛ-КомиЛена_Book11" xfId="316"/>
    <cellStyle name="_Бюд.2002г ЛУКОЙЛ-КомиЛена_Амортизация 2005 6 мес." xfId="317"/>
    <cellStyle name="_Бюд.2002г ЛУКОЙЛ-КомиЛена_Амортизация 2005 9 мес." xfId="318"/>
    <cellStyle name="_Бюд.2002г ЛУКОЙЛ-КомиЛена_Амортизация 2005 год" xfId="319"/>
    <cellStyle name="_Бюд.2002г ЛУКОЙЛ-КомиЛена_Анализ АХР 2005 г по группе НК 21.02.06" xfId="320"/>
    <cellStyle name="_Бюд.2002г ЛУКОЙЛ-КомиЛена_Аудиторам факт 2005 год только Л-П3" xfId="321"/>
    <cellStyle name="_Бюд.2002г ЛУКОЙЛ-КомиЛена_АХР_ факт группа по кварталам 2005 г" xfId="322"/>
    <cellStyle name="_Бюд.2002г ЛУКОЙЛ-КомиЛена_БН_БС" xfId="323"/>
    <cellStyle name="_Бюд.2002г ЛУКОЙЛ-КомиЛена_БНГ_БС" xfId="324"/>
    <cellStyle name="_Бюд.2002г ЛУКОЙЛ-КомиЛена_БПГ_НГДО" xfId="325"/>
    <cellStyle name="_Бюд.2002г ЛУКОЙЛ-КомиЛена_бюд.2004г.(упр.расх.ООО ЛЗС)Моск.Люба 24.11.03" xfId="326"/>
    <cellStyle name="_Бюд.2002г ЛУКОЙЛ-КомиЛена_бюд.Упр.расх.2004г.ООО" xfId="327"/>
    <cellStyle name="_Бюд.2002г ЛУКОЙЛ-КомиЛена_ДДС" xfId="328"/>
    <cellStyle name="_Бюд.2002г ЛУКОЙЛ-КомиЛена_ЗАО_20_АЛД_3июн03" xfId="329"/>
    <cellStyle name="_Бюд.2002г ЛУКОЙЛ-КомиЛена_КАЛК план-факт 2004 г. ЛП (2)" xfId="330"/>
    <cellStyle name="_Бюд.2002г ЛУКОЙЛ-КомиЛена_Кап ремонт скважин" xfId="331"/>
    <cellStyle name="_Бюд.2002г ЛУКОЙЛ-КомиЛена_Книга1" xfId="332"/>
    <cellStyle name="_Бюд.2002г ЛУКОЙЛ-КомиЛена_Комм и управл" xfId="333"/>
    <cellStyle name="_Бюд.2002г ЛУКОЙЛ-КомиЛена_Комм и управл1" xfId="334"/>
    <cellStyle name="_Бюд.2002г ЛУКОЙЛ-КомиЛена_Не входящие в валовую" xfId="335"/>
    <cellStyle name="_Бюд.2002г ЛУКОЙЛ-КомиЛена_ОХ_факт R3_2006 г" xfId="336"/>
    <cellStyle name="_Бюд.2002г ЛУКОЙЛ-КомиЛена_Пакет РФ_опт3_низ сс_26авг03 (1)" xfId="337"/>
    <cellStyle name="_Бюд.2002г ЛУКОЙЛ-КомиЛена_ПНП" xfId="338"/>
    <cellStyle name="_Бюд.2002г ЛУКОЙЛ-КомиЛена_Приложение _ 2 Формы для предприятий  2004-2006 (2)" xfId="339"/>
    <cellStyle name="_Бюд.2002г ЛУКОЙЛ-КомиЛена_Прочие" xfId="340"/>
    <cellStyle name="_Бюд.2002г ЛУКОЙЛ-КомиЛена_структура цены" xfId="341"/>
    <cellStyle name="_Бюд.2002г ЛУКОЙЛ-КомиЛена_Факт полугодие  ЛУКОЙЛ-ПЕРМЬ для москвы ГРУППА Буйлову (5)" xfId="342"/>
    <cellStyle name="_Бюд.2002г ЛУКОЙЛ-КомиЛена_Формы Бюджет-Факт 2004 для НК+++" xfId="343"/>
    <cellStyle name="_Бюд.2002г ЛУКОЙЛ-КомиЛена_Формы Бюджет-Факт 2004 для НК+++ (2)" xfId="344"/>
    <cellStyle name="_Бюд.2002г ЛУКОЙЛ-КомиЛена_Формы ГПЗ 3кв" xfId="345"/>
    <cellStyle name="_Бюд.2002г ЛУКОЙЛ-КомиЛена_Формы для БК" xfId="346"/>
    <cellStyle name="_Бюд.2002г ЛУКОЙЛ-КомиЛена_Формы плана АмКоми на 2004 скор" xfId="347"/>
    <cellStyle name="_Бюд.2002г ЛУКОЙЛ-КомиЛена_Формы_2004-2006_060803" xfId="348"/>
    <cellStyle name="_Бюд.2002г ЛУКОЙЛ-КомиЛена_ФормыАГДдлябюджетIIIкв03гскорр" xfId="349"/>
    <cellStyle name="_Бюд.2003г энон.план" xfId="350"/>
    <cellStyle name="_Бюд.2003г энон.план." xfId="351"/>
    <cellStyle name="_Бюд.2003г энон.план.(инвест.3925,2)" xfId="352"/>
    <cellStyle name="_Бюд.2003г энон.план.(инвест.3925,2)_21 НГДО-3кв (принято)" xfId="353"/>
    <cellStyle name="_Бюд.2003г энон.план_2003 07 29 Верхн бюдж формы (шаблон)" xfId="354"/>
    <cellStyle name="_Бюд.2003г энон.план_2003 ож нов стр-ра_10дек03" xfId="355"/>
    <cellStyle name="_Бюд.2003г энон.план_21 НГДО-3кв (принято)" xfId="356"/>
    <cellStyle name="_Бюд.2003г энон.план_21-НГДО- год" xfId="357"/>
    <cellStyle name="_Бюд.2003г энон.план_Book11" xfId="358"/>
    <cellStyle name="_Бюд.2003г энон.план_Амортизация 2005 6 мес." xfId="359"/>
    <cellStyle name="_Бюд.2003г энон.план_Амортизация 2005 9 мес." xfId="360"/>
    <cellStyle name="_Бюд.2003г энон.план_Амортизация 2005 год" xfId="361"/>
    <cellStyle name="_Бюд.2003г энон.план_Анализ АХР 2005 г по группе НК 21.02.06" xfId="362"/>
    <cellStyle name="_Бюд.2003г энон.план_Аудиторам факт 2005 год только Л-П3" xfId="363"/>
    <cellStyle name="_Бюд.2003г энон.план_АХР_ факт группа по кварталам 2005 г" xfId="364"/>
    <cellStyle name="_Бюд.2003г энон.план_БН_БС" xfId="365"/>
    <cellStyle name="_Бюд.2003г энон.план_БНГ_БС" xfId="366"/>
    <cellStyle name="_Бюд.2003г энон.план_БПГ_НГДО" xfId="367"/>
    <cellStyle name="_Бюд.2003г энон.план_бюд.2004г.(упр.расх.ООО ЛЗС)Моск.Люба 24.11.03" xfId="368"/>
    <cellStyle name="_Бюд.2003г энон.план_бюд.Упр.расх.2004г.ООО" xfId="369"/>
    <cellStyle name="_Бюд.2003г энон.план_ДДС" xfId="370"/>
    <cellStyle name="_Бюд.2003г энон.план_ЗАО_20_АЛД_3июн03" xfId="371"/>
    <cellStyle name="_Бюд.2003г энон.план_КАЛК план-факт 2004 г. ЛП (2)" xfId="372"/>
    <cellStyle name="_Бюд.2003г энон.план_Кап ремонт скважин" xfId="373"/>
    <cellStyle name="_Бюд.2003г энон.план_Книга1" xfId="374"/>
    <cellStyle name="_Бюд.2003г энон.план_Комм и управл" xfId="375"/>
    <cellStyle name="_Бюд.2003г энон.план_Комм и управл1" xfId="376"/>
    <cellStyle name="_Бюд.2003г энон.план_Не входящие в валовую" xfId="377"/>
    <cellStyle name="_Бюд.2003г энон.план_ОХ_факт R3_2006 г" xfId="378"/>
    <cellStyle name="_Бюд.2003г энон.план_Пакет РФ_опт3_низ сс_26авг03 (1)" xfId="379"/>
    <cellStyle name="_Бюд.2003г энон.план_ПНП" xfId="380"/>
    <cellStyle name="_Бюд.2003г энон.план_Приложение _ 2 Формы для предприятий  2004-2006 (2)" xfId="381"/>
    <cellStyle name="_Бюд.2003г энон.план_Прочие" xfId="382"/>
    <cellStyle name="_Бюд.2003г энон.план_структура цены" xfId="383"/>
    <cellStyle name="_Бюд.2003г энон.план_Факт полугодие  ЛУКОЙЛ-ПЕРМЬ для москвы ГРУППА Буйлову (5)" xfId="384"/>
    <cellStyle name="_Бюд.2003г энон.план_Формы Бюджет-Факт 2004 для НК+++" xfId="385"/>
    <cellStyle name="_Бюд.2003г энон.план_Формы Бюджет-Факт 2004 для НК+++ (2)" xfId="386"/>
    <cellStyle name="_Бюд.2003г энон.план_Формы ГПЗ 3кв" xfId="387"/>
    <cellStyle name="_Бюд.2003г энон.план_Формы для БК" xfId="388"/>
    <cellStyle name="_Бюд.2003г энон.план_Формы плана АмКоми на 2004 скор" xfId="389"/>
    <cellStyle name="_Бюд.2003г энон.план_Формы_2004-2006_060803" xfId="390"/>
    <cellStyle name="_Бюд.2003г энон.план_ФормыАГДдлябюджетIIIкв03гскорр" xfId="391"/>
    <cellStyle name="_бюд.2004г.(упр.расх.ООО ЛЗС)Моск.Люба 24.11.03" xfId="392"/>
    <cellStyle name="_Бюд.I кв.2003г энон.план" xfId="393"/>
    <cellStyle name="_Бюд.I кв.2003г энон.план уточ" xfId="394"/>
    <cellStyle name="_Бюд.IIIкв.2003г юг ТПП (Чернокалова)" xfId="395"/>
    <cellStyle name="_Бюд.ПНГП на 2003" xfId="396"/>
    <cellStyle name="_Бюд.ПНГП на I кв.2003.(действ.)" xfId="397"/>
    <cellStyle name="_Бюд.ПНГП на I кв.2003.(действ.)правка" xfId="398"/>
    <cellStyle name="_бюд.Упр.расх.2004г.ООО" xfId="399"/>
    <cellStyle name="_Бюд2002СПпроч" xfId="400"/>
    <cellStyle name="_Бюд2002СПпроч_21 НГДО-3кв (принято)" xfId="401"/>
    <cellStyle name="_Бюд2002СПпроч_IIквАГДгод03" xfId="402"/>
    <cellStyle name="_Бюд2002СПпроч_IVквАГДгод03" xfId="403"/>
    <cellStyle name="_Бюд2002СПпроч_IVквНВгод03" xfId="404"/>
    <cellStyle name="_Бюд2002СПпроч_Бюд.ПНГП на III кв.2003г." xfId="405"/>
    <cellStyle name="_Бюд2002СПпроч_Бюджет 4 квартала из Москвы" xfId="406"/>
    <cellStyle name="_Бюд2002СПпроч_Книга1" xfId="407"/>
    <cellStyle name="_Бюд2002СПпроч_Контр и контролир показатели 1кв 2004" xfId="408"/>
    <cellStyle name="_Бюд2002СПпроч_показатели 1полугод_Кристине" xfId="409"/>
    <cellStyle name="_Бюд2002СПпроч_Форма 21.1.2 кв" xfId="410"/>
    <cellStyle name="_Бюджет 2003 гКыртаель презентация" xfId="411"/>
    <cellStyle name="_Бюджет 2003Г" xfId="412"/>
    <cellStyle name="_Бюджет 2005-2006b консолид. на 10.12.03 г" xfId="413"/>
    <cellStyle name="_Бюджет затрат по месторождениям - I квартал 2004" xfId="414"/>
    <cellStyle name="_Бюджет ЗС 2005-2014 г" xfId="415"/>
    <cellStyle name="_Бюджет ЛК 2008-2009 2 итераци22.09" xfId="416"/>
    <cellStyle name="_БЮДЖЕТ ЛукПермь проект 2005г" xfId="417"/>
    <cellStyle name="_Бюджет на 2004-2006ггКоми" xfId="418"/>
    <cellStyle name="_Бюджет на 2005 год" xfId="419"/>
    <cellStyle name="_Бюджет на 2005 год (смешанн. формы)" xfId="420"/>
    <cellStyle name="_Бюджет на 2005 год_21.07" xfId="421"/>
    <cellStyle name="_БЮДЖЕТ на декабрь" xfId="422"/>
    <cellStyle name="_БЮДЖЕТ на декабрь_структура цены" xfId="423"/>
    <cellStyle name="_Бюджет на октябрь" xfId="424"/>
    <cellStyle name="_Бюджет на октябрь_структура цены" xfId="425"/>
    <cellStyle name="_Бюджет ООО УралОйл март" xfId="426"/>
    <cellStyle name="_Бюджет УралОйл  на 2006 год на утв 27.01.06 г" xfId="427"/>
    <cellStyle name="_БЮДЖЕТ_ 2005_220405_возвр_изм_методол" xfId="428"/>
    <cellStyle name="_Бюджет_2005 г_3_для совета директоров" xfId="429"/>
    <cellStyle name="_Бюджет_3 квартал 05" xfId="430"/>
    <cellStyle name="_Бюджет_февраль 05_УТВ" xfId="431"/>
    <cellStyle name="_БЮДЖЕТ-ЗС-2003год" xfId="432"/>
    <cellStyle name="_БЮДЖЕТ-ЗС-2003год-44680Лена" xfId="433"/>
    <cellStyle name="_БЮДЖЕТ-ЗС-2003год-44680Люба" xfId="434"/>
    <cellStyle name="_БЮДЖЕТ-ЛГПК-2003" xfId="435"/>
    <cellStyle name="_БЮДЖЕТ-ЛГПК-2003_структура цены" xfId="436"/>
    <cellStyle name="_Бюджетный регламент Система планов Коррект 2.01" xfId="437"/>
    <cellStyle name="_Бюджетный регламент Система планов Коррект 2.01_21 НГДО-3кв (принято)" xfId="438"/>
    <cellStyle name="_Бюджетный регламент Система планов Коррект 2.01_структура цены" xfId="439"/>
    <cellStyle name="_БюдЗС-2002год-4кв" xfId="440"/>
    <cellStyle name="_БюдЗС-2002год-4кв_21 НГДО-3кв (принято)" xfId="441"/>
    <cellStyle name="_БюдЗС-2002год-4кв_структура цены" xfId="442"/>
    <cellStyle name="_БюдЗС-2002год-А" xfId="443"/>
    <cellStyle name="_БюдЗС-2002год-А_21 НГДО-3кв (принято)" xfId="444"/>
    <cellStyle name="_БюдЗС-2002год-А_структура цены" xfId="445"/>
    <cellStyle name="_БюдЗС-2002год-А_ТЭП 2003 Коми" xfId="446"/>
    <cellStyle name="_Внереализационные ТПП Усинск" xfId="447"/>
    <cellStyle name="_ВНПЗ_план_январь_261201" xfId="448"/>
    <cellStyle name="_Восст пакет 2003" xfId="449"/>
    <cellStyle name="_ГОД (утвержд.)" xfId="450"/>
    <cellStyle name="_ГОД (утвержд.)_ИСТОЧНИКИ02" xfId="451"/>
    <cellStyle name="_ГОД (утвержд.)_Книга1" xfId="452"/>
    <cellStyle name="_ГПЗ 4 кв 1.(свод17.09.02)" xfId="453"/>
    <cellStyle name="_ГПЗ 4 кв 1.(свод17.09.02)-без ПНГП" xfId="454"/>
    <cellStyle name="_ГПЗ_янв_Уточненный" xfId="455"/>
    <cellStyle name="_ГПЗ_янв_Уточненный_структура цены" xfId="456"/>
    <cellStyle name="_Группа 12 кв. 2003 форма 21C и 21-отправл." xfId="457"/>
    <cellStyle name="_Группа 12 кв. 2003 форма 21-отправл" xfId="458"/>
    <cellStyle name="_ДДС" xfId="459"/>
    <cellStyle name="_Декабрь (план и факт) (1)" xfId="460"/>
    <cellStyle name="_ДО" xfId="461"/>
    <cellStyle name="_Закупки 2005 (27.07)" xfId="462"/>
    <cellStyle name="_ЗАО_20_АЛД_3июн03" xfId="463"/>
    <cellStyle name="_Затр.не вход в вал 2005г. 19.07.2005г." xfId="464"/>
    <cellStyle name="_Затраты на геофизику - Форма 7.14" xfId="465"/>
    <cellStyle name="_Инв РИТЭК 180804" xfId="466"/>
    <cellStyle name="_ИП 2004 Л-ЗС(сниж.)МСК" xfId="467"/>
    <cellStyle name="_ИП 2004 Л-ЗС(сниж.)МСК1" xfId="468"/>
    <cellStyle name="_ИП 4вариант(464т.м.)Л-ЗС Москва-230903" xfId="469"/>
    <cellStyle name="_ИП-ДО" xfId="470"/>
    <cellStyle name="_Исп.Январь КН" xfId="471"/>
    <cellStyle name="_Использ.приб.2003 год для Любы" xfId="472"/>
    <cellStyle name="_Использ.приб.2003 год для Любы_21 НГДО-3кв (принято)" xfId="473"/>
    <cellStyle name="_Использ.приб.2003 год для Любы_структура цены" xfId="474"/>
    <cellStyle name="_Использ.приб.2003 год45000" xfId="475"/>
    <cellStyle name="_Источники-2002(1кв)" xfId="476"/>
    <cellStyle name="_Итоги 2002г-(ожид.) 30.01.03г." xfId="477"/>
    <cellStyle name="_К-1 2003г.(факт)" xfId="478"/>
    <cellStyle name="_К-1,2 2002 год факт" xfId="479"/>
    <cellStyle name="_К-1,2 2003 год (ожид)" xfId="480"/>
    <cellStyle name="_К-1,2 2003 год (утв. Правл)" xfId="481"/>
    <cellStyle name="_К-1,2 2004 год" xfId="482"/>
    <cellStyle name="_К-1,2 2005 год" xfId="483"/>
    <cellStyle name="_К-1,2 2006 год" xfId="484"/>
    <cellStyle name="_К-1К-2 2004 год 2081 26.01.04" xfId="485"/>
    <cellStyle name="_К-1К-2 2004 год 3 кв. 2081 26.01.04" xfId="486"/>
    <cellStyle name="_К-1К-2 2004 год 4 кв. 2081 26.01.04" xfId="487"/>
    <cellStyle name="_КН_план_январь_251201" xfId="488"/>
    <cellStyle name="_Книга1" xfId="489"/>
    <cellStyle name="_Книга1 (1)" xfId="490"/>
    <cellStyle name="_Книга1 (4)" xfId="491"/>
    <cellStyle name="_Книга1_Пикельная-18-01-2008" xfId="492"/>
    <cellStyle name="_Книга2" xfId="493"/>
    <cellStyle name="_Книга3" xfId="494"/>
    <cellStyle name="_Книга3_1" xfId="495"/>
    <cellStyle name="_Книга6" xfId="496"/>
    <cellStyle name="_Книга7" xfId="497"/>
    <cellStyle name="_КомиАркОйл_плн_январь_251201" xfId="498"/>
    <cellStyle name="_Комм и управл" xfId="499"/>
    <cellStyle name="_Комм и управл1" xfId="500"/>
    <cellStyle name="_Конс. смета на 2002 г (изм сц.у 2-4 кв)27.03xls" xfId="501"/>
    <cellStyle name="_Консолид. смета на 2003 г." xfId="502"/>
    <cellStyle name="_Контр и контролир показатели 1кв 2004" xfId="503"/>
    <cellStyle name="_Кредиты и займы 2004 ЛОХЛ" xfId="504"/>
    <cellStyle name="_КТ_план_январь_261201" xfId="505"/>
    <cellStyle name="_ЛЗС 2004" xfId="506"/>
    <cellStyle name="_Лист1" xfId="507"/>
    <cellStyle name="_Лист1_21 НГДО-3кв (принято)" xfId="508"/>
    <cellStyle name="_Лист1_БН_БС" xfId="509"/>
    <cellStyle name="_Лист1_БНГ_БС" xfId="510"/>
    <cellStyle name="_Лист1_БПГ_НГДО" xfId="511"/>
    <cellStyle name="_Лист1_ДДС" xfId="512"/>
    <cellStyle name="_Лист1_структура цены" xfId="513"/>
    <cellStyle name="_ЛУКОЙЛ_Бюджет-2003_30,08" xfId="514"/>
    <cellStyle name="_ЛУКОЙЛ_Бюджет-2003_30,08_21 НГДО-3кв (принято)" xfId="515"/>
    <cellStyle name="_ЛУКОЙЛ_Бюджет-2003_30,08_структура цены" xfId="516"/>
    <cellStyle name="_ЛУКОЙЛ_Бюджет-2003_3008" xfId="517"/>
    <cellStyle name="_ЛУКОЙЛ_Бюджет-2003_3008_21 НГДО-3кв (принято)" xfId="518"/>
    <cellStyle name="_май_оперативка" xfId="519"/>
    <cellStyle name="_НакопИсточн2002г(08.08.02г)" xfId="520"/>
    <cellStyle name="_НакопИсточн2002г(08.08.02г)_БЮДЖЕТ-ЗС-2003год-44680Лена" xfId="521"/>
    <cellStyle name="_НакопИсточн2002г(08.08.02г)_ПроектЗС-2003г(дляЗС)18.10.2002г" xfId="522"/>
    <cellStyle name="_НакопИсточн2002г(08.08.02г)_ф.51 ноябрь 2002 г." xfId="523"/>
    <cellStyle name="_НВ02-06г" xfId="524"/>
    <cellStyle name="_НВгод03" xfId="525"/>
    <cellStyle name="_НВгод03_21 НГДО-3кв (принято)" xfId="526"/>
    <cellStyle name="_НВгод03_структура цены" xfId="527"/>
    <cellStyle name="_НВН_план_январь_261201" xfId="528"/>
    <cellStyle name="_НГДО-2002-2кв 1" xfId="529"/>
    <cellStyle name="_НГДО-2002-2кв 1_БЮДЖЕТ-ЗС-2003год-44680Лена" xfId="530"/>
    <cellStyle name="_НГДО-2002-2кв 1_ПроектЗС-2003г(дляЗС)18.10.2002г" xfId="531"/>
    <cellStyle name="_НГДО-2002-2кв 1_ф.51 ноябрь 2002 г." xfId="532"/>
    <cellStyle name="_НГДО-2002-2кв 1_форма 21 С- 2003г" xfId="533"/>
    <cellStyle name="_НГДО-2002-2кв 1_форма 21 С- 2003г(после СД)" xfId="534"/>
    <cellStyle name="_НГДО-2002-2кв-11" xfId="535"/>
    <cellStyle name="_НГДО-2002-2кв-11_По кварталам приб" xfId="536"/>
    <cellStyle name="_НГДО-2002-2кв-11_По кварталам приб (прил21-3кварт)" xfId="537"/>
    <cellStyle name="_НГДО-2002-2кв-12" xfId="538"/>
    <cellStyle name="_НГДО-2002-2кв-12_По кварталам приб" xfId="539"/>
    <cellStyle name="_НГДО-2002-2кв-12_По кварталам приб (прил21-3кварт)" xfId="540"/>
    <cellStyle name="_НГДО-2002-2кв2" xfId="541"/>
    <cellStyle name="_НГДО-2002-3кв" xfId="542"/>
    <cellStyle name="_НГДО-2002-3кв(нов)Надя" xfId="543"/>
    <cellStyle name="_НГДО-2002-3кв_БЮДЖЕТ-ЗС-2003год-44680Лена" xfId="544"/>
    <cellStyle name="_НГДО-2002-3кв_ПроектЗС-2003г(дляЗС)18.10.2002г" xfId="545"/>
    <cellStyle name="_НГДО-2002-3кв_ф.51 ноябрь 2002 г." xfId="546"/>
    <cellStyle name="_НГДО-2002-3кв_форма 21 С- 2003г" xfId="547"/>
    <cellStyle name="_НГДО-2002-3кв_форма 21 С- 2003г(после СД)" xfId="548"/>
    <cellStyle name="_НГДО-2002-4кв" xfId="549"/>
    <cellStyle name="_НГДО-2002-4кв_БЮДЖЕТ-ЗС-2003год-44680Лена" xfId="550"/>
    <cellStyle name="_НГДО-2002-4кв_ПроектЗС-2003г(дляЗС)18.10.2002г" xfId="551"/>
    <cellStyle name="_НГДО-2002-4кв_ф.51 ноябрь 2002 г." xfId="552"/>
    <cellStyle name="_НГДО-2002-4кв-2" xfId="553"/>
    <cellStyle name="_НГДО-2002-расчет2002-СнижДобычи" xfId="554"/>
    <cellStyle name="_НДС факт 1 кв кап влож" xfId="555"/>
    <cellStyle name="_Нераспред приб2001г НО" xfId="556"/>
    <cellStyle name="_НО_план_январь_251201" xfId="557"/>
    <cellStyle name="_новая форма 14- 2003г" xfId="558"/>
    <cellStyle name="_новая форма 21 С- 2003г" xfId="559"/>
    <cellStyle name="_новая форма 21-НГДО" xfId="560"/>
    <cellStyle name="_Норси_план_январь_251201" xfId="561"/>
    <cellStyle name="_ноябрь план1." xfId="562"/>
    <cellStyle name="_ноябрь план1._21 НГДО-3кв (принято)" xfId="563"/>
    <cellStyle name="_Ожид 1кв2003_фЛУК_ЛОХЛв1_14мар031" xfId="564"/>
    <cellStyle name="_Ожид. бюджет на 2004 год" xfId="565"/>
    <cellStyle name="_Ожидаемое I квартал 30.03.2004 г" xfId="566"/>
    <cellStyle name="_ООО" xfId="567"/>
    <cellStyle name="_Осн.ТЭП 02.08.04" xfId="568"/>
    <cellStyle name="_ОХ_ 1 кв" xfId="569"/>
    <cellStyle name="_ОХ_01 без ГРР" xfId="570"/>
    <cellStyle name="_ОХ_05" xfId="571"/>
    <cellStyle name="_ОХ_для  УОйл (1)" xfId="572"/>
    <cellStyle name="_Пад_доб2002ПН" xfId="573"/>
    <cellStyle name="_Пад_доб2002ПН_БЮДЖЕТ-ЗС-2003год-44680Лена" xfId="574"/>
    <cellStyle name="_Пад_доб2002ПН_ПроектЗС-2003г(дляЗС)18.10.2002г" xfId="575"/>
    <cellStyle name="_Пад_доб2002ПН_ф.51 ноябрь 2002 г." xfId="576"/>
    <cellStyle name="_Пад_доб2002ПН_форма 21 С- 2003г" xfId="577"/>
    <cellStyle name="_Пад_доб2002ПН_форма 21 С- 2003г(после СД)" xfId="578"/>
    <cellStyle name="_Пад_доб2002ПН_ЦДУ1полугодие2002г-1" xfId="579"/>
    <cellStyle name="_Пакет РФ_опт3_низ сс_26авг03 (1)" xfId="580"/>
    <cellStyle name="_ПДДС_2003Г" xfId="581"/>
    <cellStyle name="_Пермнефть2003 после рассмотрения" xfId="582"/>
    <cellStyle name="_Пермь" xfId="583"/>
    <cellStyle name="_ПК _январь2512" xfId="584"/>
    <cellStyle name="_ПК ЛЗС январь 2002" xfId="585"/>
    <cellStyle name="_ПК на ЯНВАРЬ 02" xfId="586"/>
    <cellStyle name="_ПК январь 2002 (2)" xfId="587"/>
    <cellStyle name="_План инвес.расходов и их финансирование 2004(вар.4)" xfId="588"/>
    <cellStyle name="_План инвес.расходов и их финансирование 2004(вар.5)" xfId="589"/>
    <cellStyle name="_План инвес.расходов и их финансирование 2005-2006гг(вар.4)" xfId="590"/>
    <cellStyle name="_Платежный кал.январь 2002г-140102" xfId="591"/>
    <cellStyle name="_Платежный календарь (план и факт)" xfId="592"/>
    <cellStyle name="_Платежный календарь АГД январь 2002 (на 14.01.02)" xfId="593"/>
    <cellStyle name="_Платежный календарь Битран факт" xfId="594"/>
    <cellStyle name="_Платежный календарь январь" xfId="595"/>
    <cellStyle name="_платежный календарь январь 02г" xfId="596"/>
    <cellStyle name="_пЛУК_ЛОХЛк2к03_НИВв1_280403" xfId="597"/>
    <cellStyle name="_ПНГП_план_январь_251201" xfId="598"/>
    <cellStyle name="_ПНОС_план_январь_261201" xfId="599"/>
    <cellStyle name="_ПНП КРОФ ТРС 2007 2008 гг" xfId="600"/>
    <cellStyle name="_ПНП КРОФ ТРС 2007 2008 гг 270706" xfId="601"/>
    <cellStyle name="_ПНП -скорректированная форма от 08 07 2008" xfId="602"/>
    <cellStyle name="_По кварталам приб" xfId="603"/>
    <cellStyle name="_По кварталам приб (прил21-3кварт)" xfId="604"/>
    <cellStyle name="_ПРЕДЛОЖЕНИЯ ЛГПК" xfId="605"/>
    <cellStyle name="_Презентация май - сравнение 2004-2005" xfId="606"/>
    <cellStyle name="_Прилож. 18" xfId="607"/>
    <cellStyle name="_Прилож. 18_21 НГДО-3кв (принято)" xfId="608"/>
    <cellStyle name="_Прилож. 18_структура цены" xfId="609"/>
    <cellStyle name="_Прилож. 20" xfId="610"/>
    <cellStyle name="_Прилож. 20_21 НГДО-3кв (принято)" xfId="611"/>
    <cellStyle name="_Прилож. 20_структура цены" xfId="612"/>
    <cellStyle name="_Прогн бал" xfId="613"/>
    <cellStyle name="_ПРОГНОЗдо2006г(апр2003г) ГПЗ" xfId="614"/>
    <cellStyle name="_Проект бюджета на 2005 год" xfId="615"/>
    <cellStyle name="_Проект бюджета на 2005 год (300 млн. услуги)2" xfId="616"/>
    <cellStyle name="_Проект_ЗАО_2003_3008" xfId="617"/>
    <cellStyle name="_Проект_ЗАО_2003_3008_21 НГДО-3кв (принято)" xfId="618"/>
    <cellStyle name="_Проект2" xfId="619"/>
    <cellStyle name="_прочая деятельность 2004г с блоком добычи1" xfId="620"/>
    <cellStyle name="_Разработка капитал добыча предлаг исправления exe" xfId="621"/>
    <cellStyle name="_Разработка_ПНП" xfId="622"/>
    <cellStyle name="_Разработка_ПНП_1" xfId="623"/>
    <cellStyle name="_РасПадДоб КРС,ПНП,ПРС-2002год" xfId="624"/>
    <cellStyle name="_РасПадДоб КРС,ПНП,ПРС-2002год_14.03.03-Свод_ЛОХЛ_1кв. ож" xfId="625"/>
    <cellStyle name="_РасПадДоб КРС,ПНП,ПРС-2002год_17.03.03-Свод_ЛОХЛ_1кв. ож" xfId="626"/>
    <cellStyle name="_РасПадДоб КРС,ПНП,ПРС-2002год_2 кв 2003 НК вероятный_Консолидация" xfId="627"/>
    <cellStyle name="_РасПадДоб КРС,ПНП,ПРС-2002год_2 кв 2003 НК вероятный_Российская часть1" xfId="628"/>
    <cellStyle name="_РасПадДоб КРС,ПНП,ПРС-2002год_2 кв 2003 НК пессимист_Консолидация" xfId="629"/>
    <cellStyle name="_РасПадДоб КРС,ПНП,ПРС-2002год_21 возврат" xfId="630"/>
    <cellStyle name="_РасПадДоб КРС,ПНП,ПРС-2002год_21 на 16" xfId="631"/>
    <cellStyle name="_РасПадДоб КРС,ПНП,ПРС-2002год_21 НГДО-1" xfId="632"/>
    <cellStyle name="_РасПадДоб КРС,ПНП,ПРС-2002год_21 НГДО-скоррект.2кв" xfId="633"/>
    <cellStyle name="_РасПадДоб КРС,ПНП,ПРС-2002год_21С-уточ" xfId="634"/>
    <cellStyle name="_РасПадДоб КРС,ПНП,ПРС-2002год_21С-уточПН" xfId="635"/>
    <cellStyle name="_РасПадДоб КРС,ПНП,ПРС-2002год_24-1 кв.2003 -факт-отправл." xfId="636"/>
    <cellStyle name="_РасПадДоб КРС,ПНП,ПРС-2002год_24-2 кв.2003 -ожид-отправл." xfId="637"/>
    <cellStyle name="_РасПадДоб КРС,ПНП,ПРС-2002год_51_2003_04.12_И" xfId="638"/>
    <cellStyle name="_РасПадДоб КРС,ПНП,ПРС-2002год_Book11" xfId="639"/>
    <cellStyle name="_РасПадДоб КРС,ПНП,ПРС-2002год_BUDGET 2003 040603 _3кв_1455_испр 21С_добыча" xfId="640"/>
    <cellStyle name="_РасПадДоб КРС,ПНП,ПРС-2002год_BUDGET 2003 040603 _3кв_1838_испр 21С_добыча" xfId="641"/>
    <cellStyle name="_РасПадДоб КРС,ПНП,ПРС-2002год_BUDGET 2003 160503 2кв_комплексн_формы испр" xfId="642"/>
    <cellStyle name="_РасПадДоб КРС,ПНП,ПРС-2002год_BUDGET 2003 170503 2кв_комплексн_формы испр_1140" xfId="643"/>
    <cellStyle name="_РасПадДоб КРС,ПНП,ПРС-2002год_BUDGET 2003 170503 2кв_комплексн_формы испр_1435" xfId="644"/>
    <cellStyle name="_РасПадДоб КРС,ПНП,ПРС-2002год_BUDGET 2003 190503 2кв_комплексн_формы испр_0900" xfId="645"/>
    <cellStyle name="_РасПадДоб КРС,ПНП,ПРС-2002год_BUDGET 2003 190503 2кв_комплексн_формы испр_1620" xfId="646"/>
    <cellStyle name="_РасПадДоб КРС,ПНП,ПРС-2002год_BUDGET_ 2003_3кв_040703" xfId="647"/>
    <cellStyle name="_РасПадДоб КРС,ПНП,ПРС-2002год_BUDGET_ ZAO 03_01.12.02испр_упр" xfId="648"/>
    <cellStyle name="_РасПадДоб КРС,ПНП,ПРС-2002год_BUDGET_ ZAO 03_03.12.02испр_упр" xfId="649"/>
    <cellStyle name="_РасПадДоб КРС,ПНП,ПРС-2002год_BUDGET_ ZAO 03_04.12.02испр_упр" xfId="650"/>
    <cellStyle name="_РасПадДоб КРС,ПНП,ПРС-2002год_BUDGET_ ZAO 03_05.12.02испр_упр" xfId="651"/>
    <cellStyle name="_РасПадДоб КРС,ПНП,ПРС-2002год_BUDGET_ ZAO 03_09.12.02испр" xfId="652"/>
    <cellStyle name="_РасПадДоб КРС,ПНП,ПРС-2002год_BUDGET_ ZAO 03_14.11.02_Вариант" xfId="653"/>
    <cellStyle name="_РасПадДоб КРС,ПНП,ПРС-2002год_BUDGET_ ZAO 03_18.10.02_Вариант" xfId="654"/>
    <cellStyle name="_РасПадДоб КРС,ПНП,ПРС-2002год_BUDGET_ ZAO 03_19.11.02" xfId="655"/>
    <cellStyle name="_РасПадДоб КРС,ПНП,ПРС-2002год_BUDGET_ ZAO 03_21.11.02" xfId="656"/>
    <cellStyle name="_РасПадДоб КРС,ПНП,ПРС-2002год_BUDGET_ ZAO 03_22.10.02_Вариант" xfId="657"/>
    <cellStyle name="_РасПадДоб КРС,ПНП,ПРС-2002год_BUDGET_ ZAO 03_25.10.02_Вариант" xfId="658"/>
    <cellStyle name="_РасПадДоб КРС,ПНП,ПРС-2002год_BUDGET_2003_04.03.03" xfId="659"/>
    <cellStyle name="_РасПадДоб КРС,ПНП,ПРС-2002год_BUDGET_2003_07.03.03" xfId="660"/>
    <cellStyle name="_РасПадДоб КРС,ПНП,ПРС-2002год_BUDGET_2003_11.03.03" xfId="661"/>
    <cellStyle name="_РасПадДоб КРС,ПНП,ПРС-2002год_BUDGET_2003_12.02.03" xfId="662"/>
    <cellStyle name="_РасПадДоб КРС,ПНП,ПРС-2002год_BUDGET_2003_14.03.03" xfId="663"/>
    <cellStyle name="_РасПадДоб КРС,ПНП,ПРС-2002год_BUDGET_2003_14.04.03Комп" xfId="664"/>
    <cellStyle name="_РасПадДоб КРС,ПНП,ПРС-2002год_BUDGET_2003_17.02.03" xfId="665"/>
    <cellStyle name="_РасПадДоб КРС,ПНП,ПРС-2002год_BUDGET_2003_17.04.03" xfId="666"/>
    <cellStyle name="_РасПадДоб КРС,ПНП,ПРС-2002год_BUDGET_2003_19.02.03" xfId="667"/>
    <cellStyle name="_РасПадДоб КРС,ПНП,ПРС-2002год_BUDGET_2003_20.02.03" xfId="668"/>
    <cellStyle name="_РасПадДоб КРС,ПНП,ПРС-2002год_BUDGET_2003_21.02.03" xfId="669"/>
    <cellStyle name="_РасПадДоб КРС,ПНП,ПРС-2002год_BUDGET_2003_23.01.03" xfId="670"/>
    <cellStyle name="_РасПадДоб КРС,ПНП,ПРС-2002год_BUDGET_2003_23.04.03_14-00" xfId="671"/>
    <cellStyle name="_РасПадДоб КРС,ПНП,ПРС-2002год_BUDGET_2003_23.04.03_19-30" xfId="672"/>
    <cellStyle name="_РасПадДоб КРС,ПНП,ПРС-2002год_BUDGET_2003_250403_19" xfId="673"/>
    <cellStyle name="_РасПадДоб КРС,ПНП,ПРС-2002год_BUDGET_FIN_IIkv_ 2002_Dtd=17,5(затарты 20% равномерно)" xfId="674"/>
    <cellStyle name="_РасПадДоб КРС,ПНП,ПРС-2002год_BUDGET_IIkv_ 2002_Dtd=17,5(с предл ПН)" xfId="675"/>
    <cellStyle name="_РасПадДоб КРС,ПНП,ПРС-2002год_BUDGET_Ikv_ 2002_Dtd=19" xfId="676"/>
    <cellStyle name="_РасПадДоб КРС,ПНП,ПРС-2002год_BUDGET_ZAO2002" xfId="677"/>
    <cellStyle name="_РасПадДоб КРС,ПНП,ПРС-2002год_BUDGET_ZAO2002(I кв)" xfId="678"/>
    <cellStyle name="_РасПадДоб КРС,ПНП,ПРС-2002год_BUDGET_ПН2002(2)" xfId="679"/>
    <cellStyle name="_РасПадДоб КРС,ПНП,ПРС-2002год_BUDGET_ъбп2002" xfId="680"/>
    <cellStyle name="_РасПадДоб КРС,ПНП,ПРС-2002год_LUKOIL forms 2003 LOHL consolidated v5 16 oct 2002" xfId="681"/>
    <cellStyle name="_РасПадДоб КРС,ПНП,ПРС-2002год_Бюд.2002г ЛУКОЙЛ-Коми.раб" xfId="682"/>
    <cellStyle name="_РасПадДоб КРС,ПНП,ПРС-2002год_БЮДЖЕТ-ЗС-2003год-44680Лена" xfId="683"/>
    <cellStyle name="_РасПадДоб КРС,ПНП,ПРС-2002год_жптнщ(ыeтбк)2002-29.10.2001З" xfId="684"/>
    <cellStyle name="_РасПадДоб КРС,ПНП,ПРС-2002год_ЗАО_20_АЛД_3июн03" xfId="685"/>
    <cellStyle name="_РасПадДоб КРС,ПНП,ПРС-2002год_Книга1" xfId="686"/>
    <cellStyle name="_РасПадДоб КРС,ПНП,ПРС-2002год_Книга2" xfId="687"/>
    <cellStyle name="_РасПадДоб КРС,ПНП,ПРС-2002год_ЛУКОЙЛ_Бюджет-2003_3008" xfId="688"/>
    <cellStyle name="_РасПадДоб КРС,ПНП,ПРС-2002год_НГДО-2002-3кв(нов)-8" xfId="689"/>
    <cellStyle name="_РасПадДоб КРС,ПНП,ПРС-2002год_новая форма 14- 2003г" xfId="690"/>
    <cellStyle name="_РасПадДоб КРС,ПНП,ПРС-2002год_новая форма 21 С- 2003г" xfId="691"/>
    <cellStyle name="_РасПадДоб КРС,ПНП,ПРС-2002год_новая форма 21-НГДО" xfId="692"/>
    <cellStyle name="_РасПадДоб КРС,ПНП,ПРС-2002год_новая форма по НГДО" xfId="693"/>
    <cellStyle name="_РасПадДоб КРС,ПНП,ПРС-2002год_пЛУК_ЛОХЛк2к03_НИВв1_280403" xfId="694"/>
    <cellStyle name="_РасПадДоб КРС,ПНП,ПРС-2002год_По кварталам приб" xfId="695"/>
    <cellStyle name="_РасПадДоб КРС,ПНП,ПРС-2002год_По кварталам приб (прил21-3кварт)" xfId="696"/>
    <cellStyle name="_РасПадДоб КРС,ПНП,ПРС-2002год_показатели 1полугод_Кристине" xfId="697"/>
    <cellStyle name="_РасПадДоб КРС,ПНП,ПРС-2002год_показатели к 3 кв ЗАО" xfId="698"/>
    <cellStyle name="_РасПадДоб КРС,ПНП,ПРС-2002год_ПредложенияЗСна2003год" xfId="699"/>
    <cellStyle name="_РасПадДоб КРС,ПНП,ПРС-2002год_Презентация май - сравнение 2004-2005" xfId="700"/>
    <cellStyle name="_РасПадДоб КРС,ПНП,ПРС-2002год_ПроектЗС-2003г(дляЗС)18.10.2002г" xfId="701"/>
    <cellStyle name="_РасПадДоб КРС,ПНП,ПРС-2002год_СВОД-2002-07.12.2001г" xfId="702"/>
    <cellStyle name="_РасПадДоб КРС,ПНП,ПРС-2002год_Сводный баланс для НК 12 кв. 2003 (1)" xfId="703"/>
    <cellStyle name="_РасПадДоб КРС,ПНП,ПРС-2002год_Сводный баланс для НК 12 кв. 2003 -отправл." xfId="704"/>
    <cellStyle name="_РасПадДоб КРС,ПНП,ПРС-2002год_СнижЗатратНГДО-2002г-дляСовДир.13.01.03г" xfId="705"/>
    <cellStyle name="_РасПадДоб КРС,ПНП,ПРС-2002год_ф.51 ноябрь 2002 г." xfId="706"/>
    <cellStyle name="_РасПадДоб КРС,ПНП,ПРС-2002год_Ф_14-_2003_Л" xfId="707"/>
    <cellStyle name="_РасПадДоб КРС,ПНП,ПРС-2002год_Ф_18_2003_Л" xfId="708"/>
    <cellStyle name="_РасПадДоб КРС,ПНП,ПРС-2002год_Ф_20-_2003_Л" xfId="709"/>
    <cellStyle name="_РасПадДоб КРС,ПНП,ПРС-2002год_Ф_21 НГДО 2003_Л" xfId="710"/>
    <cellStyle name="_РасПадДоб КРС,ПНП,ПРС-2002год_Ф_21 С_ 2003_Л" xfId="711"/>
    <cellStyle name="_РасПадДоб КРС,ПНП,ПРС-2002год_Ф_31_2003_Л" xfId="712"/>
    <cellStyle name="_РасПадДоб КРС,ПНП,ПРС-2002год_Ф21К1_фЛУК_ЛОХЛк1-2к03_АЛД_02июнь03_1550" xfId="713"/>
    <cellStyle name="_РасПадДоб КРС,ПНП,ПРС-2002год_Ф21К1К251-53_пЛУК_ЛОХЛк1к03_ННВв1_ЛУКОЙЛ_22111" xfId="714"/>
    <cellStyle name="_РасПадДоб КРС,ПНП,ПРС-2002год_форма 14- 2003г" xfId="715"/>
    <cellStyle name="_РасПадДоб КРС,ПНП,ПРС-2002год_форма 14- 2003г (после СД)." xfId="716"/>
    <cellStyle name="_РасПадДоб КРС,ПНП,ПРС-2002год_форма 14,1- 2003г" xfId="717"/>
    <cellStyle name="_РасПадДоб КРС,ПНП,ПРС-2002год_форма 14." xfId="718"/>
    <cellStyle name="_РасПадДоб КРС,ПНП,ПРС-2002год_форма 18- 2003г" xfId="719"/>
    <cellStyle name="_РасПадДоб КРС,ПНП,ПРС-2002год_форма 20- 2003г" xfId="720"/>
    <cellStyle name="_РасПадДоб КРС,ПНП,ПРС-2002год_форма 21 С- 2003г" xfId="721"/>
    <cellStyle name="_РасПадДоб КРС,ПНП,ПРС-2002год_форма 21 С- 2003г(после СД)" xfId="722"/>
    <cellStyle name="_РасПадДоб КРС,ПНП,ПРС-2002год_форма 21-НГДО 2003г" xfId="723"/>
    <cellStyle name="_РасПадДоб КРС,ПНП,ПРС-2002год_форма 21-НГДО 2003г-1" xfId="724"/>
    <cellStyle name="_РасПадДоб КРС,ПНП,ПРС-2002год_форма 21-НГДО от 04.12.02" xfId="725"/>
    <cellStyle name="_РасПадДоб КРС,ПНП,ПРС-2002год_форма 31- 2003г" xfId="726"/>
    <cellStyle name="_РасПадДоб КРС,ПНП,ПРС-2002год_форма 51_Люба" xfId="727"/>
    <cellStyle name="_РасПадДоб КРС,ПНП,ПРС-2002год_ФОРМЫ_2003_ЗАО" xfId="728"/>
    <cellStyle name="_РасПадДоб КРС,ПНП,ПРС-2002год_ФОРМЫ2003годНК эконом8663" xfId="729"/>
    <cellStyle name="_РасПадДоб КРС,ПНП,ПРС-2002год_ФОРМЫ2003годНК эконом8663 ( 170)" xfId="730"/>
    <cellStyle name="_РасПадДоб КРС,ПНП,ПРС-2002год_ЦДУ1полугодие2002г-1" xfId="731"/>
    <cellStyle name="_Расчет доп затрат на увелич. добычи на 20тыс.тн (11.04.03)" xfId="732"/>
    <cellStyle name="_Расчет необх цены для Тэбукнефть " xfId="733"/>
    <cellStyle name="_Расчет Сниж Доб 2002г" xfId="734"/>
    <cellStyle name="_Расчет Сниж Доб 2002г_БЮДЖЕТ-ЗС-2003год-44680Лена" xfId="735"/>
    <cellStyle name="_Расчет Сниж Доб 2002г_ПроектЗС-2003г(дляЗС)18.10.2002г" xfId="736"/>
    <cellStyle name="_Расчет Сниж Доб 2002г_ф.51 ноябрь 2002 г." xfId="737"/>
    <cellStyle name="_Расчет Сниж Доб 2002г_форма 21 С- 2003г" xfId="738"/>
    <cellStyle name="_Расчет Сниж Доб 2002г_форма 21 С- 2003г(после СД)" xfId="739"/>
    <cellStyle name="_Расчет Сниж Доб 2002г_ЦДУ1полугодие2002г-1" xfId="740"/>
    <cellStyle name="_РасчетЗС15.10.2001гxls" xfId="741"/>
    <cellStyle name="_РасчетЗС15.10.2001гxls_14.03.03-Свод_ЛОХЛ_1кв. ож" xfId="742"/>
    <cellStyle name="_РасчетЗС15.10.2001гxls_140303_ЛОХЛ_2кв_испр" xfId="743"/>
    <cellStyle name="_РасчетЗС15.10.2001гxls_17.03.03-Свод_ЛОХЛ_1кв. ож" xfId="744"/>
    <cellStyle name="_РасчетЗС15.10.2001гxls_2 кв 2003 НК вероятный_Консолидация" xfId="745"/>
    <cellStyle name="_РасчетЗС15.10.2001гxls_2 кв 2003 НК вероятный_Российская часть1" xfId="746"/>
    <cellStyle name="_РасчетЗС15.10.2001гxls_2 кв 2003 НК пессимист_Консолидация" xfId="747"/>
    <cellStyle name="_РасчетЗС15.10.2001гxls_2002 ЗАО Пермь прогноз" xfId="748"/>
    <cellStyle name="_РасчетЗС15.10.2001гxls_2002 Пермь Прогноз" xfId="749"/>
    <cellStyle name="_РасчетЗС15.10.2001гxls_2003 2 кв  Хазар" xfId="750"/>
    <cellStyle name="_РасчетЗС15.10.2001гxls_2003-возвратный план в НК_2512" xfId="751"/>
    <cellStyle name="_РасчетЗС15.10.2001гxls_2004-2006гг_240903_01-20" xfId="752"/>
    <cellStyle name="_РасчетЗС15.10.2001гxls_21 НГДО-1" xfId="753"/>
    <cellStyle name="_РасчетЗС15.10.2001гxls_21 НГДО-1.(изм.Коми)" xfId="754"/>
    <cellStyle name="_РасчетЗС15.10.2001гxls_21 НГДО-1.(изм.Коми+ЛОХЛ 1кв.ож)" xfId="755"/>
    <cellStyle name="_РасчетЗС15.10.2001гxls_21 НГДО-3кв (принято)" xfId="756"/>
    <cellStyle name="_РасчетЗС15.10.2001гxls_21 НГДО-скоррект.2кв" xfId="757"/>
    <cellStyle name="_РасчетЗС15.10.2001гxls_2кв_18ф_28.02.03" xfId="758"/>
    <cellStyle name="_РасчетЗС15.10.2001гxls_5 Формы документов по Врем.рег" xfId="759"/>
    <cellStyle name="_РасчетЗС15.10.2001гxls_51_2003_04.12_И" xfId="760"/>
    <cellStyle name="_РасчетЗС15.10.2001гxls_Book11" xfId="761"/>
    <cellStyle name="_РасчетЗС15.10.2001гxls_BUDGET 2003 040603 _3кв_1455_испр 21С_добыча" xfId="762"/>
    <cellStyle name="_РасчетЗС15.10.2001гxls_BUDGET 2003 040603 _3кв_1838_испр 21С_добыча" xfId="763"/>
    <cellStyle name="_РасчетЗС15.10.2001гxls_BUDGET 2003 160503 2кв_комплексн_формы испр" xfId="764"/>
    <cellStyle name="_РасчетЗС15.10.2001гxls_BUDGET 2003 170503 2кв_комплексн_формы испр_1140" xfId="765"/>
    <cellStyle name="_РасчетЗС15.10.2001гxls_BUDGET 2003 170503 2кв_комплексн_формы испр_1435" xfId="766"/>
    <cellStyle name="_РасчетЗС15.10.2001гxls_BUDGET 2003 190503 2кв_комплексн_формы испр_0900" xfId="767"/>
    <cellStyle name="_РасчетЗС15.10.2001гxls_BUDGET 2003 190503 2кв_комплексн_формы испр_1620" xfId="768"/>
    <cellStyle name="_РасчетЗС15.10.2001гxls_BUDGET_ 2003_3кв_040703" xfId="769"/>
    <cellStyle name="_РасчетЗС15.10.2001гxls_BUDGET_ ZAO 03_01.12.02испр_упр" xfId="770"/>
    <cellStyle name="_РасчетЗС15.10.2001гxls_BUDGET_ ZAO 03_03.12.02испр_упр" xfId="771"/>
    <cellStyle name="_РасчетЗС15.10.2001гxls_BUDGET_ ZAO 03_04.12.02испр_упр" xfId="772"/>
    <cellStyle name="_РасчетЗС15.10.2001гxls_BUDGET_ ZAO 03_05.12.02испр_упр" xfId="773"/>
    <cellStyle name="_РасчетЗС15.10.2001гxls_BUDGET_ ZAO 03_09.12.02испр" xfId="774"/>
    <cellStyle name="_РасчетЗС15.10.2001гxls_BUDGET_ ZAO 03_14.11.02_Вариант" xfId="775"/>
    <cellStyle name="_РасчетЗС15.10.2001гxls_BUDGET_ ZAO 03_18.10.02_Вариант" xfId="776"/>
    <cellStyle name="_РасчетЗС15.10.2001гxls_BUDGET_ ZAO 03_19.11.02" xfId="777"/>
    <cellStyle name="_РасчетЗС15.10.2001гxls_BUDGET_ ZAO 03_21.11.02" xfId="778"/>
    <cellStyle name="_РасчетЗС15.10.2001гxls_BUDGET_ ZAO 03_22.10.02_Вариант" xfId="779"/>
    <cellStyle name="_РасчетЗС15.10.2001гxls_BUDGET_ ZAO 03_25.10.02_Вариант" xfId="780"/>
    <cellStyle name="_РасчетЗС15.10.2001гxls_BUDGET_2003_04.03.03" xfId="781"/>
    <cellStyle name="_РасчетЗС15.10.2001гxls_BUDGET_2003_06.03.03" xfId="782"/>
    <cellStyle name="_РасчетЗС15.10.2001гxls_BUDGET_2003_07.03.03" xfId="783"/>
    <cellStyle name="_РасчетЗС15.10.2001гxls_BUDGET_2003_11.03.03" xfId="784"/>
    <cellStyle name="_РасчетЗС15.10.2001гxls_BUDGET_2003_12.02.03" xfId="785"/>
    <cellStyle name="_РасчетЗС15.10.2001гxls_BUDGET_2003_14.03.03" xfId="786"/>
    <cellStyle name="_РасчетЗС15.10.2001гxls_BUDGET_2003_14.04.03Комп" xfId="787"/>
    <cellStyle name="_РасчетЗС15.10.2001гxls_BUDGET_2003_17.02.03" xfId="788"/>
    <cellStyle name="_РасчетЗС15.10.2001гxls_BUDGET_2003_17.04.03" xfId="789"/>
    <cellStyle name="_РасчетЗС15.10.2001гxls_BUDGET_2003_19.02.03" xfId="790"/>
    <cellStyle name="_РасчетЗС15.10.2001гxls_BUDGET_2003_19.12.02" xfId="791"/>
    <cellStyle name="_РасчетЗС15.10.2001гxls_BUDGET_2003_20.02.03" xfId="792"/>
    <cellStyle name="_РасчетЗС15.10.2001гxls_BUDGET_2003_21.02.03" xfId="793"/>
    <cellStyle name="_РасчетЗС15.10.2001гxls_BUDGET_2003_23.01.03" xfId="794"/>
    <cellStyle name="_РасчетЗС15.10.2001гxls_BUDGET_2003_23.04.03_14-00" xfId="795"/>
    <cellStyle name="_РасчетЗС15.10.2001гxls_BUDGET_2003_23.04.03_19-30" xfId="796"/>
    <cellStyle name="_РасчетЗС15.10.2001гxls_BUDGET_2003_250403_19" xfId="797"/>
    <cellStyle name="_РасчетЗС15.10.2001гxls_BUDGET_FIN_IIkv_ 2002_Dtd=17,5(затарты 20% равномерно)" xfId="798"/>
    <cellStyle name="_РасчетЗС15.10.2001гxls_BUDGET_FIN_IIkv_ 2002_Dtd=17,5(затарты 20% равномерно)_21 НГДО-3кв (принято)" xfId="799"/>
    <cellStyle name="_РасчетЗС15.10.2001гxls_BUDGET_FIN_IIkv_ 2002_Dtd=17,5(затарты 20% равномерно)_IIквАГДгод03" xfId="800"/>
    <cellStyle name="_РасчетЗС15.10.2001гxls_BUDGET_FIN_IIkv_ 2002_Dtd=17,5(затарты 20% равномерно)_IVквАГДгод03" xfId="801"/>
    <cellStyle name="_РасчетЗС15.10.2001гxls_BUDGET_FIN_IIkv_ 2002_Dtd=17,5(затарты 20% равномерно)_IVквНВгод03" xfId="802"/>
    <cellStyle name="_РасчетЗС15.10.2001гxls_BUDGET_FIN_IIkv_ 2002_Dtd=17,5(затарты 20% равномерно)_Бюд.ПНГП на III кв.2003г." xfId="803"/>
    <cellStyle name="_РасчетЗС15.10.2001гxls_BUDGET_FIN_IIkv_ 2002_Dtd=17,5(затарты 20% равномерно)_Бюджет 4 квартала из Москвы" xfId="804"/>
    <cellStyle name="_РасчетЗС15.10.2001гxls_BUDGET_FIN_IIkv_ 2002_Dtd=17,5(затарты 20% равномерно)_Книга1" xfId="805"/>
    <cellStyle name="_РасчетЗС15.10.2001гxls_BUDGET_FIN_IIkv_ 2002_Dtd=17,5(затарты 20% равномерно)_Контр и контролир показатели 1кв 2004" xfId="806"/>
    <cellStyle name="_РасчетЗС15.10.2001гxls_BUDGET_FIN_IIkv_ 2002_Dtd=17,5(затарты 20% равномерно)_показатели 1полугод_Кристине" xfId="807"/>
    <cellStyle name="_РасчетЗС15.10.2001гxls_BUDGET_FIN_IIkv_ 2002_Dtd=17,5(затарты 20% равномерно)_Форма 21.1.2 кв" xfId="808"/>
    <cellStyle name="_РасчетЗС15.10.2001гxls_BUDGET_IIkv_ 2002_Dtd=17,5(с предл ПН)" xfId="809"/>
    <cellStyle name="_РасчетЗС15.10.2001гxls_BUDGET_IIkv_ 2002_Dtd=17,5(с предл ПН)_21 НГДО-3кв (принято)" xfId="810"/>
    <cellStyle name="_РасчетЗС15.10.2001гxls_BUDGET_IIkv_ 2002_Dtd=17,5(с предл ПН)_IIквАГДгод03" xfId="811"/>
    <cellStyle name="_РасчетЗС15.10.2001гxls_BUDGET_IIkv_ 2002_Dtd=17,5(с предл ПН)_IVквАГДгод03" xfId="812"/>
    <cellStyle name="_РасчетЗС15.10.2001гxls_BUDGET_IIkv_ 2002_Dtd=17,5(с предл ПН)_IVквНВгод03" xfId="813"/>
    <cellStyle name="_РасчетЗС15.10.2001гxls_BUDGET_IIkv_ 2002_Dtd=17,5(с предл ПН)_Бюд.ПНГП на III кв.2003г." xfId="814"/>
    <cellStyle name="_РасчетЗС15.10.2001гxls_BUDGET_IIkv_ 2002_Dtd=17,5(с предл ПН)_Бюджет 4 квартала из Москвы" xfId="815"/>
    <cellStyle name="_РасчетЗС15.10.2001гxls_BUDGET_IIkv_ 2002_Dtd=17,5(с предл ПН)_Книга1" xfId="816"/>
    <cellStyle name="_РасчетЗС15.10.2001гxls_BUDGET_IIkv_ 2002_Dtd=17,5(с предл ПН)_Контр и контролир показатели 1кв 2004" xfId="817"/>
    <cellStyle name="_РасчетЗС15.10.2001гxls_BUDGET_IIkv_ 2002_Dtd=17,5(с предл ПН)_показатели 1полугод_Кристине" xfId="818"/>
    <cellStyle name="_РасчетЗС15.10.2001гxls_BUDGET_IIkv_ 2002_Dtd=17,5(с предл ПН)_Форма 21.1.2 кв" xfId="819"/>
    <cellStyle name="_РасчетЗС15.10.2001гxls_BUDGET_Ikv_ 2002_Dtd=19" xfId="820"/>
    <cellStyle name="_РасчетЗС15.10.2001гxls_BUDGET_Ikv_ 2002_Dtd=19_21 НГДО-3кв (принято)" xfId="821"/>
    <cellStyle name="_РасчетЗС15.10.2001гxls_BUDGET_Ikv_ 2002_Dtd=19_IIквАГДгод03" xfId="822"/>
    <cellStyle name="_РасчетЗС15.10.2001гxls_BUDGET_Ikv_ 2002_Dtd=19_IVквАГДгод03" xfId="823"/>
    <cellStyle name="_РасчетЗС15.10.2001гxls_BUDGET_Ikv_ 2002_Dtd=19_IVквНВгод03" xfId="824"/>
    <cellStyle name="_РасчетЗС15.10.2001гxls_BUDGET_Ikv_ 2002_Dtd=19_Бюд.ПНГП на III кв.2003г." xfId="825"/>
    <cellStyle name="_РасчетЗС15.10.2001гxls_BUDGET_Ikv_ 2002_Dtd=19_Бюджет 4 квартала из Москвы" xfId="826"/>
    <cellStyle name="_РасчетЗС15.10.2001гxls_BUDGET_Ikv_ 2002_Dtd=19_Книга1" xfId="827"/>
    <cellStyle name="_РасчетЗС15.10.2001гxls_BUDGET_Ikv_ 2002_Dtd=19_Контр и контролир показатели 1кв 2004" xfId="828"/>
    <cellStyle name="_РасчетЗС15.10.2001гxls_BUDGET_Ikv_ 2002_Dtd=19_показатели 1полугод_Кристине" xfId="829"/>
    <cellStyle name="_РасчетЗС15.10.2001гxls_BUDGET_Ikv_ 2002_Dtd=19_Форма 21.1.2 кв" xfId="830"/>
    <cellStyle name="_РасчетЗС15.10.2001гxls_BUDGET_ZAO2002" xfId="831"/>
    <cellStyle name="_РасчетЗС15.10.2001гxls_BUDGET_ZAO2002(I кв)" xfId="832"/>
    <cellStyle name="_РасчетЗС15.10.2001гxls_BUDGET_ПН2002(2)" xfId="833"/>
    <cellStyle name="_РасчетЗС15.10.2001гxls_BUDGET_ПН2002(2)_21 НГДО-3кв (принято)" xfId="834"/>
    <cellStyle name="_РасчетЗС15.10.2001гxls_BUDGET_ПН2002(2)_IIквАГДгод03" xfId="835"/>
    <cellStyle name="_РасчетЗС15.10.2001гxls_BUDGET_ПН2002(2)_IVквАГДгод03" xfId="836"/>
    <cellStyle name="_РасчетЗС15.10.2001гxls_BUDGET_ПН2002(2)_IVквНВгод03" xfId="837"/>
    <cellStyle name="_РасчетЗС15.10.2001гxls_BUDGET_ПН2002(2)_Бюд.ПНГП на III кв.2003г." xfId="838"/>
    <cellStyle name="_РасчетЗС15.10.2001гxls_BUDGET_ПН2002(2)_Бюджет 4 квартала из Москвы" xfId="839"/>
    <cellStyle name="_РасчетЗС15.10.2001гxls_BUDGET_ПН2002(2)_Книга1" xfId="840"/>
    <cellStyle name="_РасчетЗС15.10.2001гxls_BUDGET_ПН2002(2)_Контр и контролир показатели 1кв 2004" xfId="841"/>
    <cellStyle name="_РасчетЗС15.10.2001гxls_BUDGET_ПН2002(2)_показатели 1полугод_Кристине" xfId="842"/>
    <cellStyle name="_РасчетЗС15.10.2001гxls_BUDGET_ПН2002(2)_Форма 21.1.2 кв" xfId="843"/>
    <cellStyle name="_РасчетЗС15.10.2001гxls_BUDGET_ПН2002(3-2)" xfId="844"/>
    <cellStyle name="_РасчетЗС15.10.2001гxls_BUDGET_ъбп2002" xfId="845"/>
    <cellStyle name="_РасчетЗС15.10.2001гxls_IIквАГДгод03" xfId="846"/>
    <cellStyle name="_РасчетЗС15.10.2001гxls_IIквНВЭконпл02К" xfId="847"/>
    <cellStyle name="_РасчетЗС15.10.2001гxls_IVквАГДгод03" xfId="848"/>
    <cellStyle name="_РасчетЗС15.10.2001гxls_IVквНВгод03" xfId="849"/>
    <cellStyle name="_РасчетЗС15.10.2001гxls_IквАМнЭконпл02К" xfId="850"/>
    <cellStyle name="_РасчетЗС15.10.2001гxls_LUKOIL forms 2003 LOHL consolidated v5 16 oct 2002" xfId="851"/>
    <cellStyle name="_РасчетЗС15.10.2001гxls_АГДгод03" xfId="852"/>
    <cellStyle name="_РасчетЗС15.10.2001гxls_АГДгод03_21 НГДО-3кв (принято)" xfId="853"/>
    <cellStyle name="_РасчетЗС15.10.2001гxls_Битран2003-после рассмотрения" xfId="854"/>
    <cellStyle name="_РасчетЗС15.10.2001гxls_Битран-март" xfId="855"/>
    <cellStyle name="_РасчетЗС15.10.2001гxls_Бюд на янв" xfId="856"/>
    <cellStyle name="_РасчетЗС15.10.2001гxls_Бюд.2002г энон.план(ожид)" xfId="857"/>
    <cellStyle name="_РасчетЗС15.10.2001гxls_Бюд.2002г.КТЭК.(Доб.4454 НДПИ460,8)Прогноз МТЭ." xfId="858"/>
    <cellStyle name="_РасчетЗС15.10.2001гxls_Бюд.2003г энон.план." xfId="859"/>
    <cellStyle name="_РасчетЗС15.10.2001гxls_Бюд.2003г энон.план.(инвест.3925,2)" xfId="860"/>
    <cellStyle name="_РасчетЗС15.10.2001гxls_Бюд.ПНГП на I кв.2003.(для фин)" xfId="861"/>
    <cellStyle name="_РасчетЗС15.10.2001гxls_Бюджет на 2004-2006ггКоми" xfId="862"/>
    <cellStyle name="_РасчетЗС15.10.2001гxls_БЮДЖЕТ на ноябрь" xfId="863"/>
    <cellStyle name="_РасчетЗС15.10.2001гxls_БЮДЖЕТ-ЗС-2003год-44680Лена" xfId="864"/>
    <cellStyle name="_РасчетЗС15.10.2001гxls_БюдЗС-2002год-4кв" xfId="865"/>
    <cellStyle name="_РасчетЗС15.10.2001гxls_временно" xfId="866"/>
    <cellStyle name="_РасчетЗС15.10.2001гxls_жптнщ(ыeтбк)2002-29.10.2001З" xfId="867"/>
    <cellStyle name="_РасчетЗС15.10.2001гxls_ЗАО_20_АЛД_3июн03" xfId="868"/>
    <cellStyle name="_РасчетЗС15.10.2001гxls_Защита  III  квартала (таблицы)" xfId="869"/>
    <cellStyle name="_РасчетЗС15.10.2001гxls_Источники-2002(1кв)" xfId="870"/>
    <cellStyle name="_РасчетЗС15.10.2001гxls_Итоги 2002г-(ожид.) 30.01.03г." xfId="871"/>
    <cellStyle name="_РасчетЗС15.10.2001гxls_Книга1" xfId="872"/>
    <cellStyle name="_РасчетЗС15.10.2001гxls_Книга2" xfId="873"/>
    <cellStyle name="_РасчетЗС15.10.2001гxls_Книга23" xfId="874"/>
    <cellStyle name="_РасчетЗС15.10.2001гxls_Книга3" xfId="875"/>
    <cellStyle name="_РасчетЗС15.10.2001гxls_Книга3_1" xfId="876"/>
    <cellStyle name="_РасчетЗС15.10.2001гxls_Книга4" xfId="877"/>
    <cellStyle name="_РасчетЗС15.10.2001гxls_Комм и управл1" xfId="878"/>
    <cellStyle name="_РасчетЗС15.10.2001гxls_коммерч" xfId="879"/>
    <cellStyle name="_РасчетЗС15.10.2001гxls_Контр и контролир показатели 1кв 2004" xfId="880"/>
    <cellStyle name="_РасчетЗС15.10.2001гxls_ЛУКОЙЛ_Бюджет-2003_3008" xfId="881"/>
    <cellStyle name="_РасчетЗС15.10.2001гxls_НВгод03" xfId="882"/>
    <cellStyle name="_РасчетЗС15.10.2001гxls_НВгод03_21 НГДО-3кв (принято)" xfId="883"/>
    <cellStyle name="_РасчетЗС15.10.2001гxls_НВгод03_структура цены" xfId="884"/>
    <cellStyle name="_РасчетЗС15.10.2001гxls_НГДО-2002-2кв 1" xfId="885"/>
    <cellStyle name="_РасчетЗС15.10.2001гxls_НГДО-2002-2кв 1кристина" xfId="886"/>
    <cellStyle name="_РасчетЗС15.10.2001гxls_НГДО-2002-2кв 1кристина_Downstream-LNB-II 2003" xfId="887"/>
    <cellStyle name="_РасчетЗС15.10.2001гxls_НГДО-2002-2кв-11" xfId="888"/>
    <cellStyle name="_РасчетЗС15.10.2001гxls_НГДО-2002-2кв2" xfId="889"/>
    <cellStyle name="_РасчетЗС15.10.2001гxls_НГДО-2002-2кв2_Downstream-LNB-II 2003" xfId="890"/>
    <cellStyle name="_РасчетЗС15.10.2001гxls_НГДО-2002-3кв" xfId="891"/>
    <cellStyle name="_РасчетЗС15.10.2001гxls_НГДО-2002-3кв(нов)-4" xfId="892"/>
    <cellStyle name="_РасчетЗС15.10.2001гxls_НГДО-2002-3кв(нов)-4_Downstream-LNB-II 2003" xfId="893"/>
    <cellStyle name="_РасчетЗС15.10.2001гxls_НГДО-2002-3кв(нов)-8" xfId="894"/>
    <cellStyle name="_РасчетЗС15.10.2001гxls_НГДО-2002-4кв" xfId="895"/>
    <cellStyle name="_РасчетЗС15.10.2001гxls_НГДО-2002-расчет2002-СнижДобычи" xfId="896"/>
    <cellStyle name="_РасчетЗС15.10.2001гxls_НГДО-Анашкин2" xfId="897"/>
    <cellStyle name="_РасчетЗС15.10.2001гxls_новая форма 14- 2003г" xfId="898"/>
    <cellStyle name="_РасчетЗС15.10.2001гxls_новая форма 21 С- 2003г" xfId="899"/>
    <cellStyle name="_РасчетЗС15.10.2001гxls_новая форма 21-НГДО" xfId="900"/>
    <cellStyle name="_РасчетЗС15.10.2001гxls_новая форма по НГДО" xfId="901"/>
    <cellStyle name="_РасчетЗС15.10.2001гxls_Пермнефть2003 -1 квартал" xfId="902"/>
    <cellStyle name="_РасчетЗС15.10.2001гxls_Пермнефть2003 -1 кварталс учетом ИСУ НГДО" xfId="903"/>
    <cellStyle name="_РасчетЗС15.10.2001гxls_Пермнефть2003 после рассмотрения" xfId="904"/>
    <cellStyle name="_РасчетЗС15.10.2001гxls_Пермнефть-март" xfId="905"/>
    <cellStyle name="_РасчетЗС15.10.2001гxls_пЛУК_ЛОХЛк2к03_НИВв1_280403" xfId="906"/>
    <cellStyle name="_РасчетЗС15.10.2001гxls_По кварталам приб" xfId="907"/>
    <cellStyle name="_РасчетЗС15.10.2001гxls_По кварталам приб (прил21-3кварт)" xfId="908"/>
    <cellStyle name="_РасчетЗС15.10.2001гxls_показатели 1полугод_Кристине" xfId="909"/>
    <cellStyle name="_РасчетЗС15.10.2001гxls_показатели к 3 кв ЗАО" xfId="910"/>
    <cellStyle name="_РасчетЗС15.10.2001гxls_показатели к 3 кв ЗАО_21 НГДО-3кв (принято)" xfId="911"/>
    <cellStyle name="_РасчетЗС15.10.2001гxls_показатели к 3 кв ЗАО_показатели 1полугод_Кристине" xfId="912"/>
    <cellStyle name="_РасчетЗС15.10.2001гxls_ПредложенияЗСна2003год" xfId="913"/>
    <cellStyle name="_РасчетЗС15.10.2001гxls_ПРОГНОЗ 2002-2005г(Люба)" xfId="914"/>
    <cellStyle name="_РасчетЗС15.10.2001гxls_прогноз 2005(21)-допГаз" xfId="915"/>
    <cellStyle name="_РасчетЗС15.10.2001гxls_ПРОГНОЗдо2006г(апр2003г)" xfId="916"/>
    <cellStyle name="_РасчетЗС15.10.2001гxls_ПроектЗС-2003г(дляЗС)18.10.2002г" xfId="917"/>
    <cellStyle name="_РасчетЗС15.10.2001гxls_Расшифровки статей себестоимости" xfId="918"/>
    <cellStyle name="_РасчетЗС15.10.2001гxls_РИТЭК-2003-нов" xfId="919"/>
    <cellStyle name="_РасчетЗС15.10.2001гxls_себ по Регламенту" xfId="920"/>
    <cellStyle name="_РасчетЗС15.10.2001гxls_Сентябрь-Люба" xfId="921"/>
    <cellStyle name="_РасчетЗС15.10.2001гxls_смета дох и расходов" xfId="922"/>
    <cellStyle name="_РасчетЗС15.10.2001гxls_смета дох и расходов-янв" xfId="923"/>
    <cellStyle name="_РасчетЗС15.10.2001гxls_Смета затрат 2002-2003 гг" xfId="924"/>
    <cellStyle name="_РасчетЗС15.10.2001гxls_структура цены" xfId="925"/>
    <cellStyle name="_РасчетЗС15.10.2001гxls_ТЭП 2002" xfId="926"/>
    <cellStyle name="_РасчетЗС15.10.2001гxls_управл" xfId="927"/>
    <cellStyle name="_РасчетЗС15.10.2001гxls_Ф 51" xfId="928"/>
    <cellStyle name="_РасчетЗС15.10.2001гxls_Ф 51 (по регламенту)" xfId="929"/>
    <cellStyle name="_РасчетЗС15.10.2001гxls_Ф 511" xfId="930"/>
    <cellStyle name="_РасчетЗС15.10.2001гxls_ф.18" xfId="931"/>
    <cellStyle name="_РасчетЗС15.10.2001гxls_ф.51" xfId="932"/>
    <cellStyle name="_РасчетЗС15.10.2001гxls_ф.51 ноябрь 2002 г." xfId="933"/>
    <cellStyle name="_РасчетЗС15.10.2001гxls_ф.51 ноябрь 2002 г._21 НГДО-3кв (принято)" xfId="934"/>
    <cellStyle name="_РасчетЗС15.10.2001гxls_ф.51 ноябрь 2002 г._структура цены" xfId="935"/>
    <cellStyle name="_РасчетЗС15.10.2001гxls_Ф_14-_2003_Л" xfId="936"/>
    <cellStyle name="_РасчетЗС15.10.2001гxls_Ф_18_2003_Л" xfId="937"/>
    <cellStyle name="_РасчетЗС15.10.2001гxls_Ф_20-_2003_Л" xfId="938"/>
    <cellStyle name="_РасчетЗС15.10.2001гxls_Ф_21 НГДО 2003_Л" xfId="939"/>
    <cellStyle name="_РасчетЗС15.10.2001гxls_Ф_21 С_ 2003_Л" xfId="940"/>
    <cellStyle name="_РасчетЗС15.10.2001гxls_Ф_31_2003_Л" xfId="941"/>
    <cellStyle name="_РасчетЗС15.10.2001гxls_Ф21К1_фЛУК_ЛОХЛк1-2к03_АЛД_02июнь03_1550" xfId="942"/>
    <cellStyle name="_РасчетЗС15.10.2001гxls_Ф21К1К251-53_пЛУК_ЛОХЛк1к03_ННВв1_ЛУКОЙЛ_22111" xfId="943"/>
    <cellStyle name="_РасчетЗС15.10.2001гxls_форма 14- 2003г" xfId="944"/>
    <cellStyle name="_РасчетЗС15.10.2001гxls_форма 14- 2003г (после СД)." xfId="945"/>
    <cellStyle name="_РасчетЗС15.10.2001гxls_Форма 14- для ГУКБЭПИ" xfId="946"/>
    <cellStyle name="_РасчетЗС15.10.2001гxls_форма 14,1- 2003г" xfId="947"/>
    <cellStyle name="_РасчетЗС15.10.2001гxls_форма 14." xfId="948"/>
    <cellStyle name="_РасчетЗС15.10.2001гxls_форма 18- 2003г" xfId="949"/>
    <cellStyle name="_РасчетЗС15.10.2001гxls_форма 20- 2003г" xfId="950"/>
    <cellStyle name="_РасчетЗС15.10.2001гxls_форма 21 С- 2003г" xfId="951"/>
    <cellStyle name="_РасчетЗС15.10.2001гxls_форма 21 С- 2003г(после СД)" xfId="952"/>
    <cellStyle name="_РасчетЗС15.10.2001гxls_форма 21-НГДО 2003г" xfId="953"/>
    <cellStyle name="_РасчетЗС15.10.2001гxls_форма 21-НГДО 2003г-1" xfId="954"/>
    <cellStyle name="_РасчетЗС15.10.2001гxls_форма 21-НГДО 2003г-мой1" xfId="955"/>
    <cellStyle name="_РасчетЗС15.10.2001гxls_форма 21-НГДО от 04.12.02" xfId="956"/>
    <cellStyle name="_РасчетЗС15.10.2001гxls_форма 21-НГДО от 28.11.02" xfId="957"/>
    <cellStyle name="_РасчетЗС15.10.2001гxls_форма 31- 2003г" xfId="958"/>
    <cellStyle name="_РасчетЗС15.10.2001гxls_форма 51_Люба" xfId="959"/>
    <cellStyle name="_РасчетЗС15.10.2001гxls_ФОРМЫ ГУКБЭПИ-04.07.03" xfId="960"/>
    <cellStyle name="_РасчетЗС15.10.2001гxls_ФОРМЫ ГУКБЭПИ-10.07.03" xfId="961"/>
    <cellStyle name="_РасчетЗС15.10.2001гxls_Формы для БК" xfId="962"/>
    <cellStyle name="_РасчетЗС15.10.2001гxls_Формы для Вик. Андр" xfId="963"/>
    <cellStyle name="_РасчетЗС15.10.2001гxls_Формы для предприятий  2004-2006 г.г." xfId="964"/>
    <cellStyle name="_РасчетЗС15.10.2001гxls_Формы для РИТЭК 2004-2006г (раб.)" xfId="965"/>
    <cellStyle name="_РасчетЗС15.10.2001гxls_ФОРМЫ_2003_ЗАО" xfId="966"/>
    <cellStyle name="_РасчетЗС15.10.2001гxls_ФОРМЫ2003годНГДО" xfId="967"/>
    <cellStyle name="_РасчетЗС15.10.2001гxls_ФОРМЫ2003годНК эконом8663" xfId="968"/>
    <cellStyle name="_РасчетЗС15.10.2001гxls_ФОРМЫ2003годНК эконом8663 ( 170)" xfId="969"/>
    <cellStyle name="_РасчетЗС15.10.2001гxls_ЦДУ1полугодие2002г" xfId="970"/>
    <cellStyle name="_РасчетЗС15.10.2001гxls_ЦДУ1полугодие2002г_Downstream-LNB-II 2003" xfId="971"/>
    <cellStyle name="_РасчетЗС15.10.2001гxls_Цена ЗАО_06.03.03" xfId="972"/>
    <cellStyle name="_РИТЭК" xfId="973"/>
    <cellStyle name="_РИТЭК  проект 2005 г. мое с-до" xfId="974"/>
    <cellStyle name="_РИТЭК_2004г_рабочий_покварт_курс_30" xfId="975"/>
    <cellStyle name="_РИТЭК_21 НГДО-3кв (принято)" xfId="976"/>
    <cellStyle name="_РИТЭК_структура цены" xfId="977"/>
    <cellStyle name="_Ритэк-2003" xfId="978"/>
    <cellStyle name="_Ритэк-2003_21 НГДО-3кв (принято)" xfId="979"/>
    <cellStyle name="_Ритэк-2003_структура цены" xfId="980"/>
    <cellStyle name="_РИТЭК-2003-нов" xfId="981"/>
    <cellStyle name="_РИТЭК-2003-нов.(рабочий)" xfId="982"/>
    <cellStyle name="_Свод апрель оперативка (2)" xfId="983"/>
    <cellStyle name="_Свод май (1)" xfId="984"/>
    <cellStyle name="_СЕБ" xfId="985"/>
    <cellStyle name="_себ по Регламенту" xfId="986"/>
    <cellStyle name="_Сентябрь-Люба" xfId="987"/>
    <cellStyle name="_Смета АУП ЛУКОЙЛ-Коми на 3 кв 2002 г" xfId="988"/>
    <cellStyle name="_смета дох и расходов" xfId="989"/>
    <cellStyle name="_смета дох и расходов-янв" xfId="990"/>
    <cellStyle name="_Смета доходов и расходов (сводная) - апрель18.03.03" xfId="991"/>
    <cellStyle name="_Смета затрат 2002-2003 гг" xfId="992"/>
    <cellStyle name="_Смета затрат по прочим обществам" xfId="993"/>
    <cellStyle name="_Смета затрат по прочим обществам_Downstream-LNB-II 2003" xfId="994"/>
    <cellStyle name="_Смета на 2003 г.(мой в-т)" xfId="995"/>
    <cellStyle name="_Смета на 4 кв 2002 г" xfId="996"/>
    <cellStyle name="_СМЕТЫ 2003Г." xfId="997"/>
    <cellStyle name="_СМЕТЫ 2003Г-посл 7 вар." xfId="998"/>
    <cellStyle name="_СовДир" xfId="999"/>
    <cellStyle name="_Сравн-е В.О." xfId="1000"/>
    <cellStyle name="_сравнение (оплата)" xfId="1001"/>
    <cellStyle name="_Сравнение Коми" xfId="1002"/>
    <cellStyle name="_СРНВМЕММШИ ОКЮР ЙЮКЕМДЮПЭ" xfId="1003"/>
    <cellStyle name="_СРОЧНО 19.11.2001" xfId="1004"/>
    <cellStyle name="_СТР-ДО" xfId="1005"/>
    <cellStyle name="_структура цены" xfId="1006"/>
    <cellStyle name="_Сценарные условия 04-06 гг6" xfId="1007"/>
    <cellStyle name="_ТУПОЙ ВАРИАНТ ЗС-АИК-РИТЭК 180804" xfId="1008"/>
    <cellStyle name="_ТЭП 2003 Коми" xfId="1009"/>
    <cellStyle name="_ТЭП Кыртаель" xfId="1010"/>
    <cellStyle name="_УГПЗ_план_январь_251201" xfId="1011"/>
    <cellStyle name="_УДЕЛЬНЫЕ-расчет2002(04.03)" xfId="1012"/>
    <cellStyle name="_Управленческие" xfId="1013"/>
    <cellStyle name="_Управленческие по ф.2004" xfId="1014"/>
    <cellStyle name="_Управленческие расходы_03 (2)" xfId="1015"/>
    <cellStyle name="_Утвержденный II кв Оверсиз" xfId="1016"/>
    <cellStyle name="_УхтНПЗ_план_январь_251201" xfId="1017"/>
    <cellStyle name="_Ф 51" xfId="1018"/>
    <cellStyle name="_Ф 51 (по регламенту)" xfId="1019"/>
    <cellStyle name="_Ф 53" xfId="1020"/>
    <cellStyle name="_Ф.21-С Межд.вкл.НовыеРоссия 2003" xfId="1021"/>
    <cellStyle name="_Ф.21-С Межд.вкл.НовыеРоссия 2003_21 НГДО-3кв (принято)" xfId="1022"/>
    <cellStyle name="_ф.51" xfId="1023"/>
    <cellStyle name="_ф.51 ноябрь 2002 г." xfId="1024"/>
    <cellStyle name="_ф.51 ноябрь 2002 г._21 НГДО-3кв (принято)" xfId="1025"/>
    <cellStyle name="_ф.51 ноябрь 2002 г._структура цены" xfId="1026"/>
    <cellStyle name="_ф.51-ППУ" xfId="1027"/>
    <cellStyle name="_Ф21К1_фЛУК_ЛОХЛк1-2к03_АЛД_02июнь03_1550" xfId="1028"/>
    <cellStyle name="_Ф21К1К251-53_пЛУК_ЛОХЛк1к03_ННВв1_ЛУКОЙЛ_22111" xfId="1029"/>
    <cellStyle name="_ф-52(2003)" xfId="1030"/>
    <cellStyle name="_ФАКТ 2001г-Кочеткову(15.04.2001г).Надя" xfId="1031"/>
    <cellStyle name="_Факт за 2004 год (помесячно)" xfId="1032"/>
    <cellStyle name="_Февраль_свод" xfId="1033"/>
    <cellStyle name="_ФОРМА" xfId="1034"/>
    <cellStyle name="_форма 14- 2003г" xfId="1035"/>
    <cellStyle name="_ФОРМА 14 НГДО sap" xfId="1036"/>
    <cellStyle name="_форма 14,1- 2003г" xfId="1037"/>
    <cellStyle name="_форма 14." xfId="1038"/>
    <cellStyle name="_Форма 14.1" xfId="1039"/>
    <cellStyle name="_форма 14.1 новая" xfId="1040"/>
    <cellStyle name="_Форма 14.1_21 НГДО-3кв (принято)" xfId="1041"/>
    <cellStyle name="_Форма 14.1_структура цены" xfId="1042"/>
    <cellStyle name="_Форма 14.2" xfId="1043"/>
    <cellStyle name="_Форма 14.2_21 НГДО-3кв (принято)" xfId="1044"/>
    <cellStyle name="_Форма 14.2_структура цены" xfId="1045"/>
    <cellStyle name="_форма 18 20" xfId="1046"/>
    <cellStyle name="_форма 18- 2003г" xfId="1047"/>
    <cellStyle name="_форма 20- 2003г" xfId="1048"/>
    <cellStyle name="_форма 21 18К1 для доч пп Пермнефть" xfId="1049"/>
    <cellStyle name="_форма 21 18К1 для доч пп Пермнефть_2 кв 2003 НК вероятный_Консолидация" xfId="1050"/>
    <cellStyle name="_форма 21 18К1 для доч пп Пермнефть_2 кв 2003 НК вероятный_Российская часть1" xfId="1051"/>
    <cellStyle name="_форма 21 18К1 для доч пп Пермнефть_2 кв 2003 НК пессимист_Консолидация" xfId="1052"/>
    <cellStyle name="_форма 21 18К1 для доч пп Пермнефть_2002 ЗАО Пермь прогноз" xfId="1053"/>
    <cellStyle name="_форма 21 18К1 для доч пп Пермнефть_2003 2 кв  Хазар" xfId="1054"/>
    <cellStyle name="_форма 21 18К1 для доч пп Пермнефть_2003-возвратный план в НК_2512" xfId="1055"/>
    <cellStyle name="_форма 21 18К1 для доч пп Пермнефть_2004-2006гг_240903_01-20" xfId="1056"/>
    <cellStyle name="_форма 21 18К1 для доч пп Пермнефть_21 НГДО-1" xfId="1057"/>
    <cellStyle name="_форма 21 18К1 для доч пп Пермнефть_21 НГДО-1.(изм.Коми)" xfId="1058"/>
    <cellStyle name="_форма 21 18К1 для доч пп Пермнефть_21 НГДО-3кв (принято)" xfId="1059"/>
    <cellStyle name="_форма 21 18К1 для доч пп Пермнефть_2кв_18ф_28.02.03" xfId="1060"/>
    <cellStyle name="_форма 21 18К1 для доч пп Пермнефть_5 Формы документов по Врем.рег" xfId="1061"/>
    <cellStyle name="_форма 21 18К1 для доч пп Пермнефть_Book11" xfId="1062"/>
    <cellStyle name="_форма 21 18К1 для доч пп Пермнефть_BUDGET_ 2003_3кв_070703" xfId="1063"/>
    <cellStyle name="_форма 21 18К1 для доч пп Пермнефть_Downstream-LNB-II 2003" xfId="1064"/>
    <cellStyle name="_форма 21 18К1 для доч пп Пермнефть_IIквАГДгод03" xfId="1065"/>
    <cellStyle name="_форма 21 18К1 для доч пп Пермнефть_IIквНВЭконпл02К" xfId="1066"/>
    <cellStyle name="_форма 21 18К1 для доч пп Пермнефть_IVквАГДгод03" xfId="1067"/>
    <cellStyle name="_форма 21 18К1 для доч пп Пермнефть_IVквНВгод03" xfId="1068"/>
    <cellStyle name="_форма 21 18К1 для доч пп Пермнефть_LUKOIL forms 2003 LOHL consolidated v5 16 oct 2002" xfId="1069"/>
    <cellStyle name="_форма 21 18К1 для доч пп Пермнефть_АГДгод03" xfId="1070"/>
    <cellStyle name="_форма 21 18К1 для доч пп Пермнефть_АГДгод03_21 НГДО-3кв (принято)" xfId="1071"/>
    <cellStyle name="_форма 21 18К1 для доч пп Пермнефть_Битран2003-после рассмотрения" xfId="1072"/>
    <cellStyle name="_форма 21 18К1 для доч пп Пермнефть_Битран-март" xfId="1073"/>
    <cellStyle name="_форма 21 18К1 для доч пп Пермнефть_Бюд на янв" xfId="1074"/>
    <cellStyle name="_форма 21 18К1 для доч пп Пермнефть_Бюд.2002г энон.план(ожид)" xfId="1075"/>
    <cellStyle name="_форма 21 18К1 для доч пп Пермнефть_Бюд.2003г энон.план." xfId="1076"/>
    <cellStyle name="_форма 21 18К1 для доч пп Пермнефть_Бюд.2003г энон.план.(инвест.3925,2)" xfId="1077"/>
    <cellStyle name="_форма 21 18К1 для доч пп Пермнефть_Бюд.ПНГП на I кв.2003.(для фин)" xfId="1078"/>
    <cellStyle name="_форма 21 18К1 для доч пп Пермнефть_Бюджет на 2004-2006ггКоми" xfId="1079"/>
    <cellStyle name="_форма 21 18К1 для доч пп Пермнефть_БЮДЖЕТ на ноябрь" xfId="1080"/>
    <cellStyle name="_форма 21 18К1 для доч пп Пермнефть_БЮДЖЕТ-ЗС-2003год-44680Лена" xfId="1081"/>
    <cellStyle name="_форма 21 18К1 для доч пп Пермнефть_БюдЗС-2002год-4кв" xfId="1082"/>
    <cellStyle name="_форма 21 18К1 для доч пп Пермнефть_временно" xfId="1083"/>
    <cellStyle name="_форма 21 18К1 для доч пп Пермнефть_ЗАО_20_АЛД_3июн03" xfId="1084"/>
    <cellStyle name="_форма 21 18К1 для доч пп Пермнефть_Защита  III  квартала (таблицы)" xfId="1085"/>
    <cellStyle name="_форма 21 18К1 для доч пп Пермнефть_Источники-2002(1кв)" xfId="1086"/>
    <cellStyle name="_форма 21 18К1 для доч пп Пермнефть_Источники-2002(1кв)_Downstream-LNB-II 2003" xfId="1087"/>
    <cellStyle name="_форма 21 18К1 для доч пп Пермнефть_Итоги 2002г-(ожид.) 30.01.03г." xfId="1088"/>
    <cellStyle name="_форма 21 18К1 для доч пп Пермнефть_Книга1" xfId="1089"/>
    <cellStyle name="_форма 21 18К1 для доч пп Пермнефть_Книга2" xfId="1090"/>
    <cellStyle name="_форма 21 18К1 для доч пп Пермнефть_Книга23" xfId="1091"/>
    <cellStyle name="_форма 21 18К1 для доч пп Пермнефть_Книга3" xfId="1092"/>
    <cellStyle name="_форма 21 18К1 для доч пп Пермнефть_Книга3_1" xfId="1093"/>
    <cellStyle name="_форма 21 18К1 для доч пп Пермнефть_Книга4" xfId="1094"/>
    <cellStyle name="_форма 21 18К1 для доч пп Пермнефть_Комм и управл1" xfId="1095"/>
    <cellStyle name="_форма 21 18К1 для доч пп Пермнефть_коммерч" xfId="1096"/>
    <cellStyle name="_форма 21 18К1 для доч пп Пермнефть_Контр и контролир показатели 1кв 2004" xfId="1097"/>
    <cellStyle name="_форма 21 18К1 для доч пп Пермнефть_ЛУКОЙЛ_Бюджет-2003_3008" xfId="1098"/>
    <cellStyle name="_форма 21 18К1 для доч пп Пермнефть_НВгод03" xfId="1099"/>
    <cellStyle name="_форма 21 18К1 для доч пп Пермнефть_НВгод03_21 НГДО-3кв (принято)" xfId="1100"/>
    <cellStyle name="_форма 21 18К1 для доч пп Пермнефть_НВгод03_структура цены" xfId="1101"/>
    <cellStyle name="_форма 21 18К1 для доч пп Пермнефть_НГДО-2002-2кв 1" xfId="1102"/>
    <cellStyle name="_форма 21 18К1 для доч пп Пермнефть_НГДО-2002-2кв 1кристина" xfId="1103"/>
    <cellStyle name="_форма 21 18К1 для доч пп Пермнефть_НГДО-2002-2кв 1кристина_Downstream-LNB-II 2003" xfId="1104"/>
    <cellStyle name="_форма 21 18К1 для доч пп Пермнефть_НГДО-2002-2кв-11" xfId="1105"/>
    <cellStyle name="_форма 21 18К1 для доч пп Пермнефть_НГДО-2002-2кв2" xfId="1106"/>
    <cellStyle name="_форма 21 18К1 для доч пп Пермнефть_НГДО-2002-2кв2_Downstream-LNB-II 2003" xfId="1107"/>
    <cellStyle name="_форма 21 18К1 для доч пп Пермнефть_НГДО-2002-3кв" xfId="1108"/>
    <cellStyle name="_форма 21 18К1 для доч пп Пермнефть_НГДО-2002-3кв(нов)-4" xfId="1109"/>
    <cellStyle name="_форма 21 18К1 для доч пп Пермнефть_НГДО-2002-3кв(нов)-4_Downstream-LNB-II 2003" xfId="1110"/>
    <cellStyle name="_форма 21 18К1 для доч пп Пермнефть_НГДО-2002-3кв(нов)-8" xfId="1111"/>
    <cellStyle name="_форма 21 18К1 для доч пп Пермнефть_НГДО-2002-4кв" xfId="1112"/>
    <cellStyle name="_форма 21 18К1 для доч пп Пермнефть_НГДО-2002-расчет2002-СнижДобычи" xfId="1113"/>
    <cellStyle name="_форма 21 18К1 для доч пп Пермнефть_НГДО-Анашкин2" xfId="1114"/>
    <cellStyle name="_форма 21 18К1 для доч пп Пермнефть_новая форма 14- 2003г" xfId="1115"/>
    <cellStyle name="_форма 21 18К1 для доч пп Пермнефть_новая форма 21 С- 2003г" xfId="1116"/>
    <cellStyle name="_форма 21 18К1 для доч пп Пермнефть_новая форма 21-НГДО" xfId="1117"/>
    <cellStyle name="_форма 21 18К1 для доч пп Пермнефть_новая форма по НГДО" xfId="1118"/>
    <cellStyle name="_форма 21 18К1 для доч пп Пермнефть_Ожид 1кв2003_фЛУК_ЛОХЛв1_14мар031" xfId="1119"/>
    <cellStyle name="_форма 21 18К1 для доч пп Пермнефть_Пермнефть2003 -1 квартал" xfId="1120"/>
    <cellStyle name="_форма 21 18К1 для доч пп Пермнефть_Пермнефть2003 -1 кварталс учетом ИСУ НГДО" xfId="1121"/>
    <cellStyle name="_форма 21 18К1 для доч пп Пермнефть_Пермнефть2003 после рассмотрения" xfId="1122"/>
    <cellStyle name="_форма 21 18К1 для доч пп Пермнефть_Пермнефть-март" xfId="1123"/>
    <cellStyle name="_форма 21 18К1 для доч пп Пермнефть_пЛУК_ЛОХЛк2к03_НИВв1_280403" xfId="1124"/>
    <cellStyle name="_форма 21 18К1 для доч пп Пермнефть_По кварталам приб" xfId="1125"/>
    <cellStyle name="_форма 21 18К1 для доч пп Пермнефть_По кварталам приб (прил21-3кварт)" xfId="1126"/>
    <cellStyle name="_форма 21 18К1 для доч пп Пермнефть_показатели 1полугод_Кристине" xfId="1127"/>
    <cellStyle name="_форма 21 18К1 для доч пп Пермнефть_ПредложенияЗСна2003год" xfId="1128"/>
    <cellStyle name="_форма 21 18К1 для доч пп Пермнефть_ПРОГНОЗ 2002-2005г(Люба)" xfId="1129"/>
    <cellStyle name="_форма 21 18К1 для доч пп Пермнефть_прогноз 2005(21)-допГаз" xfId="1130"/>
    <cellStyle name="_форма 21 18К1 для доч пп Пермнефть_ПРОГНОЗдо2006г(апр2003г)" xfId="1131"/>
    <cellStyle name="_форма 21 18К1 для доч пп Пермнефть_ПроектЗС-2003г(дляЗС)18.10.2002г" xfId="1132"/>
    <cellStyle name="_форма 21 18К1 для доч пп Пермнефть_Расшифровки статей себестоимости" xfId="1133"/>
    <cellStyle name="_форма 21 18К1 для доч пп Пермнефть_РИТЭК-2003-нов" xfId="1134"/>
    <cellStyle name="_форма 21 18К1 для доч пп Пермнефть_себ по Регламенту" xfId="1135"/>
    <cellStyle name="_форма 21 18К1 для доч пп Пермнефть_Сентябрь-Люба" xfId="1136"/>
    <cellStyle name="_форма 21 18К1 для доч пп Пермнефть_смета дох и расходов" xfId="1137"/>
    <cellStyle name="_форма 21 18К1 для доч пп Пермнефть_смета дох и расходов-янв" xfId="1138"/>
    <cellStyle name="_форма 21 18К1 для доч пп Пермнефть_структура цены" xfId="1139"/>
    <cellStyle name="_форма 21 18К1 для доч пп Пермнефть_ТЭП 2002" xfId="1140"/>
    <cellStyle name="_форма 21 18К1 для доч пп Пермнефть_управл" xfId="1141"/>
    <cellStyle name="_форма 21 18К1 для доч пп Пермнефть_Ф 51" xfId="1142"/>
    <cellStyle name="_форма 21 18К1 для доч пп Пермнефть_Ф 51 (по регламенту)" xfId="1143"/>
    <cellStyle name="_форма 21 18К1 для доч пп Пермнефть_Ф 511" xfId="1144"/>
    <cellStyle name="_форма 21 18К1 для доч пп Пермнефть_ф.18" xfId="1145"/>
    <cellStyle name="_форма 21 18К1 для доч пп Пермнефть_ф.51" xfId="1146"/>
    <cellStyle name="_форма 21 18К1 для доч пп Пермнефть_ф.51 ноябрь 2002 г." xfId="1147"/>
    <cellStyle name="_форма 21 18К1 для доч пп Пермнефть_ф.51 ноябрь 2002 г._21 НГДО-3кв (принято)" xfId="1148"/>
    <cellStyle name="_форма 21 18К1 для доч пп Пермнефть_ф.51 ноябрь 2002 г._структура цены" xfId="1149"/>
    <cellStyle name="_форма 21 18К1 для доч пп Пермнефть_Ф_14-_2003_Л" xfId="1150"/>
    <cellStyle name="_форма 21 18К1 для доч пп Пермнефть_Ф_18_2003_Л" xfId="1151"/>
    <cellStyle name="_форма 21 18К1 для доч пп Пермнефть_Ф_20-_2003_Л" xfId="1152"/>
    <cellStyle name="_форма 21 18К1 для доч пп Пермнефть_Ф_21 НГДО 2003_Л" xfId="1153"/>
    <cellStyle name="_форма 21 18К1 для доч пп Пермнефть_Ф_21 С_ 2003_Л" xfId="1154"/>
    <cellStyle name="_форма 21 18К1 для доч пп Пермнефть_Ф_31_2003_Л" xfId="1155"/>
    <cellStyle name="_форма 21 18К1 для доч пп Пермнефть_Ф21К1_фЛУК_ЛОХЛк1-2к03_АЛД_02июнь03_1550" xfId="1156"/>
    <cellStyle name="_форма 21 18К1 для доч пп Пермнефть_Ф21К1К251-53_пЛУК_ЛОХЛк1к03_ННВв1_ЛУКОЙЛ_22111" xfId="1157"/>
    <cellStyle name="_форма 21 18К1 для доч пп Пермнефть_форма 14- 2003г" xfId="1158"/>
    <cellStyle name="_форма 21 18К1 для доч пп Пермнефть_форма 14- 2003г (после СД)." xfId="1159"/>
    <cellStyle name="_форма 21 18К1 для доч пп Пермнефть_Форма 14- для ГУКБЭПИ" xfId="1160"/>
    <cellStyle name="_форма 21 18К1 для доч пп Пермнефть_форма 14,1- 2003г" xfId="1161"/>
    <cellStyle name="_форма 21 18К1 для доч пп Пермнефть_форма 14." xfId="1162"/>
    <cellStyle name="_форма 21 18К1 для доч пп Пермнефть_форма 18- 2003г" xfId="1163"/>
    <cellStyle name="_форма 21 18К1 для доч пп Пермнефть_форма 20- 2003г" xfId="1164"/>
    <cellStyle name="_форма 21 18К1 для доч пп Пермнефть_форма 21 С- 2003г" xfId="1165"/>
    <cellStyle name="_форма 21 18К1 для доч пп Пермнефть_форма 21 С- 2003г(после СД)" xfId="1166"/>
    <cellStyle name="_форма 21 18К1 для доч пп Пермнефть_форма 21-НГДО 2003г" xfId="1167"/>
    <cellStyle name="_форма 21 18К1 для доч пп Пермнефть_форма 21-НГДО 2003г-1" xfId="1168"/>
    <cellStyle name="_форма 21 18К1 для доч пп Пермнефть_форма 21-НГДО 2003г-мой1" xfId="1169"/>
    <cellStyle name="_форма 21 18К1 для доч пп Пермнефть_форма 21-НГДО от 28.11.02" xfId="1170"/>
    <cellStyle name="_форма 21 18К1 для доч пп Пермнефть_форма 31- 2003г" xfId="1171"/>
    <cellStyle name="_форма 21 18К1 для доч пп Пермнефть_форма 51_Люба" xfId="1172"/>
    <cellStyle name="_форма 21 18К1 для доч пп Пермнефть_ФОРМЫ ГУКБЭПИ" xfId="1173"/>
    <cellStyle name="_форма 21 18К1 для доч пп Пермнефть_ФОРМЫ ГУКБЭПИ-04.07.03" xfId="1174"/>
    <cellStyle name="_форма 21 18К1 для доч пп Пермнефть_ФОРМЫ ГУКБЭПИ-10.07.03" xfId="1175"/>
    <cellStyle name="_форма 21 18К1 для доч пп Пермнефть_Формы для БК" xfId="1176"/>
    <cellStyle name="_форма 21 18К1 для доч пп Пермнефть_Формы для Вик. Андр" xfId="1177"/>
    <cellStyle name="_форма 21 18К1 для доч пп Пермнефть_Формы для предприятий  2004-2006 г.г." xfId="1178"/>
    <cellStyle name="_форма 21 18К1 для доч пп Пермнефть_Формы для РИТЭК 2004-2006г (раб.)" xfId="1179"/>
    <cellStyle name="_форма 21 18К1 для доч пп Пермнефть_ФОРМЫ_2003_ЗАО" xfId="1180"/>
    <cellStyle name="_форма 21 18К1 для доч пп Пермнефть_ФОРМЫ2003годНГДО" xfId="1181"/>
    <cellStyle name="_форма 21 18К1 для доч пп Пермнефть_ФОРМЫ2003годНК эконом8663" xfId="1182"/>
    <cellStyle name="_форма 21 18К1 для доч пп Пермнефть_ФОРМЫ2003годНК эконом8663 ( 170)" xfId="1183"/>
    <cellStyle name="_форма 21 С- 2003г" xfId="1184"/>
    <cellStyle name="_Форма 21.1" xfId="1185"/>
    <cellStyle name="_форма 21.1 новая" xfId="1186"/>
    <cellStyle name="_Форма 21.1.2 кв" xfId="1187"/>
    <cellStyle name="_Форма 21.1_1" xfId="1188"/>
    <cellStyle name="_Форма 21.1_11_Бурение" xfId="1189"/>
    <cellStyle name="_Форма 21.1_2003 07 29 Верхн бюдж формы (шаблон)" xfId="1190"/>
    <cellStyle name="_Форма 21.1_2003 ож нов стр-ра_10дек03" xfId="1191"/>
    <cellStyle name="_Форма 21.1_21 НГДО-3кв (принято)" xfId="1192"/>
    <cellStyle name="_Форма 21.1_21-НГДО- год" xfId="1193"/>
    <cellStyle name="_Форма 21.1_51_070803" xfId="1194"/>
    <cellStyle name="_Форма 21.1_Book11" xfId="1195"/>
    <cellStyle name="_Форма 21.1_Амортизация 2005 6 мес." xfId="1196"/>
    <cellStyle name="_Форма 21.1_Амортизация 2005 9 мес." xfId="1197"/>
    <cellStyle name="_Форма 21.1_Амортизация 2005 год" xfId="1198"/>
    <cellStyle name="_Форма 21.1_Анализ АХР 2005 г по группе НК 21.02.06" xfId="1199"/>
    <cellStyle name="_Форма 21.1_Аудиторам факт 2005 год только Л-П3" xfId="1200"/>
    <cellStyle name="_Форма 21.1_АХР_ факт группа по кварталам 2005 г" xfId="1201"/>
    <cellStyle name="_Форма 21.1_БН_БС" xfId="1202"/>
    <cellStyle name="_Форма 21.1_БНГ_БС" xfId="1203"/>
    <cellStyle name="_Форма 21.1_БПГ_НГДО" xfId="1204"/>
    <cellStyle name="_Форма 21.1_бюд.2004г.(упр.расх.ООО ЛЗС)Моск.Люба 24.11.03" xfId="1205"/>
    <cellStyle name="_Форма 21.1_бюд.Упр.расх.2004г.ООО" xfId="1206"/>
    <cellStyle name="_Форма 21.1_ДДС" xfId="1207"/>
    <cellStyle name="_Форма 21.1_ДО" xfId="1208"/>
    <cellStyle name="_Форма 21.1_ЗАО_20_АЛД_3июн03" xfId="1209"/>
    <cellStyle name="_Форма 21.1_КАЛК план-факт 2004 г. ЛП (2)" xfId="1210"/>
    <cellStyle name="_Форма 21.1_Кап ремонт скважин" xfId="1211"/>
    <cellStyle name="_Форма 21.1_Книга1" xfId="1212"/>
    <cellStyle name="_Форма 21.1_Комм и управл" xfId="1213"/>
    <cellStyle name="_Форма 21.1_Комм и управл1" xfId="1214"/>
    <cellStyle name="_Форма 21.1_Контрольные  1 кв 2008 141107 новая форма" xfId="1215"/>
    <cellStyle name="_Форма 21.1_Не входящие в валовую" xfId="1216"/>
    <cellStyle name="_Форма 21.1_ОХ_факт R3_2006 г" xfId="1217"/>
    <cellStyle name="_Форма 21.1_Пакет РФ_опт3_низ сс_26авг03 (1)" xfId="1218"/>
    <cellStyle name="_Форма 21.1_ПНП" xfId="1219"/>
    <cellStyle name="_Форма 21.1_Приложение _ 2 Формы для предприятий  2004-2006 (2)" xfId="1220"/>
    <cellStyle name="_Форма 21.1_Прочие" xfId="1221"/>
    <cellStyle name="_Форма 21.1_структура цены" xfId="1222"/>
    <cellStyle name="_Форма 21.1_ТРС_БС" xfId="1223"/>
    <cellStyle name="_Форма 21.1_ТРС_НГДО" xfId="1224"/>
    <cellStyle name="_Форма 21.1_ТЭП_БС" xfId="1225"/>
    <cellStyle name="_Форма 21.1_ТЭП_НГДО" xfId="1226"/>
    <cellStyle name="_Форма 21.1_УПР_БС" xfId="1227"/>
    <cellStyle name="_Форма 21.1_УПР_НГДО" xfId="1228"/>
    <cellStyle name="_Форма 21.1_Факт полугодие  ЛУКОЙЛ-ПЕРМЬ для москвы ГРУППА Буйлову (5)" xfId="1229"/>
    <cellStyle name="_Форма 21.1_ФОРМА 14 НГДО sap" xfId="1230"/>
    <cellStyle name="_Форма 21.1_Формы Бюджет-Факт 2004 для НК+++" xfId="1231"/>
    <cellStyle name="_Форма 21.1_Формы Бюджет-Факт 2004 для НК+++ (2)" xfId="1232"/>
    <cellStyle name="_Форма 21.1_Формы ГПЗ 3кв" xfId="1233"/>
    <cellStyle name="_Форма 21.1_ФОРМЫ ГУКБЭПИ" xfId="1234"/>
    <cellStyle name="_Форма 21.1_Формы для БК" xfId="1235"/>
    <cellStyle name="_Форма 21.1_Формы плана АмКоми на 2004 скор" xfId="1236"/>
    <cellStyle name="_Форма 21.1_Формы_2004-2006_060803" xfId="1237"/>
    <cellStyle name="_Форма 21.1_ФормыАГДдлябюджетIIIкв03гскорр" xfId="1238"/>
    <cellStyle name="_Форма 21.1_ФЭП_БС" xfId="1239"/>
    <cellStyle name="_Форма 21.1_ФЭП_НГДО" xfId="1240"/>
    <cellStyle name="_форма 21-НГДО 2003г" xfId="1241"/>
    <cellStyle name="_форма 31- 2003г" xfId="1242"/>
    <cellStyle name="_форма 51 180804" xfId="1243"/>
    <cellStyle name="_Форма К-1" xfId="1244"/>
    <cellStyle name="_Форма ПДиР-новая" xfId="1245"/>
    <cellStyle name="_Форма ПК-июль" xfId="1246"/>
    <cellStyle name="_Форма по внереализ. и операц.дох.и расх. на 2005 год" xfId="1247"/>
    <cellStyle name="_Форма по капвложениям вычеты_290604" xfId="1248"/>
    <cellStyle name="_Форма по КВ_2006_020306_после упрощения" xfId="1249"/>
    <cellStyle name="_Форма ППУ" xfId="1250"/>
    <cellStyle name="_форма ЭП-НГДО к Реглам" xfId="1251"/>
    <cellStyle name="_ФОРМА_14.03.03-Свод_ЛОХЛ_1кв. ож" xfId="1252"/>
    <cellStyle name="_ФОРМА_140303_ЛОХЛ_2кв_испр" xfId="1253"/>
    <cellStyle name="_ФОРМА_17.03.03-Свод_ЛОХЛ_1кв. ож" xfId="1254"/>
    <cellStyle name="_ФОРМА_2 кв 2003 НК вероятный_Консолидация" xfId="1255"/>
    <cellStyle name="_ФОРМА_2 кв 2003 НК вероятный_Российская часть1" xfId="1256"/>
    <cellStyle name="_ФОРМА_2 кв 2003 НК пессимист_Консолидация" xfId="1257"/>
    <cellStyle name="_ФОРМА_2002 ЗАО Пермь прогноз" xfId="1258"/>
    <cellStyle name="_ФОРМА_2002 ЗАО Пермь прогноз_Downstream-LNB-II 2003" xfId="1259"/>
    <cellStyle name="_ФОРМА_2002 Пермь Прогноз" xfId="1260"/>
    <cellStyle name="_ФОРМА_2003 2 кв  Хазар" xfId="1261"/>
    <cellStyle name="_ФОРМА_2003-возвратный план в НК_2512" xfId="1262"/>
    <cellStyle name="_ФОРМА_2004-2006гг_240903_01-20" xfId="1263"/>
    <cellStyle name="_ФОРМА_21 НГДО-1" xfId="1264"/>
    <cellStyle name="_ФОРМА_21 НГДО-1.(изм.Коми)" xfId="1265"/>
    <cellStyle name="_ФОРМА_21 НГДО-1.(изм.Коми+ЛОХЛ 1кв.ож)" xfId="1266"/>
    <cellStyle name="_ФОРМА_21 НГДО-3кв (принято)" xfId="1267"/>
    <cellStyle name="_ФОРМА_21 НГДО-скоррект.2кв" xfId="1268"/>
    <cellStyle name="_Форма_230604" xfId="1269"/>
    <cellStyle name="_ФОРМА_2кв_18ф_28.02.03" xfId="1270"/>
    <cellStyle name="_ФОРМА_5 Формы документов по Врем.рег" xfId="1271"/>
    <cellStyle name="_ФОРМА_51_2003_04.12_И" xfId="1272"/>
    <cellStyle name="_ФОРМА_Book11" xfId="1273"/>
    <cellStyle name="_ФОРМА_BUDGET 2003 040603 _3кв_1455_испр 21С_добыча" xfId="1274"/>
    <cellStyle name="_ФОРМА_BUDGET 2003 040603 _3кв_1838_испр 21С_добыча" xfId="1275"/>
    <cellStyle name="_ФОРМА_BUDGET 2003 160503 2кв_комплексн_формы испр" xfId="1276"/>
    <cellStyle name="_ФОРМА_BUDGET 2003 170503 2кв_комплексн_формы испр_1140" xfId="1277"/>
    <cellStyle name="_ФОРМА_BUDGET 2003 170503 2кв_комплексн_формы испр_1435" xfId="1278"/>
    <cellStyle name="_ФОРМА_BUDGET 2003 190503 2кв_комплексн_формы испр_0900" xfId="1279"/>
    <cellStyle name="_ФОРМА_BUDGET 2003 190503 2кв_комплексн_формы испр_1620" xfId="1280"/>
    <cellStyle name="_ФОРМА_BUDGET_ 2003_3кв_040703" xfId="1281"/>
    <cellStyle name="_ФОРМА_BUDGET_ ZAO 03_01.12.02испр_упр" xfId="1282"/>
    <cellStyle name="_ФОРМА_BUDGET_ ZAO 03_03.12.02испр_упр" xfId="1283"/>
    <cellStyle name="_ФОРМА_BUDGET_ ZAO 03_04.12.02испр_упр" xfId="1284"/>
    <cellStyle name="_ФОРМА_BUDGET_ ZAO 03_05.12.02испр_упр" xfId="1285"/>
    <cellStyle name="_ФОРМА_BUDGET_ ZAO 03_09.12.02испр" xfId="1286"/>
    <cellStyle name="_ФОРМА_BUDGET_ ZAO 03_14.11.02_Вариант" xfId="1287"/>
    <cellStyle name="_ФОРМА_BUDGET_ ZAO 03_18.10.02_Вариант" xfId="1288"/>
    <cellStyle name="_ФОРМА_BUDGET_ ZAO 03_19.11.02" xfId="1289"/>
    <cellStyle name="_ФОРМА_BUDGET_ ZAO 03_21.11.02" xfId="1290"/>
    <cellStyle name="_ФОРМА_BUDGET_ ZAO 03_22.10.02_Вариант" xfId="1291"/>
    <cellStyle name="_ФОРМА_BUDGET_ ZAO 03_25.10.02_Вариант" xfId="1292"/>
    <cellStyle name="_ФОРМА_BUDGET_2003_04.03.03" xfId="1293"/>
    <cellStyle name="_ФОРМА_BUDGET_2003_06.03.03" xfId="1294"/>
    <cellStyle name="_ФОРМА_BUDGET_2003_07.03.03" xfId="1295"/>
    <cellStyle name="_ФОРМА_BUDGET_2003_11.03.03" xfId="1296"/>
    <cellStyle name="_ФОРМА_BUDGET_2003_12.02.03" xfId="1297"/>
    <cellStyle name="_ФОРМА_BUDGET_2003_14.03.03" xfId="1298"/>
    <cellStyle name="_ФОРМА_BUDGET_2003_14.04.03Комп" xfId="1299"/>
    <cellStyle name="_ФОРМА_BUDGET_2003_17.02.03" xfId="1300"/>
    <cellStyle name="_ФОРМА_BUDGET_2003_17.04.03" xfId="1301"/>
    <cellStyle name="_ФОРМА_BUDGET_2003_19.02.03" xfId="1302"/>
    <cellStyle name="_ФОРМА_BUDGET_2003_19.12.02" xfId="1303"/>
    <cellStyle name="_ФОРМА_BUDGET_2003_20.02.03" xfId="1304"/>
    <cellStyle name="_ФОРМА_BUDGET_2003_21.02.03" xfId="1305"/>
    <cellStyle name="_ФОРМА_BUDGET_2003_23.01.03" xfId="1306"/>
    <cellStyle name="_ФОРМА_BUDGET_2003_23.04.03_14-00" xfId="1307"/>
    <cellStyle name="_ФОРМА_BUDGET_2003_23.04.03_19-30" xfId="1308"/>
    <cellStyle name="_ФОРМА_BUDGET_2003_250403_19" xfId="1309"/>
    <cellStyle name="_ФОРМА_BUDGET_FIN_IIkv_ 2002_Dtd=17,5(затарты 20% равномерно)" xfId="1310"/>
    <cellStyle name="_ФОРМА_BUDGET_FIN_IIkv_ 2002_Dtd=17,5(затарты 20% равномерно)_21 НГДО-3кв (принято)" xfId="1311"/>
    <cellStyle name="_ФОРМА_BUDGET_FIN_IIkv_ 2002_Dtd=17,5(затарты 20% равномерно)_IIквАГДгод03" xfId="1312"/>
    <cellStyle name="_ФОРМА_BUDGET_FIN_IIkv_ 2002_Dtd=17,5(затарты 20% равномерно)_IVквАГДгод03" xfId="1313"/>
    <cellStyle name="_ФОРМА_BUDGET_FIN_IIkv_ 2002_Dtd=17,5(затарты 20% равномерно)_IVквНВгод03" xfId="1314"/>
    <cellStyle name="_ФОРМА_BUDGET_FIN_IIkv_ 2002_Dtd=17,5(затарты 20% равномерно)_Бюд.ПНГП на III кв.2003г." xfId="1315"/>
    <cellStyle name="_ФОРМА_BUDGET_FIN_IIkv_ 2002_Dtd=17,5(затарты 20% равномерно)_Бюджет 4 квартала из Москвы" xfId="1316"/>
    <cellStyle name="_ФОРМА_BUDGET_FIN_IIkv_ 2002_Dtd=17,5(затарты 20% равномерно)_Книга1" xfId="1317"/>
    <cellStyle name="_ФОРМА_BUDGET_FIN_IIkv_ 2002_Dtd=17,5(затарты 20% равномерно)_Контр и контролир показатели 1кв 2004" xfId="1318"/>
    <cellStyle name="_ФОРМА_BUDGET_FIN_IIkv_ 2002_Dtd=17,5(затарты 20% равномерно)_показатели 1полугод_Кристине" xfId="1319"/>
    <cellStyle name="_ФОРМА_BUDGET_FIN_IIkv_ 2002_Dtd=17,5(затарты 20% равномерно)_Форма 21.1.2 кв" xfId="1320"/>
    <cellStyle name="_ФОРМА_BUDGET_IIkv_ 2002_Dtd=17,5(с предл ПН)" xfId="1321"/>
    <cellStyle name="_ФОРМА_BUDGET_IIkv_ 2002_Dtd=17,5(с предл ПН)_21 НГДО-3кв (принято)" xfId="1322"/>
    <cellStyle name="_ФОРМА_BUDGET_IIkv_ 2002_Dtd=17,5(с предл ПН)_IIквАГДгод03" xfId="1323"/>
    <cellStyle name="_ФОРМА_BUDGET_IIkv_ 2002_Dtd=17,5(с предл ПН)_IVквАГДгод03" xfId="1324"/>
    <cellStyle name="_ФОРМА_BUDGET_IIkv_ 2002_Dtd=17,5(с предл ПН)_IVквНВгод03" xfId="1325"/>
    <cellStyle name="_ФОРМА_BUDGET_IIkv_ 2002_Dtd=17,5(с предл ПН)_Бюд.ПНГП на III кв.2003г." xfId="1326"/>
    <cellStyle name="_ФОРМА_BUDGET_IIkv_ 2002_Dtd=17,5(с предл ПН)_Бюджет 4 квартала из Москвы" xfId="1327"/>
    <cellStyle name="_ФОРМА_BUDGET_IIkv_ 2002_Dtd=17,5(с предл ПН)_Книга1" xfId="1328"/>
    <cellStyle name="_ФОРМА_BUDGET_IIkv_ 2002_Dtd=17,5(с предл ПН)_Контр и контролир показатели 1кв 2004" xfId="1329"/>
    <cellStyle name="_ФОРМА_BUDGET_IIkv_ 2002_Dtd=17,5(с предл ПН)_показатели 1полугод_Кристине" xfId="1330"/>
    <cellStyle name="_ФОРМА_BUDGET_IIkv_ 2002_Dtd=17,5(с предл ПН)_Форма 21.1.2 кв" xfId="1331"/>
    <cellStyle name="_ФОРМА_BUDGET_Ikv_ 2002_Dtd=19" xfId="1332"/>
    <cellStyle name="_ФОРМА_BUDGET_Ikv_ 2002_Dtd=19_21 НГДО-3кв (принято)" xfId="1333"/>
    <cellStyle name="_ФОРМА_BUDGET_Ikv_ 2002_Dtd=19_IIквАГДгод03" xfId="1334"/>
    <cellStyle name="_ФОРМА_BUDGET_Ikv_ 2002_Dtd=19_IVквАГДгод03" xfId="1335"/>
    <cellStyle name="_ФОРМА_BUDGET_Ikv_ 2002_Dtd=19_IVквНВгод03" xfId="1336"/>
    <cellStyle name="_ФОРМА_BUDGET_Ikv_ 2002_Dtd=19_Бюд.ПНГП на III кв.2003г." xfId="1337"/>
    <cellStyle name="_ФОРМА_BUDGET_Ikv_ 2002_Dtd=19_Бюджет 4 квартала из Москвы" xfId="1338"/>
    <cellStyle name="_ФОРМА_BUDGET_Ikv_ 2002_Dtd=19_Книга1" xfId="1339"/>
    <cellStyle name="_ФОРМА_BUDGET_Ikv_ 2002_Dtd=19_Контр и контролир показатели 1кв 2004" xfId="1340"/>
    <cellStyle name="_ФОРМА_BUDGET_Ikv_ 2002_Dtd=19_показатели 1полугод_Кристине" xfId="1341"/>
    <cellStyle name="_ФОРМА_BUDGET_Ikv_ 2002_Dtd=19_Форма 21.1.2 кв" xfId="1342"/>
    <cellStyle name="_ФОРМА_BUDGET_ZAO2002" xfId="1343"/>
    <cellStyle name="_ФОРМА_BUDGET_ZAO2002(I кв)" xfId="1344"/>
    <cellStyle name="_ФОРМА_BUDGET_ПН2002(2)" xfId="1345"/>
    <cellStyle name="_ФОРМА_BUDGET_ПН2002(2)_21 НГДО-3кв (принято)" xfId="1346"/>
    <cellStyle name="_ФОРМА_BUDGET_ПН2002(2)_IIквАГДгод03" xfId="1347"/>
    <cellStyle name="_ФОРМА_BUDGET_ПН2002(2)_IVквАГДгод03" xfId="1348"/>
    <cellStyle name="_ФОРМА_BUDGET_ПН2002(2)_IVквНВгод03" xfId="1349"/>
    <cellStyle name="_ФОРМА_BUDGET_ПН2002(2)_Бюд.ПНГП на III кв.2003г." xfId="1350"/>
    <cellStyle name="_ФОРМА_BUDGET_ПН2002(2)_Бюджет 4 квартала из Москвы" xfId="1351"/>
    <cellStyle name="_ФОРМА_BUDGET_ПН2002(2)_Книга1" xfId="1352"/>
    <cellStyle name="_ФОРМА_BUDGET_ПН2002(2)_Контр и контролир показатели 1кв 2004" xfId="1353"/>
    <cellStyle name="_ФОРМА_BUDGET_ПН2002(2)_показатели 1полугод_Кристине" xfId="1354"/>
    <cellStyle name="_ФОРМА_BUDGET_ПН2002(2)_Форма 21.1.2 кв" xfId="1355"/>
    <cellStyle name="_ФОРМА_BUDGET_ПН2002(3-2)" xfId="1356"/>
    <cellStyle name="_ФОРМА_BUDGET_ъбп2002" xfId="1357"/>
    <cellStyle name="_ФОРМА_Downstream-LNB-II 2003" xfId="1358"/>
    <cellStyle name="_ФОРМА_IIквАГДгод03" xfId="1359"/>
    <cellStyle name="_ФОРМА_IIквНВЭконпл02К" xfId="1360"/>
    <cellStyle name="_ФОРМА_IVквАГДгод03" xfId="1361"/>
    <cellStyle name="_ФОРМА_IVквНВгод03" xfId="1362"/>
    <cellStyle name="_ФОРМА_LUKOIL forms 2003 LOHL consolidated v5 16 oct 2002" xfId="1363"/>
    <cellStyle name="_ФОРМА_АГДгод03" xfId="1364"/>
    <cellStyle name="_ФОРМА_АГДгод03_21 НГДО-3кв (принято)" xfId="1365"/>
    <cellStyle name="_ФОРМА_Битран2003-после рассмотрения" xfId="1366"/>
    <cellStyle name="_ФОРМА_Битран-март" xfId="1367"/>
    <cellStyle name="_ФОРМА_Бюд на янв" xfId="1368"/>
    <cellStyle name="_ФОРМА_Бюд.2002г энон.план(ожид)" xfId="1369"/>
    <cellStyle name="_ФОРМА_Бюд.2003г энон.план." xfId="1370"/>
    <cellStyle name="_ФОРМА_Бюд.2003г энон.план.(инвест.3925,2)" xfId="1371"/>
    <cellStyle name="_ФОРМА_Бюд.ПНГП на I кв.2003.(для фин)" xfId="1372"/>
    <cellStyle name="_ФОРМА_Бюджет на 2004-2006ггКоми" xfId="1373"/>
    <cellStyle name="_ФОРМА_БЮДЖЕТ на ноябрь" xfId="1374"/>
    <cellStyle name="_ФОРМА_БЮДЖЕТ-ЗС-2003год-44680Лена" xfId="1375"/>
    <cellStyle name="_ФОРМА_БюдЗС-2002год-4кв" xfId="1376"/>
    <cellStyle name="_ФОРМА_временно" xfId="1377"/>
    <cellStyle name="_ФОРМА_жптнщ(ыeтбк)2002-29.10.2001З" xfId="1378"/>
    <cellStyle name="_ФОРМА_ЗАО_20_АЛД_3июн03" xfId="1379"/>
    <cellStyle name="_ФОРМА_Защита  III  квартала (таблицы)" xfId="1380"/>
    <cellStyle name="_ФОРМА_Источники-2002(1кв)" xfId="1381"/>
    <cellStyle name="_ФОРМА_Источники-2002(1кв)_Downstream-LNB-II 2003" xfId="1382"/>
    <cellStyle name="_ФОРМА_Итоги 2002г-(ожид.) 30.01.03г." xfId="1383"/>
    <cellStyle name="_ФОРМА_Книга1" xfId="1384"/>
    <cellStyle name="_ФОРМА_Книга2" xfId="1385"/>
    <cellStyle name="_ФОРМА_Книга23" xfId="1386"/>
    <cellStyle name="_ФОРМА_Книга3" xfId="1387"/>
    <cellStyle name="_ФОРМА_Книга3_1" xfId="1388"/>
    <cellStyle name="_ФОРМА_Книга4" xfId="1389"/>
    <cellStyle name="_ФОРМА_Комм и управл1" xfId="1390"/>
    <cellStyle name="_ФОРМА_коммерч" xfId="1391"/>
    <cellStyle name="_ФОРМА_Контр и контролир показатели 1кв 2004" xfId="1392"/>
    <cellStyle name="_ФОРМА_ЛУКОЙЛ_Бюджет-2003_3008" xfId="1393"/>
    <cellStyle name="_ФОРМА_НВгод03" xfId="1394"/>
    <cellStyle name="_ФОРМА_НВгод03_21 НГДО-3кв (принято)" xfId="1395"/>
    <cellStyle name="_ФОРМА_НВгод03_структура цены" xfId="1396"/>
    <cellStyle name="_ФОРМА_НГДО-2002-2кв 1" xfId="1397"/>
    <cellStyle name="_ФОРМА_НГДО-2002-2кв 1кристина" xfId="1398"/>
    <cellStyle name="_ФОРМА_НГДО-2002-2кв 1кристина_Downstream-LNB-II 2003" xfId="1399"/>
    <cellStyle name="_ФОРМА_НГДО-2002-2кв-11" xfId="1400"/>
    <cellStyle name="_ФОРМА_НГДО-2002-2кв2" xfId="1401"/>
    <cellStyle name="_ФОРМА_НГДО-2002-2кв2_Downstream-LNB-II 2003" xfId="1402"/>
    <cellStyle name="_ФОРМА_НГДО-2002-3кв" xfId="1403"/>
    <cellStyle name="_ФОРМА_НГДО-2002-3кв(нов)-4" xfId="1404"/>
    <cellStyle name="_ФОРМА_НГДО-2002-3кв(нов)-4_Downstream-LNB-II 2003" xfId="1405"/>
    <cellStyle name="_ФОРМА_НГДО-2002-3кв(нов)-8" xfId="1406"/>
    <cellStyle name="_ФОРМА_НГДО-2002-4кв" xfId="1407"/>
    <cellStyle name="_ФОРМА_НГДО-2002-расчет2002-СнижДобычи" xfId="1408"/>
    <cellStyle name="_ФОРМА_НГДО-Анашкин2" xfId="1409"/>
    <cellStyle name="_ФОРМА_новая форма 14- 2003г" xfId="1410"/>
    <cellStyle name="_ФОРМА_новая форма 21 С- 2003г" xfId="1411"/>
    <cellStyle name="_ФОРМА_новая форма 21-НГДО" xfId="1412"/>
    <cellStyle name="_ФОРМА_новая форма по НГДО" xfId="1413"/>
    <cellStyle name="_ФОРМА_Пермнефть2003 -1 квартал" xfId="1414"/>
    <cellStyle name="_ФОРМА_Пермнефть2003 -1 кварталс учетом ИСУ НГДО" xfId="1415"/>
    <cellStyle name="_ФОРМА_Пермнефть2003 после рассмотрения" xfId="1416"/>
    <cellStyle name="_ФОРМА_Пермнефть-март" xfId="1417"/>
    <cellStyle name="_ФОРМА_пЛУК_ЛОХЛк2к03_НИВв1_280403" xfId="1418"/>
    <cellStyle name="_ФОРМА_По кварталам приб" xfId="1419"/>
    <cellStyle name="_ФОРМА_По кварталам приб (прил21-3кварт)" xfId="1420"/>
    <cellStyle name="_ФОРМА_показатели 1полугод_Кристине" xfId="1421"/>
    <cellStyle name="_ФОРМА_показатели к 3 кв ЗАО" xfId="1422"/>
    <cellStyle name="_ФОРМА_показатели к 3 кв ЗАО_21 НГДО-3кв (принято)" xfId="1423"/>
    <cellStyle name="_ФОРМА_показатели к 3 кв ЗАО_показатели 1полугод_Кристине" xfId="1424"/>
    <cellStyle name="_ФОРМА_ПредложенияЗСна2003год" xfId="1425"/>
    <cellStyle name="_ФОРМА_ПРОГНОЗ 2002-2005г(Люба)" xfId="1426"/>
    <cellStyle name="_ФОРМА_прогноз 2005(21)-допГаз" xfId="1427"/>
    <cellStyle name="_ФОРМА_ПРОГНОЗдо2006г(апр2003г)" xfId="1428"/>
    <cellStyle name="_ФОРМА_ПроектЗС-2003г(дляЗС)18.10.2002г" xfId="1429"/>
    <cellStyle name="_ФОРМА_Расшифровки статей себестоимости" xfId="1430"/>
    <cellStyle name="_ФОРМА_РИТЭК-2003-нов" xfId="1431"/>
    <cellStyle name="_ФОРМА_себ по Регламенту" xfId="1432"/>
    <cellStyle name="_ФОРМА_Сентябрь-Люба" xfId="1433"/>
    <cellStyle name="_ФОРМА_смета дох и расходов" xfId="1434"/>
    <cellStyle name="_ФОРМА_смета дох и расходов-янв" xfId="1435"/>
    <cellStyle name="_ФОРМА_структура цены" xfId="1436"/>
    <cellStyle name="_ФОРМА_ТЭП 2002" xfId="1437"/>
    <cellStyle name="_ФОРМА_управл" xfId="1438"/>
    <cellStyle name="_ФОРМА_Ф 51" xfId="1439"/>
    <cellStyle name="_ФОРМА_Ф 51 (по регламенту)" xfId="1440"/>
    <cellStyle name="_ФОРМА_Ф 511" xfId="1441"/>
    <cellStyle name="_ФОРМА_ф.18" xfId="1442"/>
    <cellStyle name="_ФОРМА_ф.51" xfId="1443"/>
    <cellStyle name="_ФОРМА_ф.51 ноябрь 2002 г." xfId="1444"/>
    <cellStyle name="_ФОРМА_ф.51 ноябрь 2002 г._21 НГДО-3кв (принято)" xfId="1445"/>
    <cellStyle name="_ФОРМА_ф.51 ноябрь 2002 г._структура цены" xfId="1446"/>
    <cellStyle name="_ФОРМА_Ф_14-_2003_Л" xfId="1447"/>
    <cellStyle name="_ФОРМА_Ф_18_2003_Л" xfId="1448"/>
    <cellStyle name="_ФОРМА_Ф_20-_2003_Л" xfId="1449"/>
    <cellStyle name="_ФОРМА_Ф_21 НГДО 2003_Л" xfId="1450"/>
    <cellStyle name="_ФОРМА_Ф_21 С_ 2003_Л" xfId="1451"/>
    <cellStyle name="_ФОРМА_Ф_31_2003_Л" xfId="1452"/>
    <cellStyle name="_ФОРМА_Ф21К1_фЛУК_ЛОХЛк1-2к03_АЛД_02июнь03_1550" xfId="1453"/>
    <cellStyle name="_ФОРМА_Ф21К1К251-53_пЛУК_ЛОХЛк1к03_ННВв1_ЛУКОЙЛ_22111" xfId="1454"/>
    <cellStyle name="_ФОРМА_форма 14- 2003г" xfId="1455"/>
    <cellStyle name="_ФОРМА_форма 14- 2003г (после СД)." xfId="1456"/>
    <cellStyle name="_ФОРМА_Форма 14- для ГУКБЭПИ" xfId="1457"/>
    <cellStyle name="_ФОРМА_форма 14,1- 2003г" xfId="1458"/>
    <cellStyle name="_ФОРМА_форма 14." xfId="1459"/>
    <cellStyle name="_ФОРМА_форма 18- 2003г" xfId="1460"/>
    <cellStyle name="_ФОРМА_форма 20- 2003г" xfId="1461"/>
    <cellStyle name="_ФОРМА_форма 21 С- 2003г" xfId="1462"/>
    <cellStyle name="_ФОРМА_форма 21 С- 2003г(после СД)" xfId="1463"/>
    <cellStyle name="_ФОРМА_форма 21-НГДО 2003г" xfId="1464"/>
    <cellStyle name="_ФОРМА_форма 21-НГДО 2003г-1" xfId="1465"/>
    <cellStyle name="_ФОРМА_форма 21-НГДО 2003г-мой1" xfId="1466"/>
    <cellStyle name="_ФОРМА_форма 21-НГДО от 04.12.02" xfId="1467"/>
    <cellStyle name="_ФОРМА_форма 21-НГДО от 28.11.02" xfId="1468"/>
    <cellStyle name="_ФОРМА_форма 31- 2003г" xfId="1469"/>
    <cellStyle name="_ФОРМА_форма 51_Люба" xfId="1470"/>
    <cellStyle name="_ФОРМА_ФОРМЫ ГУКБЭПИ" xfId="1471"/>
    <cellStyle name="_ФОРМА_ФОРМЫ ГУКБЭПИ-04.07.03" xfId="1472"/>
    <cellStyle name="_ФОРМА_ФОРМЫ ГУКБЭПИ-10.07.03" xfId="1473"/>
    <cellStyle name="_ФОРМА_Формы для БК" xfId="1474"/>
    <cellStyle name="_ФОРМА_Формы для Вик. Андр" xfId="1475"/>
    <cellStyle name="_ФОРМА_Формы для предприятий  2004-2006 г.г." xfId="1476"/>
    <cellStyle name="_ФОРМА_Формы для РИТЭК 2004-2006г (раб.)" xfId="1477"/>
    <cellStyle name="_ФОРМА_ФОРМЫ_2003_ЗАО" xfId="1478"/>
    <cellStyle name="_ФОРМА_ФОРМЫ2003годНГДО" xfId="1479"/>
    <cellStyle name="_ФОРМА_ФОРМЫ2003годНК эконом8663" xfId="1480"/>
    <cellStyle name="_ФОРМА_ФОРМЫ2003годНК эконом8663 ( 170)" xfId="1481"/>
    <cellStyle name="_ФОРМА_Цена ЗАО_06.03.03" xfId="1482"/>
    <cellStyle name="_ФОРМЫ (приложения 1-6)" xfId="1483"/>
    <cellStyle name="_формы 18 " xfId="1484"/>
    <cellStyle name="_Формы ГПЗ 3кв" xfId="1485"/>
    <cellStyle name="_ФОРМЫ ГУКБЭПИ" xfId="1486"/>
    <cellStyle name="_Формы для БК" xfId="1487"/>
    <cellStyle name="_Формы для годовых и месячных бюджетов" xfId="1488"/>
    <cellStyle name="_Формы для дочек для предоставления 2 квартала (2)" xfId="1489"/>
    <cellStyle name="_Формы для предприятий  2004-2006 г.г. (1)" xfId="1490"/>
    <cellStyle name="_Формы ежемес отчетов" xfId="1491"/>
    <cellStyle name="_формы к регламенту экономистов" xfId="1492"/>
    <cellStyle name="_Формы Кварт отчетов по Кыртаелю" xfId="1493"/>
    <cellStyle name="_Формы плана АмКоми на 2003 (version 2)" xfId="1494"/>
    <cellStyle name="_Формы по Оверсиз" xfId="1495"/>
    <cellStyle name="_формы ЭП-НГДО(ГПЗ) к РЕГЛАМЕНТУ" xfId="1496"/>
    <cellStyle name="_ФОРМЫ_2003_ЗАО" xfId="1497"/>
    <cellStyle name="_ФОРМЫ_2003_ЗАО_21 НГДО-3кв (принято)" xfId="1498"/>
    <cellStyle name="_Формы_2004-2006_060803" xfId="1499"/>
    <cellStyle name="_ФОРМЫ2003год_для ЗАО" xfId="1500"/>
    <cellStyle name="_ФОРМЫ2003год_для ЗАО_21 НГДО-3кв (принято)" xfId="1501"/>
    <cellStyle name="_ФОРМЫ2003год_для ЗАО_структура цены" xfId="1502"/>
    <cellStyle name="_ФОРМЫ2003годНГДО" xfId="1503"/>
    <cellStyle name="_ФОРМЫ2003годНГДО (1)" xfId="1504"/>
    <cellStyle name="_ФОРМЫ2003годНК эконом8646_300902_ИСПР" xfId="1505"/>
    <cellStyle name="_ФОРМЫ2003годНК эконом8646_300902_ИСПР_21 НГДО-3кв (принято)" xfId="1506"/>
    <cellStyle name="_ФОРМЫ2003годНК эконом8663" xfId="1507"/>
    <cellStyle name="_ФОРМЫ2003годНК эконом8663 ( 170)" xfId="1508"/>
    <cellStyle name="_ФОРМЫ2003годНК эконом8663 ( 170)_21 НГДО-3кв (принято)" xfId="1509"/>
    <cellStyle name="_ФОРМЫ2003годНК эконом8663_21 НГДО-3кв (принято)" xfId="1510"/>
    <cellStyle name="_ФОРМЫ2003годРИТЭК" xfId="1511"/>
    <cellStyle name="_ФФОРМА 51" xfId="1512"/>
    <cellStyle name="_ФЭП 2003 факт (ПБГ+юр лица)" xfId="1513"/>
    <cellStyle name="_ФЭП 2003г" xfId="1514"/>
    <cellStyle name="_ФЭП возвр план 2кв 2003 для НВЧ" xfId="1515"/>
    <cellStyle name="_ЦДУ1полугодие2002г" xfId="1516"/>
    <cellStyle name="_ЦДУ1полугодие2002г_БЮДЖЕТ-ЗС-2003год-44680Лена" xfId="1517"/>
    <cellStyle name="_ЦДУ1полугодие2002г_ПроектЗС-2003г(дляЗС)18.10.2002г" xfId="1518"/>
    <cellStyle name="_ЦДУ1полугодие2002г_ф.51 ноябрь 2002 г." xfId="1519"/>
    <cellStyle name="_ЦДУ1полугодие2002г_форма 21 С- 2003г" xfId="1520"/>
    <cellStyle name="_ЦДУ1полугодие2002г_форма 21 С- 2003г(после СД)" xfId="1521"/>
    <cellStyle name="_ЦентрНП_план_250504" xfId="1522"/>
    <cellStyle name="_Экономические формы1" xfId="1523"/>
    <cellStyle name="_Экономические формы1_21 НГДО-3кв (принято)" xfId="1524"/>
    <cellStyle name="_ЭКплан 4кв" xfId="1525"/>
    <cellStyle name="_Январь 02" xfId="1526"/>
    <cellStyle name="_ЯНВАРЬ КТ" xfId="1527"/>
    <cellStyle name="_ЯНВАРЬ ЛК" xfId="1528"/>
    <cellStyle name="_ЯНВАРЬ НО " xfId="1529"/>
    <cellStyle name="_ЯНВАРЬ Харьяганефть" xfId="1530"/>
    <cellStyle name="_Январь_уточ.(03.03.04)" xfId="1531"/>
    <cellStyle name="’?‰? [0.00]_Sheet1" xfId="1532"/>
    <cellStyle name="’?‰?_Sheet1" xfId="1533"/>
    <cellStyle name="”ќђќ‘ћ‚›‰" xfId="1534"/>
    <cellStyle name="”љ‘ђћ‚ђќќ›‰" xfId="1535"/>
    <cellStyle name="„…ќ…†ќ›‰" xfId="1536"/>
    <cellStyle name="„ђ’ђ" xfId="1537"/>
    <cellStyle name="‡ђѓћ‹ћ‚ћљ1" xfId="1538"/>
    <cellStyle name="‡ђѓћ‹ћ‚ћљ2" xfId="1539"/>
    <cellStyle name="•W_Sheet1" xfId="1540"/>
    <cellStyle name="’ћѓћ‚›‰" xfId="1541"/>
    <cellStyle name="0" xfId="1542"/>
    <cellStyle name="0%" xfId="1543"/>
    <cellStyle name="0,00;0;" xfId="1544"/>
    <cellStyle name="0.0" xfId="1545"/>
    <cellStyle name="0.0%" xfId="1546"/>
    <cellStyle name="0.00" xfId="1547"/>
    <cellStyle name="0.00%" xfId="1548"/>
    <cellStyle name="10/16" xfId="1549"/>
    <cellStyle name="14" xfId="1550"/>
    <cellStyle name="2decimal" xfId="1551"/>
    <cellStyle name="6Code" xfId="1552"/>
    <cellStyle name="752131" xfId="1553"/>
    <cellStyle name="8pt" xfId="1554"/>
    <cellStyle name="AutoFormat Options" xfId="1555"/>
    <cellStyle name="Availability" xfId="1556"/>
    <cellStyle name="Bad" xfId="1557"/>
    <cellStyle name="Blue" xfId="1558"/>
    <cellStyle name="Bold_8" xfId="1559"/>
    <cellStyle name="Calculation" xfId="1560"/>
    <cellStyle name="Changeable" xfId="1561"/>
    <cellStyle name="Check Cell" xfId="1562"/>
    <cellStyle name="Code" xfId="1563"/>
    <cellStyle name="Comma  - Style1" xfId="1564"/>
    <cellStyle name="Comma  - Style2" xfId="1565"/>
    <cellStyle name="Comma  - Style3" xfId="1566"/>
    <cellStyle name="Comma  - Style4" xfId="1567"/>
    <cellStyle name="Comma  - Style5" xfId="1568"/>
    <cellStyle name="Comma  - Style6" xfId="1569"/>
    <cellStyle name="Comma  - Style7" xfId="1570"/>
    <cellStyle name="Comma  - Style8" xfId="1571"/>
    <cellStyle name="Comma (0.0)" xfId="1572"/>
    <cellStyle name="Comma (0.00)" xfId="1573"/>
    <cellStyle name="Comma [0.0]" xfId="1574"/>
    <cellStyle name="Comma [0.00]" xfId="1575"/>
    <cellStyle name="Comma [0]_02." xfId="1576"/>
    <cellStyle name="Comma_~ME3350" xfId="1577"/>
    <cellStyle name="Comma0" xfId="1578"/>
    <cellStyle name="Currency ($0.0)" xfId="1579"/>
    <cellStyle name="Currency ($0.00)" xfId="1580"/>
    <cellStyle name="Currency [0.0]" xfId="1581"/>
    <cellStyle name="Currency [0.00]" xfId="1582"/>
    <cellStyle name="Currency [0]_02." xfId="1583"/>
    <cellStyle name="Currency [0]b" xfId="1584"/>
    <cellStyle name="Currency EN" xfId="1585"/>
    <cellStyle name="Currency RU" xfId="1586"/>
    <cellStyle name="Currency RU calc" xfId="1587"/>
    <cellStyle name="Currency RU_CP-P (2)" xfId="1588"/>
    <cellStyle name="currency(2)" xfId="1589"/>
    <cellStyle name="Currency_~ME3350" xfId="1590"/>
    <cellStyle name="Currency0" xfId="1591"/>
    <cellStyle name="Date" xfId="1592"/>
    <cellStyle name="Date (4-Aug-93)" xfId="1593"/>
    <cellStyle name="Date (8/4/93)" xfId="1594"/>
    <cellStyle name="Date (Aug-93)" xfId="1595"/>
    <cellStyle name="Date [4-Aug-50]" xfId="1596"/>
    <cellStyle name="Date [8/4/50]" xfId="1597"/>
    <cellStyle name="Date [Aug 4, 1950]" xfId="1598"/>
    <cellStyle name="Date [Aug-04]" xfId="1599"/>
    <cellStyle name="Date [Aug-50]" xfId="1600"/>
    <cellStyle name="Date EN" xfId="1601"/>
    <cellStyle name="Date RU" xfId="1602"/>
    <cellStyle name="Date/Time (8/4/93 20:50)" xfId="1603"/>
    <cellStyle name="Date_до 2015" xfId="1604"/>
    <cellStyle name="Date2" xfId="1605"/>
    <cellStyle name="DBS" xfId="1606"/>
    <cellStyle name="Dollars" xfId="1607"/>
    <cellStyle name="Emphasis 1" xfId="1608"/>
    <cellStyle name="Emphasis 2" xfId="1609"/>
    <cellStyle name="Emphasis 3" xfId="1610"/>
    <cellStyle name="Euro" xfId="1611"/>
    <cellStyle name="F2" xfId="1612"/>
    <cellStyle name="F3" xfId="1613"/>
    <cellStyle name="F4" xfId="1614"/>
    <cellStyle name="F5" xfId="1615"/>
    <cellStyle name="F6" xfId="1616"/>
    <cellStyle name="F7" xfId="1617"/>
    <cellStyle name="F8" xfId="1618"/>
    <cellStyle name="Fixed" xfId="1619"/>
    <cellStyle name="Followed Hyperlink" xfId="1620"/>
    <cellStyle name="Good" xfId="1621"/>
    <cellStyle name="Header1" xfId="1622"/>
    <cellStyle name="Header2" xfId="1623"/>
    <cellStyle name="Heading 1" xfId="1624"/>
    <cellStyle name="Heading 2" xfId="1625"/>
    <cellStyle name="Heading 3" xfId="1626"/>
    <cellStyle name="Heading 4" xfId="1627"/>
    <cellStyle name="Hyperlink" xfId="1628"/>
    <cellStyle name="Input" xfId="1629"/>
    <cellStyle name="InputCells" xfId="1630"/>
    <cellStyle name="Linked Cell" xfId="1631"/>
    <cellStyle name="Milliers [0]_Conversion Summary" xfId="1632"/>
    <cellStyle name="Milliers_Conversion Summary" xfId="1633"/>
    <cellStyle name="Millions [0.0]" xfId="1634"/>
    <cellStyle name="Millions [0.00]" xfId="1635"/>
    <cellStyle name="Millions [0]" xfId="1636"/>
    <cellStyle name="Millions-$ [0.0]" xfId="1637"/>
    <cellStyle name="Millions-$ [0.00]" xfId="1638"/>
    <cellStyle name="Millions-$ [0]" xfId="1639"/>
    <cellStyle name="Monйtaire [0]_Conversion Summary" xfId="1640"/>
    <cellStyle name="Monйtaire_Conversion Summary" xfId="1641"/>
    <cellStyle name="Naira" xfId="1642"/>
    <cellStyle name="Neutral" xfId="1643"/>
    <cellStyle name="Normal - Style1" xfId="1644"/>
    <cellStyle name="Normal_%Формы" xfId="1645"/>
    <cellStyle name="Normal6" xfId="1646"/>
    <cellStyle name="Normal6Red" xfId="1647"/>
    <cellStyle name="normбlnм_laroux" xfId="1648"/>
    <cellStyle name="Note" xfId="1649"/>
    <cellStyle name="№йєРАІ_±вЕё" xfId="1650"/>
    <cellStyle name="Œ…‹??‚è [0.00]_Sheet1" xfId="1651"/>
    <cellStyle name="Œ…‹??‚è_Sheet1" xfId="1652"/>
    <cellStyle name="Organization" xfId="1653"/>
    <cellStyle name="outh America" xfId="1654"/>
    <cellStyle name="Output" xfId="1655"/>
    <cellStyle name="Page_No" xfId="1656"/>
    <cellStyle name="Percent (0%)" xfId="1657"/>
    <cellStyle name="Percent [0.00]" xfId="1658"/>
    <cellStyle name="Percent [0]" xfId="1659"/>
    <cellStyle name="Percent_Cash Flow unindexed" xfId="1660"/>
    <cellStyle name="PillarData" xfId="1661"/>
    <cellStyle name="PillarHeading" xfId="1662"/>
    <cellStyle name="PillarText" xfId="1663"/>
    <cellStyle name="PillarTotal" xfId="1664"/>
    <cellStyle name="RowLevel_1_DaysDepth (2)" xfId="1665"/>
    <cellStyle name="s" xfId="1666"/>
    <cellStyle name="SAPBEXaggData" xfId="1667"/>
    <cellStyle name="SAPBEXaggDataEmph" xfId="1668"/>
    <cellStyle name="SAPBEXaggItem" xfId="1669"/>
    <cellStyle name="SAPBEXaggItemX" xfId="1670"/>
    <cellStyle name="SAPBEXchaText" xfId="1671"/>
    <cellStyle name="SAPBEXexcBad7" xfId="1672"/>
    <cellStyle name="SAPBEXexcBad8" xfId="1673"/>
    <cellStyle name="SAPBEXexcBad9" xfId="1674"/>
    <cellStyle name="SAPBEXexcCritical4" xfId="1675"/>
    <cellStyle name="SAPBEXexcCritical5" xfId="1676"/>
    <cellStyle name="SAPBEXexcCritical6" xfId="1677"/>
    <cellStyle name="SAPBEXexcGood1" xfId="1678"/>
    <cellStyle name="SAPBEXexcGood2" xfId="1679"/>
    <cellStyle name="SAPBEXexcGood3" xfId="1680"/>
    <cellStyle name="SAPBEXfilterDrill" xfId="1681"/>
    <cellStyle name="SAPBEXfilterItem" xfId="1682"/>
    <cellStyle name="SAPBEXfilterText" xfId="1683"/>
    <cellStyle name="SAPBEXformats" xfId="1684"/>
    <cellStyle name="SAPBEXheaderItem" xfId="1685"/>
    <cellStyle name="SAPBEXheaderText" xfId="1686"/>
    <cellStyle name="SAPBEXHLevel0" xfId="1687"/>
    <cellStyle name="SAPBEXHLevel0X" xfId="1688"/>
    <cellStyle name="SAPBEXHLevel1" xfId="1689"/>
    <cellStyle name="SAPBEXHLevel1X" xfId="1690"/>
    <cellStyle name="SAPBEXHLevel2" xfId="1691"/>
    <cellStyle name="SAPBEXHLevel2X" xfId="1692"/>
    <cellStyle name="SAPBEXHLevel3" xfId="1693"/>
    <cellStyle name="SAPBEXHLevel3X" xfId="1694"/>
    <cellStyle name="SAPBEXresData" xfId="1695"/>
    <cellStyle name="SAPBEXresDataEmph" xfId="1696"/>
    <cellStyle name="SAPBEXresItem" xfId="1697"/>
    <cellStyle name="SAPBEXresItemX" xfId="1698"/>
    <cellStyle name="SAPBEXstdData" xfId="1699"/>
    <cellStyle name="SAPBEXstdDataEmph" xfId="1700"/>
    <cellStyle name="SAPBEXstdItem" xfId="1701"/>
    <cellStyle name="SAPBEXstdItemX" xfId="1702"/>
    <cellStyle name="SAPBEXtitle" xfId="1703"/>
    <cellStyle name="SAPBEXundefined" xfId="1704"/>
    <cellStyle name="SEM-BPS-data" xfId="1705"/>
    <cellStyle name="SEM-BPS-head" xfId="1706"/>
    <cellStyle name="SEM-BPS-headdata" xfId="1707"/>
    <cellStyle name="SEM-BPS-headkey" xfId="1708"/>
    <cellStyle name="SEM-BPS-input-on" xfId="1709"/>
    <cellStyle name="SEM-BPS-key" xfId="1710"/>
    <cellStyle name="SEM-BPS-sub1" xfId="1711"/>
    <cellStyle name="SEM-BPS-sub2" xfId="1712"/>
    <cellStyle name="SEM-BPS-total" xfId="1713"/>
    <cellStyle name="Sheet Title" xfId="1714"/>
    <cellStyle name="small" xfId="1715"/>
    <cellStyle name="Social Security #" xfId="1716"/>
    <cellStyle name="sonhead" xfId="1717"/>
    <cellStyle name="sonscript" xfId="1718"/>
    <cellStyle name="sontitle" xfId="1719"/>
    <cellStyle name="Standard_laroux" xfId="1720"/>
    <cellStyle name="Thousands [0.0]" xfId="1721"/>
    <cellStyle name="Thousands [0.00]" xfId="1722"/>
    <cellStyle name="Thousands [0]" xfId="1723"/>
    <cellStyle name="Thousands-$ [0.0]" xfId="1724"/>
    <cellStyle name="Thousands-$ [0.00]" xfId="1725"/>
    <cellStyle name="Thousands-$ [0]" xfId="1726"/>
    <cellStyle name="Time" xfId="1727"/>
    <cellStyle name="Time (20:50)" xfId="1728"/>
    <cellStyle name="Time (20:50:35)" xfId="1729"/>
    <cellStyle name="Time (8:50 PM)" xfId="1730"/>
    <cellStyle name="Time (8:50:35 PM)" xfId="1731"/>
    <cellStyle name="Time_DaysDepth (2)" xfId="1732"/>
    <cellStyle name="TimeEnd" xfId="1733"/>
    <cellStyle name="TimeSpent" xfId="1734"/>
    <cellStyle name="Title" xfId="1735"/>
    <cellStyle name="TitleEvid" xfId="1736"/>
    <cellStyle name="Total" xfId="1737"/>
    <cellStyle name="Upload Only" xfId="1738"/>
    <cellStyle name="Warning Text" xfId="1739"/>
    <cellStyle name="Wдhrung [0]_laroux" xfId="1740"/>
    <cellStyle name="Wдhrung_laroux" xfId="1741"/>
    <cellStyle name="Year EN" xfId="1742"/>
    <cellStyle name="Year RU" xfId="1743"/>
    <cellStyle name="Гиперссылка" xfId="3" builtinId="8"/>
    <cellStyle name="Гиперссылка 2" xfId="1744"/>
    <cellStyle name="ДАТА" xfId="1745"/>
    <cellStyle name="Денежный (0)" xfId="1746"/>
    <cellStyle name="Денежный 2" xfId="1747"/>
    <cellStyle name="ДЮё¶ [0]_±вЕё" xfId="1748"/>
    <cellStyle name="ДЮё¶_±вЕё" xfId="1749"/>
    <cellStyle name="ЕлИ­ [0]_±вЕё" xfId="1750"/>
    <cellStyle name="ЕлИ­_±вЕё" xfId="1751"/>
    <cellStyle name="З1" xfId="1752"/>
    <cellStyle name="З2" xfId="1753"/>
    <cellStyle name="Заг" xfId="1754"/>
    <cellStyle name="Заголовок" xfId="1755"/>
    <cellStyle name="Заголовок таблицы" xfId="1756"/>
    <cellStyle name="ЗАГОЛОВОК1" xfId="1757"/>
    <cellStyle name="ЗАГОЛОВОК2" xfId="1758"/>
    <cellStyle name="ЗҐБШ_±ё№МВчАМ" xfId="1759"/>
    <cellStyle name="ИТОГОВЫЙ" xfId="1760"/>
    <cellStyle name="Код строки" xfId="1761"/>
    <cellStyle name="Контрагенты 4" xfId="1762"/>
    <cellStyle name="Машинка" xfId="1763"/>
    <cellStyle name="Модель" xfId="1764"/>
    <cellStyle name="Обычный" xfId="0" builtinId="0"/>
    <cellStyle name="Обычный 2" xfId="2"/>
    <cellStyle name="Обычный 2 2" xfId="1765"/>
    <cellStyle name="Обычный 3" xfId="1766"/>
    <cellStyle name="Обычный 4" xfId="1767"/>
    <cellStyle name="Обычный 5" xfId="1768"/>
    <cellStyle name="Проверка" xfId="1769"/>
    <cellStyle name="Процент_AN" xfId="1770"/>
    <cellStyle name="Процентный 2" xfId="1771"/>
    <cellStyle name="Процентный 3" xfId="1772"/>
    <cellStyle name="Процентный 4" xfId="1773"/>
    <cellStyle name="Сводная" xfId="1774"/>
    <cellStyle name="Стиль 1" xfId="1775"/>
    <cellStyle name="ТЕКСТ" xfId="1776"/>
    <cellStyle name="ТысРуб" xfId="1777"/>
    <cellStyle name="Тысячи" xfId="1778"/>
    <cellStyle name="Тысячи (0)" xfId="1779"/>
    <cellStyle name="тысячи (000)" xfId="1780"/>
    <cellStyle name="Тысячи [0.0]" xfId="1781"/>
    <cellStyle name="Тысячи [0]" xfId="1782"/>
    <cellStyle name="Тысячи_ прибыль" xfId="1783"/>
    <cellStyle name="ФИКСИРОВАННЫЙ" xfId="1784"/>
    <cellStyle name="Финансовый" xfId="1" builtinId="3"/>
    <cellStyle name="Финансовый 2" xfId="1785"/>
    <cellStyle name="Финансовый 3" xfId="1786"/>
    <cellStyle name="Џђћ–…ќ’ќ›‰" xfId="1787"/>
    <cellStyle name="Шапка таблицы" xfId="1788"/>
    <cellStyle name="ый" xfId="1789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050;&#1086;&#1079;&#1103;&#1077;&#1074;&#1072;\SEBEST\&#1041;&#1102;&#1076;&#1078;&#1077;&#1090;%20&#1048;&#1070;&#1053;&#1068;2001xl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052;&#1086;&#1080;%20&#1076;&#1086;&#1082;&#1091;&#1084;&#1077;&#1085;&#1090;&#1099;\2000&#1087;&#1088;&#1086;&#1077;&#1082;&#1090;\&#1089;&#1084;&#1077;&#1090;&#1072;%20&#1079;&#1072;&#1090;&#1088;&#1072;&#1090;2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indows\TEMP\1999&#1075;\&#1040;&#1085;&#1072;&#1083;&#1080;&#1079;\&#1086;&#1090;&#1095;&#1077;&#1090;4%20&#1082;&#1074;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 квартал"/>
      <sheetName val="II квартал "/>
      <sheetName val="III квартал"/>
      <sheetName val="бюдж с расшифр(ст)"/>
      <sheetName val="июль2001"/>
      <sheetName val="цтс"/>
      <sheetName val="июнь ожид."/>
      <sheetName val="1 полуг"/>
      <sheetName val="Лист1 (2)"/>
      <sheetName val="бюдж с расшифр_ст_"/>
      <sheetName val="VLOOKUP"/>
      <sheetName val="INPUTMASTER"/>
      <sheetName val="ЗАО_н.ит"/>
      <sheetName val="ЗАО_мес"/>
      <sheetName val="Report"/>
      <sheetName val="ОснПок_с ЦО"/>
      <sheetName val="Forecast"/>
      <sheetName val="Лист3"/>
      <sheetName val="Справочники соответствия"/>
      <sheetName val="Списки"/>
      <sheetName val="I_квартал"/>
      <sheetName val="II_квартал_"/>
      <sheetName val="III_квартал"/>
      <sheetName val="бюдж_с_расшифр(ст)"/>
      <sheetName val="июнь_ожид_"/>
      <sheetName val="1_полуг"/>
      <sheetName val="Лист1_(2)"/>
      <sheetName val="бюдж_с_расшифр_ст_"/>
      <sheetName val="ЗАО_н_ит"/>
      <sheetName val="ОснПок_с_ЦО"/>
      <sheetName val="Справочники_соответствия"/>
      <sheetName val="ТПП Л-Усинск"/>
      <sheetName val="Спр_ пласт"/>
      <sheetName val="Справочник контрагента"/>
      <sheetName val="Список"/>
      <sheetName val="Traffic"/>
      <sheetName val="sapactivexlhiddensheet"/>
      <sheetName val="Prior year figures restatement"/>
      <sheetName val="2003"/>
      <sheetName val="Лист визирования"/>
      <sheetName val="Контрагенты"/>
      <sheetName val="Лист2"/>
      <sheetName val="ДД"/>
      <sheetName val="бензин по авто"/>
      <sheetName val="Др адм"/>
      <sheetName val="Осн.ср-ва"/>
      <sheetName val="ГРУППА"/>
      <sheetName val="Language"/>
      <sheetName val="Calculator"/>
      <sheetName val="Бюджет ИЮНЬ2001xls"/>
      <sheetName val="COS"/>
      <sheetName val="XREF"/>
      <sheetName val="rollforward"/>
      <sheetName val="XLR_NoRangeSheet"/>
      <sheetName val="2006"/>
      <sheetName val="Справочник"/>
      <sheetName val="П"/>
      <sheetName val="Assumptions &amp; Results"/>
      <sheetName val="Scenario"/>
      <sheetName val="Electronics"/>
      <sheetName val="DIL4"/>
      <sheetName val="Salden"/>
      <sheetName val="I_квартал1"/>
      <sheetName val="II_квартал_1"/>
      <sheetName val="III_квартал1"/>
      <sheetName val="бюдж_с_расшифр(ст)1"/>
      <sheetName val="июнь_ожид_1"/>
      <sheetName val="1_полуг1"/>
      <sheetName val="Лист1_(2)1"/>
      <sheetName val="бюдж_с_расшифр_ст_1"/>
      <sheetName val="ЗАО_н_ит1"/>
      <sheetName val="ОснПок_с_ЦО1"/>
      <sheetName val="Справочники_соответствия1"/>
      <sheetName val="Спр__пласт"/>
      <sheetName val="ТПП_Л-Усинск"/>
      <sheetName val="Prior_year_figures_restatement"/>
      <sheetName val="Справочник_контрагента"/>
      <sheetName val="Лист_визирования"/>
      <sheetName val="бензин_по_авто"/>
      <sheetName val="Др_адм"/>
      <sheetName val="Осн_ср-ва"/>
      <sheetName val="Бюджет_ИЮНЬ2001xls"/>
      <sheetName val="us&amp;euroearnings"/>
      <sheetName val="ARY tolf"/>
      <sheetName val="Plan"/>
      <sheetName val="Order Log"/>
      <sheetName val="Settl.Finanacing"/>
      <sheetName val="P&amp;L"/>
      <sheetName val="8082"/>
      <sheetName val="8250"/>
      <sheetName val="8140"/>
      <sheetName val="8070"/>
      <sheetName val="8145"/>
      <sheetName val="8200"/>
      <sheetName val="8113"/>
      <sheetName val="8180 (8181,8182)"/>
      <sheetName val="8210"/>
      <sheetName val="аморт_осн"/>
      <sheetName val="справочно"/>
      <sheetName val="Отчет"/>
      <sheetName val="Проект"/>
      <sheetName val="Плановая себестоимость"/>
      <sheetName val="sheet1"/>
      <sheetName val="Sched 11-ACTUALS"/>
      <sheetName val="balance sheet"/>
      <sheetName val="sheet3"/>
      <sheetName val="ГК лохл"/>
      <sheetName val="Lead"/>
      <sheetName val="Диаграмма2"/>
      <sheetName val="G WACC"/>
      <sheetName val="Assumptions_&amp;_Results"/>
      <sheetName val="CARS"/>
      <sheetName val=""/>
      <sheetName val="Cover"/>
      <sheetName val="sheet"/>
      <sheetName val="Define1"/>
      <sheetName val="ПРОД"/>
      <sheetName val="pasiva-skutečnost"/>
      <sheetName val="Info"/>
      <sheetName val="4. NWABC"/>
      <sheetName val="КлассНKМК"/>
      <sheetName val="data"/>
      <sheetName val="cont."/>
      <sheetName val="Controls"/>
      <sheetName val="rem"/>
      <sheetName val="Заявки"/>
      <sheetName val="Источники"/>
      <sheetName val="ЗСМК-ЕАХ"/>
      <sheetName val="credit"/>
      <sheetName val="КлассЗСМК"/>
      <sheetName val="КлассНТМК"/>
      <sheetName val="Languages"/>
      <sheetName val="model"/>
      <sheetName val="БДДС month (ф)"/>
      <sheetName val="БДДС month (п)"/>
      <sheetName val="U5.1_Расшифровка по 650 стр."/>
      <sheetName val="1-ЭСПЦ"/>
      <sheetName val="Ввести текущ. месяц"/>
      <sheetName val="f20"/>
      <sheetName val="I_квартал2"/>
      <sheetName val="II_квартал_2"/>
      <sheetName val="III_квартал2"/>
      <sheetName val="бюдж_с_расшифр(ст)2"/>
      <sheetName val="июнь_ожид_2"/>
      <sheetName val="1_полуг2"/>
      <sheetName val="Лист1_(2)2"/>
      <sheetName val="бюдж_с_расшифр_ст_2"/>
      <sheetName val="ЗАО_н_ит2"/>
      <sheetName val="ОснПок_с_ЦО2"/>
      <sheetName val="Справочники_соответствия2"/>
      <sheetName val="ТПП_Л-Усинск1"/>
      <sheetName val="Prior_year_figures_restatement1"/>
      <sheetName val="Спр__пласт1"/>
      <sheetName val="Справочник_контрагента1"/>
      <sheetName val="Лист_визирования1"/>
      <sheetName val="бензин_по_авто1"/>
      <sheetName val="Др_адм1"/>
      <sheetName val="Осн_ср-ва1"/>
      <sheetName val="Бюджет_ИЮНЬ2001xls1"/>
      <sheetName val="ARY_tolf"/>
      <sheetName val="Settl_Finanacing"/>
      <sheetName val="Order_Log"/>
      <sheetName val="8180_(8181,8182)"/>
      <sheetName val="Плановая_себестоимость"/>
      <sheetName val="Sched_11-ACTUALS"/>
      <sheetName val="balance_sheet"/>
      <sheetName val="ГК_лохл"/>
      <sheetName val="Анализ"/>
      <sheetName val="Обнулить"/>
      <sheetName val="Факт Dink-Inv 2004"/>
      <sheetName val="бюдж #REF!#REF! расшифр(ст)"/>
      <sheetName val="graphs_nefteproduct"/>
      <sheetName val="Справ"/>
      <sheetName val="январь"/>
      <sheetName val="main"/>
      <sheetName val="snip"/>
      <sheetName val="Инкотермс"/>
      <sheetName val="TAXCOM"/>
      <sheetName val="M_Maincomp"/>
      <sheetName val="КОНСТ"/>
      <sheetName val="прибыль"/>
      <sheetName val="Munka1"/>
      <sheetName val="List"/>
      <sheetName val="11"/>
      <sheetName val="ППД7"/>
      <sheetName val="Assumptions_&amp;_Results1"/>
      <sheetName val="G_WACC"/>
      <sheetName val="Прил. 2-простои КРС"/>
      <sheetName val="Прил. 5-простои ТРС"/>
      <sheetName val="Scenar"/>
      <sheetName val="Параметры"/>
    </sheetNames>
    <sheetDataSet>
      <sheetData sheetId="0">
        <row r="11">
          <cell r="B11" t="str">
            <v xml:space="preserve">             СХПК "Прикамье"</v>
          </cell>
        </row>
      </sheetData>
      <sheetData sheetId="1"/>
      <sheetData sheetId="2"/>
      <sheetData sheetId="3" refreshError="1">
        <row r="11">
          <cell r="B11" t="str">
            <v xml:space="preserve">             СХПК "Прикамье"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207</v>
          </cell>
          <cell r="BT11">
            <v>0</v>
          </cell>
          <cell r="BU11">
            <v>207</v>
          </cell>
          <cell r="BV11">
            <v>0</v>
          </cell>
          <cell r="BW11">
            <v>0</v>
          </cell>
          <cell r="BX11">
            <v>207</v>
          </cell>
          <cell r="BY11">
            <v>0</v>
          </cell>
          <cell r="BZ11">
            <v>110</v>
          </cell>
          <cell r="CA11">
            <v>110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207</v>
          </cell>
          <cell r="CW11">
            <v>207</v>
          </cell>
          <cell r="CX11">
            <v>207</v>
          </cell>
          <cell r="CY11">
            <v>207</v>
          </cell>
          <cell r="CZ11">
            <v>207</v>
          </cell>
          <cell r="DA11">
            <v>207</v>
          </cell>
          <cell r="DB11">
            <v>0</v>
          </cell>
          <cell r="DC11">
            <v>207</v>
          </cell>
          <cell r="DD11">
            <v>207</v>
          </cell>
          <cell r="DE11">
            <v>0</v>
          </cell>
          <cell r="DF11">
            <v>207</v>
          </cell>
          <cell r="DG11">
            <v>207</v>
          </cell>
          <cell r="DH11">
            <v>0</v>
          </cell>
          <cell r="DI11">
            <v>110</v>
          </cell>
          <cell r="DJ11">
            <v>110</v>
          </cell>
          <cell r="DK11">
            <v>317</v>
          </cell>
          <cell r="DL11">
            <v>0</v>
          </cell>
          <cell r="DM11">
            <v>0</v>
          </cell>
          <cell r="DN11">
            <v>0</v>
          </cell>
          <cell r="DO11">
            <v>317</v>
          </cell>
          <cell r="DP11">
            <v>317</v>
          </cell>
          <cell r="DQ11">
            <v>0</v>
          </cell>
          <cell r="DR11">
            <v>207</v>
          </cell>
          <cell r="DS11">
            <v>207</v>
          </cell>
          <cell r="DT11">
            <v>634</v>
          </cell>
          <cell r="DU11">
            <v>634</v>
          </cell>
          <cell r="DV11">
            <v>634</v>
          </cell>
          <cell r="DW11">
            <v>634</v>
          </cell>
          <cell r="DX11">
            <v>634</v>
          </cell>
          <cell r="DY11">
            <v>634</v>
          </cell>
          <cell r="DZ11">
            <v>634</v>
          </cell>
          <cell r="EA11">
            <v>634</v>
          </cell>
          <cell r="EB11">
            <v>634</v>
          </cell>
          <cell r="EC11">
            <v>634</v>
          </cell>
          <cell r="ED11">
            <v>634</v>
          </cell>
          <cell r="EE11">
            <v>634</v>
          </cell>
          <cell r="EF11">
            <v>634</v>
          </cell>
          <cell r="EG11">
            <v>634</v>
          </cell>
          <cell r="EH11">
            <v>634</v>
          </cell>
          <cell r="EI11">
            <v>634</v>
          </cell>
          <cell r="EJ11">
            <v>634</v>
          </cell>
          <cell r="EK11">
            <v>634</v>
          </cell>
          <cell r="EL11">
            <v>634</v>
          </cell>
          <cell r="EM11">
            <v>634</v>
          </cell>
          <cell r="EN11">
            <v>634</v>
          </cell>
          <cell r="EO11">
            <v>634</v>
          </cell>
          <cell r="EP11">
            <v>634</v>
          </cell>
          <cell r="FM11">
            <v>634</v>
          </cell>
        </row>
        <row r="12">
          <cell r="B12" t="str">
            <v xml:space="preserve">             СХПК " Ножовский"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187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187</v>
          </cell>
          <cell r="DI12">
            <v>187</v>
          </cell>
          <cell r="DJ12">
            <v>187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187</v>
          </cell>
          <cell r="DP12">
            <v>187</v>
          </cell>
          <cell r="DQ12">
            <v>0</v>
          </cell>
          <cell r="DR12">
            <v>0</v>
          </cell>
          <cell r="DS12">
            <v>0</v>
          </cell>
          <cell r="DT12">
            <v>374</v>
          </cell>
          <cell r="DU12">
            <v>374</v>
          </cell>
          <cell r="DV12">
            <v>374</v>
          </cell>
          <cell r="DW12">
            <v>374</v>
          </cell>
          <cell r="DX12">
            <v>374</v>
          </cell>
          <cell r="DY12">
            <v>374</v>
          </cell>
          <cell r="DZ12">
            <v>374</v>
          </cell>
          <cell r="EA12">
            <v>374</v>
          </cell>
          <cell r="EB12">
            <v>374</v>
          </cell>
          <cell r="EC12">
            <v>374</v>
          </cell>
          <cell r="ED12">
            <v>374</v>
          </cell>
          <cell r="EE12">
            <v>374</v>
          </cell>
          <cell r="EF12">
            <v>374</v>
          </cell>
          <cell r="EG12">
            <v>374</v>
          </cell>
          <cell r="EH12">
            <v>374</v>
          </cell>
          <cell r="EI12">
            <v>374</v>
          </cell>
          <cell r="EJ12">
            <v>374</v>
          </cell>
          <cell r="EK12">
            <v>374</v>
          </cell>
          <cell r="EL12">
            <v>374</v>
          </cell>
          <cell r="EM12">
            <v>374</v>
          </cell>
          <cell r="EN12">
            <v>374</v>
          </cell>
          <cell r="EO12">
            <v>374</v>
          </cell>
          <cell r="EP12">
            <v>374</v>
          </cell>
          <cell r="FM12">
            <v>374</v>
          </cell>
        </row>
        <row r="13">
          <cell r="B13" t="str">
            <v xml:space="preserve">             ООО "Урал"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39.1</v>
          </cell>
          <cell r="W13">
            <v>39.1</v>
          </cell>
          <cell r="X13">
            <v>0</v>
          </cell>
          <cell r="Y13">
            <v>0</v>
          </cell>
          <cell r="Z13">
            <v>39.1</v>
          </cell>
          <cell r="AA13">
            <v>39.1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39.1</v>
          </cell>
          <cell r="AJ13">
            <v>39.1</v>
          </cell>
          <cell r="AK13">
            <v>156.4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39.1</v>
          </cell>
          <cell r="AS13">
            <v>39.1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39.1</v>
          </cell>
          <cell r="AY13">
            <v>39.1</v>
          </cell>
          <cell r="AZ13">
            <v>0</v>
          </cell>
          <cell r="BA13">
            <v>39.1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39.1</v>
          </cell>
          <cell r="BH13">
            <v>39.1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39.1</v>
          </cell>
          <cell r="BQ13">
            <v>39.1</v>
          </cell>
          <cell r="BR13">
            <v>39.1</v>
          </cell>
          <cell r="BS13">
            <v>10</v>
          </cell>
          <cell r="BT13">
            <v>39.1</v>
          </cell>
          <cell r="BU13">
            <v>0</v>
          </cell>
          <cell r="BV13">
            <v>156.4</v>
          </cell>
          <cell r="BW13">
            <v>10</v>
          </cell>
          <cell r="BX13">
            <v>0</v>
          </cell>
          <cell r="BY13">
            <v>0</v>
          </cell>
          <cell r="BZ13">
            <v>49.1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39.1</v>
          </cell>
          <cell r="CG13">
            <v>39.1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39.1</v>
          </cell>
          <cell r="CM13">
            <v>39.1</v>
          </cell>
          <cell r="CN13">
            <v>0</v>
          </cell>
          <cell r="CO13">
            <v>156.4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10</v>
          </cell>
          <cell r="CW13">
            <v>10</v>
          </cell>
          <cell r="CX13">
            <v>10</v>
          </cell>
          <cell r="CY13">
            <v>10</v>
          </cell>
          <cell r="CZ13">
            <v>10</v>
          </cell>
          <cell r="DA13">
            <v>10</v>
          </cell>
          <cell r="DB13">
            <v>0</v>
          </cell>
          <cell r="DC13">
            <v>10</v>
          </cell>
          <cell r="DD13">
            <v>10</v>
          </cell>
          <cell r="DE13">
            <v>0</v>
          </cell>
          <cell r="DF13">
            <v>49.1</v>
          </cell>
          <cell r="DG13">
            <v>49.1</v>
          </cell>
          <cell r="DH13">
            <v>0</v>
          </cell>
          <cell r="DI13">
            <v>10</v>
          </cell>
          <cell r="DJ13">
            <v>0</v>
          </cell>
          <cell r="DK13">
            <v>0</v>
          </cell>
          <cell r="DL13">
            <v>49.1</v>
          </cell>
          <cell r="DM13">
            <v>0</v>
          </cell>
          <cell r="DN13">
            <v>0</v>
          </cell>
          <cell r="DO13">
            <v>10</v>
          </cell>
          <cell r="DP13">
            <v>10</v>
          </cell>
          <cell r="DQ13">
            <v>0</v>
          </cell>
          <cell r="DR13">
            <v>49.1</v>
          </cell>
          <cell r="DS13">
            <v>49.1</v>
          </cell>
          <cell r="DT13">
            <v>176.4</v>
          </cell>
          <cell r="DU13">
            <v>176.4</v>
          </cell>
          <cell r="DV13">
            <v>176.4</v>
          </cell>
          <cell r="DW13">
            <v>176.4</v>
          </cell>
          <cell r="DX13">
            <v>176.4</v>
          </cell>
          <cell r="DY13">
            <v>176.4</v>
          </cell>
          <cell r="DZ13">
            <v>176.4</v>
          </cell>
          <cell r="EA13">
            <v>176.4</v>
          </cell>
          <cell r="EB13">
            <v>176.4</v>
          </cell>
          <cell r="EC13">
            <v>176.4</v>
          </cell>
          <cell r="ED13">
            <v>176.4</v>
          </cell>
          <cell r="EE13">
            <v>176.4</v>
          </cell>
          <cell r="EF13">
            <v>176.4</v>
          </cell>
          <cell r="EG13">
            <v>176.4</v>
          </cell>
          <cell r="EH13">
            <v>176.4</v>
          </cell>
          <cell r="EI13">
            <v>176.4</v>
          </cell>
          <cell r="EJ13">
            <v>176.4</v>
          </cell>
          <cell r="EK13">
            <v>176.4</v>
          </cell>
          <cell r="EL13">
            <v>176.4</v>
          </cell>
          <cell r="EM13">
            <v>176.4</v>
          </cell>
          <cell r="EN13">
            <v>176.4</v>
          </cell>
          <cell r="EO13">
            <v>176.4</v>
          </cell>
          <cell r="EP13">
            <v>176.4</v>
          </cell>
          <cell r="FM13">
            <v>176.4</v>
          </cell>
        </row>
        <row r="14">
          <cell r="B14" t="str">
            <v xml:space="preserve">             ЧП Чабина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FM14">
            <v>0</v>
          </cell>
        </row>
        <row r="15">
          <cell r="B15" t="str">
            <v xml:space="preserve">             Змеевский сельсовет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39.1</v>
          </cell>
          <cell r="N15">
            <v>39.1</v>
          </cell>
          <cell r="O15">
            <v>0</v>
          </cell>
          <cell r="P15">
            <v>0</v>
          </cell>
          <cell r="Q15">
            <v>0</v>
          </cell>
          <cell r="R15">
            <v>-39.1</v>
          </cell>
          <cell r="S15">
            <v>39.1</v>
          </cell>
          <cell r="T15">
            <v>10</v>
          </cell>
          <cell r="U15">
            <v>10</v>
          </cell>
          <cell r="V15">
            <v>10</v>
          </cell>
          <cell r="W15">
            <v>10</v>
          </cell>
          <cell r="X15">
            <v>0</v>
          </cell>
          <cell r="Y15">
            <v>10</v>
          </cell>
          <cell r="Z15">
            <v>10</v>
          </cell>
          <cell r="AA15">
            <v>0</v>
          </cell>
          <cell r="AB15">
            <v>10</v>
          </cell>
          <cell r="AC15">
            <v>10</v>
          </cell>
          <cell r="AD15">
            <v>0</v>
          </cell>
          <cell r="AE15">
            <v>0</v>
          </cell>
          <cell r="AF15">
            <v>0</v>
          </cell>
          <cell r="AG15">
            <v>10</v>
          </cell>
          <cell r="AH15">
            <v>10</v>
          </cell>
          <cell r="AI15">
            <v>0</v>
          </cell>
          <cell r="AJ15">
            <v>10</v>
          </cell>
          <cell r="AK15">
            <v>0</v>
          </cell>
          <cell r="AL15">
            <v>59.1</v>
          </cell>
          <cell r="AM15">
            <v>59.1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39.1</v>
          </cell>
          <cell r="AX15">
            <v>39.1</v>
          </cell>
          <cell r="AY15">
            <v>0</v>
          </cell>
          <cell r="AZ15">
            <v>0</v>
          </cell>
          <cell r="BA15">
            <v>0</v>
          </cell>
          <cell r="BB15">
            <v>-39.1</v>
          </cell>
          <cell r="BC15">
            <v>39.1</v>
          </cell>
          <cell r="BD15">
            <v>10</v>
          </cell>
          <cell r="BE15">
            <v>10</v>
          </cell>
          <cell r="BF15">
            <v>0</v>
          </cell>
          <cell r="BG15">
            <v>10</v>
          </cell>
          <cell r="BH15">
            <v>0</v>
          </cell>
          <cell r="BI15">
            <v>10</v>
          </cell>
          <cell r="BJ15">
            <v>10</v>
          </cell>
          <cell r="BK15">
            <v>0</v>
          </cell>
          <cell r="BL15">
            <v>10</v>
          </cell>
          <cell r="BM15">
            <v>10</v>
          </cell>
          <cell r="BN15">
            <v>0</v>
          </cell>
          <cell r="BO15">
            <v>0</v>
          </cell>
          <cell r="BP15">
            <v>0</v>
          </cell>
          <cell r="BQ15">
            <v>10</v>
          </cell>
          <cell r="BR15">
            <v>0</v>
          </cell>
          <cell r="BS15">
            <v>0</v>
          </cell>
          <cell r="BT15">
            <v>0</v>
          </cell>
          <cell r="BU15">
            <v>10</v>
          </cell>
          <cell r="BV15">
            <v>0</v>
          </cell>
          <cell r="BW15">
            <v>59.1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39.1</v>
          </cell>
          <cell r="CG15">
            <v>39.1</v>
          </cell>
          <cell r="CH15">
            <v>-39.1</v>
          </cell>
          <cell r="CI15">
            <v>39.1</v>
          </cell>
          <cell r="CJ15">
            <v>10</v>
          </cell>
          <cell r="CK15">
            <v>0</v>
          </cell>
          <cell r="CL15">
            <v>0</v>
          </cell>
          <cell r="CM15">
            <v>0</v>
          </cell>
          <cell r="CN15">
            <v>-39.1</v>
          </cell>
          <cell r="CO15">
            <v>39.1</v>
          </cell>
          <cell r="CP15">
            <v>10</v>
          </cell>
          <cell r="CQ15">
            <v>0</v>
          </cell>
          <cell r="CR15">
            <v>10</v>
          </cell>
          <cell r="CS15">
            <v>10</v>
          </cell>
          <cell r="CT15">
            <v>0</v>
          </cell>
          <cell r="CU15">
            <v>0</v>
          </cell>
          <cell r="CV15">
            <v>0</v>
          </cell>
          <cell r="CW15">
            <v>10</v>
          </cell>
          <cell r="CX15">
            <v>10</v>
          </cell>
          <cell r="CY15">
            <v>0</v>
          </cell>
          <cell r="CZ15">
            <v>10</v>
          </cell>
          <cell r="DA15">
            <v>10</v>
          </cell>
          <cell r="DB15">
            <v>0</v>
          </cell>
          <cell r="DC15">
            <v>10</v>
          </cell>
          <cell r="DD15">
            <v>10</v>
          </cell>
          <cell r="DE15">
            <v>0</v>
          </cell>
          <cell r="DF15">
            <v>10</v>
          </cell>
          <cell r="DG15">
            <v>10</v>
          </cell>
          <cell r="DH15">
            <v>0</v>
          </cell>
          <cell r="DI15">
            <v>0</v>
          </cell>
          <cell r="DJ15">
            <v>0</v>
          </cell>
          <cell r="DK15">
            <v>10</v>
          </cell>
          <cell r="DL15">
            <v>10</v>
          </cell>
          <cell r="DM15">
            <v>0</v>
          </cell>
          <cell r="DN15">
            <v>0</v>
          </cell>
          <cell r="DO15">
            <v>10</v>
          </cell>
          <cell r="DP15">
            <v>10</v>
          </cell>
          <cell r="DQ15">
            <v>0</v>
          </cell>
          <cell r="DR15">
            <v>10</v>
          </cell>
          <cell r="DS15">
            <v>10</v>
          </cell>
          <cell r="DT15">
            <v>59.1</v>
          </cell>
          <cell r="DU15">
            <v>59.1</v>
          </cell>
          <cell r="DV15">
            <v>59.1</v>
          </cell>
          <cell r="DW15">
            <v>59.1</v>
          </cell>
          <cell r="DX15">
            <v>59.1</v>
          </cell>
          <cell r="DY15">
            <v>59.1</v>
          </cell>
          <cell r="DZ15">
            <v>59.1</v>
          </cell>
          <cell r="EA15">
            <v>59.1</v>
          </cell>
          <cell r="EB15">
            <v>59.1</v>
          </cell>
          <cell r="EC15">
            <v>59.1</v>
          </cell>
          <cell r="ED15">
            <v>59.1</v>
          </cell>
          <cell r="EE15">
            <v>59.1</v>
          </cell>
          <cell r="EF15">
            <v>59.1</v>
          </cell>
          <cell r="EG15">
            <v>59.1</v>
          </cell>
          <cell r="EH15">
            <v>59.1</v>
          </cell>
          <cell r="EI15">
            <v>59.1</v>
          </cell>
          <cell r="EJ15">
            <v>59.1</v>
          </cell>
          <cell r="EK15">
            <v>59.1</v>
          </cell>
          <cell r="EL15">
            <v>59.1</v>
          </cell>
          <cell r="EM15">
            <v>59.1</v>
          </cell>
          <cell r="EN15">
            <v>59.1</v>
          </cell>
          <cell r="FM15">
            <v>59.1</v>
          </cell>
        </row>
        <row r="16">
          <cell r="B16" t="str">
            <v xml:space="preserve">             Частинский зем. комитет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100</v>
          </cell>
          <cell r="W16">
            <v>100</v>
          </cell>
          <cell r="X16">
            <v>100</v>
          </cell>
          <cell r="Y16">
            <v>18</v>
          </cell>
          <cell r="Z16">
            <v>18</v>
          </cell>
          <cell r="AA16">
            <v>18</v>
          </cell>
          <cell r="AB16">
            <v>0</v>
          </cell>
          <cell r="AC16">
            <v>100</v>
          </cell>
          <cell r="AD16">
            <v>100</v>
          </cell>
          <cell r="AE16">
            <v>0</v>
          </cell>
          <cell r="AF16">
            <v>100</v>
          </cell>
          <cell r="AG16">
            <v>100</v>
          </cell>
          <cell r="AH16">
            <v>0</v>
          </cell>
          <cell r="AI16">
            <v>18</v>
          </cell>
          <cell r="AJ16">
            <v>18</v>
          </cell>
          <cell r="AK16">
            <v>672</v>
          </cell>
          <cell r="AL16">
            <v>0</v>
          </cell>
          <cell r="AM16">
            <v>0</v>
          </cell>
          <cell r="AN16">
            <v>0</v>
          </cell>
          <cell r="AO16">
            <v>100</v>
          </cell>
          <cell r="AP16">
            <v>0</v>
          </cell>
          <cell r="AQ16">
            <v>0</v>
          </cell>
          <cell r="AR16">
            <v>100</v>
          </cell>
          <cell r="AS16">
            <v>0</v>
          </cell>
          <cell r="AT16">
            <v>0</v>
          </cell>
          <cell r="AU16">
            <v>100</v>
          </cell>
          <cell r="AV16">
            <v>100</v>
          </cell>
          <cell r="AW16">
            <v>0</v>
          </cell>
          <cell r="AX16">
            <v>18</v>
          </cell>
          <cell r="AY16">
            <v>18</v>
          </cell>
          <cell r="AZ16">
            <v>308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39.1</v>
          </cell>
          <cell r="BH16">
            <v>0</v>
          </cell>
          <cell r="BI16">
            <v>0</v>
          </cell>
          <cell r="BJ16">
            <v>100</v>
          </cell>
          <cell r="BK16">
            <v>100</v>
          </cell>
          <cell r="BL16">
            <v>0</v>
          </cell>
          <cell r="BM16">
            <v>100</v>
          </cell>
          <cell r="BN16">
            <v>100</v>
          </cell>
          <cell r="BO16">
            <v>0</v>
          </cell>
          <cell r="BP16">
            <v>18</v>
          </cell>
          <cell r="BQ16">
            <v>18</v>
          </cell>
          <cell r="BR16">
            <v>-82</v>
          </cell>
          <cell r="BS16">
            <v>18</v>
          </cell>
          <cell r="BT16">
            <v>-82</v>
          </cell>
          <cell r="BU16">
            <v>18</v>
          </cell>
          <cell r="BV16">
            <v>308</v>
          </cell>
          <cell r="BW16">
            <v>0</v>
          </cell>
          <cell r="BX16">
            <v>0</v>
          </cell>
          <cell r="BY16">
            <v>0</v>
          </cell>
          <cell r="BZ16">
            <v>100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39.1</v>
          </cell>
          <cell r="CG16">
            <v>39.1</v>
          </cell>
          <cell r="CH16">
            <v>0</v>
          </cell>
          <cell r="CI16">
            <v>100</v>
          </cell>
          <cell r="CJ16">
            <v>100</v>
          </cell>
          <cell r="CK16">
            <v>0</v>
          </cell>
          <cell r="CL16">
            <v>18</v>
          </cell>
          <cell r="CM16">
            <v>18</v>
          </cell>
          <cell r="CN16">
            <v>-21.1</v>
          </cell>
          <cell r="CO16">
            <v>293.09999999999997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100</v>
          </cell>
          <cell r="CZ16">
            <v>100</v>
          </cell>
          <cell r="DA16">
            <v>0</v>
          </cell>
          <cell r="DB16">
            <v>0</v>
          </cell>
          <cell r="DC16">
            <v>100</v>
          </cell>
          <cell r="DD16">
            <v>100</v>
          </cell>
          <cell r="DE16">
            <v>0</v>
          </cell>
          <cell r="DF16">
            <v>18</v>
          </cell>
          <cell r="DG16">
            <v>18</v>
          </cell>
          <cell r="DH16">
            <v>100</v>
          </cell>
          <cell r="DI16">
            <v>0</v>
          </cell>
          <cell r="DJ16">
            <v>0</v>
          </cell>
          <cell r="DK16">
            <v>18</v>
          </cell>
          <cell r="DL16">
            <v>93.1</v>
          </cell>
          <cell r="DM16">
            <v>0</v>
          </cell>
          <cell r="DN16">
            <v>0</v>
          </cell>
          <cell r="DO16">
            <v>100</v>
          </cell>
          <cell r="DP16">
            <v>100</v>
          </cell>
          <cell r="DQ16">
            <v>0</v>
          </cell>
          <cell r="DR16">
            <v>18</v>
          </cell>
          <cell r="DS16">
            <v>18</v>
          </cell>
          <cell r="DT16">
            <v>93.1</v>
          </cell>
          <cell r="DU16">
            <v>93.1</v>
          </cell>
          <cell r="DV16">
            <v>93.1</v>
          </cell>
          <cell r="DW16">
            <v>93.1</v>
          </cell>
          <cell r="DX16">
            <v>93.1</v>
          </cell>
          <cell r="DY16">
            <v>93.1</v>
          </cell>
          <cell r="DZ16">
            <v>93.1</v>
          </cell>
          <cell r="EA16">
            <v>93.1</v>
          </cell>
          <cell r="EB16">
            <v>93.1</v>
          </cell>
          <cell r="EC16">
            <v>93.1</v>
          </cell>
          <cell r="ED16">
            <v>93.1</v>
          </cell>
          <cell r="EE16">
            <v>93.1</v>
          </cell>
          <cell r="EF16">
            <v>93.1</v>
          </cell>
          <cell r="EG16">
            <v>93.1</v>
          </cell>
          <cell r="EH16">
            <v>93.1</v>
          </cell>
          <cell r="EI16">
            <v>93.1</v>
          </cell>
          <cell r="EJ16">
            <v>93.1</v>
          </cell>
          <cell r="EK16">
            <v>93.1</v>
          </cell>
          <cell r="EL16">
            <v>93.1</v>
          </cell>
          <cell r="EM16">
            <v>93.1</v>
          </cell>
          <cell r="EN16">
            <v>93.1</v>
          </cell>
          <cell r="EO16">
            <v>93.1</v>
          </cell>
          <cell r="EP16">
            <v>93.1</v>
          </cell>
          <cell r="FM16">
            <v>93.1</v>
          </cell>
        </row>
        <row r="638">
          <cell r="DT638">
            <v>0</v>
          </cell>
          <cell r="DU638">
            <v>0</v>
          </cell>
          <cell r="DV638">
            <v>0</v>
          </cell>
          <cell r="DW638">
            <v>0</v>
          </cell>
          <cell r="DX638">
            <v>0</v>
          </cell>
          <cell r="DY638">
            <v>0</v>
          </cell>
          <cell r="DZ638">
            <v>0</v>
          </cell>
          <cell r="EA638">
            <v>0</v>
          </cell>
          <cell r="EB638">
            <v>0</v>
          </cell>
          <cell r="EC638">
            <v>0</v>
          </cell>
          <cell r="ED638">
            <v>0</v>
          </cell>
          <cell r="EE638">
            <v>0</v>
          </cell>
          <cell r="EF638">
            <v>0</v>
          </cell>
          <cell r="EG638">
            <v>0</v>
          </cell>
          <cell r="EH638">
            <v>0</v>
          </cell>
          <cell r="EI638">
            <v>0</v>
          </cell>
          <cell r="EJ638">
            <v>0</v>
          </cell>
          <cell r="EK638">
            <v>0</v>
          </cell>
          <cell r="EL638">
            <v>0</v>
          </cell>
          <cell r="EM638">
            <v>0</v>
          </cell>
          <cell r="EN638">
            <v>0</v>
          </cell>
          <cell r="EO638">
            <v>0</v>
          </cell>
          <cell r="EP638">
            <v>0</v>
          </cell>
          <cell r="EQ638">
            <v>0</v>
          </cell>
          <cell r="ER638">
            <v>0</v>
          </cell>
          <cell r="FM638">
            <v>0</v>
          </cell>
        </row>
        <row r="639">
          <cell r="I639">
            <v>471.23</v>
          </cell>
          <cell r="J639">
            <v>761.02</v>
          </cell>
          <cell r="K639">
            <v>540.41999999999996</v>
          </cell>
          <cell r="L639">
            <v>471.23</v>
          </cell>
          <cell r="M639">
            <v>761.02</v>
          </cell>
          <cell r="N639">
            <v>540.41999999999996</v>
          </cell>
          <cell r="O639">
            <v>471.23</v>
          </cell>
          <cell r="P639">
            <v>761.02</v>
          </cell>
          <cell r="Q639">
            <v>540.41999999999996</v>
          </cell>
          <cell r="R639">
            <v>471.23</v>
          </cell>
          <cell r="S639">
            <v>761.02</v>
          </cell>
          <cell r="T639">
            <v>540.41999999999996</v>
          </cell>
          <cell r="U639">
            <v>0</v>
          </cell>
          <cell r="V639">
            <v>0</v>
          </cell>
          <cell r="W639">
            <v>471.23</v>
          </cell>
          <cell r="X639">
            <v>761.02</v>
          </cell>
          <cell r="Y639">
            <v>540.41999999999996</v>
          </cell>
          <cell r="Z639">
            <v>471.23</v>
          </cell>
          <cell r="AA639">
            <v>761.02</v>
          </cell>
          <cell r="AB639">
            <v>540.41999999999996</v>
          </cell>
          <cell r="AC639">
            <v>0</v>
          </cell>
          <cell r="AD639">
            <v>0</v>
          </cell>
          <cell r="AE639">
            <v>471.23</v>
          </cell>
          <cell r="AF639">
            <v>761.02</v>
          </cell>
          <cell r="AG639">
            <v>540.41999999999996</v>
          </cell>
          <cell r="AH639">
            <v>471.23</v>
          </cell>
          <cell r="AI639">
            <v>761.02</v>
          </cell>
          <cell r="AJ639">
            <v>540.41999999999996</v>
          </cell>
          <cell r="AK639">
            <v>0</v>
          </cell>
          <cell r="AL639">
            <v>0</v>
          </cell>
          <cell r="AM639">
            <v>471.23</v>
          </cell>
          <cell r="AN639">
            <v>761.02</v>
          </cell>
          <cell r="AO639">
            <v>540.41999999999996</v>
          </cell>
          <cell r="AP639">
            <v>471.23</v>
          </cell>
          <cell r="AQ639">
            <v>761.02</v>
          </cell>
          <cell r="AR639">
            <v>540.41999999999996</v>
          </cell>
          <cell r="AS639">
            <v>0</v>
          </cell>
          <cell r="AT639">
            <v>0</v>
          </cell>
          <cell r="AU639">
            <v>471.23</v>
          </cell>
          <cell r="AV639">
            <v>761.02</v>
          </cell>
          <cell r="AW639">
            <v>540.41999999999996</v>
          </cell>
          <cell r="AX639">
            <v>471.23</v>
          </cell>
          <cell r="AY639">
            <v>761.02</v>
          </cell>
          <cell r="AZ639">
            <v>540.41999999999996</v>
          </cell>
          <cell r="BA639">
            <v>0</v>
          </cell>
          <cell r="BB639">
            <v>0</v>
          </cell>
          <cell r="BC639">
            <v>471.23</v>
          </cell>
          <cell r="BD639">
            <v>761.02</v>
          </cell>
          <cell r="BE639">
            <v>540.41999999999996</v>
          </cell>
          <cell r="BF639">
            <v>471.23</v>
          </cell>
          <cell r="BG639">
            <v>761.02</v>
          </cell>
          <cell r="BH639">
            <v>540.41999999999996</v>
          </cell>
          <cell r="BI639">
            <v>0</v>
          </cell>
          <cell r="BJ639">
            <v>0</v>
          </cell>
          <cell r="BK639">
            <v>471.23</v>
          </cell>
          <cell r="BL639">
            <v>761.02</v>
          </cell>
          <cell r="BM639">
            <v>540.41999999999996</v>
          </cell>
          <cell r="BN639">
            <v>471.23</v>
          </cell>
          <cell r="BO639">
            <v>761.02</v>
          </cell>
          <cell r="BP639">
            <v>540.41999999999996</v>
          </cell>
          <cell r="BQ639">
            <v>0</v>
          </cell>
          <cell r="BR639">
            <v>0</v>
          </cell>
          <cell r="BS639">
            <v>471.23</v>
          </cell>
          <cell r="BT639">
            <v>761.02</v>
          </cell>
          <cell r="BU639">
            <v>540.41999999999996</v>
          </cell>
          <cell r="BV639">
            <v>471.23</v>
          </cell>
          <cell r="BW639">
            <v>761.02</v>
          </cell>
          <cell r="BX639">
            <v>540.41999999999996</v>
          </cell>
          <cell r="BY639">
            <v>0</v>
          </cell>
          <cell r="BZ639">
            <v>0</v>
          </cell>
          <cell r="CA639">
            <v>471.23</v>
          </cell>
          <cell r="CB639">
            <v>761.02</v>
          </cell>
          <cell r="CC639">
            <v>540.41999999999996</v>
          </cell>
          <cell r="CD639">
            <v>471.23</v>
          </cell>
          <cell r="CE639">
            <v>761.02</v>
          </cell>
          <cell r="CF639">
            <v>540.41999999999996</v>
          </cell>
          <cell r="CG639">
            <v>0</v>
          </cell>
          <cell r="CH639">
            <v>0</v>
          </cell>
          <cell r="CI639">
            <v>471.23</v>
          </cell>
          <cell r="CJ639">
            <v>761.02</v>
          </cell>
          <cell r="CK639">
            <v>540.41999999999996</v>
          </cell>
          <cell r="CL639">
            <v>471.23</v>
          </cell>
          <cell r="CM639">
            <v>761.02</v>
          </cell>
          <cell r="CN639">
            <v>540.41999999999996</v>
          </cell>
          <cell r="CO639">
            <v>0</v>
          </cell>
          <cell r="CP639">
            <v>471.23</v>
          </cell>
          <cell r="CQ639">
            <v>761.02</v>
          </cell>
          <cell r="CR639">
            <v>540.41999999999996</v>
          </cell>
          <cell r="CS639">
            <v>471.23</v>
          </cell>
          <cell r="CT639">
            <v>761.02</v>
          </cell>
          <cell r="CU639">
            <v>540.41999999999996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  <cell r="DP639">
            <v>0</v>
          </cell>
          <cell r="DQ639">
            <v>0</v>
          </cell>
          <cell r="DR639">
            <v>0</v>
          </cell>
          <cell r="DS639">
            <v>0</v>
          </cell>
          <cell r="DT639">
            <v>0</v>
          </cell>
          <cell r="DU639">
            <v>0</v>
          </cell>
          <cell r="DV639">
            <v>0</v>
          </cell>
          <cell r="FM639">
            <v>0</v>
          </cell>
        </row>
        <row r="640">
          <cell r="I640">
            <v>487.28</v>
          </cell>
          <cell r="J640">
            <v>824.27</v>
          </cell>
          <cell r="K640">
            <v>567.74</v>
          </cell>
          <cell r="L640">
            <v>481.93425554034314</v>
          </cell>
          <cell r="M640">
            <v>940.40353273482913</v>
          </cell>
          <cell r="N640">
            <v>591.96015180691666</v>
          </cell>
          <cell r="O640">
            <v>481.93425554034314</v>
          </cell>
          <cell r="P640">
            <v>940.40353273482913</v>
          </cell>
          <cell r="Q640">
            <v>591.96015180691666</v>
          </cell>
          <cell r="R640">
            <v>487.28</v>
          </cell>
          <cell r="S640">
            <v>824.27</v>
          </cell>
          <cell r="T640">
            <v>567.74</v>
          </cell>
          <cell r="U640">
            <v>0</v>
          </cell>
          <cell r="V640">
            <v>481.93425554034314</v>
          </cell>
          <cell r="W640">
            <v>940.40353273482913</v>
          </cell>
          <cell r="X640">
            <v>591.96015180691666</v>
          </cell>
          <cell r="Y640">
            <v>481.93425554034314</v>
          </cell>
          <cell r="Z640">
            <v>940.40353273482913</v>
          </cell>
          <cell r="AA640">
            <v>591.96015180691666</v>
          </cell>
          <cell r="AB640">
            <v>487.28</v>
          </cell>
          <cell r="AC640">
            <v>824.27</v>
          </cell>
          <cell r="AD640">
            <v>567.74</v>
          </cell>
          <cell r="AE640">
            <v>0</v>
          </cell>
          <cell r="AF640">
            <v>0</v>
          </cell>
          <cell r="AG640">
            <v>487.28</v>
          </cell>
          <cell r="AH640">
            <v>824.27</v>
          </cell>
          <cell r="AI640">
            <v>567.74</v>
          </cell>
          <cell r="AJ640">
            <v>0</v>
          </cell>
          <cell r="AK640">
            <v>0</v>
          </cell>
          <cell r="AL640">
            <v>487.28</v>
          </cell>
          <cell r="AM640">
            <v>824.27</v>
          </cell>
          <cell r="AN640">
            <v>567.74</v>
          </cell>
          <cell r="AO640">
            <v>0</v>
          </cell>
          <cell r="AP640">
            <v>0</v>
          </cell>
          <cell r="AQ640">
            <v>487.28</v>
          </cell>
          <cell r="AR640">
            <v>824.27</v>
          </cell>
          <cell r="AS640">
            <v>567.74</v>
          </cell>
          <cell r="AT640">
            <v>0</v>
          </cell>
          <cell r="AU640">
            <v>0</v>
          </cell>
          <cell r="AV640">
            <v>487.28</v>
          </cell>
          <cell r="AW640">
            <v>824.27</v>
          </cell>
          <cell r="AX640">
            <v>567.74</v>
          </cell>
          <cell r="AY640">
            <v>0</v>
          </cell>
          <cell r="AZ640">
            <v>0</v>
          </cell>
          <cell r="BA640">
            <v>487.28</v>
          </cell>
          <cell r="BB640">
            <v>824.27</v>
          </cell>
          <cell r="BC640">
            <v>567.74</v>
          </cell>
          <cell r="BD640">
            <v>0</v>
          </cell>
          <cell r="BE640">
            <v>0</v>
          </cell>
          <cell r="BF640">
            <v>487.28</v>
          </cell>
          <cell r="BG640">
            <v>824.27</v>
          </cell>
          <cell r="BH640">
            <v>567.74</v>
          </cell>
          <cell r="BI640">
            <v>0</v>
          </cell>
          <cell r="BJ640">
            <v>0</v>
          </cell>
          <cell r="BK640">
            <v>487.28</v>
          </cell>
          <cell r="BL640">
            <v>824.27</v>
          </cell>
          <cell r="BM640">
            <v>567.74</v>
          </cell>
          <cell r="BN640">
            <v>0</v>
          </cell>
          <cell r="BO640">
            <v>0</v>
          </cell>
          <cell r="BP640">
            <v>487.28</v>
          </cell>
          <cell r="BQ640">
            <v>824.27</v>
          </cell>
          <cell r="BR640">
            <v>567.74</v>
          </cell>
          <cell r="BS640">
            <v>0</v>
          </cell>
          <cell r="BT640">
            <v>0</v>
          </cell>
          <cell r="BU640">
            <v>487.28</v>
          </cell>
          <cell r="BV640">
            <v>824.27</v>
          </cell>
          <cell r="BW640">
            <v>567.74</v>
          </cell>
          <cell r="BX640">
            <v>0</v>
          </cell>
          <cell r="BY640">
            <v>0</v>
          </cell>
          <cell r="BZ640">
            <v>487.28</v>
          </cell>
          <cell r="CA640">
            <v>824.27</v>
          </cell>
          <cell r="CB640">
            <v>567.74</v>
          </cell>
          <cell r="CC640">
            <v>0</v>
          </cell>
          <cell r="CD640">
            <v>0</v>
          </cell>
          <cell r="CE640">
            <v>487.28</v>
          </cell>
          <cell r="CF640">
            <v>824.27</v>
          </cell>
          <cell r="CG640">
            <v>567.74</v>
          </cell>
          <cell r="CH640">
            <v>0</v>
          </cell>
          <cell r="CI640">
            <v>0</v>
          </cell>
          <cell r="CJ640">
            <v>487.28</v>
          </cell>
          <cell r="CK640">
            <v>824.27</v>
          </cell>
          <cell r="CL640">
            <v>567.74</v>
          </cell>
          <cell r="CM640">
            <v>0</v>
          </cell>
          <cell r="CN640">
            <v>0</v>
          </cell>
          <cell r="CO640">
            <v>487.28</v>
          </cell>
          <cell r="CP640">
            <v>487.28</v>
          </cell>
          <cell r="CQ640">
            <v>824.27</v>
          </cell>
          <cell r="CR640">
            <v>567.74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T640">
            <v>0</v>
          </cell>
          <cell r="FM640">
            <v>0</v>
          </cell>
        </row>
        <row r="641">
          <cell r="D641" t="str">
            <v>Л.Н.Черкасова</v>
          </cell>
          <cell r="E641" t="str">
            <v>Л.Н.Черкасова</v>
          </cell>
          <cell r="F641" t="str">
            <v>Л.Н. Черкасова</v>
          </cell>
          <cell r="G641" t="str">
            <v>Л.Н.Черкасова</v>
          </cell>
          <cell r="H641" t="str">
            <v>Л.Н.Черкасова</v>
          </cell>
          <cell r="I641" t="str">
            <v>Л.Н.Черкасова</v>
          </cell>
          <cell r="J641" t="str">
            <v>Л.Н.Черкасова</v>
          </cell>
          <cell r="K641" t="str">
            <v>Л.Н.Черкасова</v>
          </cell>
          <cell r="L641" t="str">
            <v>Л.Н.Черкасова</v>
          </cell>
          <cell r="M641">
            <v>0</v>
          </cell>
          <cell r="N641">
            <v>0</v>
          </cell>
          <cell r="O641" t="str">
            <v>Л.Н.Черкасова</v>
          </cell>
          <cell r="P641" t="str">
            <v>Л.Н. Черкасова</v>
          </cell>
          <cell r="Q641" t="str">
            <v>Л.Н.Черкасова</v>
          </cell>
          <cell r="R641" t="str">
            <v>Л.Н.Черкасова</v>
          </cell>
          <cell r="S641" t="str">
            <v>Л.Н.Черкасова</v>
          </cell>
          <cell r="T641" t="str">
            <v>Л.Н.Черкасова</v>
          </cell>
          <cell r="U641" t="str">
            <v>Л.Н.Черкасова</v>
          </cell>
          <cell r="V641" t="str">
            <v>Л.Н.Черкасова</v>
          </cell>
          <cell r="W641">
            <v>0</v>
          </cell>
          <cell r="X641">
            <v>0</v>
          </cell>
          <cell r="Y641" t="str">
            <v>Л.Н. Черкасова</v>
          </cell>
          <cell r="Z641" t="str">
            <v>Л.Н.Черкасова</v>
          </cell>
          <cell r="AA641" t="str">
            <v>Л.Н.Черкасова</v>
          </cell>
          <cell r="AB641" t="str">
            <v>Л.Н.Черкасова</v>
          </cell>
          <cell r="AC641" t="str">
            <v>Л.Н.Черкасова</v>
          </cell>
          <cell r="AD641" t="str">
            <v>Л.Н.Черкасова</v>
          </cell>
          <cell r="AE641" t="str">
            <v>Л.Н.Черкасова</v>
          </cell>
          <cell r="AF641">
            <v>0</v>
          </cell>
          <cell r="AG641">
            <v>0</v>
          </cell>
          <cell r="AH641" t="str">
            <v>Л.Н. Черкасова</v>
          </cell>
          <cell r="AI641" t="str">
            <v>Л.Н.Черкасова</v>
          </cell>
          <cell r="AJ641" t="str">
            <v>Л.Н.Черкасова</v>
          </cell>
          <cell r="AK641" t="str">
            <v>Л.Н.Черкасова</v>
          </cell>
          <cell r="AL641" t="str">
            <v>Л.Н.Черкасова</v>
          </cell>
          <cell r="AM641" t="str">
            <v>Л.Н. Черкасова</v>
          </cell>
          <cell r="AN641" t="str">
            <v>Л.Н.Черкасова</v>
          </cell>
          <cell r="AO641">
            <v>0</v>
          </cell>
          <cell r="AP641">
            <v>0</v>
          </cell>
          <cell r="AQ641" t="str">
            <v>Л.Н.Черкасова</v>
          </cell>
          <cell r="AR641" t="str">
            <v>Л.Н.Черкасова</v>
          </cell>
          <cell r="AS641" t="str">
            <v>Л.Н.Черкасова</v>
          </cell>
          <cell r="AT641" t="str">
            <v>Л.Н.Черкасова</v>
          </cell>
          <cell r="AU641" t="str">
            <v>Л.Н.Черкасова</v>
          </cell>
          <cell r="AV641" t="str">
            <v>Л.Н.Черкасова</v>
          </cell>
          <cell r="AW641" t="str">
            <v>Л.Н.Черкасова</v>
          </cell>
          <cell r="AX641">
            <v>0</v>
          </cell>
          <cell r="AY641" t="str">
            <v>Л.Н.Черкасова</v>
          </cell>
          <cell r="AZ641" t="str">
            <v>Л.Н.Черкасова</v>
          </cell>
          <cell r="BA641" t="str">
            <v>Л.Н.Черкасова</v>
          </cell>
          <cell r="BB641" t="str">
            <v>Л.Н.Черкасова</v>
          </cell>
          <cell r="BC641" t="str">
            <v>Л.Н.Черкасова</v>
          </cell>
          <cell r="BD641">
            <v>0</v>
          </cell>
          <cell r="BE641">
            <v>0</v>
          </cell>
          <cell r="BF641" t="str">
            <v>Л.Н.Черкасова</v>
          </cell>
          <cell r="BG641" t="str">
            <v>Л.Н.Черкасова</v>
          </cell>
          <cell r="BH641" t="str">
            <v>Л.Н.Черкасова</v>
          </cell>
          <cell r="BI641" t="str">
            <v>Л.Н.Черкасова</v>
          </cell>
          <cell r="BJ641" t="str">
            <v>Л.Н.Черкасова</v>
          </cell>
          <cell r="BK641">
            <v>0</v>
          </cell>
          <cell r="BL641">
            <v>0</v>
          </cell>
          <cell r="BM641" t="str">
            <v>Л.Н.Черкасова</v>
          </cell>
          <cell r="BN641" t="str">
            <v>Л.Н.Черкасова</v>
          </cell>
          <cell r="BO641" t="str">
            <v>Л.Н.Черкасова</v>
          </cell>
          <cell r="BP641" t="str">
            <v>Л.Н.Черкасова</v>
          </cell>
          <cell r="BQ641" t="str">
            <v>Л.Н.Черкасова</v>
          </cell>
          <cell r="BR641">
            <v>0</v>
          </cell>
          <cell r="BS641">
            <v>0</v>
          </cell>
          <cell r="BT641" t="str">
            <v>Л.Н.Черкасова</v>
          </cell>
          <cell r="BU641" t="str">
            <v>Л.Н.Черкасова</v>
          </cell>
          <cell r="BV641" t="str">
            <v>Л.Н.Черкасова</v>
          </cell>
          <cell r="BW641" t="str">
            <v>Л.Н.Черкасова</v>
          </cell>
          <cell r="BX641">
            <v>0</v>
          </cell>
          <cell r="BY641">
            <v>0</v>
          </cell>
          <cell r="BZ641" t="str">
            <v>Л.Н.Черкасова</v>
          </cell>
          <cell r="CA641" t="str">
            <v>Л.Н.Черкасова</v>
          </cell>
          <cell r="CB641" t="str">
            <v>Л.Н.Черкасова</v>
          </cell>
          <cell r="CC641" t="str">
            <v>Л.Н.Черкасова</v>
          </cell>
          <cell r="CD641">
            <v>0</v>
          </cell>
          <cell r="CE641">
            <v>0</v>
          </cell>
          <cell r="CF641" t="str">
            <v>Л.Н.Черкасова</v>
          </cell>
          <cell r="CG641" t="str">
            <v>Л.Н.Черкасова</v>
          </cell>
          <cell r="CH641" t="str">
            <v>Л.Н.Черкасова</v>
          </cell>
          <cell r="CI641" t="str">
            <v>Л.Н.Черкасова</v>
          </cell>
          <cell r="CJ641">
            <v>0</v>
          </cell>
          <cell r="CK641">
            <v>0</v>
          </cell>
          <cell r="CL641" t="str">
            <v>Л.Н.Черкасова</v>
          </cell>
          <cell r="CM641" t="str">
            <v>Л.Н.Черкасова</v>
          </cell>
          <cell r="CN641" t="str">
            <v>Л.Н.Черкасова</v>
          </cell>
          <cell r="CO641" t="str">
            <v>Л.Н.Черкасова</v>
          </cell>
          <cell r="CP641">
            <v>0</v>
          </cell>
          <cell r="CQ641">
            <v>0</v>
          </cell>
          <cell r="CR641" t="str">
            <v>Л.Н.Черкасова</v>
          </cell>
          <cell r="CS641" t="str">
            <v>Л.Н.Черкасова</v>
          </cell>
          <cell r="CT641" t="str">
            <v>Л.Н.Черкасова</v>
          </cell>
          <cell r="CU641" t="str">
            <v>Л.Н.Черкасова</v>
          </cell>
          <cell r="CV641">
            <v>0</v>
          </cell>
          <cell r="CW641">
            <v>0</v>
          </cell>
          <cell r="CX641" t="str">
            <v>Л.Н.Черкасова</v>
          </cell>
          <cell r="CY641" t="str">
            <v>Л.Н.Черкасова</v>
          </cell>
          <cell r="CZ641" t="str">
            <v>Л.Н.Черкасова</v>
          </cell>
          <cell r="DA641" t="str">
            <v>Л.Н.Черкасова</v>
          </cell>
          <cell r="DB641">
            <v>0</v>
          </cell>
          <cell r="DC641">
            <v>0</v>
          </cell>
          <cell r="DD641" t="str">
            <v>Л.Н.Черкасова</v>
          </cell>
          <cell r="DE641" t="str">
            <v>Л.Н.Черкасова</v>
          </cell>
          <cell r="DF641" t="str">
            <v>Л.Н.Черкасова</v>
          </cell>
          <cell r="DG641">
            <v>0</v>
          </cell>
          <cell r="DH641">
            <v>0</v>
          </cell>
          <cell r="DI641" t="str">
            <v>Л.Н.Черкасова</v>
          </cell>
          <cell r="DJ641" t="str">
            <v>Л.Н.Черкасова</v>
          </cell>
          <cell r="DK641">
            <v>0</v>
          </cell>
          <cell r="DL641" t="str">
            <v>Л.Н.Черкасова</v>
          </cell>
          <cell r="DM641" t="str">
            <v>Л.Н.Черкасова</v>
          </cell>
          <cell r="DN641">
            <v>0</v>
          </cell>
          <cell r="DO641">
            <v>0</v>
          </cell>
          <cell r="DP641" t="str">
            <v>Л.Н.Черкасова</v>
          </cell>
          <cell r="DQ641" t="str">
            <v>Л.Н.Черкасова</v>
          </cell>
          <cell r="DR641">
            <v>0</v>
          </cell>
          <cell r="DS641">
            <v>0</v>
          </cell>
          <cell r="DT641">
            <v>0</v>
          </cell>
          <cell r="DU641">
            <v>0</v>
          </cell>
          <cell r="DV641">
            <v>0</v>
          </cell>
          <cell r="DW641">
            <v>0</v>
          </cell>
          <cell r="DX641">
            <v>0</v>
          </cell>
          <cell r="DY641">
            <v>0</v>
          </cell>
          <cell r="FM641">
            <v>0</v>
          </cell>
        </row>
        <row r="642">
          <cell r="BE642" t="str">
            <v>Общ -0,78;0,22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T642">
            <v>0</v>
          </cell>
          <cell r="FM642">
            <v>0</v>
          </cell>
        </row>
        <row r="643">
          <cell r="B643" t="str">
            <v>Справочно: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DT643">
            <v>0</v>
          </cell>
          <cell r="FM643">
            <v>0</v>
          </cell>
        </row>
        <row r="644">
          <cell r="B644" t="str">
            <v>Услуги ЦТС по службам, всего</v>
          </cell>
          <cell r="C644">
            <v>8562</v>
          </cell>
          <cell r="D644">
            <v>4546</v>
          </cell>
          <cell r="E644">
            <v>13108</v>
          </cell>
          <cell r="F644">
            <v>9352.1</v>
          </cell>
          <cell r="G644">
            <v>5519.3</v>
          </cell>
          <cell r="H644">
            <v>14871.400000000001</v>
          </cell>
          <cell r="I644">
            <v>8799.5</v>
          </cell>
          <cell r="J644">
            <v>5399.7</v>
          </cell>
          <cell r="K644">
            <v>14199.2</v>
          </cell>
          <cell r="L644">
            <v>7433</v>
          </cell>
          <cell r="M644">
            <v>6034.5</v>
          </cell>
          <cell r="N644">
            <v>13467.5</v>
          </cell>
          <cell r="O644">
            <v>0</v>
          </cell>
          <cell r="P644">
            <v>0</v>
          </cell>
          <cell r="Q644">
            <v>0</v>
          </cell>
          <cell r="R644">
            <v>9500.2999999999993</v>
          </cell>
          <cell r="S644">
            <v>5614.77</v>
          </cell>
          <cell r="T644">
            <v>15115.07</v>
          </cell>
          <cell r="U644">
            <v>9500.2999999999993</v>
          </cell>
          <cell r="V644">
            <v>5614.77</v>
          </cell>
          <cell r="W644">
            <v>15115.07</v>
          </cell>
          <cell r="X644">
            <v>11605</v>
          </cell>
          <cell r="Y644">
            <v>6042</v>
          </cell>
          <cell r="Z644">
            <v>17647</v>
          </cell>
          <cell r="AA644">
            <v>0</v>
          </cell>
          <cell r="AB644">
            <v>0</v>
          </cell>
          <cell r="AC644">
            <v>0</v>
          </cell>
          <cell r="AD644">
            <v>120857.54000000001</v>
          </cell>
          <cell r="AE644">
            <v>120857.54000000001</v>
          </cell>
          <cell r="AF644">
            <v>8562</v>
          </cell>
          <cell r="AG644">
            <v>4546</v>
          </cell>
          <cell r="AH644">
            <v>13108</v>
          </cell>
          <cell r="AI644">
            <v>9352.1</v>
          </cell>
          <cell r="AJ644">
            <v>5519.3</v>
          </cell>
          <cell r="AK644">
            <v>14871.400000000001</v>
          </cell>
          <cell r="AL644">
            <v>8799.5</v>
          </cell>
          <cell r="AM644">
            <v>5399.7</v>
          </cell>
          <cell r="AN644">
            <v>14199.2</v>
          </cell>
          <cell r="AO644">
            <v>7433</v>
          </cell>
          <cell r="AP644">
            <v>6034.5</v>
          </cell>
          <cell r="AQ644">
            <v>13467.5</v>
          </cell>
          <cell r="AR644">
            <v>0</v>
          </cell>
          <cell r="AS644">
            <v>0</v>
          </cell>
          <cell r="AT644">
            <v>0</v>
          </cell>
          <cell r="AU644">
            <v>9500.2999999999993</v>
          </cell>
          <cell r="AV644">
            <v>5614.77</v>
          </cell>
          <cell r="AW644">
            <v>15115.07</v>
          </cell>
          <cell r="AX644">
            <v>9500.2999999999993</v>
          </cell>
          <cell r="AY644">
            <v>5614.77</v>
          </cell>
          <cell r="AZ644">
            <v>8562</v>
          </cell>
          <cell r="BA644">
            <v>4546</v>
          </cell>
          <cell r="BB644">
            <v>13108</v>
          </cell>
          <cell r="BC644">
            <v>9352.1</v>
          </cell>
          <cell r="BD644">
            <v>5519.3</v>
          </cell>
          <cell r="BE644">
            <v>14871.400000000001</v>
          </cell>
          <cell r="BF644">
            <v>0</v>
          </cell>
          <cell r="BG644">
            <v>120857.54000000001</v>
          </cell>
          <cell r="BH644">
            <v>120857.54000000001</v>
          </cell>
          <cell r="BI644">
            <v>8799.5</v>
          </cell>
          <cell r="BJ644">
            <v>5399.7</v>
          </cell>
          <cell r="BK644">
            <v>14199.2</v>
          </cell>
          <cell r="BL644">
            <v>7433</v>
          </cell>
          <cell r="BM644">
            <v>6034.5</v>
          </cell>
          <cell r="BN644">
            <v>13467.5</v>
          </cell>
          <cell r="BO644">
            <v>0</v>
          </cell>
          <cell r="BP644">
            <v>0</v>
          </cell>
          <cell r="BQ644">
            <v>0</v>
          </cell>
          <cell r="BR644">
            <v>9500.2999999999993</v>
          </cell>
          <cell r="BS644">
            <v>5614.77</v>
          </cell>
          <cell r="BT644">
            <v>15115.07</v>
          </cell>
          <cell r="BU644">
            <v>9500.2999999999993</v>
          </cell>
          <cell r="BV644">
            <v>5614.77</v>
          </cell>
          <cell r="BW644">
            <v>8799.5</v>
          </cell>
          <cell r="BX644">
            <v>5399.7</v>
          </cell>
          <cell r="BY644">
            <v>14199.2</v>
          </cell>
          <cell r="BZ644">
            <v>7433</v>
          </cell>
          <cell r="CA644">
            <v>6034.5</v>
          </cell>
          <cell r="CB644">
            <v>13467.5</v>
          </cell>
          <cell r="CC644">
            <v>0</v>
          </cell>
          <cell r="CD644">
            <v>120857.54000000001</v>
          </cell>
          <cell r="CE644">
            <v>0</v>
          </cell>
          <cell r="CF644">
            <v>0</v>
          </cell>
          <cell r="CG644">
            <v>0</v>
          </cell>
          <cell r="CH644">
            <v>9500.2999999999993</v>
          </cell>
          <cell r="CI644">
            <v>5614.77</v>
          </cell>
          <cell r="CJ644">
            <v>15115.07</v>
          </cell>
          <cell r="CK644">
            <v>9500.2999999999993</v>
          </cell>
          <cell r="CL644">
            <v>5614.77</v>
          </cell>
          <cell r="CM644">
            <v>15115.07</v>
          </cell>
          <cell r="CN644">
            <v>11605</v>
          </cell>
          <cell r="CO644">
            <v>6042</v>
          </cell>
          <cell r="CP644">
            <v>17647</v>
          </cell>
          <cell r="CQ644">
            <v>0</v>
          </cell>
          <cell r="CR644">
            <v>0</v>
          </cell>
          <cell r="CS644">
            <v>0</v>
          </cell>
          <cell r="CT644">
            <v>120857.54000000001</v>
          </cell>
          <cell r="CU644">
            <v>120857.54000000001</v>
          </cell>
          <cell r="CV644">
            <v>9500.2999999999993</v>
          </cell>
          <cell r="CW644">
            <v>5614.77</v>
          </cell>
          <cell r="CX644">
            <v>15115.07</v>
          </cell>
          <cell r="CY644">
            <v>9500.2999999999993</v>
          </cell>
          <cell r="CZ644">
            <v>5614.77</v>
          </cell>
          <cell r="DA644">
            <v>15115.07</v>
          </cell>
          <cell r="DB644">
            <v>11605</v>
          </cell>
          <cell r="DC644">
            <v>6042</v>
          </cell>
          <cell r="DD644">
            <v>17647</v>
          </cell>
          <cell r="DE644">
            <v>0</v>
          </cell>
          <cell r="DF644">
            <v>0</v>
          </cell>
          <cell r="DG644">
            <v>0</v>
          </cell>
          <cell r="DH644">
            <v>11605</v>
          </cell>
          <cell r="DI644">
            <v>6042</v>
          </cell>
          <cell r="DJ644">
            <v>17647</v>
          </cell>
          <cell r="DK644">
            <v>0</v>
          </cell>
          <cell r="DL644">
            <v>0</v>
          </cell>
          <cell r="DM644">
            <v>0</v>
          </cell>
          <cell r="DN644">
            <v>120857.54000000001</v>
          </cell>
          <cell r="DO644">
            <v>120857.54000000001</v>
          </cell>
          <cell r="DP644">
            <v>120857.54000000001</v>
          </cell>
          <cell r="DQ644">
            <v>120857.54000000001</v>
          </cell>
          <cell r="DR644">
            <v>120857.54000000001</v>
          </cell>
          <cell r="DS644">
            <v>120857.54000000001</v>
          </cell>
          <cell r="DT644">
            <v>120857.54000000001</v>
          </cell>
          <cell r="DU644">
            <v>120857.54000000001</v>
          </cell>
          <cell r="DV644">
            <v>120857.54000000001</v>
          </cell>
          <cell r="DW644">
            <v>120857.54000000001</v>
          </cell>
          <cell r="DX644">
            <v>120857.54000000001</v>
          </cell>
          <cell r="DY644">
            <v>120857.54000000001</v>
          </cell>
          <cell r="DZ644">
            <v>120857.54000000001</v>
          </cell>
          <cell r="EA644">
            <v>120857.54000000001</v>
          </cell>
          <cell r="EB644">
            <v>120857.54000000001</v>
          </cell>
          <cell r="EC644">
            <v>120857.54000000001</v>
          </cell>
          <cell r="ED644">
            <v>120857.54000000001</v>
          </cell>
          <cell r="EE644">
            <v>120857.54000000001</v>
          </cell>
          <cell r="EF644">
            <v>120857.54000000001</v>
          </cell>
          <cell r="EG644">
            <v>120857.54000000001</v>
          </cell>
          <cell r="EH644">
            <v>120857.54000000001</v>
          </cell>
          <cell r="EI644">
            <v>120857.54000000001</v>
          </cell>
          <cell r="EJ644">
            <v>120857.54000000001</v>
          </cell>
          <cell r="FM644">
            <v>120857.54000000001</v>
          </cell>
        </row>
        <row r="645">
          <cell r="B645" t="str">
            <v>в т.ч. метрология</v>
          </cell>
          <cell r="C645">
            <v>180</v>
          </cell>
          <cell r="D645">
            <v>100</v>
          </cell>
          <cell r="E645">
            <v>280</v>
          </cell>
          <cell r="F645">
            <v>139.30000000000001</v>
          </cell>
          <cell r="G645">
            <v>63.2</v>
          </cell>
          <cell r="H645">
            <v>202.5</v>
          </cell>
          <cell r="I645">
            <v>150</v>
          </cell>
          <cell r="J645">
            <v>48.6</v>
          </cell>
          <cell r="K645">
            <v>198.6</v>
          </cell>
          <cell r="L645">
            <v>91.2</v>
          </cell>
          <cell r="M645">
            <v>40.6</v>
          </cell>
          <cell r="N645">
            <v>131.80000000000001</v>
          </cell>
          <cell r="O645">
            <v>0</v>
          </cell>
          <cell r="P645">
            <v>140</v>
          </cell>
          <cell r="Q645">
            <v>60.77</v>
          </cell>
          <cell r="R645">
            <v>200.77</v>
          </cell>
          <cell r="S645">
            <v>140</v>
          </cell>
          <cell r="T645">
            <v>60.77</v>
          </cell>
          <cell r="U645">
            <v>200.77</v>
          </cell>
          <cell r="V645">
            <v>100</v>
          </cell>
          <cell r="W645">
            <v>78</v>
          </cell>
          <cell r="X645">
            <v>178</v>
          </cell>
          <cell r="Y645">
            <v>0</v>
          </cell>
          <cell r="Z645">
            <v>1418.34</v>
          </cell>
          <cell r="AA645">
            <v>1418.34</v>
          </cell>
          <cell r="AB645">
            <v>180</v>
          </cell>
          <cell r="AC645">
            <v>100</v>
          </cell>
          <cell r="AD645">
            <v>280</v>
          </cell>
          <cell r="AE645">
            <v>139.30000000000001</v>
          </cell>
          <cell r="AF645">
            <v>63.2</v>
          </cell>
          <cell r="AG645">
            <v>202.5</v>
          </cell>
          <cell r="AH645">
            <v>150</v>
          </cell>
          <cell r="AI645">
            <v>48.6</v>
          </cell>
          <cell r="AJ645">
            <v>198.6</v>
          </cell>
          <cell r="AK645">
            <v>91.2</v>
          </cell>
          <cell r="AL645">
            <v>40.6</v>
          </cell>
          <cell r="AM645">
            <v>131.80000000000001</v>
          </cell>
          <cell r="AN645">
            <v>0</v>
          </cell>
          <cell r="AO645">
            <v>140</v>
          </cell>
          <cell r="AP645">
            <v>60.77</v>
          </cell>
          <cell r="AQ645">
            <v>200.77</v>
          </cell>
          <cell r="AR645">
            <v>140</v>
          </cell>
          <cell r="AS645">
            <v>60.77</v>
          </cell>
          <cell r="AT645">
            <v>200.77</v>
          </cell>
          <cell r="AU645">
            <v>100</v>
          </cell>
          <cell r="AV645">
            <v>78</v>
          </cell>
          <cell r="AW645">
            <v>178</v>
          </cell>
          <cell r="AX645">
            <v>0</v>
          </cell>
          <cell r="AY645">
            <v>1418.34</v>
          </cell>
          <cell r="AZ645">
            <v>180</v>
          </cell>
          <cell r="BA645">
            <v>100</v>
          </cell>
          <cell r="BB645">
            <v>280</v>
          </cell>
          <cell r="BC645">
            <v>139.30000000000001</v>
          </cell>
          <cell r="BD645">
            <v>63.2</v>
          </cell>
          <cell r="BE645">
            <v>202.5</v>
          </cell>
          <cell r="BF645">
            <v>150</v>
          </cell>
          <cell r="BG645">
            <v>48.6</v>
          </cell>
          <cell r="BH645">
            <v>198.6</v>
          </cell>
          <cell r="BI645">
            <v>91.2</v>
          </cell>
          <cell r="BJ645">
            <v>40.6</v>
          </cell>
          <cell r="BK645">
            <v>131.80000000000001</v>
          </cell>
          <cell r="BL645">
            <v>0</v>
          </cell>
          <cell r="BM645">
            <v>140</v>
          </cell>
          <cell r="BN645">
            <v>60.77</v>
          </cell>
          <cell r="BO645">
            <v>200.77</v>
          </cell>
          <cell r="BP645">
            <v>140</v>
          </cell>
          <cell r="BQ645">
            <v>60.77</v>
          </cell>
          <cell r="BR645">
            <v>200.77</v>
          </cell>
          <cell r="BS645">
            <v>100</v>
          </cell>
          <cell r="BT645">
            <v>78</v>
          </cell>
          <cell r="BU645">
            <v>178</v>
          </cell>
          <cell r="BV645">
            <v>0</v>
          </cell>
          <cell r="BW645">
            <v>150</v>
          </cell>
          <cell r="BX645">
            <v>48.6</v>
          </cell>
          <cell r="BY645">
            <v>198.6</v>
          </cell>
          <cell r="BZ645">
            <v>91.2</v>
          </cell>
          <cell r="CA645">
            <v>40.6</v>
          </cell>
          <cell r="CB645">
            <v>131.80000000000001</v>
          </cell>
          <cell r="CC645">
            <v>0</v>
          </cell>
          <cell r="CD645">
            <v>140</v>
          </cell>
          <cell r="CE645">
            <v>60.77</v>
          </cell>
          <cell r="CF645">
            <v>200.77</v>
          </cell>
          <cell r="CG645">
            <v>0</v>
          </cell>
          <cell r="CH645">
            <v>60.77</v>
          </cell>
          <cell r="CI645">
            <v>200.77</v>
          </cell>
          <cell r="CJ645">
            <v>100</v>
          </cell>
          <cell r="CK645">
            <v>78</v>
          </cell>
          <cell r="CL645">
            <v>178</v>
          </cell>
          <cell r="CM645">
            <v>0</v>
          </cell>
          <cell r="CN645">
            <v>1418.34</v>
          </cell>
          <cell r="CO645">
            <v>1418.34</v>
          </cell>
          <cell r="CP645">
            <v>140</v>
          </cell>
          <cell r="CQ645">
            <v>60.77</v>
          </cell>
          <cell r="CR645">
            <v>200.77</v>
          </cell>
          <cell r="CS645">
            <v>140</v>
          </cell>
          <cell r="CT645">
            <v>60.77</v>
          </cell>
          <cell r="CU645">
            <v>200.77</v>
          </cell>
          <cell r="CV645">
            <v>140</v>
          </cell>
          <cell r="CW645">
            <v>60.77</v>
          </cell>
          <cell r="CX645">
            <v>200.77</v>
          </cell>
          <cell r="CY645">
            <v>140</v>
          </cell>
          <cell r="CZ645">
            <v>60.77</v>
          </cell>
          <cell r="DA645">
            <v>200.77</v>
          </cell>
          <cell r="DB645">
            <v>100</v>
          </cell>
          <cell r="DC645">
            <v>78</v>
          </cell>
          <cell r="DD645">
            <v>178</v>
          </cell>
          <cell r="DE645">
            <v>0</v>
          </cell>
          <cell r="DF645">
            <v>1418.34</v>
          </cell>
          <cell r="DG645">
            <v>1418.34</v>
          </cell>
          <cell r="DH645">
            <v>100</v>
          </cell>
          <cell r="DI645">
            <v>78</v>
          </cell>
          <cell r="DJ645">
            <v>178</v>
          </cell>
          <cell r="DK645">
            <v>0</v>
          </cell>
          <cell r="DL645">
            <v>1418.34</v>
          </cell>
          <cell r="DM645">
            <v>0</v>
          </cell>
          <cell r="DN645">
            <v>1418.34</v>
          </cell>
          <cell r="DO645">
            <v>1418.34</v>
          </cell>
          <cell r="DP645">
            <v>1418.34</v>
          </cell>
          <cell r="DQ645">
            <v>1418.34</v>
          </cell>
          <cell r="DR645">
            <v>1418.34</v>
          </cell>
          <cell r="DS645">
            <v>1418.34</v>
          </cell>
          <cell r="DT645">
            <v>1418.34</v>
          </cell>
          <cell r="DU645">
            <v>1418.34</v>
          </cell>
          <cell r="DV645">
            <v>1418.34</v>
          </cell>
          <cell r="DW645">
            <v>1418.34</v>
          </cell>
          <cell r="DX645">
            <v>1418.34</v>
          </cell>
          <cell r="DY645">
            <v>1418.34</v>
          </cell>
          <cell r="DZ645">
            <v>1418.34</v>
          </cell>
          <cell r="EA645">
            <v>1418.34</v>
          </cell>
          <cell r="EB645">
            <v>1418.34</v>
          </cell>
          <cell r="EC645">
            <v>1418.34</v>
          </cell>
          <cell r="ED645">
            <v>1418.34</v>
          </cell>
          <cell r="EE645">
            <v>1418.34</v>
          </cell>
          <cell r="EF645">
            <v>1418.34</v>
          </cell>
          <cell r="EG645">
            <v>1418.34</v>
          </cell>
          <cell r="EH645">
            <v>1418.34</v>
          </cell>
          <cell r="FM645">
            <v>1418.34</v>
          </cell>
        </row>
        <row r="646">
          <cell r="B646" t="str">
            <v xml:space="preserve">          тех. диагностика</v>
          </cell>
          <cell r="C646">
            <v>42</v>
          </cell>
          <cell r="D646">
            <v>100</v>
          </cell>
          <cell r="E646">
            <v>142</v>
          </cell>
          <cell r="F646">
            <v>107.7</v>
          </cell>
          <cell r="G646">
            <v>19.5</v>
          </cell>
          <cell r="H646">
            <v>127.2</v>
          </cell>
          <cell r="I646">
            <v>44.5</v>
          </cell>
          <cell r="J646">
            <v>27.1</v>
          </cell>
          <cell r="K646">
            <v>71.599999999999994</v>
          </cell>
          <cell r="L646">
            <v>44.4</v>
          </cell>
          <cell r="M646">
            <v>53.5</v>
          </cell>
          <cell r="N646">
            <v>97.9</v>
          </cell>
          <cell r="O646">
            <v>0</v>
          </cell>
          <cell r="P646">
            <v>5.3</v>
          </cell>
          <cell r="Q646">
            <v>4</v>
          </cell>
          <cell r="R646">
            <v>9.3000000000000007</v>
          </cell>
          <cell r="S646">
            <v>5.3</v>
          </cell>
          <cell r="T646">
            <v>4</v>
          </cell>
          <cell r="U646">
            <v>9.3000000000000007</v>
          </cell>
          <cell r="V646">
            <v>32</v>
          </cell>
          <cell r="W646">
            <v>16</v>
          </cell>
          <cell r="X646">
            <v>48</v>
          </cell>
          <cell r="Y646">
            <v>0</v>
          </cell>
          <cell r="Z646">
            <v>453.6</v>
          </cell>
          <cell r="AA646">
            <v>453.6</v>
          </cell>
          <cell r="AB646">
            <v>42</v>
          </cell>
          <cell r="AC646">
            <v>100</v>
          </cell>
          <cell r="AD646">
            <v>142</v>
          </cell>
          <cell r="AE646">
            <v>107.7</v>
          </cell>
          <cell r="AF646">
            <v>19.5</v>
          </cell>
          <cell r="AG646">
            <v>127.2</v>
          </cell>
          <cell r="AH646">
            <v>44.5</v>
          </cell>
          <cell r="AI646">
            <v>27.1</v>
          </cell>
          <cell r="AJ646">
            <v>71.599999999999994</v>
          </cell>
          <cell r="AK646">
            <v>44.4</v>
          </cell>
          <cell r="AL646">
            <v>53.5</v>
          </cell>
          <cell r="AM646">
            <v>97.9</v>
          </cell>
          <cell r="AN646">
            <v>0</v>
          </cell>
          <cell r="AO646">
            <v>5.3</v>
          </cell>
          <cell r="AP646">
            <v>4</v>
          </cell>
          <cell r="AQ646">
            <v>9.3000000000000007</v>
          </cell>
          <cell r="AR646">
            <v>5.3</v>
          </cell>
          <cell r="AS646">
            <v>4</v>
          </cell>
          <cell r="AT646">
            <v>9.3000000000000007</v>
          </cell>
          <cell r="AU646">
            <v>32</v>
          </cell>
          <cell r="AV646">
            <v>16</v>
          </cell>
          <cell r="AW646">
            <v>48</v>
          </cell>
          <cell r="AX646">
            <v>0</v>
          </cell>
          <cell r="AY646">
            <v>453.6</v>
          </cell>
          <cell r="AZ646">
            <v>42</v>
          </cell>
          <cell r="BA646">
            <v>100</v>
          </cell>
          <cell r="BB646">
            <v>142</v>
          </cell>
          <cell r="BC646">
            <v>107.7</v>
          </cell>
          <cell r="BD646">
            <v>19.5</v>
          </cell>
          <cell r="BE646">
            <v>127.2</v>
          </cell>
          <cell r="BF646">
            <v>44.5</v>
          </cell>
          <cell r="BG646">
            <v>27.1</v>
          </cell>
          <cell r="BH646">
            <v>71.599999999999994</v>
          </cell>
          <cell r="BI646">
            <v>44.4</v>
          </cell>
          <cell r="BJ646">
            <v>53.5</v>
          </cell>
          <cell r="BK646">
            <v>97.9</v>
          </cell>
          <cell r="BL646">
            <v>0</v>
          </cell>
          <cell r="BM646">
            <v>5.3</v>
          </cell>
          <cell r="BN646">
            <v>4</v>
          </cell>
          <cell r="BO646">
            <v>9.3000000000000007</v>
          </cell>
          <cell r="BP646">
            <v>5.3</v>
          </cell>
          <cell r="BQ646">
            <v>4</v>
          </cell>
          <cell r="BR646">
            <v>9.3000000000000007</v>
          </cell>
          <cell r="BS646">
            <v>32</v>
          </cell>
          <cell r="BT646">
            <v>16</v>
          </cell>
          <cell r="BU646">
            <v>48</v>
          </cell>
          <cell r="BV646">
            <v>0</v>
          </cell>
          <cell r="BW646">
            <v>44.5</v>
          </cell>
          <cell r="BX646">
            <v>27.1</v>
          </cell>
          <cell r="BY646">
            <v>71.599999999999994</v>
          </cell>
          <cell r="BZ646">
            <v>44.4</v>
          </cell>
          <cell r="CA646">
            <v>53.5</v>
          </cell>
          <cell r="CB646">
            <v>97.9</v>
          </cell>
          <cell r="CC646">
            <v>0</v>
          </cell>
          <cell r="CD646">
            <v>5.3</v>
          </cell>
          <cell r="CE646">
            <v>4</v>
          </cell>
          <cell r="CF646">
            <v>9.3000000000000007</v>
          </cell>
          <cell r="CG646">
            <v>0</v>
          </cell>
          <cell r="CH646">
            <v>4</v>
          </cell>
          <cell r="CI646">
            <v>9.3000000000000007</v>
          </cell>
          <cell r="CJ646">
            <v>32</v>
          </cell>
          <cell r="CK646">
            <v>16</v>
          </cell>
          <cell r="CL646">
            <v>48</v>
          </cell>
          <cell r="CM646">
            <v>0</v>
          </cell>
          <cell r="CN646">
            <v>453.6</v>
          </cell>
          <cell r="CO646">
            <v>453.6</v>
          </cell>
          <cell r="CP646">
            <v>5.3</v>
          </cell>
          <cell r="CQ646">
            <v>4</v>
          </cell>
          <cell r="CR646">
            <v>9.3000000000000007</v>
          </cell>
          <cell r="CS646">
            <v>5.3</v>
          </cell>
          <cell r="CT646">
            <v>4</v>
          </cell>
          <cell r="CU646">
            <v>9.3000000000000007</v>
          </cell>
          <cell r="CV646">
            <v>5.3</v>
          </cell>
          <cell r="CW646">
            <v>4</v>
          </cell>
          <cell r="CX646">
            <v>9.3000000000000007</v>
          </cell>
          <cell r="CY646">
            <v>5.3</v>
          </cell>
          <cell r="CZ646">
            <v>4</v>
          </cell>
          <cell r="DA646">
            <v>9.3000000000000007</v>
          </cell>
          <cell r="DB646">
            <v>32</v>
          </cell>
          <cell r="DC646">
            <v>16</v>
          </cell>
          <cell r="DD646">
            <v>48</v>
          </cell>
          <cell r="DE646">
            <v>0</v>
          </cell>
          <cell r="DF646">
            <v>453.6</v>
          </cell>
          <cell r="DG646">
            <v>453.6</v>
          </cell>
          <cell r="DH646">
            <v>32</v>
          </cell>
          <cell r="DI646">
            <v>16</v>
          </cell>
          <cell r="DJ646">
            <v>48</v>
          </cell>
          <cell r="DK646">
            <v>0</v>
          </cell>
          <cell r="DL646">
            <v>453.6</v>
          </cell>
          <cell r="DM646">
            <v>0</v>
          </cell>
          <cell r="DN646">
            <v>453.6</v>
          </cell>
          <cell r="DO646">
            <v>453.6</v>
          </cell>
          <cell r="DP646">
            <v>453.6</v>
          </cell>
          <cell r="DQ646">
            <v>453.6</v>
          </cell>
          <cell r="DR646">
            <v>453.6</v>
          </cell>
          <cell r="DS646">
            <v>453.6</v>
          </cell>
          <cell r="DT646">
            <v>453.6</v>
          </cell>
          <cell r="DU646">
            <v>453.6</v>
          </cell>
          <cell r="DV646">
            <v>453.6</v>
          </cell>
          <cell r="DW646">
            <v>453.6</v>
          </cell>
          <cell r="DX646">
            <v>453.6</v>
          </cell>
          <cell r="DY646">
            <v>453.6</v>
          </cell>
          <cell r="DZ646">
            <v>453.6</v>
          </cell>
          <cell r="EA646">
            <v>453.6</v>
          </cell>
          <cell r="EB646">
            <v>453.6</v>
          </cell>
          <cell r="EC646">
            <v>453.6</v>
          </cell>
          <cell r="ED646">
            <v>453.6</v>
          </cell>
          <cell r="EE646">
            <v>453.6</v>
          </cell>
          <cell r="EF646">
            <v>453.6</v>
          </cell>
          <cell r="EG646">
            <v>453.6</v>
          </cell>
          <cell r="EH646">
            <v>453.6</v>
          </cell>
          <cell r="FM646">
            <v>453.6</v>
          </cell>
        </row>
        <row r="647">
          <cell r="B647" t="str">
            <v xml:space="preserve">          автоматизация и связь</v>
          </cell>
          <cell r="C647">
            <v>650</v>
          </cell>
          <cell r="D647">
            <v>500</v>
          </cell>
          <cell r="E647">
            <v>1150</v>
          </cell>
          <cell r="F647">
            <v>645.1</v>
          </cell>
          <cell r="G647">
            <v>611.70000000000005</v>
          </cell>
          <cell r="H647">
            <v>1256.8000000000002</v>
          </cell>
          <cell r="I647">
            <v>700</v>
          </cell>
          <cell r="J647">
            <v>550</v>
          </cell>
          <cell r="K647">
            <v>1250</v>
          </cell>
          <cell r="L647">
            <v>664.4</v>
          </cell>
          <cell r="M647">
            <v>530.6</v>
          </cell>
          <cell r="N647">
            <v>1195</v>
          </cell>
          <cell r="O647">
            <v>0</v>
          </cell>
          <cell r="P647">
            <v>700</v>
          </cell>
          <cell r="Q647">
            <v>650</v>
          </cell>
          <cell r="R647">
            <v>1350</v>
          </cell>
          <cell r="S647">
            <v>700</v>
          </cell>
          <cell r="T647">
            <v>650</v>
          </cell>
          <cell r="U647">
            <v>1350</v>
          </cell>
          <cell r="V647">
            <v>870</v>
          </cell>
          <cell r="W647">
            <v>652</v>
          </cell>
          <cell r="X647">
            <v>1522</v>
          </cell>
          <cell r="Y647">
            <v>0</v>
          </cell>
          <cell r="Z647">
            <v>10634</v>
          </cell>
          <cell r="AA647">
            <v>10634</v>
          </cell>
          <cell r="AB647">
            <v>650</v>
          </cell>
          <cell r="AC647">
            <v>500</v>
          </cell>
          <cell r="AD647">
            <v>1150</v>
          </cell>
          <cell r="AE647">
            <v>645.1</v>
          </cell>
          <cell r="AF647">
            <v>611.70000000000005</v>
          </cell>
          <cell r="AG647">
            <v>1256.8000000000002</v>
          </cell>
          <cell r="AH647">
            <v>700</v>
          </cell>
          <cell r="AI647">
            <v>550</v>
          </cell>
          <cell r="AJ647">
            <v>1250</v>
          </cell>
          <cell r="AK647">
            <v>664.4</v>
          </cell>
          <cell r="AL647">
            <v>530.6</v>
          </cell>
          <cell r="AM647">
            <v>1195</v>
          </cell>
          <cell r="AN647">
            <v>0</v>
          </cell>
          <cell r="AO647">
            <v>700</v>
          </cell>
          <cell r="AP647">
            <v>650</v>
          </cell>
          <cell r="AQ647">
            <v>1350</v>
          </cell>
          <cell r="AR647">
            <v>700</v>
          </cell>
          <cell r="AS647">
            <v>650</v>
          </cell>
          <cell r="AT647">
            <v>1350</v>
          </cell>
          <cell r="AU647">
            <v>870</v>
          </cell>
          <cell r="AV647">
            <v>652</v>
          </cell>
          <cell r="AW647">
            <v>1522</v>
          </cell>
          <cell r="AX647">
            <v>0</v>
          </cell>
          <cell r="AY647">
            <v>10634</v>
          </cell>
          <cell r="AZ647">
            <v>650</v>
          </cell>
          <cell r="BA647">
            <v>500</v>
          </cell>
          <cell r="BB647">
            <v>1150</v>
          </cell>
          <cell r="BC647">
            <v>645.1</v>
          </cell>
          <cell r="BD647">
            <v>611.70000000000005</v>
          </cell>
          <cell r="BE647">
            <v>1256.8000000000002</v>
          </cell>
          <cell r="BF647">
            <v>700</v>
          </cell>
          <cell r="BG647">
            <v>550</v>
          </cell>
          <cell r="BH647">
            <v>1250</v>
          </cell>
          <cell r="BI647">
            <v>664.4</v>
          </cell>
          <cell r="BJ647">
            <v>530.6</v>
          </cell>
          <cell r="BK647">
            <v>1195</v>
          </cell>
          <cell r="BL647">
            <v>0</v>
          </cell>
          <cell r="BM647">
            <v>700</v>
          </cell>
          <cell r="BN647">
            <v>650</v>
          </cell>
          <cell r="BO647">
            <v>1350</v>
          </cell>
          <cell r="BP647">
            <v>700</v>
          </cell>
          <cell r="BQ647">
            <v>650</v>
          </cell>
          <cell r="BR647">
            <v>1350</v>
          </cell>
          <cell r="BS647">
            <v>870</v>
          </cell>
          <cell r="BT647">
            <v>652</v>
          </cell>
          <cell r="BU647">
            <v>1522</v>
          </cell>
          <cell r="BV647">
            <v>0</v>
          </cell>
          <cell r="BW647">
            <v>700</v>
          </cell>
          <cell r="BX647">
            <v>550</v>
          </cell>
          <cell r="BY647">
            <v>1250</v>
          </cell>
          <cell r="BZ647">
            <v>664.4</v>
          </cell>
          <cell r="CA647">
            <v>530.6</v>
          </cell>
          <cell r="CB647">
            <v>1195</v>
          </cell>
          <cell r="CC647">
            <v>0</v>
          </cell>
          <cell r="CD647">
            <v>700</v>
          </cell>
          <cell r="CE647">
            <v>650</v>
          </cell>
          <cell r="CF647">
            <v>1350</v>
          </cell>
          <cell r="CG647">
            <v>0</v>
          </cell>
          <cell r="CH647">
            <v>650</v>
          </cell>
          <cell r="CI647">
            <v>1350</v>
          </cell>
          <cell r="CJ647">
            <v>870</v>
          </cell>
          <cell r="CK647">
            <v>652</v>
          </cell>
          <cell r="CL647">
            <v>1522</v>
          </cell>
          <cell r="CM647">
            <v>0</v>
          </cell>
          <cell r="CN647">
            <v>10634</v>
          </cell>
          <cell r="CO647">
            <v>10634</v>
          </cell>
          <cell r="CP647">
            <v>700</v>
          </cell>
          <cell r="CQ647">
            <v>650</v>
          </cell>
          <cell r="CR647">
            <v>1350</v>
          </cell>
          <cell r="CS647">
            <v>700</v>
          </cell>
          <cell r="CT647">
            <v>650</v>
          </cell>
          <cell r="CU647">
            <v>1350</v>
          </cell>
          <cell r="CV647">
            <v>700</v>
          </cell>
          <cell r="CW647">
            <v>650</v>
          </cell>
          <cell r="CX647">
            <v>1350</v>
          </cell>
          <cell r="CY647">
            <v>700</v>
          </cell>
          <cell r="CZ647">
            <v>650</v>
          </cell>
          <cell r="DA647">
            <v>1350</v>
          </cell>
          <cell r="DB647">
            <v>870</v>
          </cell>
          <cell r="DC647">
            <v>652</v>
          </cell>
          <cell r="DD647">
            <v>1522</v>
          </cell>
          <cell r="DE647">
            <v>0</v>
          </cell>
          <cell r="DF647">
            <v>10634</v>
          </cell>
          <cell r="DG647">
            <v>10634</v>
          </cell>
          <cell r="DH647">
            <v>870</v>
          </cell>
          <cell r="DI647">
            <v>652</v>
          </cell>
          <cell r="DJ647">
            <v>1522</v>
          </cell>
          <cell r="DK647">
            <v>0</v>
          </cell>
          <cell r="DL647">
            <v>10634</v>
          </cell>
          <cell r="DM647">
            <v>0</v>
          </cell>
          <cell r="DN647">
            <v>10634</v>
          </cell>
          <cell r="DO647">
            <v>10634</v>
          </cell>
          <cell r="DP647">
            <v>10634</v>
          </cell>
          <cell r="DQ647">
            <v>10634</v>
          </cell>
          <cell r="DR647">
            <v>10634</v>
          </cell>
          <cell r="DS647">
            <v>10634</v>
          </cell>
          <cell r="DT647">
            <v>10634</v>
          </cell>
          <cell r="DU647">
            <v>10634</v>
          </cell>
          <cell r="DV647">
            <v>10634</v>
          </cell>
          <cell r="DW647">
            <v>10634</v>
          </cell>
          <cell r="DX647">
            <v>10634</v>
          </cell>
          <cell r="DY647">
            <v>10634</v>
          </cell>
          <cell r="DZ647">
            <v>10634</v>
          </cell>
          <cell r="EA647">
            <v>10634</v>
          </cell>
          <cell r="EB647">
            <v>10634</v>
          </cell>
          <cell r="EC647">
            <v>10634</v>
          </cell>
          <cell r="ED647">
            <v>10634</v>
          </cell>
          <cell r="EE647">
            <v>10634</v>
          </cell>
          <cell r="EF647">
            <v>10634</v>
          </cell>
          <cell r="EG647">
            <v>10634</v>
          </cell>
          <cell r="EH647">
            <v>10634</v>
          </cell>
          <cell r="FM647">
            <v>10634</v>
          </cell>
        </row>
        <row r="648">
          <cell r="B648" t="str">
            <v xml:space="preserve">          энергетики</v>
          </cell>
          <cell r="C648">
            <v>3710</v>
          </cell>
          <cell r="D648">
            <v>2720</v>
          </cell>
          <cell r="E648">
            <v>6430</v>
          </cell>
          <cell r="F648">
            <v>4387</v>
          </cell>
          <cell r="G648">
            <v>3261.1000000000004</v>
          </cell>
          <cell r="H648">
            <v>7648.1</v>
          </cell>
          <cell r="I648">
            <v>3765</v>
          </cell>
          <cell r="J648">
            <v>2765</v>
          </cell>
          <cell r="K648">
            <v>6530</v>
          </cell>
          <cell r="L648">
            <v>4037.9</v>
          </cell>
          <cell r="M648">
            <v>2994.4</v>
          </cell>
          <cell r="N648">
            <v>7032.3</v>
          </cell>
          <cell r="O648">
            <v>0</v>
          </cell>
          <cell r="P648">
            <v>4333</v>
          </cell>
          <cell r="Q648">
            <v>2880</v>
          </cell>
          <cell r="R648">
            <v>7213</v>
          </cell>
          <cell r="S648">
            <v>4333</v>
          </cell>
          <cell r="T648">
            <v>2880</v>
          </cell>
          <cell r="U648">
            <v>7213</v>
          </cell>
          <cell r="V648">
            <v>4819</v>
          </cell>
          <cell r="W648">
            <v>3471</v>
          </cell>
          <cell r="X648">
            <v>8290</v>
          </cell>
          <cell r="Y648">
            <v>0</v>
          </cell>
          <cell r="Z648">
            <v>58130.600000000006</v>
          </cell>
          <cell r="AA648">
            <v>58130.600000000006</v>
          </cell>
          <cell r="AB648">
            <v>3710</v>
          </cell>
          <cell r="AC648">
            <v>2720</v>
          </cell>
          <cell r="AD648">
            <v>6430</v>
          </cell>
          <cell r="AE648">
            <v>4387</v>
          </cell>
          <cell r="AF648">
            <v>3261.1000000000004</v>
          </cell>
          <cell r="AG648">
            <v>7648.1</v>
          </cell>
          <cell r="AH648">
            <v>3765</v>
          </cell>
          <cell r="AI648">
            <v>2765</v>
          </cell>
          <cell r="AJ648">
            <v>6530</v>
          </cell>
          <cell r="AK648">
            <v>4037.9</v>
          </cell>
          <cell r="AL648">
            <v>2994.4</v>
          </cell>
          <cell r="AM648">
            <v>7032.3</v>
          </cell>
          <cell r="AN648">
            <v>0</v>
          </cell>
          <cell r="AO648">
            <v>4333</v>
          </cell>
          <cell r="AP648">
            <v>2880</v>
          </cell>
          <cell r="AQ648">
            <v>7213</v>
          </cell>
          <cell r="AR648">
            <v>4333</v>
          </cell>
          <cell r="AS648">
            <v>2880</v>
          </cell>
          <cell r="AT648">
            <v>7213</v>
          </cell>
          <cell r="AU648">
            <v>4819</v>
          </cell>
          <cell r="AV648">
            <v>3471</v>
          </cell>
          <cell r="AW648">
            <v>8290</v>
          </cell>
          <cell r="AX648">
            <v>0</v>
          </cell>
          <cell r="AY648">
            <v>58130.600000000006</v>
          </cell>
          <cell r="AZ648">
            <v>3710</v>
          </cell>
          <cell r="BA648">
            <v>2720</v>
          </cell>
          <cell r="BB648">
            <v>6430</v>
          </cell>
          <cell r="BC648">
            <v>4387</v>
          </cell>
          <cell r="BD648">
            <v>3261.1000000000004</v>
          </cell>
          <cell r="BE648">
            <v>7648.1</v>
          </cell>
          <cell r="BF648">
            <v>3765</v>
          </cell>
          <cell r="BG648">
            <v>2765</v>
          </cell>
          <cell r="BH648">
            <v>6530</v>
          </cell>
          <cell r="BI648">
            <v>4037.9</v>
          </cell>
          <cell r="BJ648">
            <v>2994.4</v>
          </cell>
          <cell r="BK648">
            <v>7032.3</v>
          </cell>
          <cell r="BL648">
            <v>0</v>
          </cell>
          <cell r="BM648">
            <v>4333</v>
          </cell>
          <cell r="BN648">
            <v>2880</v>
          </cell>
          <cell r="BO648">
            <v>7213</v>
          </cell>
          <cell r="BP648">
            <v>4333</v>
          </cell>
          <cell r="BQ648">
            <v>2880</v>
          </cell>
          <cell r="BR648">
            <v>7213</v>
          </cell>
          <cell r="BS648">
            <v>4819</v>
          </cell>
          <cell r="BT648">
            <v>3471</v>
          </cell>
          <cell r="BU648">
            <v>8290</v>
          </cell>
          <cell r="BV648">
            <v>0</v>
          </cell>
          <cell r="BW648">
            <v>3765</v>
          </cell>
          <cell r="BX648">
            <v>2765</v>
          </cell>
          <cell r="BY648">
            <v>6530</v>
          </cell>
          <cell r="BZ648">
            <v>4037.9</v>
          </cell>
          <cell r="CA648">
            <v>2994.4</v>
          </cell>
          <cell r="CB648">
            <v>7032.3</v>
          </cell>
          <cell r="CC648">
            <v>0</v>
          </cell>
          <cell r="CD648">
            <v>4333</v>
          </cell>
          <cell r="CE648">
            <v>2880</v>
          </cell>
          <cell r="CF648">
            <v>7213</v>
          </cell>
          <cell r="CG648">
            <v>0</v>
          </cell>
          <cell r="CH648">
            <v>2880</v>
          </cell>
          <cell r="CI648">
            <v>7213</v>
          </cell>
          <cell r="CJ648">
            <v>4819</v>
          </cell>
          <cell r="CK648">
            <v>3471</v>
          </cell>
          <cell r="CL648">
            <v>8290</v>
          </cell>
          <cell r="CM648">
            <v>0</v>
          </cell>
          <cell r="CN648">
            <v>58130.600000000006</v>
          </cell>
          <cell r="CO648">
            <v>58130.600000000006</v>
          </cell>
          <cell r="CP648">
            <v>4333</v>
          </cell>
          <cell r="CQ648">
            <v>2880</v>
          </cell>
          <cell r="CR648">
            <v>7213</v>
          </cell>
          <cell r="CS648">
            <v>4333</v>
          </cell>
          <cell r="CT648">
            <v>2880</v>
          </cell>
          <cell r="CU648">
            <v>7213</v>
          </cell>
          <cell r="CV648">
            <v>4333</v>
          </cell>
          <cell r="CW648">
            <v>2880</v>
          </cell>
          <cell r="CX648">
            <v>7213</v>
          </cell>
          <cell r="CY648">
            <v>4333</v>
          </cell>
          <cell r="CZ648">
            <v>2880</v>
          </cell>
          <cell r="DA648">
            <v>7213</v>
          </cell>
          <cell r="DB648">
            <v>4819</v>
          </cell>
          <cell r="DC648">
            <v>3471</v>
          </cell>
          <cell r="DD648">
            <v>8290</v>
          </cell>
          <cell r="DE648">
            <v>0</v>
          </cell>
          <cell r="DF648">
            <v>58130.600000000006</v>
          </cell>
          <cell r="DG648">
            <v>58130.600000000006</v>
          </cell>
          <cell r="DH648">
            <v>4819</v>
          </cell>
          <cell r="DI648">
            <v>3471</v>
          </cell>
          <cell r="DJ648">
            <v>8290</v>
          </cell>
          <cell r="DK648">
            <v>0</v>
          </cell>
          <cell r="DL648">
            <v>58130.600000000006</v>
          </cell>
          <cell r="DM648">
            <v>0</v>
          </cell>
          <cell r="DN648">
            <v>58130.600000000006</v>
          </cell>
          <cell r="DO648">
            <v>58130.600000000006</v>
          </cell>
          <cell r="DP648">
            <v>58130.600000000006</v>
          </cell>
          <cell r="DQ648">
            <v>58130.600000000006</v>
          </cell>
          <cell r="DR648">
            <v>58130.600000000006</v>
          </cell>
          <cell r="DS648">
            <v>58130.600000000006</v>
          </cell>
          <cell r="DT648">
            <v>58130.600000000006</v>
          </cell>
          <cell r="DU648">
            <v>58130.600000000006</v>
          </cell>
          <cell r="DV648">
            <v>58130.600000000006</v>
          </cell>
          <cell r="DW648">
            <v>58130.600000000006</v>
          </cell>
          <cell r="DX648">
            <v>58130.600000000006</v>
          </cell>
          <cell r="DY648">
            <v>58130.600000000006</v>
          </cell>
          <cell r="DZ648">
            <v>58130.600000000006</v>
          </cell>
          <cell r="EA648">
            <v>58130.600000000006</v>
          </cell>
          <cell r="EB648">
            <v>58130.600000000006</v>
          </cell>
          <cell r="EC648">
            <v>58130.600000000006</v>
          </cell>
          <cell r="ED648">
            <v>58130.600000000006</v>
          </cell>
          <cell r="EE648">
            <v>58130.600000000006</v>
          </cell>
          <cell r="EF648">
            <v>58130.600000000006</v>
          </cell>
          <cell r="EG648">
            <v>58130.600000000006</v>
          </cell>
          <cell r="EH648">
            <v>58130.600000000006</v>
          </cell>
          <cell r="FM648">
            <v>58130.600000000006</v>
          </cell>
        </row>
        <row r="649">
          <cell r="B649" t="str">
            <v xml:space="preserve">          механики</v>
          </cell>
          <cell r="C649">
            <v>3980</v>
          </cell>
          <cell r="D649">
            <v>1126</v>
          </cell>
          <cell r="E649">
            <v>5106</v>
          </cell>
          <cell r="F649">
            <v>4073</v>
          </cell>
          <cell r="G649">
            <v>1563.8</v>
          </cell>
          <cell r="H649">
            <v>5636.8</v>
          </cell>
          <cell r="I649">
            <v>4140</v>
          </cell>
          <cell r="J649">
            <v>2009</v>
          </cell>
          <cell r="K649">
            <v>6149</v>
          </cell>
          <cell r="L649">
            <v>2460.1</v>
          </cell>
          <cell r="M649">
            <v>1871.4</v>
          </cell>
          <cell r="N649">
            <v>4331.5</v>
          </cell>
          <cell r="O649">
            <v>0</v>
          </cell>
          <cell r="P649">
            <v>4322</v>
          </cell>
          <cell r="Q649">
            <v>2020</v>
          </cell>
          <cell r="R649">
            <v>6342</v>
          </cell>
          <cell r="S649">
            <v>4322</v>
          </cell>
          <cell r="T649">
            <v>2020</v>
          </cell>
          <cell r="U649">
            <v>6342</v>
          </cell>
          <cell r="V649">
            <v>1824</v>
          </cell>
          <cell r="W649">
            <v>725</v>
          </cell>
          <cell r="X649">
            <v>2549</v>
          </cell>
          <cell r="Y649">
            <v>0</v>
          </cell>
          <cell r="Z649">
            <v>38743</v>
          </cell>
          <cell r="AA649">
            <v>38743</v>
          </cell>
          <cell r="AB649">
            <v>3980</v>
          </cell>
          <cell r="AC649">
            <v>1126</v>
          </cell>
          <cell r="AD649">
            <v>5106</v>
          </cell>
          <cell r="AE649">
            <v>4073</v>
          </cell>
          <cell r="AF649">
            <v>1563.8</v>
          </cell>
          <cell r="AG649">
            <v>5636.8</v>
          </cell>
          <cell r="AH649">
            <v>4140</v>
          </cell>
          <cell r="AI649">
            <v>2009</v>
          </cell>
          <cell r="AJ649">
            <v>6149</v>
          </cell>
          <cell r="AK649">
            <v>2460.1</v>
          </cell>
          <cell r="AL649">
            <v>1871.4</v>
          </cell>
          <cell r="AM649">
            <v>4331.5</v>
          </cell>
          <cell r="AN649">
            <v>0</v>
          </cell>
          <cell r="AO649">
            <v>4322</v>
          </cell>
          <cell r="AP649">
            <v>2020</v>
          </cell>
          <cell r="AQ649">
            <v>6342</v>
          </cell>
          <cell r="AR649">
            <v>4322</v>
          </cell>
          <cell r="AS649">
            <v>2020</v>
          </cell>
          <cell r="AT649">
            <v>6342</v>
          </cell>
          <cell r="AU649">
            <v>1824</v>
          </cell>
          <cell r="AV649">
            <v>725</v>
          </cell>
          <cell r="AW649">
            <v>2549</v>
          </cell>
          <cell r="AX649">
            <v>0</v>
          </cell>
          <cell r="AY649">
            <v>38743</v>
          </cell>
          <cell r="AZ649">
            <v>3980</v>
          </cell>
          <cell r="BA649">
            <v>1126</v>
          </cell>
          <cell r="BB649">
            <v>5106</v>
          </cell>
          <cell r="BC649">
            <v>4073</v>
          </cell>
          <cell r="BD649">
            <v>1563.8</v>
          </cell>
          <cell r="BE649">
            <v>5636.8</v>
          </cell>
          <cell r="BF649">
            <v>4140</v>
          </cell>
          <cell r="BG649">
            <v>2009</v>
          </cell>
          <cell r="BH649">
            <v>6149</v>
          </cell>
          <cell r="BI649">
            <v>2460.1</v>
          </cell>
          <cell r="BJ649">
            <v>1871.4</v>
          </cell>
          <cell r="BK649">
            <v>4331.5</v>
          </cell>
          <cell r="BL649">
            <v>0</v>
          </cell>
          <cell r="BM649">
            <v>4322</v>
          </cell>
          <cell r="BN649">
            <v>2020</v>
          </cell>
          <cell r="BO649">
            <v>6342</v>
          </cell>
          <cell r="BP649">
            <v>4322</v>
          </cell>
          <cell r="BQ649">
            <v>2020</v>
          </cell>
          <cell r="BR649">
            <v>6342</v>
          </cell>
          <cell r="BS649">
            <v>1824</v>
          </cell>
          <cell r="BT649">
            <v>725</v>
          </cell>
          <cell r="BU649">
            <v>2549</v>
          </cell>
          <cell r="BV649">
            <v>0</v>
          </cell>
          <cell r="BW649">
            <v>4140</v>
          </cell>
          <cell r="BX649">
            <v>2009</v>
          </cell>
          <cell r="BY649">
            <v>6149</v>
          </cell>
          <cell r="BZ649">
            <v>2460.1</v>
          </cell>
          <cell r="CA649">
            <v>1871.4</v>
          </cell>
          <cell r="CB649">
            <v>4331.5</v>
          </cell>
          <cell r="CC649">
            <v>0</v>
          </cell>
          <cell r="CD649">
            <v>4322</v>
          </cell>
          <cell r="CE649">
            <v>2020</v>
          </cell>
          <cell r="CF649">
            <v>6342</v>
          </cell>
          <cell r="CG649">
            <v>0</v>
          </cell>
          <cell r="CH649">
            <v>2020</v>
          </cell>
          <cell r="CI649">
            <v>6342</v>
          </cell>
          <cell r="CJ649">
            <v>1824</v>
          </cell>
          <cell r="CK649">
            <v>725</v>
          </cell>
          <cell r="CL649">
            <v>2549</v>
          </cell>
          <cell r="CM649">
            <v>0</v>
          </cell>
          <cell r="CN649">
            <v>38743</v>
          </cell>
          <cell r="CO649">
            <v>38743</v>
          </cell>
          <cell r="CP649">
            <v>4322</v>
          </cell>
          <cell r="CQ649">
            <v>2020</v>
          </cell>
          <cell r="CR649">
            <v>6342</v>
          </cell>
          <cell r="CS649">
            <v>4322</v>
          </cell>
          <cell r="CT649">
            <v>2020</v>
          </cell>
          <cell r="CU649">
            <v>6342</v>
          </cell>
          <cell r="CV649">
            <v>4322</v>
          </cell>
          <cell r="CW649">
            <v>2020</v>
          </cell>
          <cell r="CX649">
            <v>6342</v>
          </cell>
          <cell r="CY649">
            <v>4322</v>
          </cell>
          <cell r="CZ649">
            <v>2020</v>
          </cell>
          <cell r="DA649">
            <v>6342</v>
          </cell>
          <cell r="DB649">
            <v>1824</v>
          </cell>
          <cell r="DC649">
            <v>725</v>
          </cell>
          <cell r="DD649">
            <v>2549</v>
          </cell>
          <cell r="DE649">
            <v>0</v>
          </cell>
          <cell r="DF649">
            <v>38743</v>
          </cell>
          <cell r="DG649">
            <v>38743</v>
          </cell>
          <cell r="DH649">
            <v>1824</v>
          </cell>
          <cell r="DI649">
            <v>725</v>
          </cell>
          <cell r="DJ649">
            <v>2549</v>
          </cell>
          <cell r="DK649">
            <v>0</v>
          </cell>
          <cell r="DL649">
            <v>38743</v>
          </cell>
          <cell r="DM649">
            <v>0</v>
          </cell>
          <cell r="DN649">
            <v>38743</v>
          </cell>
          <cell r="DO649">
            <v>38743</v>
          </cell>
          <cell r="DP649">
            <v>38743</v>
          </cell>
          <cell r="DQ649">
            <v>38743</v>
          </cell>
          <cell r="DR649">
            <v>38743</v>
          </cell>
          <cell r="DS649">
            <v>38743</v>
          </cell>
          <cell r="DT649">
            <v>38743</v>
          </cell>
          <cell r="DU649">
            <v>38743</v>
          </cell>
          <cell r="DV649">
            <v>38743</v>
          </cell>
          <cell r="DW649">
            <v>38743</v>
          </cell>
          <cell r="DX649">
            <v>38743</v>
          </cell>
          <cell r="DY649">
            <v>38743</v>
          </cell>
          <cell r="DZ649">
            <v>38743</v>
          </cell>
          <cell r="EA649">
            <v>38743</v>
          </cell>
          <cell r="EB649">
            <v>38743</v>
          </cell>
          <cell r="EC649">
            <v>38743</v>
          </cell>
          <cell r="ED649">
            <v>38743</v>
          </cell>
          <cell r="EE649">
            <v>38743</v>
          </cell>
          <cell r="EF649">
            <v>38743</v>
          </cell>
          <cell r="EG649">
            <v>38743</v>
          </cell>
          <cell r="EH649">
            <v>38743</v>
          </cell>
          <cell r="FM649">
            <v>38743</v>
          </cell>
        </row>
        <row r="650">
          <cell r="B650" t="str">
            <v>управление кап.ремонта</v>
          </cell>
          <cell r="C650" t="str">
            <v>по заявке ЦТС</v>
          </cell>
          <cell r="D650">
            <v>135</v>
          </cell>
          <cell r="E650">
            <v>544</v>
          </cell>
          <cell r="F650">
            <v>679</v>
          </cell>
          <cell r="G650">
            <v>3960</v>
          </cell>
          <cell r="H650">
            <v>1100</v>
          </cell>
          <cell r="I650">
            <v>5060</v>
          </cell>
          <cell r="J650">
            <v>11478</v>
          </cell>
          <cell r="K650" t="str">
            <v>по заявке ЦТС</v>
          </cell>
          <cell r="L650">
            <v>135</v>
          </cell>
          <cell r="M650">
            <v>544</v>
          </cell>
          <cell r="N650">
            <v>679</v>
          </cell>
          <cell r="O650">
            <v>3960</v>
          </cell>
          <cell r="P650">
            <v>1100</v>
          </cell>
          <cell r="Q650">
            <v>5060</v>
          </cell>
          <cell r="R650">
            <v>11478</v>
          </cell>
          <cell r="S650" t="str">
            <v>по заявке ЦТС</v>
          </cell>
          <cell r="T650">
            <v>135</v>
          </cell>
          <cell r="U650">
            <v>544</v>
          </cell>
          <cell r="V650">
            <v>679</v>
          </cell>
          <cell r="W650">
            <v>3960</v>
          </cell>
          <cell r="X650">
            <v>1100</v>
          </cell>
          <cell r="Y650">
            <v>5060</v>
          </cell>
          <cell r="Z650">
            <v>11478</v>
          </cell>
          <cell r="AA650" t="str">
            <v>по заявке ЦТС</v>
          </cell>
          <cell r="AB650">
            <v>135</v>
          </cell>
          <cell r="AC650">
            <v>544</v>
          </cell>
          <cell r="AD650">
            <v>679</v>
          </cell>
          <cell r="AE650">
            <v>3960</v>
          </cell>
          <cell r="AF650">
            <v>1100</v>
          </cell>
          <cell r="AG650">
            <v>5060</v>
          </cell>
          <cell r="AH650">
            <v>11478</v>
          </cell>
          <cell r="AI650" t="str">
            <v>по заявке ЦТС</v>
          </cell>
          <cell r="AJ650">
            <v>135</v>
          </cell>
          <cell r="AK650">
            <v>544</v>
          </cell>
          <cell r="AL650">
            <v>679</v>
          </cell>
          <cell r="AM650">
            <v>3960</v>
          </cell>
          <cell r="AN650">
            <v>1100</v>
          </cell>
          <cell r="AO650">
            <v>5060</v>
          </cell>
          <cell r="AP650">
            <v>11478</v>
          </cell>
          <cell r="AQ650" t="str">
            <v>по заявке ЦТС</v>
          </cell>
          <cell r="AR650">
            <v>135</v>
          </cell>
          <cell r="AS650">
            <v>544</v>
          </cell>
          <cell r="AT650">
            <v>679</v>
          </cell>
          <cell r="AU650">
            <v>3960</v>
          </cell>
          <cell r="AV650">
            <v>1100</v>
          </cell>
          <cell r="AW650">
            <v>5060</v>
          </cell>
          <cell r="AX650">
            <v>11478</v>
          </cell>
          <cell r="AY650" t="str">
            <v>по заявке ЦТС</v>
          </cell>
          <cell r="AZ650" t="str">
            <v>по заявке ЦТС</v>
          </cell>
          <cell r="BA650">
            <v>544</v>
          </cell>
          <cell r="BB650">
            <v>679</v>
          </cell>
          <cell r="BC650">
            <v>3960</v>
          </cell>
          <cell r="BD650">
            <v>1100</v>
          </cell>
          <cell r="BE650">
            <v>5060</v>
          </cell>
          <cell r="BF650">
            <v>11478</v>
          </cell>
          <cell r="BG650">
            <v>135</v>
          </cell>
          <cell r="BH650">
            <v>544</v>
          </cell>
          <cell r="BI650">
            <v>679</v>
          </cell>
          <cell r="BJ650">
            <v>3960</v>
          </cell>
          <cell r="BK650">
            <v>1100</v>
          </cell>
          <cell r="BL650">
            <v>5060</v>
          </cell>
          <cell r="BM650">
            <v>11478</v>
          </cell>
          <cell r="BN650">
            <v>135</v>
          </cell>
          <cell r="BO650">
            <v>544</v>
          </cell>
          <cell r="BP650">
            <v>679</v>
          </cell>
          <cell r="BQ650">
            <v>3960</v>
          </cell>
          <cell r="BR650">
            <v>1100</v>
          </cell>
          <cell r="BS650">
            <v>5060</v>
          </cell>
          <cell r="BT650">
            <v>11478</v>
          </cell>
          <cell r="BU650">
            <v>135</v>
          </cell>
          <cell r="BV650">
            <v>544</v>
          </cell>
          <cell r="BW650">
            <v>679</v>
          </cell>
          <cell r="BX650">
            <v>3960</v>
          </cell>
          <cell r="BY650">
            <v>1100</v>
          </cell>
          <cell r="BZ650">
            <v>135</v>
          </cell>
          <cell r="CA650">
            <v>544</v>
          </cell>
          <cell r="CB650">
            <v>679</v>
          </cell>
          <cell r="CC650">
            <v>3960</v>
          </cell>
          <cell r="CD650">
            <v>1100</v>
          </cell>
          <cell r="CE650">
            <v>5060</v>
          </cell>
          <cell r="CF650">
            <v>11478</v>
          </cell>
          <cell r="CG650">
            <v>3960</v>
          </cell>
          <cell r="CH650">
            <v>1100</v>
          </cell>
          <cell r="CI650">
            <v>5060</v>
          </cell>
          <cell r="CJ650">
            <v>11478</v>
          </cell>
          <cell r="CK650">
            <v>3960</v>
          </cell>
          <cell r="CL650">
            <v>1100</v>
          </cell>
          <cell r="CM650">
            <v>5060</v>
          </cell>
          <cell r="CN650">
            <v>11478</v>
          </cell>
          <cell r="CO650">
            <v>3960</v>
          </cell>
          <cell r="CP650">
            <v>1100</v>
          </cell>
          <cell r="CQ650">
            <v>5060</v>
          </cell>
          <cell r="CR650">
            <v>11478</v>
          </cell>
          <cell r="CS650">
            <v>3960</v>
          </cell>
          <cell r="CT650">
            <v>1100</v>
          </cell>
          <cell r="CU650">
            <v>5060</v>
          </cell>
          <cell r="CV650">
            <v>11478</v>
          </cell>
          <cell r="CW650">
            <v>3960</v>
          </cell>
          <cell r="CX650">
            <v>1100</v>
          </cell>
          <cell r="CY650">
            <v>5060</v>
          </cell>
          <cell r="CZ650">
            <v>11478</v>
          </cell>
          <cell r="DA650">
            <v>3960</v>
          </cell>
          <cell r="DB650">
            <v>1100</v>
          </cell>
          <cell r="DC650">
            <v>5060</v>
          </cell>
          <cell r="DD650">
            <v>11478</v>
          </cell>
          <cell r="DE650">
            <v>3960</v>
          </cell>
          <cell r="DF650">
            <v>1100</v>
          </cell>
          <cell r="DG650">
            <v>5060</v>
          </cell>
          <cell r="DH650">
            <v>3960</v>
          </cell>
          <cell r="DI650">
            <v>1100</v>
          </cell>
          <cell r="DJ650">
            <v>5060</v>
          </cell>
          <cell r="DK650">
            <v>11478</v>
          </cell>
          <cell r="DL650">
            <v>11478</v>
          </cell>
          <cell r="DM650">
            <v>11478</v>
          </cell>
          <cell r="DN650">
            <v>11478</v>
          </cell>
          <cell r="DO650">
            <v>11478</v>
          </cell>
          <cell r="DP650">
            <v>11478</v>
          </cell>
          <cell r="DT650">
            <v>11478</v>
          </cell>
        </row>
        <row r="651">
          <cell r="AZ651">
            <v>9252.6</v>
          </cell>
          <cell r="BA651">
            <v>5154.3999999999996</v>
          </cell>
          <cell r="BB651">
            <v>14407</v>
          </cell>
        </row>
        <row r="652">
          <cell r="AZ652">
            <v>180</v>
          </cell>
          <cell r="BA652">
            <v>100</v>
          </cell>
          <cell r="BB652">
            <v>280</v>
          </cell>
        </row>
        <row r="653">
          <cell r="AZ653">
            <v>30</v>
          </cell>
          <cell r="BA653">
            <v>70</v>
          </cell>
          <cell r="BB653">
            <v>100</v>
          </cell>
        </row>
        <row r="654">
          <cell r="AZ654">
            <v>824</v>
          </cell>
          <cell r="BA654">
            <v>670</v>
          </cell>
          <cell r="BB654">
            <v>1494</v>
          </cell>
        </row>
        <row r="655">
          <cell r="AZ655">
            <v>3917</v>
          </cell>
          <cell r="BA655">
            <v>2625</v>
          </cell>
          <cell r="BB655">
            <v>6542</v>
          </cell>
        </row>
        <row r="656">
          <cell r="AZ656">
            <v>4301.6000000000004</v>
          </cell>
          <cell r="BA656">
            <v>1689.4</v>
          </cell>
          <cell r="BB656">
            <v>5991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1">
          <cell r="B11" t="str">
            <v xml:space="preserve">             СХПК "Прикамье"</v>
          </cell>
        </row>
      </sheetData>
      <sheetData sheetId="21">
        <row r="11">
          <cell r="B11" t="str">
            <v xml:space="preserve">             СХПК "Прикамье"</v>
          </cell>
        </row>
      </sheetData>
      <sheetData sheetId="22">
        <row r="11">
          <cell r="B11" t="str">
            <v xml:space="preserve">             СХПК "Прикамье"</v>
          </cell>
        </row>
      </sheetData>
      <sheetData sheetId="23">
        <row r="11">
          <cell r="B11" t="str">
            <v xml:space="preserve">             СХПК "Прикамье"</v>
          </cell>
        </row>
      </sheetData>
      <sheetData sheetId="24">
        <row r="11">
          <cell r="B11" t="str">
            <v xml:space="preserve">             СХПК "Прикамье"</v>
          </cell>
        </row>
      </sheetData>
      <sheetData sheetId="25">
        <row r="11">
          <cell r="B11" t="str">
            <v xml:space="preserve">             СХПК "Прикамье"</v>
          </cell>
        </row>
      </sheetData>
      <sheetData sheetId="26">
        <row r="11">
          <cell r="B11" t="str">
            <v xml:space="preserve">             СХПК "Прикамье"</v>
          </cell>
        </row>
      </sheetData>
      <sheetData sheetId="27">
        <row r="11">
          <cell r="B11" t="str">
            <v xml:space="preserve">             СХПК "Прикамье"</v>
          </cell>
        </row>
      </sheetData>
      <sheetData sheetId="28">
        <row r="11">
          <cell r="B11" t="str">
            <v xml:space="preserve">             СХПК "Прикамье"</v>
          </cell>
        </row>
      </sheetData>
      <sheetData sheetId="29">
        <row r="11">
          <cell r="B11" t="str">
            <v xml:space="preserve">             СХПК "Прикамье"</v>
          </cell>
        </row>
      </sheetData>
      <sheetData sheetId="30">
        <row r="11">
          <cell r="B11" t="str">
            <v xml:space="preserve">             СХПК "Прикамье"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">
          <cell r="B11" t="str">
            <v xml:space="preserve">             СХПК "Прикамье"</v>
          </cell>
        </row>
      </sheetData>
      <sheetData sheetId="63">
        <row r="11">
          <cell r="B11" t="str">
            <v xml:space="preserve">             СХПК "Прикамье"</v>
          </cell>
        </row>
      </sheetData>
      <sheetData sheetId="64">
        <row r="11">
          <cell r="B11" t="str">
            <v xml:space="preserve">             СХПК "Прикамье"</v>
          </cell>
        </row>
      </sheetData>
      <sheetData sheetId="65">
        <row r="11">
          <cell r="B11" t="str">
            <v xml:space="preserve">             СХПК "Прикамье"</v>
          </cell>
        </row>
      </sheetData>
      <sheetData sheetId="66">
        <row r="11">
          <cell r="B11" t="str">
            <v xml:space="preserve">             СХПК "Прикамье"</v>
          </cell>
        </row>
      </sheetData>
      <sheetData sheetId="67">
        <row r="11">
          <cell r="B11" t="str">
            <v xml:space="preserve">             СХПК "Прикамье"</v>
          </cell>
        </row>
      </sheetData>
      <sheetData sheetId="68">
        <row r="11">
          <cell r="B11" t="str">
            <v xml:space="preserve">             СХПК "Прикамье"</v>
          </cell>
        </row>
      </sheetData>
      <sheetData sheetId="69">
        <row r="11">
          <cell r="B11" t="str">
            <v xml:space="preserve">             СХПК "Прикамье"</v>
          </cell>
        </row>
      </sheetData>
      <sheetData sheetId="70">
        <row r="11">
          <cell r="B11" t="str">
            <v xml:space="preserve">             СХПК "Прикамье"</v>
          </cell>
        </row>
      </sheetData>
      <sheetData sheetId="71">
        <row r="11">
          <cell r="B11" t="str">
            <v xml:space="preserve">             СХПК "Прикамье"</v>
          </cell>
        </row>
      </sheetData>
      <sheetData sheetId="72">
        <row r="11">
          <cell r="B11" t="str">
            <v xml:space="preserve">             СХПК "Прикамье"</v>
          </cell>
        </row>
      </sheetData>
      <sheetData sheetId="73">
        <row r="11">
          <cell r="B11" t="str">
            <v xml:space="preserve">             СХПК "Прикамье"</v>
          </cell>
        </row>
      </sheetData>
      <sheetData sheetId="74">
        <row r="11">
          <cell r="B11" t="str">
            <v xml:space="preserve">             СХПК "Прикамье"</v>
          </cell>
        </row>
      </sheetData>
      <sheetData sheetId="75">
        <row r="11">
          <cell r="B11" t="str">
            <v xml:space="preserve">             СХПК "Прикамье"</v>
          </cell>
        </row>
      </sheetData>
      <sheetData sheetId="76">
        <row r="11">
          <cell r="B11" t="str">
            <v xml:space="preserve">             СХПК "Прикамье"</v>
          </cell>
        </row>
      </sheetData>
      <sheetData sheetId="77">
        <row r="11">
          <cell r="B11" t="str">
            <v xml:space="preserve">             СХПК "Прикамье"</v>
          </cell>
        </row>
      </sheetData>
      <sheetData sheetId="78">
        <row r="11">
          <cell r="B11" t="str">
            <v xml:space="preserve">             СХПК "Прикамье"</v>
          </cell>
        </row>
      </sheetData>
      <sheetData sheetId="79">
        <row r="11">
          <cell r="B11" t="str">
            <v xml:space="preserve">             СХПК "Прикамье"</v>
          </cell>
        </row>
      </sheetData>
      <sheetData sheetId="80">
        <row r="11">
          <cell r="B11" t="str">
            <v xml:space="preserve">             СХПК "Прикамье"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1">
          <cell r="B11" t="str">
            <v xml:space="preserve">             СХПК "Прикамье"</v>
          </cell>
        </row>
      </sheetData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>
        <row r="11">
          <cell r="B11" t="str">
            <v xml:space="preserve">             СХПК "Прикамье"</v>
          </cell>
        </row>
      </sheetData>
      <sheetData sheetId="140">
        <row r="11">
          <cell r="B11" t="str">
            <v xml:space="preserve">             СХПК "Прикамье"</v>
          </cell>
        </row>
      </sheetData>
      <sheetData sheetId="141">
        <row r="11">
          <cell r="B11" t="str">
            <v xml:space="preserve">             СХПК "Прикамье"</v>
          </cell>
        </row>
      </sheetData>
      <sheetData sheetId="142">
        <row r="11">
          <cell r="B11" t="str">
            <v xml:space="preserve">             СХПК "Прикамье"</v>
          </cell>
        </row>
      </sheetData>
      <sheetData sheetId="143">
        <row r="11">
          <cell r="B11" t="str">
            <v xml:space="preserve">             СХПК "Прикамье"</v>
          </cell>
        </row>
      </sheetData>
      <sheetData sheetId="144">
        <row r="11">
          <cell r="B11" t="str">
            <v xml:space="preserve">             СХПК "Прикамье"</v>
          </cell>
        </row>
      </sheetData>
      <sheetData sheetId="145">
        <row r="11">
          <cell r="B11" t="str">
            <v xml:space="preserve">             СХПК "Прикамье"</v>
          </cell>
        </row>
      </sheetData>
      <sheetData sheetId="146">
        <row r="11">
          <cell r="B11" t="str">
            <v xml:space="preserve">             СХПК "Прикамье"</v>
          </cell>
        </row>
      </sheetData>
      <sheetData sheetId="147">
        <row r="11">
          <cell r="B11" t="str">
            <v xml:space="preserve">             СХПК "Прикамье"</v>
          </cell>
        </row>
      </sheetData>
      <sheetData sheetId="148">
        <row r="11">
          <cell r="B11" t="str">
            <v xml:space="preserve">             СХПК "Прикамье"</v>
          </cell>
        </row>
      </sheetData>
      <sheetData sheetId="149"/>
      <sheetData sheetId="150">
        <row r="11">
          <cell r="B11" t="str">
            <v xml:space="preserve">             СХПК "Прикамье"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К"/>
      <sheetName val="расш.кальк."/>
      <sheetName val="общепроизв"/>
      <sheetName val="усл.с сод. ЦАУ"/>
      <sheetName val="смета"/>
      <sheetName val="усл с рент"/>
      <sheetName val="расшифр"/>
      <sheetName val="прочие затраты"/>
      <sheetName val="дороги"/>
      <sheetName val="раб.и усл.произ.хар."/>
      <sheetName val="аморт"/>
      <sheetName val="расш_кальк_"/>
      <sheetName val="ТПП Л-Усинск"/>
      <sheetName val="смета+расш."/>
      <sheetName val="бюдж с расшифр(ст)"/>
      <sheetName val="расш_кальк_1"/>
      <sheetName val="усл_с_сод__ЦАУ"/>
      <sheetName val="усл_с_рент"/>
      <sheetName val="прочие_затраты"/>
      <sheetName val="раб_и_усл_произ_хар_"/>
      <sheetName val="ТПП_Л-Усинск"/>
      <sheetName val="смета+расш_"/>
      <sheetName val="бюдж_с_расшифр(ст)"/>
      <sheetName val="#ССЫЛКА"/>
      <sheetName val="смета затрат2000"/>
      <sheetName val="XLR_NoRangeSheet"/>
      <sheetName val="Справочники"/>
      <sheetName val=""/>
      <sheetName val="Бурение"/>
      <sheetName val="ГК лохл"/>
      <sheetName val="COS"/>
      <sheetName val="XREF"/>
      <sheetName val="AHEPS"/>
      <sheetName val="OshHPP"/>
      <sheetName val="BHPP"/>
      <sheetName val="Q2 EXPECTED"/>
      <sheetName val="3"/>
      <sheetName val="расш_кальк_2"/>
      <sheetName val="усл_с_сод__ЦАУ1"/>
      <sheetName val="усл_с_рент1"/>
      <sheetName val="прочие_затраты1"/>
      <sheetName val="раб_и_усл_произ_хар_1"/>
      <sheetName val="ТПП_Л-Усинск1"/>
      <sheetName val="смета+расш_1"/>
      <sheetName val="бюдж_с_расшифр(ст)1"/>
      <sheetName val="смета_затрат2000"/>
      <sheetName val="ГК_лохл"/>
      <sheetName val="Q2_EXPECTED"/>
      <sheetName val="ARY tolf"/>
      <sheetName val="TB_2015_KZT"/>
      <sheetName val="Origen y Aplic"/>
      <sheetName val="Forecast"/>
      <sheetName val="табель (2)"/>
      <sheetName val="ф1"/>
      <sheetName val="FP20DB (3)"/>
      <sheetName val="Диаграмма2"/>
      <sheetName val="Фин"/>
      <sheetName val="CroatSim"/>
      <sheetName val="capital"/>
      <sheetName val="Sheet1"/>
      <sheetName val="Report"/>
      <sheetName val="RPP"/>
      <sheetName val="КлассНТМК"/>
      <sheetName val="с.660"/>
      <sheetName val="ДФВ"/>
      <sheetName val="расш_кальк_3"/>
      <sheetName val="усл_с_сод__ЦАУ2"/>
      <sheetName val="усл_с_рент2"/>
      <sheetName val="прочие_затраты2"/>
      <sheetName val="раб_и_усл_произ_хар_2"/>
      <sheetName val="ТПП_Л-Усинск2"/>
      <sheetName val="смета+расш_2"/>
      <sheetName val="бюдж_с_расшифр(ст)2"/>
      <sheetName val="смета_затрат20001"/>
      <sheetName val="ГК_лохл1"/>
      <sheetName val="Q2_EXPECTED1"/>
      <sheetName val="ARY_tolf"/>
      <sheetName val="табель_(2)"/>
      <sheetName val="Origen_y_Aplic"/>
      <sheetName val="FP20DB_(3)"/>
      <sheetName val="Лист2"/>
      <sheetName val="Debt"/>
      <sheetName val="ОснПок_с ЦО"/>
      <sheetName val="Рапорт по бурению"/>
      <sheetName val="баланс (ф1)"/>
    </sheetNames>
    <sheetDataSet>
      <sheetData sheetId="0">
        <row r="6">
          <cell r="A6" t="str">
            <v>Добыча   Ш Г Н</v>
          </cell>
        </row>
      </sheetData>
      <sheetData sheetId="1" refreshError="1">
        <row r="6">
          <cell r="A6" t="str">
            <v>Добыча   Ш Г Н</v>
          </cell>
        </row>
        <row r="7">
          <cell r="A7" t="str">
            <v xml:space="preserve">     -жидкости</v>
          </cell>
          <cell r="B7" t="str">
            <v>тн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 t="str">
            <v xml:space="preserve">     -нефти</v>
          </cell>
          <cell r="B8" t="str">
            <v>тн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Расход эл.энергии на:</v>
          </cell>
        </row>
        <row r="10">
          <cell r="A10" t="str">
            <v xml:space="preserve">     -на 1 тн нефти</v>
          </cell>
          <cell r="B10" t="str">
            <v>квтч/тн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 xml:space="preserve">     -на 1 тн жидкости</v>
          </cell>
          <cell r="B11" t="str">
            <v>квтч/тн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Общий расход энергии</v>
          </cell>
          <cell r="B12" t="str">
            <v>тыс.квтч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Стоимость 1 квтч</v>
          </cell>
          <cell r="B13" t="str">
            <v>руб.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ВСЕГО энергетических затрат</v>
          </cell>
          <cell r="B14" t="str">
            <v>млн.руб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>Стоимость эл.энергии на :</v>
          </cell>
        </row>
        <row r="16">
          <cell r="A16" t="str">
            <v xml:space="preserve">     -на 1 тн нефти</v>
          </cell>
          <cell r="B16" t="str">
            <v>руб.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 xml:space="preserve">     -на 1 тн жидкости</v>
          </cell>
          <cell r="B17" t="str">
            <v>руб.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 t="str">
            <v>Реактивная мощность</v>
          </cell>
          <cell r="B18" t="str">
            <v>млн.руб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32">
          <cell r="A32" t="str">
            <v>Добыча  Э В Н</v>
          </cell>
          <cell r="B32">
            <v>0</v>
          </cell>
          <cell r="C32">
            <v>0</v>
          </cell>
          <cell r="D32" t="e">
            <v>#DIV/0!</v>
          </cell>
          <cell r="E32" t="e">
            <v>#DIV/0!</v>
          </cell>
          <cell r="F32">
            <v>0</v>
          </cell>
          <cell r="G32">
            <v>0</v>
          </cell>
          <cell r="H32" t="e">
            <v>#DIV/0!</v>
          </cell>
          <cell r="I32" t="e">
            <v>#DIV/0!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e">
            <v>#DIV/0!</v>
          </cell>
          <cell r="P32" t="e">
            <v>#DIV/0!</v>
          </cell>
          <cell r="Q32">
            <v>0</v>
          </cell>
          <cell r="R32">
            <v>0</v>
          </cell>
        </row>
        <row r="33">
          <cell r="A33" t="str">
            <v xml:space="preserve">     -жидкости</v>
          </cell>
          <cell r="B33" t="str">
            <v>тн</v>
          </cell>
          <cell r="C33">
            <v>0</v>
          </cell>
          <cell r="D33">
            <v>0</v>
          </cell>
          <cell r="E33" t="e">
            <v>#DIV/0!</v>
          </cell>
          <cell r="F33">
            <v>0</v>
          </cell>
          <cell r="G33">
            <v>0</v>
          </cell>
          <cell r="H33" t="e">
            <v>#DIV/0!</v>
          </cell>
          <cell r="I33" t="e">
            <v>#DIV/0!</v>
          </cell>
          <cell r="J33" t="e">
            <v>#DIV/0!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e">
            <v>#DIV/0!</v>
          </cell>
          <cell r="P33" t="e">
            <v>#DIV/0!</v>
          </cell>
          <cell r="Q33">
            <v>0</v>
          </cell>
          <cell r="R33">
            <v>0</v>
          </cell>
        </row>
        <row r="34">
          <cell r="A34" t="str">
            <v xml:space="preserve">     -нефти</v>
          </cell>
          <cell r="B34" t="str">
            <v>тн</v>
          </cell>
          <cell r="C34">
            <v>0</v>
          </cell>
          <cell r="D34">
            <v>0</v>
          </cell>
          <cell r="E34" t="e">
            <v>#DIV/0!</v>
          </cell>
          <cell r="F34">
            <v>0</v>
          </cell>
          <cell r="G34">
            <v>0</v>
          </cell>
          <cell r="H34" t="e">
            <v>#DIV/0!</v>
          </cell>
          <cell r="I34" t="e">
            <v>#DIV/0!</v>
          </cell>
          <cell r="J34" t="e">
            <v>#DIV/0!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e">
            <v>#DIV/0!</v>
          </cell>
          <cell r="P34" t="e">
            <v>#DIV/0!</v>
          </cell>
          <cell r="Q34">
            <v>0</v>
          </cell>
          <cell r="R34">
            <v>0</v>
          </cell>
        </row>
        <row r="35">
          <cell r="A35" t="str">
            <v>Расход эл.энергии на:</v>
          </cell>
          <cell r="B35">
            <v>0</v>
          </cell>
          <cell r="C35">
            <v>0</v>
          </cell>
          <cell r="D35" t="e">
            <v>#DIV/0!</v>
          </cell>
          <cell r="E35" t="e">
            <v>#DIV/0!</v>
          </cell>
          <cell r="F35">
            <v>0</v>
          </cell>
          <cell r="G35">
            <v>0</v>
          </cell>
          <cell r="H35" t="e">
            <v>#DIV/0!</v>
          </cell>
          <cell r="I35" t="e">
            <v>#DIV/0!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e">
            <v>#DIV/0!</v>
          </cell>
          <cell r="P35" t="e">
            <v>#DIV/0!</v>
          </cell>
          <cell r="Q35">
            <v>0</v>
          </cell>
          <cell r="R35">
            <v>0</v>
          </cell>
        </row>
        <row r="36">
          <cell r="A36" t="str">
            <v xml:space="preserve">     -на 1 тн нефти</v>
          </cell>
          <cell r="B36" t="str">
            <v>квтч/тн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>
            <v>0</v>
          </cell>
          <cell r="H36" t="e">
            <v>#DIV/0!</v>
          </cell>
          <cell r="I36" t="e">
            <v>#DIV/0!</v>
          </cell>
          <cell r="J36" t="e">
            <v>#DIV/0!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e">
            <v>#DIV/0!</v>
          </cell>
          <cell r="P36" t="e">
            <v>#DIV/0!</v>
          </cell>
          <cell r="Q36">
            <v>0</v>
          </cell>
          <cell r="R36">
            <v>0</v>
          </cell>
        </row>
        <row r="37">
          <cell r="A37" t="str">
            <v xml:space="preserve">     -на 1 тн жидкости</v>
          </cell>
          <cell r="B37" t="str">
            <v>квтч/тн</v>
          </cell>
          <cell r="C37">
            <v>0</v>
          </cell>
          <cell r="D37">
            <v>0</v>
          </cell>
          <cell r="E37" t="e">
            <v>#DIV/0!</v>
          </cell>
          <cell r="F37">
            <v>0</v>
          </cell>
          <cell r="G37">
            <v>0</v>
          </cell>
          <cell r="H37" t="e">
            <v>#DIV/0!</v>
          </cell>
          <cell r="I37" t="e">
            <v>#DIV/0!</v>
          </cell>
          <cell r="J37" t="e">
            <v>#DIV/0!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 t="e">
            <v>#DIV/0!</v>
          </cell>
          <cell r="P37" t="e">
            <v>#DIV/0!</v>
          </cell>
          <cell r="Q37">
            <v>0</v>
          </cell>
          <cell r="R37">
            <v>0</v>
          </cell>
        </row>
        <row r="38">
          <cell r="A38" t="str">
            <v>Общий расход энергии</v>
          </cell>
          <cell r="B38" t="str">
            <v>тыс.квтч</v>
          </cell>
          <cell r="C38">
            <v>0</v>
          </cell>
          <cell r="D38">
            <v>0</v>
          </cell>
          <cell r="E38" t="e">
            <v>#DIV/0!</v>
          </cell>
          <cell r="F38">
            <v>0</v>
          </cell>
          <cell r="G38">
            <v>0</v>
          </cell>
          <cell r="H38" t="e">
            <v>#DIV/0!</v>
          </cell>
          <cell r="I38" t="e">
            <v>#DIV/0!</v>
          </cell>
          <cell r="J38" t="e">
            <v>#DIV/0!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 t="e">
            <v>#DIV/0!</v>
          </cell>
          <cell r="P38" t="e">
            <v>#DIV/0!</v>
          </cell>
          <cell r="Q38">
            <v>0</v>
          </cell>
          <cell r="R38">
            <v>0</v>
          </cell>
        </row>
        <row r="39">
          <cell r="A39" t="str">
            <v>Стоимость 1 квтч</v>
          </cell>
          <cell r="B39" t="str">
            <v>руб.</v>
          </cell>
          <cell r="C39">
            <v>0</v>
          </cell>
          <cell r="D39">
            <v>0</v>
          </cell>
          <cell r="E39" t="e">
            <v>#DIV/0!</v>
          </cell>
          <cell r="F39">
            <v>0</v>
          </cell>
          <cell r="G39">
            <v>0</v>
          </cell>
          <cell r="H39" t="e">
            <v>#DIV/0!</v>
          </cell>
          <cell r="I39" t="e">
            <v>#DIV/0!</v>
          </cell>
          <cell r="J39" t="e">
            <v>#DIV/0!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 t="e">
            <v>#DIV/0!</v>
          </cell>
          <cell r="P39" t="e">
            <v>#DIV/0!</v>
          </cell>
          <cell r="Q39">
            <v>0</v>
          </cell>
          <cell r="R39">
            <v>0</v>
          </cell>
        </row>
        <row r="40">
          <cell r="A40" t="str">
            <v>ВСЕГО энергетических затрат</v>
          </cell>
          <cell r="B40" t="str">
            <v>млн.руб</v>
          </cell>
          <cell r="C40">
            <v>0</v>
          </cell>
          <cell r="D40">
            <v>0</v>
          </cell>
          <cell r="E40" t="e">
            <v>#DIV/0!</v>
          </cell>
          <cell r="F40">
            <v>0</v>
          </cell>
          <cell r="G40">
            <v>0</v>
          </cell>
          <cell r="H40" t="e">
            <v>#DIV/0!</v>
          </cell>
          <cell r="I40" t="e">
            <v>#DIV/0!</v>
          </cell>
          <cell r="J40" t="e">
            <v>#DIV/0!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 t="e">
            <v>#DIV/0!</v>
          </cell>
          <cell r="P40" t="e">
            <v>#DIV/0!</v>
          </cell>
          <cell r="Q40">
            <v>0</v>
          </cell>
          <cell r="R40">
            <v>0</v>
          </cell>
        </row>
        <row r="41">
          <cell r="A41" t="str">
            <v>Стоимость эл.энергии на :</v>
          </cell>
          <cell r="B41">
            <v>0</v>
          </cell>
          <cell r="C41">
            <v>0</v>
          </cell>
          <cell r="D41" t="e">
            <v>#DIV/0!</v>
          </cell>
          <cell r="E41" t="e">
            <v>#DIV/0!</v>
          </cell>
          <cell r="F41">
            <v>0</v>
          </cell>
          <cell r="G41">
            <v>0</v>
          </cell>
          <cell r="H41" t="e">
            <v>#DIV/0!</v>
          </cell>
          <cell r="I41" t="e">
            <v>#DIV/0!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 t="e">
            <v>#DIV/0!</v>
          </cell>
          <cell r="P41" t="e">
            <v>#DIV/0!</v>
          </cell>
          <cell r="Q41">
            <v>0</v>
          </cell>
          <cell r="R41">
            <v>0</v>
          </cell>
        </row>
        <row r="42">
          <cell r="A42" t="str">
            <v xml:space="preserve">     -на 1 тн нефти</v>
          </cell>
          <cell r="B42" t="str">
            <v>руб.</v>
          </cell>
          <cell r="C42">
            <v>0</v>
          </cell>
          <cell r="D42">
            <v>0</v>
          </cell>
          <cell r="E42" t="e">
            <v>#DIV/0!</v>
          </cell>
          <cell r="F42">
            <v>0</v>
          </cell>
          <cell r="G42">
            <v>0</v>
          </cell>
          <cell r="H42" t="e">
            <v>#DIV/0!</v>
          </cell>
          <cell r="I42" t="e">
            <v>#DIV/0!</v>
          </cell>
          <cell r="J42" t="e">
            <v>#DIV/0!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e">
            <v>#DIV/0!</v>
          </cell>
          <cell r="P42" t="e">
            <v>#DIV/0!</v>
          </cell>
          <cell r="Q42">
            <v>0</v>
          </cell>
          <cell r="R42">
            <v>0</v>
          </cell>
        </row>
        <row r="43">
          <cell r="A43" t="str">
            <v xml:space="preserve">     -на 1 тн жидкости</v>
          </cell>
          <cell r="B43" t="str">
            <v>руб.</v>
          </cell>
          <cell r="C43">
            <v>0</v>
          </cell>
          <cell r="D43">
            <v>0</v>
          </cell>
          <cell r="E43" t="e">
            <v>#DIV/0!</v>
          </cell>
          <cell r="F43">
            <v>0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 t="e">
            <v>#DIV/0!</v>
          </cell>
          <cell r="P43" t="e">
            <v>#DIV/0!</v>
          </cell>
          <cell r="Q43">
            <v>0</v>
          </cell>
          <cell r="R43">
            <v>0</v>
          </cell>
        </row>
        <row r="44">
          <cell r="A44" t="str">
            <v>Реактивная мощность</v>
          </cell>
          <cell r="B44" t="str">
            <v>тыс.руб.</v>
          </cell>
          <cell r="C44">
            <v>0</v>
          </cell>
          <cell r="D44">
            <v>0</v>
          </cell>
          <cell r="E44" t="e">
            <v>#DIV/0!</v>
          </cell>
          <cell r="F44">
            <v>0</v>
          </cell>
          <cell r="G44">
            <v>0</v>
          </cell>
          <cell r="H44" t="e">
            <v>#DIV/0!</v>
          </cell>
          <cell r="I44" t="e">
            <v>#DIV/0!</v>
          </cell>
          <cell r="J44" t="e">
            <v>#DIV/0!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e">
            <v>#DIV/0!</v>
          </cell>
          <cell r="P44" t="e">
            <v>#DIV/0!</v>
          </cell>
          <cell r="Q44">
            <v>0</v>
          </cell>
          <cell r="R44">
            <v>0</v>
          </cell>
        </row>
        <row r="45">
          <cell r="A45" t="str">
            <v>Добыча  струйными насосоми</v>
          </cell>
          <cell r="B45">
            <v>0</v>
          </cell>
          <cell r="C45">
            <v>0</v>
          </cell>
          <cell r="D45" t="e">
            <v>#DIV/0!</v>
          </cell>
          <cell r="E45" t="e">
            <v>#DIV/0!</v>
          </cell>
          <cell r="F45">
            <v>0</v>
          </cell>
          <cell r="G45">
            <v>0</v>
          </cell>
          <cell r="H45" t="e">
            <v>#DIV/0!</v>
          </cell>
          <cell r="I45" t="e">
            <v>#DIV/0!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e">
            <v>#DIV/0!</v>
          </cell>
          <cell r="P45" t="e">
            <v>#DIV/0!</v>
          </cell>
          <cell r="Q45">
            <v>0</v>
          </cell>
          <cell r="R45">
            <v>0</v>
          </cell>
        </row>
        <row r="46">
          <cell r="A46" t="str">
            <v xml:space="preserve">     -жидкости</v>
          </cell>
          <cell r="B46" t="str">
            <v>тн</v>
          </cell>
          <cell r="C46">
            <v>0</v>
          </cell>
          <cell r="D46">
            <v>0</v>
          </cell>
          <cell r="E46" t="e">
            <v>#DIV/0!</v>
          </cell>
          <cell r="F46">
            <v>0</v>
          </cell>
          <cell r="G46">
            <v>0</v>
          </cell>
          <cell r="H46" t="e">
            <v>#DIV/0!</v>
          </cell>
          <cell r="I46" t="e">
            <v>#DIV/0!</v>
          </cell>
          <cell r="J46" t="e">
            <v>#DIV/0!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 t="e">
            <v>#DIV/0!</v>
          </cell>
          <cell r="P46" t="e">
            <v>#DIV/0!</v>
          </cell>
          <cell r="Q46">
            <v>0</v>
          </cell>
          <cell r="R46">
            <v>0</v>
          </cell>
        </row>
        <row r="47">
          <cell r="A47" t="str">
            <v xml:space="preserve">     -нефти</v>
          </cell>
          <cell r="B47" t="str">
            <v>тн</v>
          </cell>
          <cell r="C47">
            <v>0</v>
          </cell>
          <cell r="D47">
            <v>0</v>
          </cell>
          <cell r="E47" t="e">
            <v>#DIV/0!</v>
          </cell>
          <cell r="F47">
            <v>0</v>
          </cell>
          <cell r="G47">
            <v>0</v>
          </cell>
          <cell r="H47" t="e">
            <v>#DIV/0!</v>
          </cell>
          <cell r="I47" t="e">
            <v>#DIV/0!</v>
          </cell>
          <cell r="J47" t="e">
            <v>#DIV/0!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e">
            <v>#DIV/0!</v>
          </cell>
          <cell r="P47" t="e">
            <v>#DIV/0!</v>
          </cell>
          <cell r="Q47">
            <v>0</v>
          </cell>
          <cell r="R47">
            <v>0</v>
          </cell>
        </row>
        <row r="48">
          <cell r="A48" t="str">
            <v>Расход эл.энергии на:</v>
          </cell>
          <cell r="B48">
            <v>0</v>
          </cell>
          <cell r="C48">
            <v>0</v>
          </cell>
          <cell r="D48" t="e">
            <v>#DIV/0!</v>
          </cell>
          <cell r="E48" t="e">
            <v>#DIV/0!</v>
          </cell>
          <cell r="F48">
            <v>0</v>
          </cell>
          <cell r="G48">
            <v>0</v>
          </cell>
          <cell r="H48" t="e">
            <v>#DIV/0!</v>
          </cell>
          <cell r="I48" t="e">
            <v>#DIV/0!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 t="e">
            <v>#DIV/0!</v>
          </cell>
          <cell r="P48" t="e">
            <v>#DIV/0!</v>
          </cell>
          <cell r="Q48">
            <v>0</v>
          </cell>
          <cell r="R48">
            <v>0</v>
          </cell>
        </row>
        <row r="49">
          <cell r="A49" t="str">
            <v xml:space="preserve">     -на 1 тн нефти</v>
          </cell>
          <cell r="B49" t="str">
            <v>квтч/тн</v>
          </cell>
          <cell r="C49">
            <v>0</v>
          </cell>
          <cell r="D49">
            <v>0</v>
          </cell>
          <cell r="E49" t="e">
            <v>#DIV/0!</v>
          </cell>
          <cell r="F49">
            <v>0</v>
          </cell>
          <cell r="G49">
            <v>0</v>
          </cell>
          <cell r="H49" t="e">
            <v>#DIV/0!</v>
          </cell>
          <cell r="I49" t="e">
            <v>#DIV/0!</v>
          </cell>
          <cell r="J49" t="e">
            <v>#DIV/0!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 t="e">
            <v>#DIV/0!</v>
          </cell>
          <cell r="P49" t="e">
            <v>#DIV/0!</v>
          </cell>
          <cell r="Q49">
            <v>0</v>
          </cell>
          <cell r="R49">
            <v>0</v>
          </cell>
        </row>
        <row r="50">
          <cell r="A50" t="str">
            <v xml:space="preserve">     -на 1 тн жидкости</v>
          </cell>
          <cell r="B50" t="str">
            <v>квтч/тн</v>
          </cell>
          <cell r="C50">
            <v>0</v>
          </cell>
          <cell r="D50">
            <v>0</v>
          </cell>
          <cell r="E50" t="e">
            <v>#DIV/0!</v>
          </cell>
          <cell r="F50">
            <v>0</v>
          </cell>
          <cell r="G50">
            <v>0</v>
          </cell>
          <cell r="H50" t="e">
            <v>#DIV/0!</v>
          </cell>
          <cell r="I50" t="e">
            <v>#DIV/0!</v>
          </cell>
          <cell r="J50" t="e">
            <v>#DIV/0!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e">
            <v>#DIV/0!</v>
          </cell>
          <cell r="P50" t="e">
            <v>#DIV/0!</v>
          </cell>
          <cell r="Q50">
            <v>0</v>
          </cell>
          <cell r="R50">
            <v>0</v>
          </cell>
        </row>
        <row r="51">
          <cell r="A51" t="str">
            <v>Общий расход энергии</v>
          </cell>
          <cell r="B51" t="str">
            <v>тыс.квтч</v>
          </cell>
          <cell r="C51">
            <v>0</v>
          </cell>
          <cell r="D51">
            <v>0</v>
          </cell>
          <cell r="E51" t="e">
            <v>#DIV/0!</v>
          </cell>
          <cell r="F51">
            <v>0</v>
          </cell>
          <cell r="G51">
            <v>0</v>
          </cell>
          <cell r="H51" t="e">
            <v>#DIV/0!</v>
          </cell>
          <cell r="I51" t="e">
            <v>#DIV/0!</v>
          </cell>
          <cell r="J51" t="e">
            <v>#DIV/0!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e">
            <v>#DIV/0!</v>
          </cell>
          <cell r="P51" t="e">
            <v>#DIV/0!</v>
          </cell>
          <cell r="Q51">
            <v>0</v>
          </cell>
          <cell r="R51">
            <v>0</v>
          </cell>
        </row>
        <row r="52">
          <cell r="A52" t="str">
            <v>Стоимость 1 квтч</v>
          </cell>
          <cell r="B52" t="str">
            <v>руб.</v>
          </cell>
          <cell r="C52">
            <v>0</v>
          </cell>
          <cell r="D52">
            <v>0</v>
          </cell>
          <cell r="E52" t="e">
            <v>#DIV/0!</v>
          </cell>
          <cell r="F52">
            <v>0</v>
          </cell>
          <cell r="G52">
            <v>0</v>
          </cell>
          <cell r="H52" t="e">
            <v>#DIV/0!</v>
          </cell>
          <cell r="I52" t="e">
            <v>#DIV/0!</v>
          </cell>
          <cell r="J52" t="e">
            <v>#DIV/0!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 t="e">
            <v>#DIV/0!</v>
          </cell>
          <cell r="P52" t="e">
            <v>#DIV/0!</v>
          </cell>
          <cell r="Q52">
            <v>0</v>
          </cell>
          <cell r="R52">
            <v>0</v>
          </cell>
        </row>
        <row r="53">
          <cell r="A53" t="str">
            <v>ВСЕГО энергетических затрат</v>
          </cell>
          <cell r="B53" t="str">
            <v>тыс.руб.</v>
          </cell>
          <cell r="C53">
            <v>0</v>
          </cell>
          <cell r="D53">
            <v>0</v>
          </cell>
          <cell r="E53" t="e">
            <v>#DIV/0!</v>
          </cell>
          <cell r="F53">
            <v>0</v>
          </cell>
          <cell r="G53">
            <v>0</v>
          </cell>
          <cell r="H53" t="e">
            <v>#DIV/0!</v>
          </cell>
          <cell r="I53" t="e">
            <v>#DIV/0!</v>
          </cell>
          <cell r="J53" t="e">
            <v>#DIV/0!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 t="e">
            <v>#DIV/0!</v>
          </cell>
          <cell r="P53" t="e">
            <v>#DIV/0!</v>
          </cell>
          <cell r="Q53">
            <v>0</v>
          </cell>
          <cell r="R53">
            <v>0</v>
          </cell>
        </row>
        <row r="54">
          <cell r="A54" t="str">
            <v>Стоимость эл.энергии на :</v>
          </cell>
          <cell r="B54">
            <v>0</v>
          </cell>
          <cell r="C54">
            <v>0</v>
          </cell>
          <cell r="D54" t="e">
            <v>#DIV/0!</v>
          </cell>
          <cell r="E54" t="e">
            <v>#DIV/0!</v>
          </cell>
          <cell r="F54">
            <v>0</v>
          </cell>
          <cell r="G54">
            <v>0</v>
          </cell>
          <cell r="H54" t="e">
            <v>#DIV/0!</v>
          </cell>
          <cell r="I54" t="e">
            <v>#DIV/0!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e">
            <v>#DIV/0!</v>
          </cell>
          <cell r="P54" t="e">
            <v>#DIV/0!</v>
          </cell>
          <cell r="Q54">
            <v>0</v>
          </cell>
          <cell r="R54">
            <v>0</v>
          </cell>
        </row>
        <row r="55">
          <cell r="A55" t="str">
            <v xml:space="preserve">     -на 1 тн нефти</v>
          </cell>
          <cell r="B55" t="str">
            <v>руб.</v>
          </cell>
          <cell r="C55">
            <v>0</v>
          </cell>
          <cell r="D55">
            <v>0</v>
          </cell>
          <cell r="E55" t="e">
            <v>#DIV/0!</v>
          </cell>
          <cell r="F55">
            <v>0</v>
          </cell>
          <cell r="G55">
            <v>0</v>
          </cell>
          <cell r="H55" t="e">
            <v>#DIV/0!</v>
          </cell>
          <cell r="I55" t="e">
            <v>#DIV/0!</v>
          </cell>
          <cell r="J55" t="e">
            <v>#DIV/0!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 t="e">
            <v>#DIV/0!</v>
          </cell>
          <cell r="P55" t="e">
            <v>#DIV/0!</v>
          </cell>
          <cell r="Q55">
            <v>0</v>
          </cell>
          <cell r="R55">
            <v>0</v>
          </cell>
        </row>
        <row r="56">
          <cell r="A56" t="str">
            <v xml:space="preserve">     -на 1 тн жидкости</v>
          </cell>
          <cell r="B56" t="str">
            <v>руб.</v>
          </cell>
          <cell r="C56">
            <v>0</v>
          </cell>
          <cell r="D56">
            <v>0</v>
          </cell>
          <cell r="E56" t="e">
            <v>#DIV/0!</v>
          </cell>
          <cell r="F56">
            <v>0</v>
          </cell>
          <cell r="G56">
            <v>0</v>
          </cell>
          <cell r="H56" t="e">
            <v>#DIV/0!</v>
          </cell>
          <cell r="I56" t="e">
            <v>#DIV/0!</v>
          </cell>
          <cell r="J56" t="e">
            <v>#DIV/0!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e">
            <v>#DIV/0!</v>
          </cell>
          <cell r="P56" t="e">
            <v>#DIV/0!</v>
          </cell>
          <cell r="Q56">
            <v>0</v>
          </cell>
          <cell r="R56">
            <v>0</v>
          </cell>
        </row>
        <row r="57">
          <cell r="A57" t="str">
            <v>Услуги "Энергонефти"</v>
          </cell>
          <cell r="B57" t="str">
            <v>тыс.руб.</v>
          </cell>
          <cell r="C57">
            <v>0</v>
          </cell>
          <cell r="D57">
            <v>0</v>
          </cell>
          <cell r="E57" t="e">
            <v>#DIV/0!</v>
          </cell>
          <cell r="F57">
            <v>0</v>
          </cell>
          <cell r="G57">
            <v>0</v>
          </cell>
          <cell r="H57" t="e">
            <v>#DIV/0!</v>
          </cell>
          <cell r="I57" t="e">
            <v>#DIV/0!</v>
          </cell>
          <cell r="J57" t="e">
            <v>#DIV/0!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e">
            <v>#DIV/0!</v>
          </cell>
          <cell r="P57" t="e">
            <v>#DIV/0!</v>
          </cell>
          <cell r="Q57">
            <v>0</v>
          </cell>
          <cell r="R57">
            <v>0</v>
          </cell>
        </row>
        <row r="119">
          <cell r="A119" t="str">
            <v>Расходы по сбору и транспортировке газа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R120">
            <v>0</v>
          </cell>
        </row>
        <row r="121">
          <cell r="B121" t="str">
            <v>Ед.</v>
          </cell>
          <cell r="C121" t="str">
            <v>1996 год</v>
          </cell>
          <cell r="D121" t="str">
            <v>1997 год</v>
          </cell>
          <cell r="E121" t="str">
            <v>1996 год</v>
          </cell>
          <cell r="F121" t="str">
            <v>1997 год</v>
          </cell>
          <cell r="G121">
            <v>0</v>
          </cell>
          <cell r="H121" t="str">
            <v>1996 год</v>
          </cell>
          <cell r="I121" t="str">
            <v>1997 год</v>
          </cell>
          <cell r="J121" t="str">
            <v>1996 год</v>
          </cell>
          <cell r="K121" t="str">
            <v>1997 год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A122" t="str">
            <v>Статьи затрат</v>
          </cell>
          <cell r="B122" t="str">
            <v>изм.</v>
          </cell>
          <cell r="C122" t="str">
            <v>отчет</v>
          </cell>
          <cell r="D122" t="str">
            <v>План</v>
          </cell>
          <cell r="E122" t="str">
            <v>Факт</v>
          </cell>
          <cell r="F122" t="str">
            <v>Отклонения, абс.</v>
          </cell>
          <cell r="G122" t="str">
            <v>отчет</v>
          </cell>
          <cell r="H122" t="str">
            <v>План</v>
          </cell>
          <cell r="I122" t="str">
            <v>Факт</v>
          </cell>
          <cell r="J122" t="str">
            <v>отчет</v>
          </cell>
          <cell r="K122" t="str">
            <v>План</v>
          </cell>
          <cell r="L122" t="str">
            <v>Факт</v>
          </cell>
          <cell r="M122" t="str">
            <v>Отклонения, абс.</v>
          </cell>
          <cell r="N122" t="e">
            <v>#VALUE!</v>
          </cell>
          <cell r="O122" t="e">
            <v>#VALUE!</v>
          </cell>
          <cell r="P122" t="e">
            <v>#VALUE!</v>
          </cell>
          <cell r="Q122" t="e">
            <v>#VALUE!</v>
          </cell>
          <cell r="R122" t="e">
            <v>#VALUE!</v>
          </cell>
        </row>
        <row r="123">
          <cell r="F123" t="str">
            <v>ф.97/ф96</v>
          </cell>
          <cell r="G123" t="str">
            <v>ф.97/п.97</v>
          </cell>
          <cell r="H123" t="str">
            <v>ф.97/ф96</v>
          </cell>
          <cell r="I123" t="str">
            <v>ф.97/п.97</v>
          </cell>
          <cell r="J123">
            <v>0</v>
          </cell>
          <cell r="K123" t="str">
            <v>ф.97/ф96</v>
          </cell>
          <cell r="L123" t="str">
            <v>ф.97/п.97</v>
          </cell>
          <cell r="M123" t="str">
            <v>ф.97/ф96</v>
          </cell>
          <cell r="N123" t="str">
            <v>ф.97/п.97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A124" t="str">
            <v>1.Вспомогательные материалы</v>
          </cell>
          <cell r="B124" t="str">
            <v>млн.руб.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2.Оплата труда</v>
          </cell>
          <cell r="B125" t="str">
            <v>"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A126" t="str">
            <v>3.Отчисления на соц.страх.</v>
          </cell>
          <cell r="B126" t="str">
            <v>"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A127" t="str">
            <v>4.Амортизация осн.фондов</v>
          </cell>
          <cell r="B127" t="str">
            <v>"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A128" t="str">
            <v>5.Транспортные расходы</v>
          </cell>
          <cell r="B128" t="str">
            <v>"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A129" t="str">
            <v>6.Услуги со стороны</v>
          </cell>
          <cell r="B129" t="str">
            <v>"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A130" t="str">
            <v>7.Цеховые расходы</v>
          </cell>
          <cell r="B130" t="str">
            <v>"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A131" t="str">
            <v>8.Капитальный ремонт основных фондов</v>
          </cell>
          <cell r="B131" t="str">
            <v>"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A132" t="str">
            <v>9.Содержание компрессорной</v>
          </cell>
          <cell r="B132" t="str">
            <v>"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10.Услуги других цехов</v>
          </cell>
          <cell r="B133" t="str">
            <v>"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ИТОГО  затрат:</v>
          </cell>
          <cell r="B134" t="str">
            <v>"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A135" t="str">
            <v>Услуги на сторону</v>
          </cell>
          <cell r="B135" t="str">
            <v>"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ИТОГО  затрат на себестоимость</v>
          </cell>
          <cell r="B136" t="str">
            <v>"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A137" t="str">
            <v>Объем добычи газа</v>
          </cell>
          <cell r="B137" t="str">
            <v>тыс.м3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A138" t="str">
            <v>Себестоимость перекачки 1 т.м3 газа</v>
          </cell>
          <cell r="B138" t="str">
            <v>руб/тыс.м3</v>
          </cell>
          <cell r="C138" t="e">
            <v>#DIV/0!</v>
          </cell>
          <cell r="D138" t="e">
            <v>#DIV/0!</v>
          </cell>
          <cell r="E138" t="e">
            <v>#DIV/0!</v>
          </cell>
          <cell r="F138" t="e">
            <v>#DIV/0!</v>
          </cell>
          <cell r="G138" t="e">
            <v>#DIV/0!</v>
          </cell>
          <cell r="H138" t="e">
            <v>#DIV/0!</v>
          </cell>
          <cell r="I138" t="e">
            <v>#DIV/0!</v>
          </cell>
          <cell r="J138" t="e">
            <v>#DIV/0!</v>
          </cell>
          <cell r="K138" t="e">
            <v>#DIV/0!</v>
          </cell>
          <cell r="L138" t="e">
            <v>#DIV/0!</v>
          </cell>
          <cell r="M138" t="e">
            <v>#DIV/0!</v>
          </cell>
          <cell r="N138" t="e">
            <v>#DIV/0!</v>
          </cell>
          <cell r="O138" t="e">
            <v>#DIV/0!</v>
          </cell>
          <cell r="P138" t="e">
            <v>#DIV/0!</v>
          </cell>
          <cell r="Q138" t="e">
            <v>#DIV/0!</v>
          </cell>
          <cell r="R138" t="e">
            <v>#DIV/0!</v>
          </cell>
        </row>
        <row r="139">
          <cell r="R139">
            <v>0</v>
          </cell>
        </row>
        <row r="140">
          <cell r="R140">
            <v>0</v>
          </cell>
        </row>
        <row r="216">
          <cell r="A216" t="str">
            <v>Кроме того: *)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</row>
        <row r="217">
          <cell r="A217" t="str">
            <v>-Услуги "ОйлПамп"</v>
          </cell>
          <cell r="B217" t="str">
            <v>"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</row>
        <row r="218">
          <cell r="A218" t="str">
            <v>-Трест КНДСР (кап.ремонт дорог)</v>
          </cell>
          <cell r="B218" t="str">
            <v>"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</row>
        <row r="219">
          <cell r="A219" t="str">
            <v>-УПНП и КРС(капремонт скважин)</v>
          </cell>
          <cell r="B219" t="str">
            <v>"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</row>
        <row r="220">
          <cell r="A220" t="str">
            <v>-Woodbine (капремонт скважин)</v>
          </cell>
          <cell r="B220" t="str">
            <v>"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</row>
        <row r="221">
          <cell r="A221" t="str">
            <v>-Кат  ГМБХ (капремонт скважин)</v>
          </cell>
          <cell r="B221" t="str">
            <v>"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A222" t="str">
            <v>-ЦБПО  и  ЭПУ - прокат ЭПУ</v>
          </cell>
          <cell r="B222" t="str">
            <v>"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</row>
        <row r="223">
          <cell r="A223" t="str">
            <v>-УЭЭС  и  Э О (кап.ремонт эл.двиг.)</v>
          </cell>
          <cell r="B223" t="str">
            <v>"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A224" t="str">
            <v>-УЭЭС  и  ЭО (содержание)</v>
          </cell>
          <cell r="B224" t="str">
            <v>"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A225" t="str">
            <v>-СП "Катконефть"(кап.ремонт)</v>
          </cell>
          <cell r="B225" t="str">
            <v>"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A226" t="str">
            <v xml:space="preserve"> -ЦБПО БНО - услуги по капит.ремонту</v>
          </cell>
          <cell r="B226" t="str">
            <v>"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A227" t="str">
            <v>-Цех интеграции - капит.ремонт скважин</v>
          </cell>
          <cell r="B227" t="str">
            <v>"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A228" t="str">
            <v>-Ремонт ЛТД и КО   - " -</v>
          </cell>
          <cell r="B228" t="str">
            <v>"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A229" t="str">
            <v>-Когалымнефтепрогресс  - " -</v>
          </cell>
          <cell r="B229" t="str">
            <v>"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A230" t="str">
            <v>-РИТЭКнефть   - " -</v>
          </cell>
          <cell r="B230" t="str">
            <v>"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A231" t="str">
            <v xml:space="preserve"> -АООТ"ЛУКойл-Кубань"   - " -</v>
          </cell>
          <cell r="B231" t="str">
            <v>"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A232" t="str">
            <v xml:space="preserve">  -ЛУКойл-Петролеум Сервис "(рем.скв.)</v>
          </cell>
          <cell r="B232" t="str">
            <v>"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</row>
        <row r="233">
          <cell r="A233" t="str">
            <v>-"ЛУКойл-Бурение"</v>
          </cell>
          <cell r="B233" t="str">
            <v>"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A234" t="str">
            <v>-"Компания ТЕХНОТЭК"</v>
          </cell>
          <cell r="B234" t="str">
            <v>"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A235" t="str">
            <v>-ОАО"Севернефтьпереработка"</v>
          </cell>
          <cell r="B235" t="str">
            <v>"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A236" t="str">
            <v xml:space="preserve"> -ООО "Стекс"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A237" t="str">
            <v xml:space="preserve"> -прочие</v>
          </cell>
          <cell r="B237" t="str">
            <v>"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A238" t="str">
            <v>ВСЕГО  ЗАТРАТ:</v>
          </cell>
          <cell r="B238" t="str">
            <v>млн.руб.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23457</v>
          </cell>
          <cell r="J238">
            <v>0</v>
          </cell>
          <cell r="K238">
            <v>23457</v>
          </cell>
          <cell r="L238">
            <v>33646</v>
          </cell>
          <cell r="M238">
            <v>33646</v>
          </cell>
          <cell r="N238">
            <v>10189</v>
          </cell>
          <cell r="O238">
            <v>99121.116000000009</v>
          </cell>
          <cell r="P238">
            <v>99121.116000000009</v>
          </cell>
          <cell r="Q238">
            <v>99121.116000000009</v>
          </cell>
          <cell r="R238">
            <v>99121.116000000009</v>
          </cell>
        </row>
        <row r="239">
          <cell r="A239" t="str">
            <v>Среднедействующий фонд скв.</v>
          </cell>
          <cell r="B239" t="str">
            <v>скв.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A240" t="str">
            <v>Затраты на 1 скв.</v>
          </cell>
          <cell r="B240" t="str">
            <v>руб/скв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A241" t="str">
            <v>*) заполнять согласно сложившейся организационной структуры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6">
          <cell r="A6" t="str">
            <v>Добыча   Ш Г Н</v>
          </cell>
        </row>
      </sheetData>
      <sheetData sheetId="16">
        <row r="6">
          <cell r="A6" t="str">
            <v>Добыча   Ш Г Н</v>
          </cell>
        </row>
      </sheetData>
      <sheetData sheetId="17">
        <row r="6">
          <cell r="A6" t="str">
            <v>Добыча   Ш Г Н</v>
          </cell>
        </row>
      </sheetData>
      <sheetData sheetId="18">
        <row r="6">
          <cell r="A6" t="str">
            <v>Добыча   Ш Г Н</v>
          </cell>
        </row>
      </sheetData>
      <sheetData sheetId="19">
        <row r="6">
          <cell r="A6" t="str">
            <v>Добыча   Ш Г Н</v>
          </cell>
        </row>
      </sheetData>
      <sheetData sheetId="20">
        <row r="6">
          <cell r="A6" t="str">
            <v>Добыча   Ш Г Н</v>
          </cell>
        </row>
      </sheetData>
      <sheetData sheetId="21">
        <row r="6">
          <cell r="A6" t="str">
            <v>Добыча   Ш Г Н</v>
          </cell>
        </row>
      </sheetData>
      <sheetData sheetId="22">
        <row r="6">
          <cell r="A6" t="str">
            <v>Добыча   Ш Г Н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>
        <row r="6">
          <cell r="A6" t="str">
            <v>Добыча   Ш Г Н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6">
          <cell r="A6" t="str">
            <v>Добыча   Ш Г Н</v>
          </cell>
        </row>
      </sheetData>
      <sheetData sheetId="38">
        <row r="6">
          <cell r="A6" t="str">
            <v>Добыча   Ш Г Н</v>
          </cell>
        </row>
      </sheetData>
      <sheetData sheetId="39">
        <row r="6">
          <cell r="A6" t="str">
            <v>Добыча   Ш Г Н</v>
          </cell>
        </row>
      </sheetData>
      <sheetData sheetId="40">
        <row r="6">
          <cell r="A6" t="str">
            <v>Добыча   Ш Г Н</v>
          </cell>
        </row>
      </sheetData>
      <sheetData sheetId="41">
        <row r="6">
          <cell r="A6" t="str">
            <v>Добыча   Ш Г Н</v>
          </cell>
        </row>
      </sheetData>
      <sheetData sheetId="42">
        <row r="6">
          <cell r="A6" t="str">
            <v>Добыча   Ш Г Н</v>
          </cell>
        </row>
      </sheetData>
      <sheetData sheetId="43">
        <row r="6">
          <cell r="A6" t="str">
            <v>Добыча   Ш Г Н</v>
          </cell>
        </row>
      </sheetData>
      <sheetData sheetId="44">
        <row r="6">
          <cell r="A6" t="str">
            <v>Добыча   Ш Г Н</v>
          </cell>
        </row>
      </sheetData>
      <sheetData sheetId="45">
        <row r="6">
          <cell r="A6" t="str">
            <v>Добыча   Ш Г Н</v>
          </cell>
        </row>
      </sheetData>
      <sheetData sheetId="46">
        <row r="6">
          <cell r="A6" t="str">
            <v>Добыча   Ш Г Н</v>
          </cell>
        </row>
      </sheetData>
      <sheetData sheetId="47">
        <row r="6">
          <cell r="A6" t="str">
            <v>Добыча   Ш Г Н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6">
          <cell r="A6" t="str">
            <v>Добыча   Ш Г Н</v>
          </cell>
        </row>
      </sheetData>
      <sheetData sheetId="66">
        <row r="6">
          <cell r="A6" t="str">
            <v>Добыча   Ш Г Н</v>
          </cell>
        </row>
      </sheetData>
      <sheetData sheetId="67">
        <row r="6">
          <cell r="A6" t="str">
            <v>Добыча   Ш Г Н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бота и у сл.произ.хар. (2)"/>
      <sheetName val="смета (3)"/>
      <sheetName val="смета (2)"/>
      <sheetName val="бланкК (2)"/>
      <sheetName val="смета"/>
      <sheetName val="смета+расш."/>
      <sheetName val="прочие затраты"/>
      <sheetName val="дороги"/>
      <sheetName val="Работа и у сл.произ.хар."/>
      <sheetName val="бланкК"/>
      <sheetName val="расш.кальк."/>
      <sheetName val="общепроизв"/>
      <sheetName val="смета_расш_"/>
      <sheetName val="ТПП Л-Усинск"/>
      <sheetName val="Работа_и_у_сл_произ_хар__(2)"/>
      <sheetName val="смета_(3)"/>
      <sheetName val="смета_(2)"/>
      <sheetName val="бланкК_(2)"/>
      <sheetName val="смета+расш_"/>
      <sheetName val="прочие_затраты"/>
      <sheetName val="Работа_и_у_сл_произ_хар_"/>
      <sheetName val="расш_кальк_"/>
      <sheetName val="ТПП_Л-Усинск"/>
      <sheetName val="отчет4 кв_"/>
      <sheetName val="Cover"/>
      <sheetName val="ROOUT95"/>
      <sheetName val="ДД"/>
      <sheetName val="ГРУППА"/>
      <sheetName val="Charts"/>
      <sheetName val="wq2"/>
      <sheetName val="Sheet1"/>
      <sheetName val="бюдж с расшифр(ст)"/>
      <sheetName val="Спр_ пласт"/>
      <sheetName val="8250"/>
      <sheetName val="8140"/>
      <sheetName val="8145"/>
      <sheetName val="8113"/>
      <sheetName val="XREF"/>
      <sheetName val="8200"/>
      <sheetName val="8082"/>
      <sheetName val="8180 (8181,8182)"/>
      <sheetName val="8210"/>
      <sheetName val="8070"/>
      <sheetName val="SAP 2"/>
      <sheetName val="Detail"/>
      <sheetName val="Списки"/>
      <sheetName val="Assumptions"/>
      <sheetName val="AlbPrint"/>
      <sheetName val="CroatSim"/>
      <sheetName val="11"/>
      <sheetName val="Работа_и_у_сл_произ_хар__(2)1"/>
      <sheetName val="смета_(3)1"/>
      <sheetName val="смета_(2)1"/>
      <sheetName val="бланкК_(2)1"/>
      <sheetName val="смета+расш_1"/>
      <sheetName val="прочие_затраты1"/>
      <sheetName val="Работа_и_у_сл_произ_хар_1"/>
      <sheetName val="расш_кальк_1"/>
      <sheetName val="ТПП_Л-Усинск1"/>
      <sheetName val="отчет4_кв_"/>
      <sheetName val="бюдж_с_расшифр(ст)"/>
      <sheetName val="8180_(8181,8182)"/>
      <sheetName val="SAP_2"/>
      <sheetName val="Спр__пласт"/>
      <sheetName val="data"/>
      <sheetName val="Annual Input"/>
      <sheetName val="NIM  CE-sintesi"/>
      <sheetName val="табель (2)"/>
      <sheetName val="отходы"/>
      <sheetName val="balance sh+indices"/>
      <sheetName val="P&amp;l"/>
      <sheetName val="Assumptions &amp; Results"/>
      <sheetName val="Scenario"/>
      <sheetName val="sales"/>
      <sheetName val="0-Basic"/>
      <sheetName val="ТС 21-25 (слайд)"/>
      <sheetName val="П"/>
      <sheetName val="pasiva-skutečnost"/>
      <sheetName val="КлассНТМК"/>
      <sheetName val="КлассЗСМК"/>
      <sheetName val="rozvaha"/>
      <sheetName val="n,v"/>
      <sheetName val="КлассНКМК"/>
      <sheetName val="Контрагенты"/>
      <sheetName val="цеховые"/>
      <sheetName val="центральные"/>
      <sheetName val="rem"/>
      <sheetName val="Заявки"/>
      <sheetName val="Источники"/>
      <sheetName val="ЗСМК-ЕАХ"/>
      <sheetName val="credit"/>
      <sheetName val="Flash Report SDC(EUR)"/>
      <sheetName val="database (rur)mar ytd"/>
      <sheetName val="Controls"/>
      <sheetName val="model"/>
      <sheetName val="Banka"/>
      <sheetName val="Работа_и_у_сл_произ_хар__(2)2"/>
      <sheetName val="смета_(3)2"/>
      <sheetName val="смета_(2)2"/>
      <sheetName val="бланкК_(2)2"/>
      <sheetName val="смета+расш_2"/>
      <sheetName val="прочие_затраты2"/>
      <sheetName val="Работа_и_у_сл_произ_хар_2"/>
      <sheetName val="расш_кальк_2"/>
      <sheetName val="ТПП_Л-Усинск2"/>
      <sheetName val="отчет4_кв_1"/>
      <sheetName val="бюдж_с_расшифр(ст)1"/>
      <sheetName val="8180_(8181,8182)1"/>
      <sheetName val="SAP_21"/>
      <sheetName val="Annual_Input"/>
      <sheetName val="Спр__пласт1"/>
      <sheetName val="табель_(2)"/>
      <sheetName val="NIM__CE-sintesi"/>
      <sheetName val="balance_sh+indices"/>
      <sheetName val="Смета ФСТ_25.65"/>
      <sheetName val="munka1"/>
      <sheetName val="XLR_NoRangeSheet"/>
      <sheetName val="Параметры"/>
      <sheetName val="List"/>
      <sheetName val="расходнаазс"/>
      <sheetName val="Assumptions_&amp;_Results"/>
      <sheetName val="ТС_21-25_(слайд)"/>
      <sheetName val="ARY tolf"/>
      <sheetName val="macro"/>
    </sheetNames>
    <sheetDataSet>
      <sheetData sheetId="0">
        <row r="180">
          <cell r="A180" t="str">
            <v xml:space="preserve">           ППД</v>
          </cell>
        </row>
      </sheetData>
      <sheetData sheetId="1">
        <row r="180">
          <cell r="A180" t="str">
            <v xml:space="preserve">           ППД</v>
          </cell>
        </row>
      </sheetData>
      <sheetData sheetId="2">
        <row r="180">
          <cell r="A180" t="str">
            <v xml:space="preserve">           ППД</v>
          </cell>
        </row>
      </sheetData>
      <sheetData sheetId="3">
        <row r="180">
          <cell r="A180" t="str">
            <v xml:space="preserve">           ППД</v>
          </cell>
        </row>
      </sheetData>
      <sheetData sheetId="4">
        <row r="180">
          <cell r="A180" t="str">
            <v xml:space="preserve">           ППД</v>
          </cell>
        </row>
      </sheetData>
      <sheetData sheetId="5" refreshError="1">
        <row r="180">
          <cell r="A180" t="str">
            <v xml:space="preserve">           ППД</v>
          </cell>
          <cell r="B180" t="str">
            <v>"</v>
          </cell>
          <cell r="C180">
            <v>0</v>
          </cell>
          <cell r="D180">
            <v>0</v>
          </cell>
          <cell r="E180" t="e">
            <v>#DIV/0!</v>
          </cell>
          <cell r="F180">
            <v>0</v>
          </cell>
          <cell r="G180">
            <v>0</v>
          </cell>
          <cell r="H180" t="e">
            <v>#DIV/0!</v>
          </cell>
          <cell r="I180" t="e">
            <v>#DIV/0!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 xml:space="preserve">           ППН</v>
          </cell>
          <cell r="B181" t="str">
            <v>"</v>
          </cell>
          <cell r="C181">
            <v>0</v>
          </cell>
          <cell r="D181">
            <v>0</v>
          </cell>
          <cell r="E181" t="e">
            <v>#DIV/0!</v>
          </cell>
          <cell r="F181">
            <v>0</v>
          </cell>
          <cell r="G181">
            <v>0</v>
          </cell>
          <cell r="H181" t="e">
            <v>#DIV/0!</v>
          </cell>
          <cell r="I181" t="e">
            <v>#DIV/0!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248">
          <cell r="A248" t="str">
            <v>Максимум нагрузки</v>
          </cell>
          <cell r="B248" t="str">
            <v>квт.</v>
          </cell>
          <cell r="C248">
            <v>0</v>
          </cell>
          <cell r="D248">
            <v>0</v>
          </cell>
          <cell r="E248" t="e">
            <v>#DIV/0!</v>
          </cell>
          <cell r="F248">
            <v>0</v>
          </cell>
          <cell r="G248">
            <v>0</v>
          </cell>
          <cell r="H248" t="e">
            <v>#DIV/0!</v>
          </cell>
          <cell r="I248" t="e">
            <v>#DIV/0!</v>
          </cell>
          <cell r="J248" t="e">
            <v>#DIV/0!</v>
          </cell>
          <cell r="K248">
            <v>0</v>
          </cell>
          <cell r="L248">
            <v>0</v>
          </cell>
          <cell r="M248" t="e">
            <v>#DIV/0!</v>
          </cell>
          <cell r="N248" t="e">
            <v>#DIV/0!</v>
          </cell>
          <cell r="O248">
            <v>0</v>
          </cell>
          <cell r="P248">
            <v>0</v>
          </cell>
          <cell r="Q248" t="e">
            <v>#DIV/0!</v>
          </cell>
          <cell r="R248" t="e">
            <v>#DIV/0!</v>
          </cell>
        </row>
        <row r="249">
          <cell r="A249" t="str">
            <v>Сумма</v>
          </cell>
          <cell r="B249" t="str">
            <v>млн.руб.</v>
          </cell>
          <cell r="C249">
            <v>0</v>
          </cell>
          <cell r="D249">
            <v>0</v>
          </cell>
          <cell r="E249" t="e">
            <v>#DIV/0!</v>
          </cell>
          <cell r="F249">
            <v>0</v>
          </cell>
          <cell r="G249">
            <v>0</v>
          </cell>
          <cell r="H249" t="e">
            <v>#DIV/0!</v>
          </cell>
          <cell r="I249" t="e">
            <v>#DIV/0!</v>
          </cell>
          <cell r="J249" t="e">
            <v>#DIV/0!</v>
          </cell>
          <cell r="K249">
            <v>0</v>
          </cell>
          <cell r="L249">
            <v>0</v>
          </cell>
          <cell r="M249" t="e">
            <v>#DIV/0!</v>
          </cell>
          <cell r="N249" t="e">
            <v>#DIV/0!</v>
          </cell>
          <cell r="O249">
            <v>0</v>
          </cell>
          <cell r="P249">
            <v>0</v>
          </cell>
          <cell r="Q249" t="e">
            <v>#DIV/0!</v>
          </cell>
          <cell r="R249" t="e">
            <v>#DIV/0!</v>
          </cell>
        </row>
        <row r="250">
          <cell r="A250" t="str">
            <v>ИТОГО затрат</v>
          </cell>
          <cell r="B250" t="str">
            <v>млн.руб.</v>
          </cell>
          <cell r="C250">
            <v>0</v>
          </cell>
          <cell r="D250">
            <v>0</v>
          </cell>
          <cell r="E250" t="e">
            <v>#DIV/0!</v>
          </cell>
          <cell r="F250">
            <v>0</v>
          </cell>
          <cell r="G250">
            <v>0</v>
          </cell>
          <cell r="H250" t="e">
            <v>#DIV/0!</v>
          </cell>
          <cell r="I250" t="e">
            <v>#DIV/0!</v>
          </cell>
          <cell r="J250" t="e">
            <v>#DIV/0!</v>
          </cell>
          <cell r="K250">
            <v>0</v>
          </cell>
          <cell r="L250">
            <v>0</v>
          </cell>
          <cell r="M250" t="e">
            <v>#DIV/0!</v>
          </cell>
          <cell r="N250" t="e">
            <v>#DIV/0!</v>
          </cell>
          <cell r="O250">
            <v>0</v>
          </cell>
          <cell r="P250">
            <v>0</v>
          </cell>
          <cell r="Q250" t="e">
            <v>#DIV/0!</v>
          </cell>
          <cell r="R250" t="e">
            <v>#DIV/0!</v>
          </cell>
        </row>
        <row r="252">
          <cell r="A252" t="str">
            <v>Реактивная мощность</v>
          </cell>
          <cell r="B252" t="str">
            <v>млн.руб.</v>
          </cell>
          <cell r="C252">
            <v>0</v>
          </cell>
          <cell r="D252">
            <v>0</v>
          </cell>
          <cell r="E252" t="e">
            <v>#DIV/0!</v>
          </cell>
          <cell r="F252">
            <v>0</v>
          </cell>
          <cell r="G252">
            <v>0</v>
          </cell>
          <cell r="H252" t="e">
            <v>#DIV/0!</v>
          </cell>
          <cell r="I252" t="e">
            <v>#DIV/0!</v>
          </cell>
          <cell r="J252" t="e">
            <v>#DIV/0!</v>
          </cell>
          <cell r="K252">
            <v>0</v>
          </cell>
          <cell r="L252">
            <v>0</v>
          </cell>
          <cell r="M252" t="e">
            <v>#DIV/0!</v>
          </cell>
          <cell r="N252" t="e">
            <v>#DIV/0!</v>
          </cell>
          <cell r="O252">
            <v>0</v>
          </cell>
          <cell r="P252">
            <v>0</v>
          </cell>
          <cell r="Q252" t="e">
            <v>#DIV/0!</v>
          </cell>
          <cell r="R252" t="e">
            <v>#DIV/0!</v>
          </cell>
        </row>
        <row r="253">
          <cell r="A253" t="str">
            <v>Услуги "ЭН"</v>
          </cell>
          <cell r="B253" t="str">
            <v>млн.руб.</v>
          </cell>
          <cell r="C253">
            <v>0</v>
          </cell>
          <cell r="D253">
            <v>0</v>
          </cell>
          <cell r="E253" t="e">
            <v>#DIV/0!</v>
          </cell>
          <cell r="F253">
            <v>0</v>
          </cell>
          <cell r="G253">
            <v>0</v>
          </cell>
          <cell r="H253" t="e">
            <v>#DIV/0!</v>
          </cell>
          <cell r="I253" t="e">
            <v>#DIV/0!</v>
          </cell>
          <cell r="J253" t="e">
            <v>#DIV/0!</v>
          </cell>
          <cell r="K253">
            <v>0</v>
          </cell>
          <cell r="L253">
            <v>0</v>
          </cell>
          <cell r="M253" t="e">
            <v>#DIV/0!</v>
          </cell>
          <cell r="N253" t="e">
            <v>#DIV/0!</v>
          </cell>
          <cell r="O253">
            <v>0</v>
          </cell>
          <cell r="P253">
            <v>0</v>
          </cell>
          <cell r="Q253" t="e">
            <v>#DIV/0!</v>
          </cell>
          <cell r="R253" t="e">
            <v>#DIV/0!</v>
          </cell>
        </row>
        <row r="259">
          <cell r="A259" t="str">
            <v>Максимум нагрузки</v>
          </cell>
          <cell r="B259" t="str">
            <v>квт.</v>
          </cell>
          <cell r="C259">
            <v>0</v>
          </cell>
          <cell r="D259">
            <v>0</v>
          </cell>
          <cell r="E259" t="e">
            <v>#DIV/0!</v>
          </cell>
          <cell r="F259">
            <v>0</v>
          </cell>
          <cell r="G259">
            <v>0</v>
          </cell>
          <cell r="H259" t="e">
            <v>#DIV/0!</v>
          </cell>
          <cell r="I259" t="e">
            <v>#DIV/0!</v>
          </cell>
          <cell r="J259" t="e">
            <v>#DIV/0!</v>
          </cell>
          <cell r="K259">
            <v>0</v>
          </cell>
          <cell r="L259">
            <v>0</v>
          </cell>
          <cell r="M259" t="e">
            <v>#DIV/0!</v>
          </cell>
          <cell r="N259" t="e">
            <v>#DIV/0!</v>
          </cell>
          <cell r="O259">
            <v>0</v>
          </cell>
          <cell r="P259">
            <v>0</v>
          </cell>
          <cell r="Q259" t="e">
            <v>#DIV/0!</v>
          </cell>
          <cell r="R259" t="e">
            <v>#DIV/0!</v>
          </cell>
        </row>
        <row r="260">
          <cell r="A260" t="str">
            <v>Сумма</v>
          </cell>
          <cell r="B260" t="str">
            <v>млн.руб.</v>
          </cell>
          <cell r="C260">
            <v>0</v>
          </cell>
          <cell r="D260">
            <v>0</v>
          </cell>
          <cell r="E260" t="e">
            <v>#DIV/0!</v>
          </cell>
          <cell r="F260">
            <v>0</v>
          </cell>
          <cell r="G260">
            <v>0</v>
          </cell>
          <cell r="H260" t="e">
            <v>#DIV/0!</v>
          </cell>
          <cell r="I260" t="e">
            <v>#DIV/0!</v>
          </cell>
          <cell r="J260" t="e">
            <v>#DIV/0!</v>
          </cell>
          <cell r="K260">
            <v>0</v>
          </cell>
          <cell r="L260">
            <v>0</v>
          </cell>
          <cell r="M260" t="e">
            <v>#DIV/0!</v>
          </cell>
          <cell r="N260" t="e">
            <v>#DIV/0!</v>
          </cell>
          <cell r="O260">
            <v>0</v>
          </cell>
          <cell r="P260">
            <v>0</v>
          </cell>
          <cell r="Q260" t="e">
            <v>#DIV/0!</v>
          </cell>
          <cell r="R260" t="e">
            <v>#DIV/0!</v>
          </cell>
        </row>
        <row r="261">
          <cell r="A261" t="str">
            <v>ИТОГО затрат</v>
          </cell>
          <cell r="B261" t="str">
            <v>млн.руб.</v>
          </cell>
          <cell r="C261">
            <v>0</v>
          </cell>
          <cell r="D261">
            <v>0</v>
          </cell>
          <cell r="E261" t="e">
            <v>#DIV/0!</v>
          </cell>
          <cell r="F261">
            <v>0</v>
          </cell>
          <cell r="G261">
            <v>0</v>
          </cell>
          <cell r="H261" t="e">
            <v>#DIV/0!</v>
          </cell>
          <cell r="I261" t="e">
            <v>#DIV/0!</v>
          </cell>
          <cell r="J261" t="e">
            <v>#DIV/0!</v>
          </cell>
          <cell r="K261">
            <v>0</v>
          </cell>
          <cell r="L261">
            <v>0</v>
          </cell>
          <cell r="M261" t="e">
            <v>#DIV/0!</v>
          </cell>
          <cell r="N261" t="e">
            <v>#DIV/0!</v>
          </cell>
          <cell r="O261">
            <v>0</v>
          </cell>
          <cell r="P261">
            <v>0</v>
          </cell>
          <cell r="Q261" t="e">
            <v>#DIV/0!</v>
          </cell>
          <cell r="R261" t="e">
            <v>#DIV/0!</v>
          </cell>
        </row>
        <row r="263">
          <cell r="A263" t="str">
            <v>Реактивная мощность</v>
          </cell>
          <cell r="B263" t="str">
            <v>млн.руб.</v>
          </cell>
          <cell r="C263">
            <v>0</v>
          </cell>
          <cell r="D263">
            <v>0</v>
          </cell>
          <cell r="E263" t="e">
            <v>#DIV/0!</v>
          </cell>
          <cell r="F263">
            <v>0</v>
          </cell>
          <cell r="G263">
            <v>0</v>
          </cell>
          <cell r="H263" t="e">
            <v>#DIV/0!</v>
          </cell>
          <cell r="I263" t="e">
            <v>#DIV/0!</v>
          </cell>
          <cell r="J263" t="e">
            <v>#DIV/0!</v>
          </cell>
          <cell r="K263">
            <v>0</v>
          </cell>
          <cell r="L263">
            <v>0</v>
          </cell>
          <cell r="M263" t="e">
            <v>#DIV/0!</v>
          </cell>
          <cell r="N263" t="e">
            <v>#DIV/0!</v>
          </cell>
          <cell r="O263">
            <v>0</v>
          </cell>
          <cell r="P263">
            <v>0</v>
          </cell>
          <cell r="Q263" t="e">
            <v>#DIV/0!</v>
          </cell>
          <cell r="R263" t="e">
            <v>#DIV/0!</v>
          </cell>
        </row>
        <row r="269">
          <cell r="A269" t="str">
            <v>Максимум нагрузки</v>
          </cell>
          <cell r="B269" t="str">
            <v>квт.</v>
          </cell>
          <cell r="C269">
            <v>0</v>
          </cell>
          <cell r="D269">
            <v>0</v>
          </cell>
          <cell r="E269" t="e">
            <v>#DIV/0!</v>
          </cell>
          <cell r="F269">
            <v>0</v>
          </cell>
          <cell r="G269">
            <v>0</v>
          </cell>
          <cell r="H269" t="e">
            <v>#DIV/0!</v>
          </cell>
          <cell r="I269" t="e">
            <v>#DIV/0!</v>
          </cell>
          <cell r="J269" t="e">
            <v>#DIV/0!</v>
          </cell>
          <cell r="K269">
            <v>0</v>
          </cell>
          <cell r="L269">
            <v>0</v>
          </cell>
          <cell r="M269" t="e">
            <v>#DIV/0!</v>
          </cell>
          <cell r="N269" t="e">
            <v>#DIV/0!</v>
          </cell>
          <cell r="O269">
            <v>0</v>
          </cell>
          <cell r="P269">
            <v>0</v>
          </cell>
          <cell r="Q269" t="e">
            <v>#DIV/0!</v>
          </cell>
          <cell r="R269" t="e">
            <v>#DIV/0!</v>
          </cell>
        </row>
        <row r="270">
          <cell r="A270" t="str">
            <v>Сумма</v>
          </cell>
          <cell r="B270" t="str">
            <v>млн.руб.</v>
          </cell>
          <cell r="C270">
            <v>0</v>
          </cell>
          <cell r="D270">
            <v>0</v>
          </cell>
          <cell r="E270" t="e">
            <v>#DIV/0!</v>
          </cell>
          <cell r="F270">
            <v>0</v>
          </cell>
          <cell r="G270">
            <v>0</v>
          </cell>
          <cell r="H270" t="e">
            <v>#DIV/0!</v>
          </cell>
          <cell r="I270" t="e">
            <v>#DIV/0!</v>
          </cell>
          <cell r="J270" t="e">
            <v>#DIV/0!</v>
          </cell>
          <cell r="K270">
            <v>0</v>
          </cell>
          <cell r="L270">
            <v>0</v>
          </cell>
          <cell r="M270" t="e">
            <v>#DIV/0!</v>
          </cell>
          <cell r="N270" t="e">
            <v>#DIV/0!</v>
          </cell>
          <cell r="O270">
            <v>0</v>
          </cell>
          <cell r="P270">
            <v>0</v>
          </cell>
          <cell r="Q270" t="e">
            <v>#DIV/0!</v>
          </cell>
          <cell r="R270" t="e">
            <v>#DIV/0!</v>
          </cell>
        </row>
        <row r="271">
          <cell r="A271" t="str">
            <v>ИТОГО затрат</v>
          </cell>
          <cell r="B271" t="str">
            <v>млн.руб.</v>
          </cell>
          <cell r="C271">
            <v>0</v>
          </cell>
          <cell r="D271">
            <v>0</v>
          </cell>
          <cell r="E271" t="e">
            <v>#DIV/0!</v>
          </cell>
          <cell r="F271">
            <v>0</v>
          </cell>
          <cell r="G271">
            <v>0</v>
          </cell>
          <cell r="H271" t="e">
            <v>#DIV/0!</v>
          </cell>
          <cell r="I271" t="e">
            <v>#DIV/0!</v>
          </cell>
          <cell r="J271" t="e">
            <v>#DIV/0!</v>
          </cell>
          <cell r="K271">
            <v>0</v>
          </cell>
          <cell r="L271">
            <v>0</v>
          </cell>
          <cell r="M271" t="e">
            <v>#DIV/0!</v>
          </cell>
          <cell r="N271" t="e">
            <v>#DIV/0!</v>
          </cell>
          <cell r="O271">
            <v>0</v>
          </cell>
          <cell r="P271">
            <v>0</v>
          </cell>
          <cell r="Q271" t="e">
            <v>#DIV/0!</v>
          </cell>
          <cell r="R271" t="e">
            <v>#DIV/0!</v>
          </cell>
        </row>
        <row r="273">
          <cell r="A273" t="str">
            <v>Реактивная мощность</v>
          </cell>
          <cell r="B273" t="str">
            <v>млн.руб.</v>
          </cell>
          <cell r="C273">
            <v>0</v>
          </cell>
          <cell r="D273">
            <v>0</v>
          </cell>
          <cell r="E273" t="e">
            <v>#DIV/0!</v>
          </cell>
          <cell r="F273">
            <v>0</v>
          </cell>
          <cell r="G273">
            <v>0</v>
          </cell>
          <cell r="H273" t="e">
            <v>#DIV/0!</v>
          </cell>
          <cell r="I273" t="e">
            <v>#DIV/0!</v>
          </cell>
          <cell r="J273" t="e">
            <v>#DIV/0!</v>
          </cell>
          <cell r="K273">
            <v>0</v>
          </cell>
          <cell r="L273">
            <v>0</v>
          </cell>
          <cell r="M273" t="e">
            <v>#DIV/0!</v>
          </cell>
          <cell r="N273" t="e">
            <v>#DIV/0!</v>
          </cell>
          <cell r="O273">
            <v>0</v>
          </cell>
          <cell r="P273">
            <v>0</v>
          </cell>
          <cell r="Q273" t="e">
            <v>#DIV/0!</v>
          </cell>
          <cell r="R273" t="e">
            <v>#DIV/0!</v>
          </cell>
        </row>
        <row r="279">
          <cell r="A279" t="str">
            <v>Максимум нагрузки</v>
          </cell>
          <cell r="B279" t="str">
            <v>квт.</v>
          </cell>
          <cell r="C279">
            <v>0</v>
          </cell>
          <cell r="D279">
            <v>0</v>
          </cell>
          <cell r="E279" t="e">
            <v>#DIV/0!</v>
          </cell>
          <cell r="F279">
            <v>0</v>
          </cell>
          <cell r="G279">
            <v>0</v>
          </cell>
          <cell r="H279" t="e">
            <v>#DIV/0!</v>
          </cell>
          <cell r="I279" t="e">
            <v>#DIV/0!</v>
          </cell>
          <cell r="J279" t="e">
            <v>#DIV/0!</v>
          </cell>
          <cell r="K279">
            <v>0</v>
          </cell>
          <cell r="L279">
            <v>0</v>
          </cell>
          <cell r="M279" t="e">
            <v>#DIV/0!</v>
          </cell>
          <cell r="N279" t="e">
            <v>#DIV/0!</v>
          </cell>
          <cell r="O279">
            <v>0</v>
          </cell>
          <cell r="P279">
            <v>0</v>
          </cell>
          <cell r="Q279" t="e">
            <v>#DIV/0!</v>
          </cell>
          <cell r="R279" t="e">
            <v>#DIV/0!</v>
          </cell>
        </row>
        <row r="280">
          <cell r="A280" t="str">
            <v>Сумма</v>
          </cell>
          <cell r="B280" t="str">
            <v>млн.руб.</v>
          </cell>
          <cell r="C280">
            <v>0</v>
          </cell>
          <cell r="D280">
            <v>0</v>
          </cell>
          <cell r="E280" t="e">
            <v>#DIV/0!</v>
          </cell>
          <cell r="F280">
            <v>0</v>
          </cell>
          <cell r="G280">
            <v>0</v>
          </cell>
          <cell r="H280" t="e">
            <v>#DIV/0!</v>
          </cell>
          <cell r="I280" t="e">
            <v>#DIV/0!</v>
          </cell>
          <cell r="J280" t="e">
            <v>#DIV/0!</v>
          </cell>
          <cell r="K280">
            <v>0</v>
          </cell>
          <cell r="L280">
            <v>0</v>
          </cell>
          <cell r="M280" t="e">
            <v>#DIV/0!</v>
          </cell>
          <cell r="N280" t="e">
            <v>#DIV/0!</v>
          </cell>
          <cell r="O280">
            <v>0</v>
          </cell>
          <cell r="P280">
            <v>0</v>
          </cell>
          <cell r="Q280" t="e">
            <v>#DIV/0!</v>
          </cell>
          <cell r="R280" t="e">
            <v>#DIV/0!</v>
          </cell>
        </row>
        <row r="281">
          <cell r="A281" t="str">
            <v>ИТОГО затрат</v>
          </cell>
          <cell r="B281" t="str">
            <v>млн.руб.</v>
          </cell>
          <cell r="C281">
            <v>0</v>
          </cell>
          <cell r="D281">
            <v>0</v>
          </cell>
          <cell r="E281" t="e">
            <v>#DIV/0!</v>
          </cell>
          <cell r="F281">
            <v>0</v>
          </cell>
          <cell r="G281">
            <v>0</v>
          </cell>
          <cell r="H281" t="e">
            <v>#DIV/0!</v>
          </cell>
          <cell r="I281" t="e">
            <v>#DIV/0!</v>
          </cell>
          <cell r="J281" t="e">
            <v>#DIV/0!</v>
          </cell>
          <cell r="K281">
            <v>0</v>
          </cell>
          <cell r="L281">
            <v>0</v>
          </cell>
          <cell r="M281" t="e">
            <v>#DIV/0!</v>
          </cell>
          <cell r="N281" t="e">
            <v>#DIV/0!</v>
          </cell>
          <cell r="O281">
            <v>0</v>
          </cell>
          <cell r="P281">
            <v>0</v>
          </cell>
          <cell r="Q281" t="e">
            <v>#DIV/0!</v>
          </cell>
          <cell r="R281" t="e">
            <v>#DIV/0!</v>
          </cell>
        </row>
        <row r="283">
          <cell r="A283" t="str">
            <v>Реактивная мощность</v>
          </cell>
          <cell r="B283" t="str">
            <v>млн.руб.</v>
          </cell>
          <cell r="C283">
            <v>0</v>
          </cell>
          <cell r="D283">
            <v>0</v>
          </cell>
          <cell r="E283" t="e">
            <v>#DIV/0!</v>
          </cell>
          <cell r="F283">
            <v>0</v>
          </cell>
          <cell r="G283">
            <v>0</v>
          </cell>
          <cell r="H283" t="e">
            <v>#DIV/0!</v>
          </cell>
          <cell r="I283" t="e">
            <v>#DIV/0!</v>
          </cell>
          <cell r="J283" t="e">
            <v>#DIV/0!</v>
          </cell>
          <cell r="K283">
            <v>0</v>
          </cell>
          <cell r="L283">
            <v>0</v>
          </cell>
          <cell r="M283" t="e">
            <v>#DIV/0!</v>
          </cell>
          <cell r="N283" t="e">
            <v>#DIV/0!</v>
          </cell>
          <cell r="O283">
            <v>0</v>
          </cell>
          <cell r="P283">
            <v>0</v>
          </cell>
          <cell r="Q283" t="e">
            <v>#DIV/0!</v>
          </cell>
          <cell r="R283" t="e">
            <v>#DIV/0!</v>
          </cell>
        </row>
        <row r="290">
          <cell r="A290" t="str">
            <v>Максимум нагрузки</v>
          </cell>
          <cell r="B290" t="str">
            <v>квт.</v>
          </cell>
          <cell r="C290">
            <v>0</v>
          </cell>
          <cell r="D290">
            <v>0</v>
          </cell>
          <cell r="E290" t="e">
            <v>#DIV/0!</v>
          </cell>
          <cell r="F290">
            <v>0</v>
          </cell>
          <cell r="G290">
            <v>0</v>
          </cell>
          <cell r="H290" t="e">
            <v>#DIV/0!</v>
          </cell>
          <cell r="I290" t="e">
            <v>#DIV/0!</v>
          </cell>
          <cell r="J290" t="e">
            <v>#DIV/0!</v>
          </cell>
          <cell r="K290">
            <v>0</v>
          </cell>
          <cell r="L290">
            <v>0</v>
          </cell>
          <cell r="M290" t="e">
            <v>#DIV/0!</v>
          </cell>
          <cell r="N290" t="e">
            <v>#DIV/0!</v>
          </cell>
          <cell r="O290">
            <v>0</v>
          </cell>
          <cell r="P290">
            <v>0</v>
          </cell>
          <cell r="Q290" t="e">
            <v>#DIV/0!</v>
          </cell>
          <cell r="R290" t="e">
            <v>#DIV/0!</v>
          </cell>
        </row>
        <row r="291">
          <cell r="A291" t="str">
            <v>Сумма</v>
          </cell>
          <cell r="B291" t="str">
            <v>тыс.руб.</v>
          </cell>
          <cell r="C291">
            <v>0</v>
          </cell>
          <cell r="D291">
            <v>0</v>
          </cell>
          <cell r="E291" t="e">
            <v>#DIV/0!</v>
          </cell>
          <cell r="F291">
            <v>0</v>
          </cell>
          <cell r="G291">
            <v>0</v>
          </cell>
          <cell r="H291" t="e">
            <v>#DIV/0!</v>
          </cell>
          <cell r="I291" t="e">
            <v>#DIV/0!</v>
          </cell>
          <cell r="J291" t="e">
            <v>#DIV/0!</v>
          </cell>
          <cell r="K291">
            <v>0</v>
          </cell>
          <cell r="L291">
            <v>0</v>
          </cell>
          <cell r="M291" t="e">
            <v>#DIV/0!</v>
          </cell>
          <cell r="N291" t="e">
            <v>#DIV/0!</v>
          </cell>
          <cell r="O291">
            <v>0</v>
          </cell>
          <cell r="P291">
            <v>0</v>
          </cell>
          <cell r="Q291" t="e">
            <v>#DIV/0!</v>
          </cell>
          <cell r="R291" t="e">
            <v>#DIV/0!</v>
          </cell>
        </row>
        <row r="292">
          <cell r="A292" t="str">
            <v>ИТОГО затрат</v>
          </cell>
          <cell r="B292" t="str">
            <v>"-"</v>
          </cell>
          <cell r="C292">
            <v>0</v>
          </cell>
          <cell r="D292">
            <v>0</v>
          </cell>
          <cell r="E292" t="e">
            <v>#DIV/0!</v>
          </cell>
          <cell r="F292">
            <v>0</v>
          </cell>
          <cell r="G292">
            <v>0</v>
          </cell>
          <cell r="H292" t="e">
            <v>#DIV/0!</v>
          </cell>
          <cell r="I292" t="e">
            <v>#DIV/0!</v>
          </cell>
          <cell r="J292" t="e">
            <v>#DIV/0!</v>
          </cell>
          <cell r="K292">
            <v>0</v>
          </cell>
          <cell r="L292">
            <v>0</v>
          </cell>
          <cell r="M292" t="e">
            <v>#DIV/0!</v>
          </cell>
          <cell r="N292" t="e">
            <v>#DIV/0!</v>
          </cell>
          <cell r="O292">
            <v>0</v>
          </cell>
          <cell r="P292">
            <v>0</v>
          </cell>
          <cell r="Q292" t="e">
            <v>#DIV/0!</v>
          </cell>
          <cell r="R292" t="e">
            <v>#DIV/0!</v>
          </cell>
        </row>
        <row r="293">
          <cell r="A293" t="str">
            <v>Реактивная мощность</v>
          </cell>
          <cell r="B293" t="str">
            <v>"-"</v>
          </cell>
          <cell r="C293">
            <v>0</v>
          </cell>
          <cell r="D293">
            <v>0</v>
          </cell>
          <cell r="E293" t="e">
            <v>#DIV/0!</v>
          </cell>
          <cell r="F293">
            <v>0</v>
          </cell>
          <cell r="G293">
            <v>0</v>
          </cell>
          <cell r="H293" t="e">
            <v>#DIV/0!</v>
          </cell>
          <cell r="I293" t="e">
            <v>#DIV/0!</v>
          </cell>
          <cell r="J293" t="e">
            <v>#DIV/0!</v>
          </cell>
          <cell r="K293">
            <v>0</v>
          </cell>
          <cell r="L293">
            <v>0</v>
          </cell>
          <cell r="M293" t="e">
            <v>#DIV/0!</v>
          </cell>
          <cell r="N293" t="e">
            <v>#DIV/0!</v>
          </cell>
          <cell r="O293">
            <v>0</v>
          </cell>
          <cell r="P293">
            <v>0</v>
          </cell>
          <cell r="Q293" t="e">
            <v>#DIV/0!</v>
          </cell>
          <cell r="R293" t="e">
            <v>#DIV/0!</v>
          </cell>
        </row>
        <row r="297">
          <cell r="A297" t="str">
            <v>Максимум нагрузки</v>
          </cell>
          <cell r="B297" t="str">
            <v>квт.</v>
          </cell>
          <cell r="C297">
            <v>0</v>
          </cell>
          <cell r="D297">
            <v>0</v>
          </cell>
          <cell r="E297" t="e">
            <v>#DIV/0!</v>
          </cell>
          <cell r="F297">
            <v>0</v>
          </cell>
          <cell r="G297">
            <v>0</v>
          </cell>
          <cell r="H297" t="e">
            <v>#DIV/0!</v>
          </cell>
          <cell r="I297" t="e">
            <v>#DIV/0!</v>
          </cell>
          <cell r="J297" t="e">
            <v>#DIV/0!</v>
          </cell>
          <cell r="K297">
            <v>0</v>
          </cell>
          <cell r="L297">
            <v>0</v>
          </cell>
          <cell r="M297" t="e">
            <v>#DIV/0!</v>
          </cell>
          <cell r="N297" t="e">
            <v>#DIV/0!</v>
          </cell>
          <cell r="O297">
            <v>0</v>
          </cell>
          <cell r="P297">
            <v>0</v>
          </cell>
          <cell r="Q297" t="e">
            <v>#DIV/0!</v>
          </cell>
          <cell r="R297" t="e">
            <v>#DIV/0!</v>
          </cell>
        </row>
        <row r="298">
          <cell r="A298" t="str">
            <v>Сумма</v>
          </cell>
          <cell r="B298" t="str">
            <v>тыс.руб.</v>
          </cell>
          <cell r="C298">
            <v>0</v>
          </cell>
          <cell r="D298">
            <v>0</v>
          </cell>
          <cell r="E298" t="e">
            <v>#DIV/0!</v>
          </cell>
          <cell r="F298">
            <v>0</v>
          </cell>
          <cell r="G298">
            <v>0</v>
          </cell>
          <cell r="H298" t="e">
            <v>#DIV/0!</v>
          </cell>
          <cell r="I298" t="e">
            <v>#DIV/0!</v>
          </cell>
          <cell r="J298" t="e">
            <v>#DIV/0!</v>
          </cell>
          <cell r="K298">
            <v>0</v>
          </cell>
          <cell r="L298">
            <v>0</v>
          </cell>
          <cell r="M298" t="e">
            <v>#DIV/0!</v>
          </cell>
          <cell r="N298" t="e">
            <v>#DIV/0!</v>
          </cell>
          <cell r="O298">
            <v>0</v>
          </cell>
          <cell r="P298">
            <v>0</v>
          </cell>
          <cell r="Q298" t="e">
            <v>#DIV/0!</v>
          </cell>
          <cell r="R298" t="e">
            <v>#DIV/0!</v>
          </cell>
        </row>
        <row r="299">
          <cell r="A299" t="str">
            <v>ИТОГО затрат</v>
          </cell>
          <cell r="B299" t="str">
            <v>"-"</v>
          </cell>
          <cell r="C299">
            <v>0</v>
          </cell>
          <cell r="D299">
            <v>0</v>
          </cell>
          <cell r="E299" t="e">
            <v>#DIV/0!</v>
          </cell>
          <cell r="F299">
            <v>0</v>
          </cell>
          <cell r="G299">
            <v>0</v>
          </cell>
          <cell r="H299" t="e">
            <v>#DIV/0!</v>
          </cell>
          <cell r="I299" t="e">
            <v>#DIV/0!</v>
          </cell>
          <cell r="J299" t="e">
            <v>#DIV/0!</v>
          </cell>
          <cell r="K299">
            <v>0</v>
          </cell>
          <cell r="L299">
            <v>0</v>
          </cell>
          <cell r="M299" t="e">
            <v>#DIV/0!</v>
          </cell>
          <cell r="N299" t="e">
            <v>#DIV/0!</v>
          </cell>
          <cell r="O299">
            <v>0</v>
          </cell>
          <cell r="P299">
            <v>0</v>
          </cell>
          <cell r="Q299" t="e">
            <v>#DIV/0!</v>
          </cell>
          <cell r="R299" t="e">
            <v>#DIV/0!</v>
          </cell>
        </row>
        <row r="300">
          <cell r="A300" t="str">
            <v>Реактивная мощность</v>
          </cell>
          <cell r="B300" t="str">
            <v>"-"</v>
          </cell>
          <cell r="C300">
            <v>0</v>
          </cell>
          <cell r="D300">
            <v>0</v>
          </cell>
          <cell r="E300" t="e">
            <v>#DIV/0!</v>
          </cell>
          <cell r="F300">
            <v>0</v>
          </cell>
          <cell r="G300">
            <v>0</v>
          </cell>
          <cell r="H300" t="e">
            <v>#DIV/0!</v>
          </cell>
          <cell r="I300" t="e">
            <v>#DIV/0!</v>
          </cell>
          <cell r="J300" t="e">
            <v>#DIV/0!</v>
          </cell>
          <cell r="K300">
            <v>0</v>
          </cell>
          <cell r="L300">
            <v>0</v>
          </cell>
          <cell r="M300" t="e">
            <v>#DIV/0!</v>
          </cell>
          <cell r="N300" t="e">
            <v>#DIV/0!</v>
          </cell>
          <cell r="O300">
            <v>0</v>
          </cell>
          <cell r="P300">
            <v>0</v>
          </cell>
          <cell r="Q300" t="e">
            <v>#DIV/0!</v>
          </cell>
          <cell r="R300" t="e">
            <v>#DIV/0!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180">
          <cell r="A180" t="str">
            <v xml:space="preserve">           ППД</v>
          </cell>
        </row>
      </sheetData>
      <sheetData sheetId="15">
        <row r="180">
          <cell r="A180" t="str">
            <v xml:space="preserve">           ППД</v>
          </cell>
        </row>
      </sheetData>
      <sheetData sheetId="16">
        <row r="180">
          <cell r="A180" t="str">
            <v xml:space="preserve">           ППД</v>
          </cell>
        </row>
      </sheetData>
      <sheetData sheetId="17">
        <row r="180">
          <cell r="A180" t="str">
            <v xml:space="preserve">           ППД</v>
          </cell>
        </row>
      </sheetData>
      <sheetData sheetId="18">
        <row r="180">
          <cell r="A180" t="str">
            <v xml:space="preserve">           ППД</v>
          </cell>
        </row>
      </sheetData>
      <sheetData sheetId="19">
        <row r="180">
          <cell r="A180" t="str">
            <v xml:space="preserve">           ППД</v>
          </cell>
        </row>
      </sheetData>
      <sheetData sheetId="20">
        <row r="180">
          <cell r="A180" t="str">
            <v xml:space="preserve">           ППД</v>
          </cell>
        </row>
      </sheetData>
      <sheetData sheetId="21">
        <row r="180">
          <cell r="A180" t="str">
            <v xml:space="preserve">           ППД</v>
          </cell>
        </row>
      </sheetData>
      <sheetData sheetId="22">
        <row r="180">
          <cell r="A180" t="str">
            <v xml:space="preserve">           ППД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80">
          <cell r="A180" t="str">
            <v xml:space="preserve">           ППД</v>
          </cell>
        </row>
      </sheetData>
      <sheetData sheetId="51">
        <row r="180">
          <cell r="A180" t="str">
            <v xml:space="preserve">           ППД</v>
          </cell>
        </row>
      </sheetData>
      <sheetData sheetId="52">
        <row r="180">
          <cell r="A180" t="str">
            <v xml:space="preserve">           ППД</v>
          </cell>
        </row>
      </sheetData>
      <sheetData sheetId="53">
        <row r="180">
          <cell r="A180" t="str">
            <v xml:space="preserve">           ППД</v>
          </cell>
        </row>
      </sheetData>
      <sheetData sheetId="54">
        <row r="180">
          <cell r="A180" t="str">
            <v xml:space="preserve">           ППД</v>
          </cell>
        </row>
      </sheetData>
      <sheetData sheetId="55">
        <row r="180">
          <cell r="A180" t="str">
            <v xml:space="preserve">           ППД</v>
          </cell>
        </row>
      </sheetData>
      <sheetData sheetId="56">
        <row r="180">
          <cell r="A180" t="str">
            <v xml:space="preserve">           ППД</v>
          </cell>
        </row>
      </sheetData>
      <sheetData sheetId="57">
        <row r="180">
          <cell r="A180" t="str">
            <v xml:space="preserve">           ППД</v>
          </cell>
        </row>
      </sheetData>
      <sheetData sheetId="58">
        <row r="180">
          <cell r="A180" t="str">
            <v xml:space="preserve">           ППД</v>
          </cell>
        </row>
      </sheetData>
      <sheetData sheetId="59">
        <row r="180">
          <cell r="A180" t="str">
            <v xml:space="preserve">           ППД</v>
          </cell>
        </row>
      </sheetData>
      <sheetData sheetId="60">
        <row r="180">
          <cell r="A180" t="str">
            <v xml:space="preserve">           ППД</v>
          </cell>
        </row>
      </sheetData>
      <sheetData sheetId="61">
        <row r="180">
          <cell r="A180" t="str">
            <v xml:space="preserve">           ППД</v>
          </cell>
        </row>
      </sheetData>
      <sheetData sheetId="62">
        <row r="180">
          <cell r="A180" t="str">
            <v xml:space="preserve">           ППД</v>
          </cell>
        </row>
      </sheetData>
      <sheetData sheetId="63">
        <row r="180">
          <cell r="A180" t="str">
            <v xml:space="preserve">           ППД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180">
          <cell r="A180" t="str">
            <v xml:space="preserve">           ППД</v>
          </cell>
        </row>
      </sheetData>
      <sheetData sheetId="97">
        <row r="180">
          <cell r="A180" t="str">
            <v xml:space="preserve">           ППД</v>
          </cell>
        </row>
      </sheetData>
      <sheetData sheetId="98">
        <row r="180">
          <cell r="A180" t="str">
            <v xml:space="preserve">           ППД</v>
          </cell>
        </row>
      </sheetData>
      <sheetData sheetId="99">
        <row r="180">
          <cell r="A180" t="str">
            <v xml:space="preserve">           ППД</v>
          </cell>
        </row>
      </sheetData>
      <sheetData sheetId="100">
        <row r="180">
          <cell r="A180" t="str">
            <v xml:space="preserve">           ППД</v>
          </cell>
        </row>
      </sheetData>
      <sheetData sheetId="101">
        <row r="180">
          <cell r="A180" t="str">
            <v xml:space="preserve">           ППД</v>
          </cell>
        </row>
      </sheetData>
      <sheetData sheetId="102">
        <row r="180">
          <cell r="A180" t="str">
            <v xml:space="preserve">           ППД</v>
          </cell>
        </row>
      </sheetData>
      <sheetData sheetId="103">
        <row r="180">
          <cell r="A180" t="str">
            <v xml:space="preserve">           ППД</v>
          </cell>
        </row>
      </sheetData>
      <sheetData sheetId="104">
        <row r="180">
          <cell r="A180" t="str">
            <v xml:space="preserve">           ППД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 refreshError="1"/>
      <sheetData sheetId="1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\Desktop\Desktop\Microsoft\Windows\Temporary%20Internet%20Files\Roaming\Microsoft\Excel\&#1089;&#1082;&#1072;&#1085;\&#1061;&#1052;&#1040;&#1054;\56.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/>
    <pageSetUpPr fitToPage="1"/>
  </sheetPr>
  <dimension ref="A1:V3154"/>
  <sheetViews>
    <sheetView tabSelected="1" view="pageBreakPreview" zoomScaleNormal="120" zoomScaleSheetLayoutView="100" workbookViewId="0">
      <pane ySplit="8" topLeftCell="A17" activePane="bottomLeft" state="frozen"/>
      <selection pane="bottomLeft" activeCell="A25" sqref="A25"/>
    </sheetView>
  </sheetViews>
  <sheetFormatPr defaultRowHeight="12.75"/>
  <cols>
    <col min="1" max="1" width="6.33203125" style="50" customWidth="1"/>
    <col min="2" max="2" width="14.5" style="29" customWidth="1"/>
    <col min="3" max="3" width="23.6640625" style="19" customWidth="1"/>
    <col min="4" max="4" width="44.5" style="20" customWidth="1"/>
    <col min="5" max="5" width="14.33203125" style="21" customWidth="1"/>
    <col min="6" max="6" width="23.6640625" style="5" customWidth="1"/>
    <col min="7" max="7" width="14.5" style="5" customWidth="1"/>
    <col min="8" max="8" width="18.33203125" style="21" customWidth="1"/>
    <col min="9" max="9" width="25.33203125" style="101" customWidth="1"/>
    <col min="10" max="10" width="16.5" style="145" customWidth="1"/>
    <col min="11" max="11" width="21" style="117" customWidth="1"/>
    <col min="12" max="12" width="13.6640625" style="19" customWidth="1"/>
    <col min="13" max="13" width="13.33203125" style="101" customWidth="1"/>
    <col min="14" max="14" width="24.6640625" style="36" customWidth="1"/>
    <col min="15" max="15" width="11.1640625" style="50" customWidth="1"/>
    <col min="16" max="16" width="12.33203125" style="6" customWidth="1"/>
    <col min="17" max="17" width="11" bestFit="1" customWidth="1"/>
    <col min="18" max="18" width="19" bestFit="1" customWidth="1"/>
  </cols>
  <sheetData>
    <row r="1" spans="1:22">
      <c r="A1" s="79"/>
      <c r="C1" s="22"/>
      <c r="D1" s="2"/>
      <c r="E1" s="3"/>
      <c r="F1" s="4"/>
      <c r="G1" s="4"/>
      <c r="H1" s="3"/>
      <c r="I1" s="22"/>
      <c r="J1" s="122"/>
      <c r="K1" s="121"/>
      <c r="N1" s="37"/>
      <c r="O1" s="22"/>
      <c r="P1" s="7"/>
      <c r="Q1" s="7"/>
      <c r="R1" s="8"/>
      <c r="S1" s="7"/>
      <c r="T1" s="1"/>
      <c r="V1" s="6"/>
    </row>
    <row r="2" spans="1:22" ht="15.75">
      <c r="A2" s="79"/>
      <c r="C2" s="22"/>
      <c r="D2" s="22"/>
      <c r="E2" s="9"/>
      <c r="F2" s="111"/>
      <c r="G2" s="176" t="s">
        <v>883</v>
      </c>
      <c r="H2" s="9"/>
      <c r="I2" s="9" t="s">
        <v>1027</v>
      </c>
      <c r="J2" s="123"/>
      <c r="K2" s="123"/>
      <c r="L2" s="48"/>
      <c r="M2" s="102"/>
      <c r="N2" s="37"/>
      <c r="O2" s="49"/>
      <c r="P2" s="65"/>
      <c r="Q2" s="65"/>
      <c r="R2" s="8"/>
      <c r="S2" s="2"/>
      <c r="T2" s="8"/>
    </row>
    <row r="3" spans="1:22" ht="15.75">
      <c r="A3" s="79"/>
      <c r="C3" s="22"/>
      <c r="F3" s="33"/>
      <c r="G3" s="176" t="s">
        <v>634</v>
      </c>
      <c r="H3" s="9"/>
      <c r="I3" s="9"/>
      <c r="J3" s="123"/>
      <c r="K3" s="123"/>
      <c r="L3" s="48"/>
      <c r="M3" s="102"/>
      <c r="N3" s="37"/>
      <c r="O3" s="49"/>
      <c r="P3" s="65"/>
      <c r="Q3" s="11"/>
      <c r="R3" s="8"/>
      <c r="S3" s="2"/>
      <c r="T3" s="8"/>
    </row>
    <row r="4" spans="1:22" ht="14.25" customHeight="1">
      <c r="A4" s="80"/>
      <c r="C4" s="12"/>
      <c r="F4" s="115"/>
      <c r="G4" s="177" t="s">
        <v>1028</v>
      </c>
      <c r="H4" s="12"/>
      <c r="I4" s="178"/>
      <c r="J4" s="124"/>
      <c r="K4" s="124"/>
      <c r="L4" s="48"/>
      <c r="M4" s="102"/>
      <c r="N4" s="37"/>
      <c r="O4" s="49"/>
      <c r="P4" s="65"/>
      <c r="Q4" s="11"/>
      <c r="R4" s="8"/>
      <c r="S4" s="8"/>
      <c r="T4" s="8"/>
    </row>
    <row r="5" spans="1:22">
      <c r="A5" s="80"/>
      <c r="C5" s="22"/>
      <c r="D5" s="2"/>
      <c r="E5" s="9"/>
      <c r="F5" s="156"/>
      <c r="G5" s="176" t="s">
        <v>1157</v>
      </c>
      <c r="H5" s="9"/>
      <c r="I5" s="9"/>
      <c r="J5" s="123"/>
      <c r="K5" s="123"/>
      <c r="L5" s="9"/>
      <c r="M5" s="81"/>
      <c r="N5" s="37"/>
      <c r="O5" s="49"/>
      <c r="P5" s="65"/>
      <c r="Q5" s="11"/>
      <c r="R5" s="8"/>
      <c r="S5" s="8"/>
      <c r="T5" s="8"/>
    </row>
    <row r="6" spans="1:22" ht="18.75">
      <c r="A6" s="206" t="s">
        <v>0</v>
      </c>
      <c r="B6" s="206"/>
      <c r="C6" s="206"/>
      <c r="D6" s="206"/>
      <c r="E6" s="206"/>
      <c r="F6" s="206"/>
      <c r="G6" s="206"/>
      <c r="H6" s="206"/>
      <c r="I6" s="207"/>
      <c r="J6" s="206"/>
      <c r="K6" s="207"/>
      <c r="L6" s="206"/>
      <c r="M6" s="162"/>
      <c r="N6" s="37"/>
      <c r="O6" s="49"/>
      <c r="P6" s="65"/>
      <c r="Q6" s="11"/>
      <c r="R6" s="8"/>
      <c r="S6" s="8"/>
      <c r="T6" s="8"/>
    </row>
    <row r="7" spans="1:22">
      <c r="A7" s="80"/>
      <c r="C7" s="22"/>
      <c r="D7" s="2"/>
      <c r="E7" s="9"/>
      <c r="F7" s="10"/>
      <c r="G7" s="10"/>
      <c r="H7" s="9" t="s">
        <v>885</v>
      </c>
      <c r="I7" s="81" t="s">
        <v>885</v>
      </c>
      <c r="J7" s="123" t="s">
        <v>885</v>
      </c>
      <c r="K7" s="125" t="s">
        <v>885</v>
      </c>
      <c r="L7" s="9"/>
      <c r="M7" s="81" t="s">
        <v>885</v>
      </c>
      <c r="N7" s="37"/>
      <c r="O7" s="49"/>
      <c r="P7" s="11"/>
      <c r="Q7" s="11"/>
      <c r="R7" s="8"/>
      <c r="S7" s="8"/>
      <c r="T7" s="8"/>
    </row>
    <row r="8" spans="1:22" ht="48.75" customHeight="1">
      <c r="A8" s="59" t="s">
        <v>1</v>
      </c>
      <c r="B8" s="60" t="s">
        <v>2</v>
      </c>
      <c r="C8" s="61" t="s">
        <v>3</v>
      </c>
      <c r="D8" s="60" t="s">
        <v>4</v>
      </c>
      <c r="E8" s="61" t="s">
        <v>5</v>
      </c>
      <c r="F8" s="60" t="s">
        <v>6</v>
      </c>
      <c r="G8" s="60" t="s">
        <v>7</v>
      </c>
      <c r="H8" s="61" t="s">
        <v>8</v>
      </c>
      <c r="I8" s="82" t="s">
        <v>8</v>
      </c>
      <c r="J8" s="127" t="s">
        <v>9</v>
      </c>
      <c r="K8" s="126" t="s">
        <v>9</v>
      </c>
      <c r="L8" s="61" t="s">
        <v>10</v>
      </c>
      <c r="M8" s="82" t="s">
        <v>10</v>
      </c>
      <c r="N8" s="62" t="s">
        <v>638</v>
      </c>
      <c r="O8" s="146" t="s">
        <v>639</v>
      </c>
      <c r="P8" s="61" t="s">
        <v>756</v>
      </c>
    </row>
    <row r="9" spans="1:22" ht="15.75" customHeight="1">
      <c r="A9" s="202" t="s">
        <v>11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</row>
    <row r="10" spans="1:22" ht="12.75" customHeight="1">
      <c r="A10" s="59">
        <v>1</v>
      </c>
      <c r="B10" s="183" t="s">
        <v>380</v>
      </c>
      <c r="C10" s="52" t="s">
        <v>1196</v>
      </c>
      <c r="D10" s="52" t="s">
        <v>798</v>
      </c>
      <c r="E10" s="83" t="s">
        <v>13</v>
      </c>
      <c r="F10" s="52">
        <v>10</v>
      </c>
      <c r="G10" s="52">
        <v>5</v>
      </c>
      <c r="H10" s="52"/>
      <c r="I10" s="128">
        <v>1547.51</v>
      </c>
      <c r="J10" s="52"/>
      <c r="K10" s="128">
        <v>2043.4</v>
      </c>
      <c r="L10" s="52"/>
      <c r="M10" s="189"/>
      <c r="N10" s="52" t="s">
        <v>1195</v>
      </c>
      <c r="O10" s="52"/>
      <c r="P10" s="109">
        <v>45689</v>
      </c>
    </row>
    <row r="11" spans="1:22" ht="12.75" customHeight="1">
      <c r="A11" s="59">
        <f>A10+1</f>
        <v>2</v>
      </c>
      <c r="B11" s="183" t="s">
        <v>380</v>
      </c>
      <c r="C11" s="52" t="s">
        <v>1196</v>
      </c>
      <c r="D11" s="52" t="s">
        <v>798</v>
      </c>
      <c r="E11" s="83" t="s">
        <v>13</v>
      </c>
      <c r="F11" s="52">
        <v>8</v>
      </c>
      <c r="G11" s="52">
        <v>6</v>
      </c>
      <c r="H11" s="52"/>
      <c r="I11" s="128">
        <v>1671.47</v>
      </c>
      <c r="J11" s="52"/>
      <c r="K11" s="128">
        <v>1878.1</v>
      </c>
      <c r="L11" s="52"/>
      <c r="M11" s="189"/>
      <c r="N11" s="52" t="s">
        <v>1195</v>
      </c>
      <c r="O11" s="52"/>
      <c r="P11" s="109">
        <v>45689</v>
      </c>
    </row>
    <row r="12" spans="1:22" ht="12.75" customHeight="1">
      <c r="A12" s="59">
        <f t="shared" ref="A12:A31" si="0">A11+1</f>
        <v>3</v>
      </c>
      <c r="B12" s="52" t="s">
        <v>847</v>
      </c>
      <c r="C12" s="167" t="s">
        <v>848</v>
      </c>
      <c r="D12" s="83" t="s">
        <v>849</v>
      </c>
      <c r="E12" s="83" t="s">
        <v>13</v>
      </c>
      <c r="F12" s="83">
        <v>20</v>
      </c>
      <c r="G12" s="83">
        <v>10</v>
      </c>
      <c r="H12" s="83"/>
      <c r="I12" s="128">
        <v>1287.0899999999999</v>
      </c>
      <c r="J12" s="129"/>
      <c r="K12" s="128">
        <v>2139.19</v>
      </c>
      <c r="L12" s="83"/>
      <c r="M12" s="163"/>
      <c r="N12" s="108" t="s">
        <v>643</v>
      </c>
      <c r="O12" s="83"/>
      <c r="P12" s="109">
        <v>43617</v>
      </c>
    </row>
    <row r="13" spans="1:22" ht="12.75" customHeight="1">
      <c r="A13" s="59">
        <f t="shared" si="0"/>
        <v>4</v>
      </c>
      <c r="B13" s="52" t="s">
        <v>847</v>
      </c>
      <c r="C13" s="167" t="s">
        <v>848</v>
      </c>
      <c r="D13" s="83" t="s">
        <v>930</v>
      </c>
      <c r="E13" s="83" t="s">
        <v>13</v>
      </c>
      <c r="F13" s="83">
        <v>20</v>
      </c>
      <c r="G13" s="83">
        <v>10</v>
      </c>
      <c r="H13" s="83"/>
      <c r="I13" s="128">
        <v>1313.55</v>
      </c>
      <c r="J13" s="129"/>
      <c r="K13" s="128">
        <v>2138.81</v>
      </c>
      <c r="L13" s="83"/>
      <c r="M13" s="163"/>
      <c r="N13" s="108" t="s">
        <v>643</v>
      </c>
      <c r="O13" s="83"/>
      <c r="P13" s="109">
        <v>44562</v>
      </c>
    </row>
    <row r="14" spans="1:22" ht="12.75" customHeight="1">
      <c r="A14" s="59">
        <f t="shared" si="0"/>
        <v>5</v>
      </c>
      <c r="B14" s="52" t="s">
        <v>847</v>
      </c>
      <c r="C14" s="167" t="s">
        <v>848</v>
      </c>
      <c r="D14" s="83" t="s">
        <v>930</v>
      </c>
      <c r="E14" s="83" t="s">
        <v>13</v>
      </c>
      <c r="F14" s="83">
        <v>20</v>
      </c>
      <c r="G14" s="83">
        <v>10</v>
      </c>
      <c r="H14" s="83"/>
      <c r="I14" s="128">
        <v>1430.29</v>
      </c>
      <c r="J14" s="129"/>
      <c r="K14" s="128">
        <v>2324.5500000000002</v>
      </c>
      <c r="L14" s="83"/>
      <c r="M14" s="163"/>
      <c r="N14" s="108" t="s">
        <v>643</v>
      </c>
      <c r="O14" s="83"/>
      <c r="P14" s="109">
        <v>45078</v>
      </c>
    </row>
    <row r="15" spans="1:22" ht="12.75" customHeight="1">
      <c r="A15" s="59">
        <f t="shared" si="0"/>
        <v>6</v>
      </c>
      <c r="B15" s="94" t="s">
        <v>847</v>
      </c>
      <c r="C15" s="167" t="s">
        <v>848</v>
      </c>
      <c r="D15" s="83" t="s">
        <v>849</v>
      </c>
      <c r="E15" s="83" t="s">
        <v>13</v>
      </c>
      <c r="F15" s="83">
        <v>20</v>
      </c>
      <c r="G15" s="83">
        <v>10</v>
      </c>
      <c r="H15" s="83"/>
      <c r="I15" s="128">
        <v>1486.32</v>
      </c>
      <c r="J15" s="129"/>
      <c r="K15" s="128">
        <v>2410.9499999999998</v>
      </c>
      <c r="L15" s="83"/>
      <c r="M15" s="163"/>
      <c r="N15" s="108" t="s">
        <v>643</v>
      </c>
      <c r="O15" s="83"/>
      <c r="P15" s="109">
        <v>45352</v>
      </c>
    </row>
    <row r="16" spans="1:22" ht="12.75" customHeight="1">
      <c r="A16" s="59">
        <f t="shared" si="0"/>
        <v>7</v>
      </c>
      <c r="B16" s="94" t="s">
        <v>847</v>
      </c>
      <c r="C16" s="167" t="s">
        <v>848</v>
      </c>
      <c r="D16" s="83" t="s">
        <v>849</v>
      </c>
      <c r="E16" s="83" t="s">
        <v>13</v>
      </c>
      <c r="F16" s="83">
        <v>15</v>
      </c>
      <c r="G16" s="83">
        <v>12</v>
      </c>
      <c r="H16" s="83"/>
      <c r="I16" s="128">
        <v>1794.5</v>
      </c>
      <c r="J16" s="129"/>
      <c r="K16" s="130">
        <v>2102.73</v>
      </c>
      <c r="L16" s="83"/>
      <c r="M16" s="163"/>
      <c r="N16" s="108" t="s">
        <v>643</v>
      </c>
      <c r="O16" s="83"/>
      <c r="P16" s="109">
        <v>45352</v>
      </c>
    </row>
    <row r="17" spans="1:16" ht="12.75" customHeight="1">
      <c r="A17" s="59">
        <f t="shared" si="0"/>
        <v>8</v>
      </c>
      <c r="B17" s="94" t="s">
        <v>847</v>
      </c>
      <c r="C17" s="167" t="s">
        <v>848</v>
      </c>
      <c r="D17" s="83" t="s">
        <v>849</v>
      </c>
      <c r="E17" s="83" t="s">
        <v>13</v>
      </c>
      <c r="F17" s="83">
        <v>20</v>
      </c>
      <c r="G17" s="83">
        <v>10</v>
      </c>
      <c r="H17" s="83"/>
      <c r="I17" s="128">
        <v>1709.46</v>
      </c>
      <c r="J17" s="129"/>
      <c r="K17" s="130">
        <v>2772.95</v>
      </c>
      <c r="L17" s="83"/>
      <c r="M17" s="163"/>
      <c r="N17" s="108" t="s">
        <v>643</v>
      </c>
      <c r="O17" s="83"/>
      <c r="P17" s="109">
        <v>45689</v>
      </c>
    </row>
    <row r="18" spans="1:16" ht="12.75" customHeight="1">
      <c r="A18" s="59">
        <f t="shared" si="0"/>
        <v>9</v>
      </c>
      <c r="B18" s="94" t="s">
        <v>847</v>
      </c>
      <c r="C18" s="167" t="s">
        <v>848</v>
      </c>
      <c r="D18" s="83" t="s">
        <v>849</v>
      </c>
      <c r="E18" s="83" t="s">
        <v>13</v>
      </c>
      <c r="F18" s="83">
        <v>15</v>
      </c>
      <c r="G18" s="83">
        <v>12</v>
      </c>
      <c r="H18" s="83"/>
      <c r="I18" s="128">
        <v>2063.9299999999998</v>
      </c>
      <c r="J18" s="129"/>
      <c r="K18" s="130">
        <v>2418.4499999999998</v>
      </c>
      <c r="L18" s="83"/>
      <c r="M18" s="163"/>
      <c r="N18" s="108" t="s">
        <v>643</v>
      </c>
      <c r="O18" s="83"/>
      <c r="P18" s="109">
        <v>45689</v>
      </c>
    </row>
    <row r="19" spans="1:16" ht="12.75" customHeight="1">
      <c r="A19" s="59">
        <f t="shared" si="0"/>
        <v>10</v>
      </c>
      <c r="B19" s="155" t="s">
        <v>847</v>
      </c>
      <c r="C19" s="167" t="s">
        <v>848</v>
      </c>
      <c r="D19" s="83" t="s">
        <v>849</v>
      </c>
      <c r="E19" s="83" t="s">
        <v>13</v>
      </c>
      <c r="F19" s="83">
        <v>20</v>
      </c>
      <c r="G19" s="83">
        <v>10</v>
      </c>
      <c r="H19" s="83"/>
      <c r="I19" s="128">
        <v>1892.61</v>
      </c>
      <c r="J19" s="129"/>
      <c r="K19" s="130">
        <v>3077.18</v>
      </c>
      <c r="L19" s="83"/>
      <c r="M19" s="163"/>
      <c r="N19" s="108" t="s">
        <v>643</v>
      </c>
      <c r="O19" s="83"/>
      <c r="P19" s="194">
        <v>46082</v>
      </c>
    </row>
    <row r="20" spans="1:16" ht="12.75" customHeight="1">
      <c r="A20" s="59">
        <f t="shared" si="0"/>
        <v>11</v>
      </c>
      <c r="B20" s="155" t="s">
        <v>847</v>
      </c>
      <c r="C20" s="167" t="s">
        <v>848</v>
      </c>
      <c r="D20" s="83" t="s">
        <v>849</v>
      </c>
      <c r="E20" s="83" t="s">
        <v>13</v>
      </c>
      <c r="F20" s="83">
        <v>15</v>
      </c>
      <c r="G20" s="83">
        <v>12</v>
      </c>
      <c r="H20" s="83"/>
      <c r="I20" s="128">
        <v>2287.44</v>
      </c>
      <c r="J20" s="129"/>
      <c r="K20" s="130">
        <v>2682.32</v>
      </c>
      <c r="L20" s="83"/>
      <c r="M20" s="163"/>
      <c r="N20" s="108" t="s">
        <v>643</v>
      </c>
      <c r="O20" s="83"/>
      <c r="P20" s="194">
        <v>46082</v>
      </c>
    </row>
    <row r="21" spans="1:16" ht="12.75" customHeight="1">
      <c r="A21" s="59">
        <f t="shared" si="0"/>
        <v>12</v>
      </c>
      <c r="B21" s="52" t="s">
        <v>850</v>
      </c>
      <c r="C21" s="167" t="s">
        <v>848</v>
      </c>
      <c r="D21" s="83" t="s">
        <v>849</v>
      </c>
      <c r="E21" s="83" t="s">
        <v>13</v>
      </c>
      <c r="F21" s="83">
        <v>12</v>
      </c>
      <c r="G21" s="83">
        <v>4</v>
      </c>
      <c r="H21" s="83"/>
      <c r="I21" s="128">
        <v>1695.32</v>
      </c>
      <c r="J21" s="129"/>
      <c r="K21" s="128">
        <v>4122.09</v>
      </c>
      <c r="L21" s="83"/>
      <c r="M21" s="163"/>
      <c r="N21" s="108" t="s">
        <v>643</v>
      </c>
      <c r="O21" s="83"/>
      <c r="P21" s="109">
        <v>43617</v>
      </c>
    </row>
    <row r="22" spans="1:16" ht="12.75" customHeight="1">
      <c r="A22" s="59">
        <f t="shared" si="0"/>
        <v>13</v>
      </c>
      <c r="B22" s="52" t="s">
        <v>850</v>
      </c>
      <c r="C22" s="167" t="s">
        <v>848</v>
      </c>
      <c r="D22" s="83" t="s">
        <v>971</v>
      </c>
      <c r="E22" s="83" t="s">
        <v>13</v>
      </c>
      <c r="F22" s="83">
        <v>12</v>
      </c>
      <c r="G22" s="83">
        <v>4</v>
      </c>
      <c r="H22" s="83"/>
      <c r="I22" s="128">
        <v>1925.94</v>
      </c>
      <c r="J22" s="129"/>
      <c r="K22" s="128">
        <v>4713.37</v>
      </c>
      <c r="L22" s="83"/>
      <c r="M22" s="163"/>
      <c r="N22" s="108" t="s">
        <v>643</v>
      </c>
      <c r="O22" s="83"/>
      <c r="P22" s="109">
        <v>44562</v>
      </c>
    </row>
    <row r="23" spans="1:16" ht="12.75" customHeight="1">
      <c r="A23" s="59">
        <f t="shared" si="0"/>
        <v>14</v>
      </c>
      <c r="B23" s="167" t="s">
        <v>850</v>
      </c>
      <c r="C23" s="167" t="s">
        <v>848</v>
      </c>
      <c r="D23" s="83" t="s">
        <v>971</v>
      </c>
      <c r="E23" s="83" t="s">
        <v>13</v>
      </c>
      <c r="F23" s="83">
        <v>12</v>
      </c>
      <c r="G23" s="83">
        <v>2</v>
      </c>
      <c r="H23" s="83"/>
      <c r="I23" s="128">
        <v>1925.94</v>
      </c>
      <c r="J23" s="129"/>
      <c r="K23" s="128">
        <v>8949.2999999999993</v>
      </c>
      <c r="L23" s="83"/>
      <c r="M23" s="163"/>
      <c r="N23" s="108" t="s">
        <v>643</v>
      </c>
      <c r="O23" s="83"/>
      <c r="P23" s="109">
        <v>44562</v>
      </c>
    </row>
    <row r="24" spans="1:16" ht="12.75" customHeight="1">
      <c r="A24" s="59">
        <f t="shared" si="0"/>
        <v>15</v>
      </c>
      <c r="B24" s="52" t="s">
        <v>850</v>
      </c>
      <c r="C24" s="167" t="s">
        <v>848</v>
      </c>
      <c r="D24" s="83" t="s">
        <v>971</v>
      </c>
      <c r="E24" s="83" t="s">
        <v>13</v>
      </c>
      <c r="F24" s="83">
        <v>12</v>
      </c>
      <c r="G24" s="83">
        <v>4</v>
      </c>
      <c r="H24" s="83"/>
      <c r="I24" s="128">
        <v>2095.56</v>
      </c>
      <c r="J24" s="129"/>
      <c r="K24" s="128">
        <v>5116.76</v>
      </c>
      <c r="L24" s="83"/>
      <c r="M24" s="163"/>
      <c r="N24" s="108" t="s">
        <v>643</v>
      </c>
      <c r="O24" s="83"/>
      <c r="P24" s="109">
        <v>45078</v>
      </c>
    </row>
    <row r="25" spans="1:16" ht="12.75" customHeight="1">
      <c r="A25" s="59">
        <f t="shared" si="0"/>
        <v>16</v>
      </c>
      <c r="B25" s="167" t="s">
        <v>850</v>
      </c>
      <c r="C25" s="167" t="s">
        <v>848</v>
      </c>
      <c r="D25" s="83" t="s">
        <v>971</v>
      </c>
      <c r="E25" s="83" t="s">
        <v>13</v>
      </c>
      <c r="F25" s="83">
        <v>8</v>
      </c>
      <c r="G25" s="83">
        <v>3</v>
      </c>
      <c r="H25" s="83"/>
      <c r="I25" s="128">
        <v>2880.98</v>
      </c>
      <c r="J25" s="129"/>
      <c r="K25" s="128">
        <v>6647.38</v>
      </c>
      <c r="L25" s="83"/>
      <c r="M25" s="163"/>
      <c r="N25" s="108" t="s">
        <v>643</v>
      </c>
      <c r="O25" s="83"/>
      <c r="P25" s="109">
        <v>45078</v>
      </c>
    </row>
    <row r="26" spans="1:16" ht="12.75" customHeight="1">
      <c r="A26" s="59">
        <f t="shared" si="0"/>
        <v>17</v>
      </c>
      <c r="B26" s="83" t="s">
        <v>850</v>
      </c>
      <c r="C26" s="167" t="s">
        <v>848</v>
      </c>
      <c r="D26" s="83" t="s">
        <v>971</v>
      </c>
      <c r="E26" s="83" t="s">
        <v>13</v>
      </c>
      <c r="F26" s="83">
        <v>12</v>
      </c>
      <c r="G26" s="83">
        <v>4</v>
      </c>
      <c r="H26" s="83"/>
      <c r="I26" s="128">
        <v>2145.59</v>
      </c>
      <c r="J26" s="129"/>
      <c r="K26" s="128">
        <v>5227.79</v>
      </c>
      <c r="L26" s="83"/>
      <c r="M26" s="163"/>
      <c r="N26" s="108" t="s">
        <v>643</v>
      </c>
      <c r="O26" s="83"/>
      <c r="P26" s="109">
        <v>45352</v>
      </c>
    </row>
    <row r="27" spans="1:16" ht="12.75" customHeight="1">
      <c r="A27" s="59">
        <f t="shared" si="0"/>
        <v>18</v>
      </c>
      <c r="B27" s="83" t="s">
        <v>850</v>
      </c>
      <c r="C27" s="167" t="s">
        <v>848</v>
      </c>
      <c r="D27" s="83" t="s">
        <v>971</v>
      </c>
      <c r="E27" s="83" t="s">
        <v>13</v>
      </c>
      <c r="F27" s="83">
        <v>10</v>
      </c>
      <c r="G27" s="83">
        <v>6</v>
      </c>
      <c r="H27" s="83"/>
      <c r="I27" s="128">
        <v>2453.8000000000002</v>
      </c>
      <c r="J27" s="129"/>
      <c r="K27" s="130">
        <v>3686.66</v>
      </c>
      <c r="L27" s="83"/>
      <c r="M27" s="163"/>
      <c r="N27" s="108" t="s">
        <v>643</v>
      </c>
      <c r="O27" s="83"/>
      <c r="P27" s="109">
        <v>45352</v>
      </c>
    </row>
    <row r="28" spans="1:16" ht="12.75" customHeight="1">
      <c r="A28" s="59">
        <f t="shared" si="0"/>
        <v>19</v>
      </c>
      <c r="B28" s="83" t="s">
        <v>850</v>
      </c>
      <c r="C28" s="167" t="s">
        <v>848</v>
      </c>
      <c r="D28" s="83" t="s">
        <v>971</v>
      </c>
      <c r="E28" s="83" t="s">
        <v>13</v>
      </c>
      <c r="F28" s="83">
        <v>12</v>
      </c>
      <c r="G28" s="83">
        <v>4</v>
      </c>
      <c r="H28" s="83"/>
      <c r="I28" s="128">
        <v>2468.71</v>
      </c>
      <c r="J28" s="129"/>
      <c r="K28" s="130">
        <v>6013.85</v>
      </c>
      <c r="L28" s="83"/>
      <c r="M28" s="163"/>
      <c r="N28" s="108" t="s">
        <v>643</v>
      </c>
      <c r="O28" s="83"/>
      <c r="P28" s="109">
        <v>45689</v>
      </c>
    </row>
    <row r="29" spans="1:16" ht="12.75" customHeight="1">
      <c r="A29" s="59">
        <f t="shared" si="0"/>
        <v>20</v>
      </c>
      <c r="B29" s="83" t="s">
        <v>850</v>
      </c>
      <c r="C29" s="167" t="s">
        <v>848</v>
      </c>
      <c r="D29" s="83" t="s">
        <v>971</v>
      </c>
      <c r="E29" s="83" t="s">
        <v>13</v>
      </c>
      <c r="F29" s="83">
        <v>10</v>
      </c>
      <c r="G29" s="83">
        <v>6</v>
      </c>
      <c r="H29" s="83"/>
      <c r="I29" s="128">
        <v>2823.21</v>
      </c>
      <c r="J29" s="129"/>
      <c r="K29" s="130">
        <v>4241.26</v>
      </c>
      <c r="L29" s="83"/>
      <c r="M29" s="163"/>
      <c r="N29" s="108" t="s">
        <v>643</v>
      </c>
      <c r="O29" s="83"/>
      <c r="P29" s="109">
        <v>45689</v>
      </c>
    </row>
    <row r="30" spans="1:16" ht="12.75" customHeight="1">
      <c r="A30" s="59">
        <f t="shared" si="0"/>
        <v>21</v>
      </c>
      <c r="B30" s="159" t="s">
        <v>850</v>
      </c>
      <c r="C30" s="167" t="s">
        <v>848</v>
      </c>
      <c r="D30" s="83" t="s">
        <v>971</v>
      </c>
      <c r="E30" s="83" t="s">
        <v>13</v>
      </c>
      <c r="F30" s="83">
        <v>6</v>
      </c>
      <c r="G30" s="83">
        <v>2</v>
      </c>
      <c r="H30" s="83"/>
      <c r="I30" s="128">
        <v>5286.51</v>
      </c>
      <c r="J30" s="129"/>
      <c r="K30" s="130">
        <v>14334.28</v>
      </c>
      <c r="L30" s="83"/>
      <c r="M30" s="163"/>
      <c r="N30" s="108" t="s">
        <v>643</v>
      </c>
      <c r="O30" s="83"/>
      <c r="P30" s="194">
        <v>46082</v>
      </c>
    </row>
    <row r="31" spans="1:16" ht="12.75" customHeight="1">
      <c r="A31" s="59">
        <f t="shared" si="0"/>
        <v>22</v>
      </c>
      <c r="B31" s="159" t="s">
        <v>850</v>
      </c>
      <c r="C31" s="167" t="s">
        <v>848</v>
      </c>
      <c r="D31" s="83" t="s">
        <v>971</v>
      </c>
      <c r="E31" s="83" t="s">
        <v>13</v>
      </c>
      <c r="F31" s="83">
        <v>4</v>
      </c>
      <c r="G31" s="83">
        <v>3</v>
      </c>
      <c r="H31" s="83"/>
      <c r="I31" s="128">
        <v>7548.45</v>
      </c>
      <c r="J31" s="129"/>
      <c r="K31" s="130">
        <v>9810.4</v>
      </c>
      <c r="L31" s="83"/>
      <c r="M31" s="163"/>
      <c r="N31" s="108" t="s">
        <v>643</v>
      </c>
      <c r="O31" s="83"/>
      <c r="P31" s="194">
        <v>46082</v>
      </c>
    </row>
    <row r="32" spans="1:16" ht="23.25" customHeight="1">
      <c r="A32" s="209" t="s">
        <v>1183</v>
      </c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1"/>
    </row>
    <row r="33" spans="1:16" ht="12.75" customHeight="1">
      <c r="A33" s="59">
        <f>A31+1</f>
        <v>23</v>
      </c>
      <c r="B33" s="83" t="s">
        <v>1184</v>
      </c>
      <c r="C33" s="167" t="s">
        <v>1185</v>
      </c>
      <c r="D33" s="83" t="s">
        <v>1186</v>
      </c>
      <c r="E33" s="83" t="s">
        <v>13</v>
      </c>
      <c r="F33" s="83">
        <v>14</v>
      </c>
      <c r="G33" s="83">
        <v>6</v>
      </c>
      <c r="H33" s="83"/>
      <c r="I33" s="128">
        <v>5079.09</v>
      </c>
      <c r="J33" s="129"/>
      <c r="K33" s="130">
        <v>10966.76</v>
      </c>
      <c r="L33" s="83"/>
      <c r="M33" s="163"/>
      <c r="N33" s="108" t="s">
        <v>796</v>
      </c>
      <c r="O33" s="83"/>
      <c r="P33" s="109">
        <v>45689</v>
      </c>
    </row>
    <row r="34" spans="1:16" ht="12.75" customHeight="1">
      <c r="A34" s="59">
        <f>A33+1</f>
        <v>24</v>
      </c>
      <c r="B34" s="83" t="s">
        <v>1184</v>
      </c>
      <c r="C34" s="167" t="s">
        <v>1185</v>
      </c>
      <c r="D34" s="83" t="s">
        <v>1186</v>
      </c>
      <c r="E34" s="83" t="s">
        <v>13</v>
      </c>
      <c r="F34" s="83">
        <v>10</v>
      </c>
      <c r="G34" s="83">
        <v>8</v>
      </c>
      <c r="H34" s="83"/>
      <c r="I34" s="128">
        <v>6845.37</v>
      </c>
      <c r="J34" s="129"/>
      <c r="K34" s="130">
        <v>8390.93</v>
      </c>
      <c r="L34" s="83"/>
      <c r="M34" s="163"/>
      <c r="N34" s="108" t="s">
        <v>796</v>
      </c>
      <c r="O34" s="83"/>
      <c r="P34" s="109">
        <v>45689</v>
      </c>
    </row>
    <row r="35" spans="1:16" ht="12.75" customHeight="1">
      <c r="A35" s="59">
        <f t="shared" ref="A35:A40" si="1">A34+1</f>
        <v>25</v>
      </c>
      <c r="B35" s="159" t="s">
        <v>1184</v>
      </c>
      <c r="C35" s="167" t="s">
        <v>1185</v>
      </c>
      <c r="D35" s="83" t="s">
        <v>1186</v>
      </c>
      <c r="E35" s="83" t="s">
        <v>13</v>
      </c>
      <c r="F35" s="83">
        <v>14</v>
      </c>
      <c r="G35" s="83">
        <v>6</v>
      </c>
      <c r="H35" s="83"/>
      <c r="I35" s="128">
        <v>6144.61</v>
      </c>
      <c r="J35" s="129"/>
      <c r="K35" s="130">
        <v>13364.61</v>
      </c>
      <c r="L35" s="83"/>
      <c r="M35" s="163"/>
      <c r="N35" s="108" t="s">
        <v>796</v>
      </c>
      <c r="O35" s="83"/>
      <c r="P35" s="194">
        <v>46082</v>
      </c>
    </row>
    <row r="36" spans="1:16" ht="12.75" customHeight="1">
      <c r="A36" s="59">
        <f t="shared" si="1"/>
        <v>26</v>
      </c>
      <c r="B36" s="159" t="s">
        <v>1184</v>
      </c>
      <c r="C36" s="167" t="s">
        <v>1185</v>
      </c>
      <c r="D36" s="83" t="s">
        <v>1186</v>
      </c>
      <c r="E36" s="83" t="s">
        <v>13</v>
      </c>
      <c r="F36" s="83">
        <v>10</v>
      </c>
      <c r="G36" s="83">
        <v>8</v>
      </c>
      <c r="H36" s="83"/>
      <c r="I36" s="128">
        <v>8310.6299999999992</v>
      </c>
      <c r="J36" s="129"/>
      <c r="K36" s="130">
        <v>10205.89</v>
      </c>
      <c r="L36" s="83"/>
      <c r="M36" s="163"/>
      <c r="N36" s="108" t="s">
        <v>796</v>
      </c>
      <c r="O36" s="83"/>
      <c r="P36" s="194">
        <v>46082</v>
      </c>
    </row>
    <row r="37" spans="1:16" ht="12.75" customHeight="1">
      <c r="A37" s="59">
        <f t="shared" si="1"/>
        <v>27</v>
      </c>
      <c r="B37" s="167" t="s">
        <v>1206</v>
      </c>
      <c r="C37" s="167" t="s">
        <v>1185</v>
      </c>
      <c r="D37" s="83" t="s">
        <v>1207</v>
      </c>
      <c r="E37" s="83" t="s">
        <v>13</v>
      </c>
      <c r="F37" s="83">
        <v>6</v>
      </c>
      <c r="G37" s="83">
        <v>2</v>
      </c>
      <c r="H37" s="83"/>
      <c r="I37" s="128">
        <v>3492.17</v>
      </c>
      <c r="J37" s="129"/>
      <c r="K37" s="130">
        <v>8710.9699999999993</v>
      </c>
      <c r="L37" s="83"/>
      <c r="M37" s="163"/>
      <c r="N37" s="108" t="s">
        <v>796</v>
      </c>
      <c r="O37" s="83"/>
      <c r="P37" s="213">
        <v>46082</v>
      </c>
    </row>
    <row r="38" spans="1:16" ht="12.75" customHeight="1">
      <c r="A38" s="59">
        <f t="shared" si="1"/>
        <v>28</v>
      </c>
      <c r="B38" s="167" t="s">
        <v>1206</v>
      </c>
      <c r="C38" s="167" t="s">
        <v>1185</v>
      </c>
      <c r="D38" s="83" t="s">
        <v>1207</v>
      </c>
      <c r="E38" s="83" t="s">
        <v>13</v>
      </c>
      <c r="F38" s="83">
        <v>4</v>
      </c>
      <c r="G38" s="83">
        <v>3</v>
      </c>
      <c r="H38" s="83"/>
      <c r="I38" s="128">
        <v>4796.87</v>
      </c>
      <c r="J38" s="129"/>
      <c r="K38" s="130">
        <v>6101.59</v>
      </c>
      <c r="L38" s="83"/>
      <c r="M38" s="163"/>
      <c r="N38" s="108" t="s">
        <v>796</v>
      </c>
      <c r="O38" s="83"/>
      <c r="P38" s="213">
        <v>46082</v>
      </c>
    </row>
    <row r="39" spans="1:16" ht="12.75" customHeight="1">
      <c r="A39" s="59">
        <f t="shared" si="1"/>
        <v>29</v>
      </c>
      <c r="B39" s="159" t="s">
        <v>1206</v>
      </c>
      <c r="C39" s="167" t="s">
        <v>1185</v>
      </c>
      <c r="D39" s="83" t="s">
        <v>1207</v>
      </c>
      <c r="E39" s="83" t="s">
        <v>13</v>
      </c>
      <c r="F39" s="83">
        <v>6</v>
      </c>
      <c r="G39" s="83">
        <v>3</v>
      </c>
      <c r="H39" s="83"/>
      <c r="I39" s="128">
        <v>5627.1</v>
      </c>
      <c r="J39" s="129"/>
      <c r="K39" s="130">
        <v>10371.43</v>
      </c>
      <c r="L39" s="83"/>
      <c r="M39" s="163"/>
      <c r="N39" s="108" t="s">
        <v>796</v>
      </c>
      <c r="O39" s="83"/>
      <c r="P39" s="194">
        <v>46082</v>
      </c>
    </row>
    <row r="40" spans="1:16" ht="12.75" customHeight="1">
      <c r="A40" s="59">
        <f t="shared" si="1"/>
        <v>30</v>
      </c>
      <c r="B40" s="159" t="s">
        <v>1206</v>
      </c>
      <c r="C40" s="167" t="s">
        <v>1185</v>
      </c>
      <c r="D40" s="83" t="s">
        <v>1207</v>
      </c>
      <c r="E40" s="83" t="s">
        <v>13</v>
      </c>
      <c r="F40" s="83">
        <v>4</v>
      </c>
      <c r="G40" s="83">
        <v>2</v>
      </c>
      <c r="H40" s="83"/>
      <c r="I40" s="128">
        <v>7999.29</v>
      </c>
      <c r="J40" s="129"/>
      <c r="K40" s="130">
        <v>15115.73</v>
      </c>
      <c r="L40" s="83"/>
      <c r="M40" s="163"/>
      <c r="N40" s="108" t="s">
        <v>796</v>
      </c>
      <c r="O40" s="83"/>
      <c r="P40" s="194">
        <v>46082</v>
      </c>
    </row>
    <row r="41" spans="1:16" ht="18.75" customHeight="1">
      <c r="A41" s="202" t="s">
        <v>12</v>
      </c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</row>
    <row r="42" spans="1:16" s="98" customFormat="1" ht="12.75" customHeight="1">
      <c r="A42" s="110">
        <f>A40+1</f>
        <v>31</v>
      </c>
      <c r="B42" s="52" t="s">
        <v>313</v>
      </c>
      <c r="C42" s="93" t="s">
        <v>49</v>
      </c>
      <c r="D42" s="87" t="s">
        <v>50</v>
      </c>
      <c r="E42" s="93" t="s">
        <v>13</v>
      </c>
      <c r="F42" s="83">
        <v>12</v>
      </c>
      <c r="G42" s="83">
        <v>5</v>
      </c>
      <c r="H42" s="83"/>
      <c r="I42" s="128">
        <v>1053.3499999999999</v>
      </c>
      <c r="J42" s="129"/>
      <c r="K42" s="130">
        <v>1345.43</v>
      </c>
      <c r="L42" s="83"/>
      <c r="M42" s="163"/>
      <c r="N42" s="99" t="s">
        <v>642</v>
      </c>
      <c r="O42" s="83">
        <v>586</v>
      </c>
      <c r="P42" s="109">
        <v>43617</v>
      </c>
    </row>
    <row r="43" spans="1:16" s="98" customFormat="1" ht="12.75" customHeight="1">
      <c r="A43" s="110">
        <f>A42+1</f>
        <v>32</v>
      </c>
      <c r="B43" s="52" t="s">
        <v>313</v>
      </c>
      <c r="C43" s="93" t="s">
        <v>49</v>
      </c>
      <c r="D43" s="87" t="s">
        <v>50</v>
      </c>
      <c r="E43" s="86" t="s">
        <v>13</v>
      </c>
      <c r="F43" s="83">
        <v>12</v>
      </c>
      <c r="G43" s="83">
        <v>5</v>
      </c>
      <c r="H43" s="83"/>
      <c r="I43" s="128">
        <v>1249.8399999999999</v>
      </c>
      <c r="J43" s="129"/>
      <c r="K43" s="130">
        <v>1578.5</v>
      </c>
      <c r="L43" s="83"/>
      <c r="M43" s="163"/>
      <c r="N43" s="99" t="s">
        <v>642</v>
      </c>
      <c r="O43" s="83"/>
      <c r="P43" s="109">
        <v>44562</v>
      </c>
    </row>
    <row r="44" spans="1:16" s="98" customFormat="1" ht="12.75" customHeight="1">
      <c r="A44" s="110">
        <f t="shared" ref="A44:A51" si="2">A43+1</f>
        <v>33</v>
      </c>
      <c r="B44" s="52" t="s">
        <v>313</v>
      </c>
      <c r="C44" s="93" t="s">
        <v>49</v>
      </c>
      <c r="D44" s="87" t="s">
        <v>50</v>
      </c>
      <c r="E44" s="86" t="s">
        <v>13</v>
      </c>
      <c r="F44" s="83">
        <v>12</v>
      </c>
      <c r="G44" s="83">
        <v>5</v>
      </c>
      <c r="H44" s="83" t="s">
        <v>885</v>
      </c>
      <c r="I44" s="128">
        <v>1235.06</v>
      </c>
      <c r="J44" s="129"/>
      <c r="K44" s="130">
        <v>1563.71</v>
      </c>
      <c r="L44" s="83"/>
      <c r="M44" s="163"/>
      <c r="N44" s="99" t="s">
        <v>642</v>
      </c>
      <c r="O44" s="83"/>
      <c r="P44" s="109">
        <v>44713</v>
      </c>
    </row>
    <row r="45" spans="1:16" ht="12.75" customHeight="1">
      <c r="A45" s="110">
        <f t="shared" si="2"/>
        <v>34</v>
      </c>
      <c r="B45" s="52" t="s">
        <v>313</v>
      </c>
      <c r="C45" s="14" t="s">
        <v>49</v>
      </c>
      <c r="D45" s="15" t="s">
        <v>50</v>
      </c>
      <c r="E45" s="57" t="s">
        <v>13</v>
      </c>
      <c r="F45" s="26">
        <v>12</v>
      </c>
      <c r="G45" s="26">
        <v>6</v>
      </c>
      <c r="I45" s="128">
        <v>1019.58</v>
      </c>
      <c r="K45" s="130">
        <v>1194.49</v>
      </c>
      <c r="L45" s="47">
        <v>0</v>
      </c>
      <c r="M45" s="103"/>
      <c r="N45" s="99" t="s">
        <v>642</v>
      </c>
      <c r="O45" s="68">
        <v>586</v>
      </c>
      <c r="P45" s="66">
        <v>43257</v>
      </c>
    </row>
    <row r="46" spans="1:16" ht="12.75" customHeight="1">
      <c r="A46" s="110">
        <f t="shared" si="2"/>
        <v>35</v>
      </c>
      <c r="B46" s="52" t="s">
        <v>313</v>
      </c>
      <c r="C46" s="14" t="s">
        <v>49</v>
      </c>
      <c r="D46" s="15" t="s">
        <v>50</v>
      </c>
      <c r="E46" s="57" t="s">
        <v>13</v>
      </c>
      <c r="F46" s="26">
        <v>12</v>
      </c>
      <c r="G46" s="26">
        <v>5</v>
      </c>
      <c r="H46" s="44"/>
      <c r="I46" s="128">
        <v>1280.1500000000001</v>
      </c>
      <c r="J46" s="131"/>
      <c r="K46" s="130">
        <v>1671.9</v>
      </c>
      <c r="L46" s="47"/>
      <c r="M46" s="103"/>
      <c r="N46" s="99" t="s">
        <v>642</v>
      </c>
      <c r="O46" s="68"/>
      <c r="P46" s="66">
        <v>45047</v>
      </c>
    </row>
    <row r="47" spans="1:16" ht="12.75" customHeight="1">
      <c r="A47" s="110">
        <f t="shared" si="2"/>
        <v>36</v>
      </c>
      <c r="B47" s="52" t="s">
        <v>313</v>
      </c>
      <c r="C47" s="14" t="s">
        <v>49</v>
      </c>
      <c r="D47" s="15" t="s">
        <v>50</v>
      </c>
      <c r="E47" s="57" t="s">
        <v>13</v>
      </c>
      <c r="F47" s="26">
        <v>12</v>
      </c>
      <c r="G47" s="26">
        <v>5</v>
      </c>
      <c r="H47" s="44"/>
      <c r="I47" s="128">
        <v>1966.76</v>
      </c>
      <c r="J47" s="131"/>
      <c r="K47" s="130">
        <v>2358.54</v>
      </c>
      <c r="L47" s="47"/>
      <c r="M47" s="103"/>
      <c r="N47" s="99" t="s">
        <v>642</v>
      </c>
      <c r="O47" s="68"/>
      <c r="P47" s="66">
        <v>45231</v>
      </c>
    </row>
    <row r="48" spans="1:16" ht="12.75" customHeight="1">
      <c r="A48" s="110">
        <f t="shared" si="2"/>
        <v>37</v>
      </c>
      <c r="B48" s="94" t="s">
        <v>313</v>
      </c>
      <c r="C48" s="14" t="s">
        <v>49</v>
      </c>
      <c r="D48" s="15" t="s">
        <v>50</v>
      </c>
      <c r="E48" s="57" t="s">
        <v>13</v>
      </c>
      <c r="F48" s="26">
        <v>12</v>
      </c>
      <c r="G48" s="26">
        <v>5</v>
      </c>
      <c r="H48" s="44"/>
      <c r="I48" s="128">
        <v>2059.84</v>
      </c>
      <c r="J48" s="131"/>
      <c r="K48" s="130">
        <v>2556.13</v>
      </c>
      <c r="L48" s="47"/>
      <c r="M48" s="103"/>
      <c r="N48" s="99" t="s">
        <v>642</v>
      </c>
      <c r="O48" s="68"/>
      <c r="P48" s="66">
        <v>45352</v>
      </c>
    </row>
    <row r="49" spans="1:16" ht="12.75" customHeight="1">
      <c r="A49" s="110">
        <f t="shared" si="2"/>
        <v>38</v>
      </c>
      <c r="B49" s="94" t="s">
        <v>313</v>
      </c>
      <c r="C49" s="14" t="s">
        <v>49</v>
      </c>
      <c r="D49" s="15" t="s">
        <v>50</v>
      </c>
      <c r="E49" s="57" t="s">
        <v>13</v>
      </c>
      <c r="F49" s="172">
        <v>10</v>
      </c>
      <c r="G49" s="172">
        <v>8</v>
      </c>
      <c r="I49" s="128">
        <v>2130.75</v>
      </c>
      <c r="K49" s="130">
        <v>2237.1</v>
      </c>
      <c r="N49" s="99" t="s">
        <v>642</v>
      </c>
      <c r="O49" s="68"/>
      <c r="P49" s="66">
        <v>45352</v>
      </c>
    </row>
    <row r="50" spans="1:16" ht="12.75" customHeight="1">
      <c r="A50" s="110">
        <f t="shared" si="2"/>
        <v>39</v>
      </c>
      <c r="B50" s="183" t="s">
        <v>313</v>
      </c>
      <c r="C50" s="52" t="s">
        <v>1197</v>
      </c>
      <c r="D50" s="52" t="s">
        <v>50</v>
      </c>
      <c r="E50" s="83" t="s">
        <v>13</v>
      </c>
      <c r="F50" s="52">
        <v>12</v>
      </c>
      <c r="G50" s="52">
        <v>5</v>
      </c>
      <c r="H50" s="52"/>
      <c r="I50" s="128">
        <v>2132.4899999999998</v>
      </c>
      <c r="J50" s="52"/>
      <c r="K50" s="128">
        <v>2703.37</v>
      </c>
      <c r="L50" s="52"/>
      <c r="M50" s="189"/>
      <c r="N50" s="52" t="s">
        <v>1168</v>
      </c>
      <c r="O50" s="52"/>
      <c r="P50" s="109">
        <v>45689</v>
      </c>
    </row>
    <row r="51" spans="1:16" ht="12.75" customHeight="1">
      <c r="A51" s="110">
        <f t="shared" si="2"/>
        <v>40</v>
      </c>
      <c r="B51" s="183" t="s">
        <v>313</v>
      </c>
      <c r="C51" s="52" t="s">
        <v>1197</v>
      </c>
      <c r="D51" s="52" t="s">
        <v>50</v>
      </c>
      <c r="E51" s="83" t="s">
        <v>13</v>
      </c>
      <c r="F51" s="52">
        <v>10</v>
      </c>
      <c r="G51" s="52">
        <v>8</v>
      </c>
      <c r="H51" s="52"/>
      <c r="I51" s="128">
        <v>2214.04</v>
      </c>
      <c r="J51" s="52"/>
      <c r="K51" s="128">
        <v>2336.37</v>
      </c>
      <c r="L51" s="52"/>
      <c r="M51" s="189"/>
      <c r="N51" s="52" t="s">
        <v>1168</v>
      </c>
      <c r="O51" s="52"/>
      <c r="P51" s="109">
        <v>45689</v>
      </c>
    </row>
    <row r="52" spans="1:16" ht="15.75" customHeight="1">
      <c r="A52" s="202" t="s">
        <v>14</v>
      </c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</row>
    <row r="53" spans="1:16" ht="12.75" customHeight="1">
      <c r="A53" s="13">
        <f>A51+1</f>
        <v>41</v>
      </c>
      <c r="B53" s="156" t="s">
        <v>314</v>
      </c>
      <c r="C53" s="14" t="s">
        <v>51</v>
      </c>
      <c r="D53" s="15" t="s">
        <v>52</v>
      </c>
      <c r="E53" s="57" t="s">
        <v>13</v>
      </c>
      <c r="F53" s="26">
        <v>15</v>
      </c>
      <c r="G53" s="26">
        <v>10</v>
      </c>
      <c r="H53" s="44">
        <v>890.83</v>
      </c>
      <c r="I53" s="103"/>
      <c r="J53" s="131">
        <v>1162.58</v>
      </c>
      <c r="K53" s="132"/>
      <c r="L53" s="47">
        <v>0</v>
      </c>
      <c r="M53" s="103"/>
      <c r="N53" s="38"/>
      <c r="O53" s="68"/>
      <c r="P53" s="66">
        <v>41275</v>
      </c>
    </row>
    <row r="54" spans="1:16" ht="12.75" customHeight="1">
      <c r="A54" s="13">
        <f>A53+1</f>
        <v>42</v>
      </c>
      <c r="B54" s="32" t="s">
        <v>315</v>
      </c>
      <c r="C54" s="14" t="s">
        <v>53</v>
      </c>
      <c r="D54" s="15" t="s">
        <v>54</v>
      </c>
      <c r="E54" s="57" t="s">
        <v>13</v>
      </c>
      <c r="F54" s="31" t="s">
        <v>742</v>
      </c>
      <c r="G54" s="26" t="s">
        <v>15</v>
      </c>
      <c r="H54" s="44">
        <v>2773.49</v>
      </c>
      <c r="I54" s="103">
        <v>2774.77</v>
      </c>
      <c r="J54" s="131">
        <v>2878.59</v>
      </c>
      <c r="K54" s="132">
        <v>2979.08</v>
      </c>
      <c r="L54" s="47">
        <v>0</v>
      </c>
      <c r="M54" s="103"/>
      <c r="N54" s="99" t="s">
        <v>642</v>
      </c>
      <c r="O54" s="68" t="s">
        <v>693</v>
      </c>
      <c r="P54" s="66">
        <v>43617</v>
      </c>
    </row>
    <row r="55" spans="1:16" ht="12.75" customHeight="1">
      <c r="A55" s="13">
        <f t="shared" ref="A55:A118" si="3">A54+1</f>
        <v>43</v>
      </c>
      <c r="B55" s="32" t="s">
        <v>315</v>
      </c>
      <c r="C55" s="14" t="s">
        <v>53</v>
      </c>
      <c r="D55" s="15" t="s">
        <v>54</v>
      </c>
      <c r="E55" s="57" t="s">
        <v>13</v>
      </c>
      <c r="F55" s="31" t="s">
        <v>874</v>
      </c>
      <c r="G55" s="31" t="s">
        <v>15</v>
      </c>
      <c r="H55" s="44"/>
      <c r="I55" s="103">
        <v>2823.9</v>
      </c>
      <c r="J55" s="131"/>
      <c r="K55" s="132">
        <v>2979.08</v>
      </c>
      <c r="L55" s="47"/>
      <c r="M55" s="103"/>
      <c r="N55" s="99" t="s">
        <v>642</v>
      </c>
      <c r="O55" s="68" t="s">
        <v>693</v>
      </c>
      <c r="P55" s="66">
        <v>43617</v>
      </c>
    </row>
    <row r="56" spans="1:16" ht="12.75" customHeight="1">
      <c r="A56" s="13">
        <f t="shared" si="3"/>
        <v>44</v>
      </c>
      <c r="B56" s="32" t="s">
        <v>315</v>
      </c>
      <c r="C56" s="14" t="s">
        <v>53</v>
      </c>
      <c r="D56" s="24" t="s">
        <v>52</v>
      </c>
      <c r="E56" s="25" t="s">
        <v>13</v>
      </c>
      <c r="F56" s="31" t="s">
        <v>976</v>
      </c>
      <c r="G56" s="31"/>
      <c r="H56" s="44"/>
      <c r="I56" s="103">
        <v>30042.13</v>
      </c>
      <c r="J56" s="131"/>
      <c r="K56" s="132"/>
      <c r="L56" s="47"/>
      <c r="M56" s="103"/>
      <c r="N56" s="99" t="s">
        <v>642</v>
      </c>
      <c r="O56" s="68"/>
      <c r="P56" s="66">
        <v>44562</v>
      </c>
    </row>
    <row r="57" spans="1:16" ht="12.75" customHeight="1">
      <c r="A57" s="13">
        <f t="shared" si="3"/>
        <v>45</v>
      </c>
      <c r="B57" s="32" t="s">
        <v>315</v>
      </c>
      <c r="C57" s="14" t="s">
        <v>53</v>
      </c>
      <c r="D57" s="24" t="s">
        <v>52</v>
      </c>
      <c r="E57" s="25" t="s">
        <v>13</v>
      </c>
      <c r="F57" s="31" t="s">
        <v>976</v>
      </c>
      <c r="G57" s="31"/>
      <c r="H57" s="44"/>
      <c r="I57" s="103">
        <v>30042.13</v>
      </c>
      <c r="J57" s="131"/>
      <c r="K57" s="132"/>
      <c r="L57" s="47"/>
      <c r="M57" s="103"/>
      <c r="N57" s="99" t="s">
        <v>642</v>
      </c>
      <c r="O57" s="68"/>
      <c r="P57" s="66">
        <v>44562</v>
      </c>
    </row>
    <row r="58" spans="1:16" ht="12.75" customHeight="1">
      <c r="A58" s="13">
        <f t="shared" si="3"/>
        <v>46</v>
      </c>
      <c r="B58" s="156" t="s">
        <v>315</v>
      </c>
      <c r="C58" s="14" t="s">
        <v>53</v>
      </c>
      <c r="D58" s="24" t="s">
        <v>52</v>
      </c>
      <c r="E58" s="25" t="s">
        <v>13</v>
      </c>
      <c r="F58" s="31" t="s">
        <v>976</v>
      </c>
      <c r="G58" s="31"/>
      <c r="H58" s="44"/>
      <c r="I58" s="103">
        <v>31291.02</v>
      </c>
      <c r="J58" s="131"/>
      <c r="K58" s="132"/>
      <c r="L58" s="47"/>
      <c r="M58" s="103"/>
      <c r="N58" s="99" t="s">
        <v>642</v>
      </c>
      <c r="O58" s="68"/>
      <c r="P58" s="66">
        <v>45352</v>
      </c>
    </row>
    <row r="59" spans="1:16" ht="12.75" customHeight="1">
      <c r="A59" s="13">
        <f t="shared" si="3"/>
        <v>47</v>
      </c>
      <c r="B59" s="52" t="s">
        <v>649</v>
      </c>
      <c r="C59" s="23" t="s">
        <v>570</v>
      </c>
      <c r="D59" s="52" t="s">
        <v>571</v>
      </c>
      <c r="E59" s="23" t="s">
        <v>779</v>
      </c>
      <c r="F59" s="27">
        <v>20</v>
      </c>
      <c r="G59" s="27">
        <v>10</v>
      </c>
      <c r="H59" s="44">
        <v>1328.27</v>
      </c>
      <c r="I59" s="103">
        <v>1364.54</v>
      </c>
      <c r="J59" s="131">
        <v>1868.7</v>
      </c>
      <c r="K59" s="132">
        <v>1909.39</v>
      </c>
      <c r="L59" s="47">
        <v>9269.3700000000008</v>
      </c>
      <c r="M59" s="103">
        <v>9403.94</v>
      </c>
      <c r="N59" s="38" t="s">
        <v>796</v>
      </c>
      <c r="O59" s="63">
        <v>604</v>
      </c>
      <c r="P59" s="67">
        <v>43617</v>
      </c>
    </row>
    <row r="60" spans="1:16" ht="12.75" customHeight="1">
      <c r="A60" s="13">
        <f t="shared" si="3"/>
        <v>48</v>
      </c>
      <c r="B60" s="32" t="s">
        <v>649</v>
      </c>
      <c r="C60" s="23" t="s">
        <v>570</v>
      </c>
      <c r="D60" s="52" t="s">
        <v>571</v>
      </c>
      <c r="E60" s="23" t="s">
        <v>779</v>
      </c>
      <c r="F60" s="27">
        <v>20</v>
      </c>
      <c r="G60" s="27">
        <v>10</v>
      </c>
      <c r="H60" s="44"/>
      <c r="I60" s="103">
        <v>1093.6199999999999</v>
      </c>
      <c r="J60" s="131"/>
      <c r="K60" s="132">
        <v>1761.59</v>
      </c>
      <c r="L60" s="47"/>
      <c r="M60" s="103">
        <v>13359.36</v>
      </c>
      <c r="N60" s="38" t="s">
        <v>796</v>
      </c>
      <c r="O60" s="63"/>
      <c r="P60" s="67">
        <v>44562</v>
      </c>
    </row>
    <row r="61" spans="1:16" ht="12.75" customHeight="1">
      <c r="A61" s="13">
        <f t="shared" si="3"/>
        <v>49</v>
      </c>
      <c r="B61" s="32" t="s">
        <v>1017</v>
      </c>
      <c r="C61" s="23" t="s">
        <v>570</v>
      </c>
      <c r="D61" s="52" t="s">
        <v>571</v>
      </c>
      <c r="E61" s="23" t="s">
        <v>779</v>
      </c>
      <c r="F61" s="46" t="s">
        <v>977</v>
      </c>
      <c r="G61" s="27"/>
      <c r="H61" s="44"/>
      <c r="I61" s="103">
        <v>37545.379999999997</v>
      </c>
      <c r="J61" s="131"/>
      <c r="K61" s="132"/>
      <c r="L61" s="47"/>
      <c r="M61" s="103"/>
      <c r="N61" s="38" t="s">
        <v>796</v>
      </c>
      <c r="O61" s="63"/>
      <c r="P61" s="67">
        <v>44562</v>
      </c>
    </row>
    <row r="62" spans="1:16" ht="12.75" customHeight="1">
      <c r="A62" s="13">
        <f t="shared" si="3"/>
        <v>50</v>
      </c>
      <c r="B62" s="32" t="s">
        <v>649</v>
      </c>
      <c r="C62" s="23" t="s">
        <v>570</v>
      </c>
      <c r="D62" s="52" t="s">
        <v>571</v>
      </c>
      <c r="E62" s="23" t="s">
        <v>779</v>
      </c>
      <c r="F62" s="27">
        <v>20</v>
      </c>
      <c r="G62" s="27">
        <v>10</v>
      </c>
      <c r="H62" s="44"/>
      <c r="I62" s="103">
        <v>1169.9100000000001</v>
      </c>
      <c r="J62" s="131"/>
      <c r="K62" s="132">
        <v>1888.6</v>
      </c>
      <c r="L62" s="47"/>
      <c r="M62" s="103"/>
      <c r="N62" s="38" t="s">
        <v>796</v>
      </c>
      <c r="O62" s="63"/>
      <c r="P62" s="67">
        <v>45078</v>
      </c>
    </row>
    <row r="63" spans="1:16" ht="12.75" customHeight="1">
      <c r="A63" s="13">
        <f t="shared" si="3"/>
        <v>51</v>
      </c>
      <c r="B63" s="32" t="s">
        <v>1017</v>
      </c>
      <c r="C63" s="23" t="s">
        <v>570</v>
      </c>
      <c r="D63" s="52" t="s">
        <v>571</v>
      </c>
      <c r="E63" s="23" t="s">
        <v>779</v>
      </c>
      <c r="F63" s="46" t="s">
        <v>977</v>
      </c>
      <c r="G63" s="27"/>
      <c r="H63" s="44"/>
      <c r="I63" s="103">
        <v>44992.88</v>
      </c>
      <c r="J63" s="131"/>
      <c r="K63" s="132"/>
      <c r="L63" s="47"/>
      <c r="M63" s="103"/>
      <c r="N63" s="38" t="s">
        <v>796</v>
      </c>
      <c r="O63" s="63"/>
      <c r="P63" s="67">
        <v>45078</v>
      </c>
    </row>
    <row r="64" spans="1:16" ht="12.75" customHeight="1">
      <c r="A64" s="13">
        <f t="shared" si="3"/>
        <v>52</v>
      </c>
      <c r="B64" s="32" t="s">
        <v>649</v>
      </c>
      <c r="C64" s="23" t="s">
        <v>570</v>
      </c>
      <c r="D64" s="52" t="s">
        <v>571</v>
      </c>
      <c r="E64" s="23" t="s">
        <v>779</v>
      </c>
      <c r="F64" s="27">
        <v>20</v>
      </c>
      <c r="G64" s="27">
        <v>10</v>
      </c>
      <c r="H64" s="44"/>
      <c r="I64" s="103">
        <v>1345.56</v>
      </c>
      <c r="J64" s="131"/>
      <c r="K64" s="132">
        <v>2172.2399999999998</v>
      </c>
      <c r="L64" s="47"/>
      <c r="M64" s="103">
        <v>16533.63</v>
      </c>
      <c r="N64" s="38" t="s">
        <v>796</v>
      </c>
      <c r="O64" s="63"/>
      <c r="P64" s="67">
        <v>45352</v>
      </c>
    </row>
    <row r="65" spans="1:16" ht="12.75" customHeight="1">
      <c r="A65" s="13">
        <f t="shared" si="3"/>
        <v>53</v>
      </c>
      <c r="B65" s="32" t="s">
        <v>649</v>
      </c>
      <c r="C65" s="23" t="s">
        <v>570</v>
      </c>
      <c r="D65" s="52" t="s">
        <v>571</v>
      </c>
      <c r="E65" s="23" t="s">
        <v>779</v>
      </c>
      <c r="F65" s="27">
        <v>19</v>
      </c>
      <c r="G65" s="27">
        <v>11</v>
      </c>
      <c r="H65" s="44"/>
      <c r="I65" s="103">
        <v>1389.06</v>
      </c>
      <c r="J65" s="131"/>
      <c r="K65" s="132">
        <v>2021.94</v>
      </c>
      <c r="L65" s="47"/>
      <c r="M65" s="103"/>
      <c r="N65" s="38" t="s">
        <v>796</v>
      </c>
      <c r="O65" s="63"/>
      <c r="P65" s="67">
        <v>45352</v>
      </c>
    </row>
    <row r="66" spans="1:16" ht="12.75" customHeight="1">
      <c r="A66" s="13">
        <f t="shared" si="3"/>
        <v>54</v>
      </c>
      <c r="B66" s="32" t="s">
        <v>649</v>
      </c>
      <c r="C66" s="23" t="s">
        <v>570</v>
      </c>
      <c r="D66" s="52" t="s">
        <v>571</v>
      </c>
      <c r="E66" s="23" t="s">
        <v>779</v>
      </c>
      <c r="F66" s="27">
        <v>18</v>
      </c>
      <c r="G66" s="27">
        <v>12</v>
      </c>
      <c r="H66" s="44"/>
      <c r="I66" s="103">
        <v>1437.4</v>
      </c>
      <c r="J66" s="131"/>
      <c r="K66" s="132">
        <v>1896.66</v>
      </c>
      <c r="L66" s="47"/>
      <c r="M66" s="103"/>
      <c r="N66" s="38" t="s">
        <v>796</v>
      </c>
      <c r="O66" s="63"/>
      <c r="P66" s="67">
        <v>45352</v>
      </c>
    </row>
    <row r="67" spans="1:16" ht="12.75" customHeight="1">
      <c r="A67" s="13">
        <f t="shared" si="3"/>
        <v>55</v>
      </c>
      <c r="B67" s="32" t="s">
        <v>649</v>
      </c>
      <c r="C67" s="23" t="s">
        <v>570</v>
      </c>
      <c r="D67" s="52" t="s">
        <v>571</v>
      </c>
      <c r="E67" s="23" t="s">
        <v>779</v>
      </c>
      <c r="F67" s="27">
        <v>17</v>
      </c>
      <c r="G67" s="27">
        <v>13</v>
      </c>
      <c r="H67" s="44"/>
      <c r="I67" s="103">
        <v>1491.43</v>
      </c>
      <c r="J67" s="131"/>
      <c r="K67" s="132">
        <v>1790.69</v>
      </c>
      <c r="L67" s="47"/>
      <c r="M67" s="103"/>
      <c r="N67" s="38" t="s">
        <v>796</v>
      </c>
      <c r="O67" s="63"/>
      <c r="P67" s="67">
        <v>45352</v>
      </c>
    </row>
    <row r="68" spans="1:16" ht="12.75" customHeight="1">
      <c r="A68" s="13">
        <f t="shared" si="3"/>
        <v>56</v>
      </c>
      <c r="B68" s="32" t="s">
        <v>649</v>
      </c>
      <c r="C68" s="23" t="s">
        <v>570</v>
      </c>
      <c r="D68" s="52" t="s">
        <v>571</v>
      </c>
      <c r="E68" s="23" t="s">
        <v>779</v>
      </c>
      <c r="F68" s="27">
        <v>16</v>
      </c>
      <c r="G68" s="27">
        <v>14</v>
      </c>
      <c r="H68" s="44"/>
      <c r="I68" s="103">
        <v>1552.24</v>
      </c>
      <c r="J68" s="131"/>
      <c r="K68" s="132">
        <v>1699.82</v>
      </c>
      <c r="L68" s="47"/>
      <c r="M68" s="103"/>
      <c r="N68" s="38" t="s">
        <v>796</v>
      </c>
      <c r="O68" s="63"/>
      <c r="P68" s="67">
        <v>45352</v>
      </c>
    </row>
    <row r="69" spans="1:16" ht="12.75" customHeight="1">
      <c r="A69" s="13">
        <f t="shared" si="3"/>
        <v>57</v>
      </c>
      <c r="B69" s="32" t="s">
        <v>649</v>
      </c>
      <c r="C69" s="23" t="s">
        <v>570</v>
      </c>
      <c r="D69" s="52" t="s">
        <v>571</v>
      </c>
      <c r="E69" s="23" t="s">
        <v>779</v>
      </c>
      <c r="F69" s="27">
        <v>15</v>
      </c>
      <c r="G69" s="27"/>
      <c r="H69" s="44"/>
      <c r="I69" s="103">
        <v>1621.12</v>
      </c>
      <c r="J69" s="131"/>
      <c r="K69" s="132"/>
      <c r="L69" s="47"/>
      <c r="M69" s="103"/>
      <c r="N69" s="38" t="s">
        <v>796</v>
      </c>
      <c r="O69" s="63"/>
      <c r="P69" s="67">
        <v>45352</v>
      </c>
    </row>
    <row r="70" spans="1:16" ht="12.75" customHeight="1">
      <c r="A70" s="13">
        <f t="shared" si="3"/>
        <v>58</v>
      </c>
      <c r="B70" s="32" t="s">
        <v>649</v>
      </c>
      <c r="C70" s="23" t="s">
        <v>570</v>
      </c>
      <c r="D70" s="52" t="s">
        <v>571</v>
      </c>
      <c r="E70" s="23" t="s">
        <v>779</v>
      </c>
      <c r="F70" s="27">
        <v>20</v>
      </c>
      <c r="G70" s="27">
        <v>10</v>
      </c>
      <c r="H70" s="44"/>
      <c r="I70" s="103">
        <v>1583.95</v>
      </c>
      <c r="J70" s="131"/>
      <c r="K70" s="132">
        <v>2555.64</v>
      </c>
      <c r="L70" s="47"/>
      <c r="M70" s="103">
        <v>19433.599999999999</v>
      </c>
      <c r="N70" s="38" t="s">
        <v>796</v>
      </c>
      <c r="O70" s="63"/>
      <c r="P70" s="67">
        <v>45689</v>
      </c>
    </row>
    <row r="71" spans="1:16" ht="12.75" customHeight="1">
      <c r="A71" s="13">
        <f t="shared" si="3"/>
        <v>59</v>
      </c>
      <c r="B71" s="32" t="s">
        <v>649</v>
      </c>
      <c r="C71" s="23" t="s">
        <v>570</v>
      </c>
      <c r="D71" s="52" t="s">
        <v>571</v>
      </c>
      <c r="E71" s="23" t="s">
        <v>779</v>
      </c>
      <c r="F71" s="27">
        <v>19</v>
      </c>
      <c r="G71" s="27">
        <v>11</v>
      </c>
      <c r="H71" s="44"/>
      <c r="I71" s="103">
        <v>1635.12</v>
      </c>
      <c r="J71" s="131"/>
      <c r="K71" s="132">
        <v>2378.9499999999998</v>
      </c>
      <c r="L71" s="47"/>
      <c r="M71" s="103"/>
      <c r="N71" s="38" t="s">
        <v>796</v>
      </c>
      <c r="O71" s="63"/>
      <c r="P71" s="67">
        <v>45689</v>
      </c>
    </row>
    <row r="72" spans="1:16" ht="12.75" customHeight="1">
      <c r="A72" s="13">
        <f t="shared" si="3"/>
        <v>60</v>
      </c>
      <c r="B72" s="32" t="s">
        <v>649</v>
      </c>
      <c r="C72" s="23" t="s">
        <v>570</v>
      </c>
      <c r="D72" s="52" t="s">
        <v>571</v>
      </c>
      <c r="E72" s="23" t="s">
        <v>779</v>
      </c>
      <c r="F72" s="27">
        <v>18</v>
      </c>
      <c r="G72" s="27">
        <v>12</v>
      </c>
      <c r="H72" s="44"/>
      <c r="I72" s="103">
        <v>1691.92</v>
      </c>
      <c r="J72" s="131"/>
      <c r="K72" s="132">
        <v>2231.7199999999998</v>
      </c>
      <c r="L72" s="47"/>
      <c r="M72" s="103"/>
      <c r="N72" s="38" t="s">
        <v>796</v>
      </c>
      <c r="O72" s="63"/>
      <c r="P72" s="67">
        <v>45689</v>
      </c>
    </row>
    <row r="73" spans="1:16" ht="12.75" customHeight="1">
      <c r="A73" s="13">
        <f t="shared" si="3"/>
        <v>61</v>
      </c>
      <c r="B73" s="32" t="s">
        <v>649</v>
      </c>
      <c r="C73" s="23" t="s">
        <v>570</v>
      </c>
      <c r="D73" s="52" t="s">
        <v>571</v>
      </c>
      <c r="E73" s="23" t="s">
        <v>779</v>
      </c>
      <c r="F73" s="27">
        <v>17</v>
      </c>
      <c r="G73" s="27">
        <v>13</v>
      </c>
      <c r="H73" s="44"/>
      <c r="I73" s="103">
        <v>1755.41</v>
      </c>
      <c r="J73" s="131"/>
      <c r="K73" s="132">
        <v>2107.16</v>
      </c>
      <c r="L73" s="47"/>
      <c r="M73" s="103"/>
      <c r="N73" s="38" t="s">
        <v>796</v>
      </c>
      <c r="O73" s="63"/>
      <c r="P73" s="67">
        <v>45689</v>
      </c>
    </row>
    <row r="74" spans="1:16" ht="12.75" customHeight="1">
      <c r="A74" s="13">
        <f t="shared" si="3"/>
        <v>62</v>
      </c>
      <c r="B74" s="32" t="s">
        <v>649</v>
      </c>
      <c r="C74" s="23" t="s">
        <v>570</v>
      </c>
      <c r="D74" s="52" t="s">
        <v>571</v>
      </c>
      <c r="E74" s="23" t="s">
        <v>779</v>
      </c>
      <c r="F74" s="27">
        <v>16</v>
      </c>
      <c r="G74" s="27">
        <v>14</v>
      </c>
      <c r="H74" s="44"/>
      <c r="I74" s="103">
        <v>1826.87</v>
      </c>
      <c r="J74" s="131"/>
      <c r="K74" s="138">
        <v>2000.4</v>
      </c>
      <c r="L74" s="47"/>
      <c r="M74" s="103"/>
      <c r="N74" s="38" t="s">
        <v>796</v>
      </c>
      <c r="O74" s="63"/>
      <c r="P74" s="67">
        <v>45689</v>
      </c>
    </row>
    <row r="75" spans="1:16" ht="12.75" customHeight="1">
      <c r="A75" s="13">
        <f t="shared" si="3"/>
        <v>63</v>
      </c>
      <c r="B75" s="32" t="s">
        <v>649</v>
      </c>
      <c r="C75" s="23" t="s">
        <v>570</v>
      </c>
      <c r="D75" s="52" t="s">
        <v>571</v>
      </c>
      <c r="E75" s="23" t="s">
        <v>779</v>
      </c>
      <c r="F75" s="27">
        <v>15</v>
      </c>
      <c r="G75" s="27"/>
      <c r="H75" s="44"/>
      <c r="I75" s="103">
        <v>1907.82</v>
      </c>
      <c r="J75" s="131"/>
      <c r="K75" s="132"/>
      <c r="L75" s="47"/>
      <c r="M75" s="103"/>
      <c r="N75" s="38" t="s">
        <v>796</v>
      </c>
      <c r="O75" s="63"/>
      <c r="P75" s="67">
        <v>45689</v>
      </c>
    </row>
    <row r="76" spans="1:16" ht="12.75" customHeight="1">
      <c r="A76" s="13">
        <f t="shared" si="3"/>
        <v>64</v>
      </c>
      <c r="B76" s="32" t="s">
        <v>1017</v>
      </c>
      <c r="C76" s="23" t="s">
        <v>570</v>
      </c>
      <c r="D76" s="52" t="s">
        <v>571</v>
      </c>
      <c r="E76" s="23" t="s">
        <v>779</v>
      </c>
      <c r="F76" s="46" t="s">
        <v>977</v>
      </c>
      <c r="G76" s="27"/>
      <c r="H76" s="44"/>
      <c r="I76" s="103">
        <v>48372.160000000003</v>
      </c>
      <c r="J76" s="131"/>
      <c r="K76" s="132"/>
      <c r="L76" s="47"/>
      <c r="M76" s="103"/>
      <c r="N76" s="38" t="s">
        <v>796</v>
      </c>
      <c r="O76" s="63"/>
      <c r="P76" s="67">
        <v>45352</v>
      </c>
    </row>
    <row r="77" spans="1:16" ht="12.75" customHeight="1">
      <c r="A77" s="13">
        <f t="shared" si="3"/>
        <v>65</v>
      </c>
      <c r="B77" s="32" t="s">
        <v>1017</v>
      </c>
      <c r="C77" s="23" t="s">
        <v>570</v>
      </c>
      <c r="D77" s="52" t="s">
        <v>571</v>
      </c>
      <c r="E77" s="23" t="s">
        <v>779</v>
      </c>
      <c r="F77" s="46" t="s">
        <v>977</v>
      </c>
      <c r="G77" s="27"/>
      <c r="H77" s="44"/>
      <c r="I77" s="103">
        <v>53772.28</v>
      </c>
      <c r="J77" s="131"/>
      <c r="K77" s="132"/>
      <c r="L77" s="47"/>
      <c r="M77" s="103"/>
      <c r="N77" s="38" t="s">
        <v>796</v>
      </c>
      <c r="O77" s="63"/>
      <c r="P77" s="67">
        <v>45689</v>
      </c>
    </row>
    <row r="78" spans="1:16" ht="12.75" customHeight="1">
      <c r="A78" s="13">
        <f t="shared" si="3"/>
        <v>66</v>
      </c>
      <c r="B78" s="156" t="s">
        <v>649</v>
      </c>
      <c r="C78" s="23" t="s">
        <v>570</v>
      </c>
      <c r="D78" s="52" t="s">
        <v>571</v>
      </c>
      <c r="E78" s="23" t="s">
        <v>779</v>
      </c>
      <c r="F78" s="46">
        <v>20</v>
      </c>
      <c r="G78" s="27">
        <v>10</v>
      </c>
      <c r="H78" s="44"/>
      <c r="I78" s="103">
        <v>1746.03</v>
      </c>
      <c r="J78" s="131"/>
      <c r="K78" s="132">
        <v>2818.53</v>
      </c>
      <c r="L78" s="47"/>
      <c r="M78" s="103">
        <v>21450.44</v>
      </c>
      <c r="N78" s="38" t="s">
        <v>796</v>
      </c>
      <c r="O78" s="63"/>
      <c r="P78" s="193">
        <v>46082</v>
      </c>
    </row>
    <row r="79" spans="1:16" ht="12.75" customHeight="1">
      <c r="A79" s="13">
        <f t="shared" si="3"/>
        <v>67</v>
      </c>
      <c r="B79" s="156" t="s">
        <v>649</v>
      </c>
      <c r="C79" s="23" t="s">
        <v>570</v>
      </c>
      <c r="D79" s="52" t="s">
        <v>571</v>
      </c>
      <c r="E79" s="23" t="s">
        <v>779</v>
      </c>
      <c r="F79" s="46">
        <v>19</v>
      </c>
      <c r="G79" s="27">
        <v>11</v>
      </c>
      <c r="H79" s="44"/>
      <c r="I79" s="103">
        <v>1802.47</v>
      </c>
      <c r="J79" s="131"/>
      <c r="K79" s="132">
        <v>2623.55</v>
      </c>
      <c r="L79" s="47"/>
      <c r="M79" s="103"/>
      <c r="N79" s="38" t="s">
        <v>796</v>
      </c>
      <c r="O79" s="63"/>
      <c r="P79" s="193">
        <v>46082</v>
      </c>
    </row>
    <row r="80" spans="1:16" ht="12.75" customHeight="1">
      <c r="A80" s="13">
        <f t="shared" si="3"/>
        <v>68</v>
      </c>
      <c r="B80" s="156" t="s">
        <v>649</v>
      </c>
      <c r="C80" s="23" t="s">
        <v>570</v>
      </c>
      <c r="D80" s="52" t="s">
        <v>571</v>
      </c>
      <c r="E80" s="23" t="s">
        <v>779</v>
      </c>
      <c r="F80" s="46">
        <v>18</v>
      </c>
      <c r="G80" s="27">
        <v>12</v>
      </c>
      <c r="H80" s="44"/>
      <c r="I80" s="103">
        <v>1865.21</v>
      </c>
      <c r="J80" s="131"/>
      <c r="K80" s="132">
        <v>2461.0300000000002</v>
      </c>
      <c r="L80" s="47"/>
      <c r="M80" s="103"/>
      <c r="N80" s="38" t="s">
        <v>796</v>
      </c>
      <c r="O80" s="63"/>
      <c r="P80" s="193">
        <v>46082</v>
      </c>
    </row>
    <row r="81" spans="1:16" ht="12.75" customHeight="1">
      <c r="A81" s="13">
        <f t="shared" si="3"/>
        <v>69</v>
      </c>
      <c r="B81" s="156" t="s">
        <v>649</v>
      </c>
      <c r="C81" s="23" t="s">
        <v>570</v>
      </c>
      <c r="D81" s="52" t="s">
        <v>571</v>
      </c>
      <c r="E81" s="23" t="s">
        <v>779</v>
      </c>
      <c r="F81" s="46">
        <v>17</v>
      </c>
      <c r="G81" s="27">
        <v>13</v>
      </c>
      <c r="H81" s="44"/>
      <c r="I81" s="103">
        <v>1935.3</v>
      </c>
      <c r="J81" s="131"/>
      <c r="K81" s="132">
        <v>2323.5300000000002</v>
      </c>
      <c r="L81" s="47"/>
      <c r="M81" s="103"/>
      <c r="N81" s="38" t="s">
        <v>796</v>
      </c>
      <c r="O81" s="63"/>
      <c r="P81" s="193">
        <v>46082</v>
      </c>
    </row>
    <row r="82" spans="1:16" ht="12.75" customHeight="1">
      <c r="A82" s="13">
        <f t="shared" si="3"/>
        <v>70</v>
      </c>
      <c r="B82" s="156" t="s">
        <v>649</v>
      </c>
      <c r="C82" s="23" t="s">
        <v>570</v>
      </c>
      <c r="D82" s="52" t="s">
        <v>571</v>
      </c>
      <c r="E82" s="23" t="s">
        <v>779</v>
      </c>
      <c r="F82" s="46">
        <v>16</v>
      </c>
      <c r="G82" s="27">
        <v>14</v>
      </c>
      <c r="H82" s="44"/>
      <c r="I82" s="103">
        <v>2014.18</v>
      </c>
      <c r="J82" s="131"/>
      <c r="K82" s="132">
        <v>2205.67</v>
      </c>
      <c r="L82" s="47"/>
      <c r="M82" s="103"/>
      <c r="N82" s="38" t="s">
        <v>796</v>
      </c>
      <c r="O82" s="63"/>
      <c r="P82" s="193">
        <v>46082</v>
      </c>
    </row>
    <row r="83" spans="1:16" ht="12.75" customHeight="1">
      <c r="A83" s="13">
        <f t="shared" si="3"/>
        <v>71</v>
      </c>
      <c r="B83" s="156" t="s">
        <v>649</v>
      </c>
      <c r="C83" s="23" t="s">
        <v>570</v>
      </c>
      <c r="D83" s="52" t="s">
        <v>571</v>
      </c>
      <c r="E83" s="23" t="s">
        <v>779</v>
      </c>
      <c r="F83" s="46">
        <v>15</v>
      </c>
      <c r="G83" s="27"/>
      <c r="H83" s="44"/>
      <c r="I83" s="103">
        <v>2103.54</v>
      </c>
      <c r="J83" s="131"/>
      <c r="K83" s="132"/>
      <c r="L83" s="47"/>
      <c r="M83" s="103"/>
      <c r="N83" s="38" t="s">
        <v>796</v>
      </c>
      <c r="O83" s="63"/>
      <c r="P83" s="193">
        <v>46082</v>
      </c>
    </row>
    <row r="84" spans="1:16" ht="12.75" customHeight="1">
      <c r="A84" s="13">
        <f t="shared" si="3"/>
        <v>72</v>
      </c>
      <c r="B84" s="156" t="s">
        <v>1017</v>
      </c>
      <c r="C84" s="23" t="s">
        <v>570</v>
      </c>
      <c r="D84" s="52" t="s">
        <v>571</v>
      </c>
      <c r="E84" s="23" t="s">
        <v>779</v>
      </c>
      <c r="F84" s="46" t="s">
        <v>977</v>
      </c>
      <c r="G84" s="27"/>
      <c r="H84" s="44"/>
      <c r="I84" s="103">
        <v>59149.52</v>
      </c>
      <c r="J84" s="131"/>
      <c r="K84" s="132"/>
      <c r="L84" s="47"/>
      <c r="M84" s="103"/>
      <c r="N84" s="38" t="s">
        <v>796</v>
      </c>
      <c r="O84" s="63"/>
      <c r="P84" s="193">
        <v>46082</v>
      </c>
    </row>
    <row r="85" spans="1:16" ht="12.75" customHeight="1">
      <c r="A85" s="13">
        <f t="shared" si="3"/>
        <v>73</v>
      </c>
      <c r="B85" s="52" t="s">
        <v>831</v>
      </c>
      <c r="C85" s="23" t="s">
        <v>570</v>
      </c>
      <c r="D85" s="52" t="s">
        <v>571</v>
      </c>
      <c r="E85" s="23" t="s">
        <v>832</v>
      </c>
      <c r="F85" s="27">
        <v>20</v>
      </c>
      <c r="G85" s="27">
        <v>10</v>
      </c>
      <c r="H85" s="44"/>
      <c r="I85" s="103">
        <v>1265.07</v>
      </c>
      <c r="J85" s="131"/>
      <c r="K85" s="132">
        <v>1809.98</v>
      </c>
      <c r="L85" s="47"/>
      <c r="M85" s="103">
        <v>9403.94</v>
      </c>
      <c r="N85" s="38" t="s">
        <v>796</v>
      </c>
      <c r="O85" s="63">
        <v>604</v>
      </c>
      <c r="P85" s="67">
        <v>43617</v>
      </c>
    </row>
    <row r="86" spans="1:16" ht="12.75" customHeight="1">
      <c r="A86" s="13">
        <f t="shared" si="3"/>
        <v>74</v>
      </c>
      <c r="B86" s="32" t="s">
        <v>831</v>
      </c>
      <c r="C86" s="23" t="s">
        <v>570</v>
      </c>
      <c r="D86" s="52" t="s">
        <v>571</v>
      </c>
      <c r="E86" s="23" t="s">
        <v>19</v>
      </c>
      <c r="F86" s="27">
        <v>20</v>
      </c>
      <c r="G86" s="27">
        <v>10</v>
      </c>
      <c r="H86" s="44"/>
      <c r="I86" s="103">
        <v>1093.6199999999999</v>
      </c>
      <c r="J86" s="131"/>
      <c r="K86" s="132">
        <v>1761.59</v>
      </c>
      <c r="L86" s="47"/>
      <c r="M86" s="103">
        <v>13359.36</v>
      </c>
      <c r="N86" s="38" t="s">
        <v>796</v>
      </c>
      <c r="O86" s="63"/>
      <c r="P86" s="67">
        <v>44562</v>
      </c>
    </row>
    <row r="87" spans="1:16" ht="12.75" customHeight="1">
      <c r="A87" s="13">
        <f t="shared" si="3"/>
        <v>75</v>
      </c>
      <c r="B87" s="32" t="s">
        <v>979</v>
      </c>
      <c r="C87" s="23" t="s">
        <v>570</v>
      </c>
      <c r="D87" s="52" t="s">
        <v>571</v>
      </c>
      <c r="E87" s="23" t="s">
        <v>19</v>
      </c>
      <c r="F87" s="46" t="s">
        <v>977</v>
      </c>
      <c r="G87" s="27"/>
      <c r="H87" s="44"/>
      <c r="I87" s="103">
        <v>36139.379999999997</v>
      </c>
      <c r="J87" s="131"/>
      <c r="K87" s="132"/>
      <c r="L87" s="47"/>
      <c r="M87" s="103"/>
      <c r="N87" s="38" t="s">
        <v>796</v>
      </c>
      <c r="O87" s="63"/>
      <c r="P87" s="67">
        <v>44562</v>
      </c>
    </row>
    <row r="88" spans="1:16" ht="12.75" customHeight="1">
      <c r="A88" s="13">
        <f t="shared" si="3"/>
        <v>76</v>
      </c>
      <c r="B88" s="32" t="s">
        <v>831</v>
      </c>
      <c r="C88" s="23" t="s">
        <v>570</v>
      </c>
      <c r="D88" s="52" t="s">
        <v>571</v>
      </c>
      <c r="E88" s="23" t="s">
        <v>19</v>
      </c>
      <c r="F88" s="46">
        <v>20</v>
      </c>
      <c r="G88" s="27">
        <v>10</v>
      </c>
      <c r="H88" s="44"/>
      <c r="I88" s="103">
        <v>1169.9100000000001</v>
      </c>
      <c r="J88" s="131"/>
      <c r="K88" s="132">
        <v>1888.6</v>
      </c>
      <c r="L88" s="47"/>
      <c r="M88" s="103"/>
      <c r="N88" s="38" t="s">
        <v>796</v>
      </c>
      <c r="O88" s="63"/>
      <c r="P88" s="67">
        <v>45078</v>
      </c>
    </row>
    <row r="89" spans="1:16" ht="12.75" customHeight="1">
      <c r="A89" s="13">
        <f t="shared" si="3"/>
        <v>77</v>
      </c>
      <c r="B89" s="32" t="s">
        <v>979</v>
      </c>
      <c r="C89" s="23" t="s">
        <v>570</v>
      </c>
      <c r="D89" s="52" t="s">
        <v>571</v>
      </c>
      <c r="E89" s="23" t="s">
        <v>19</v>
      </c>
      <c r="F89" s="46" t="s">
        <v>977</v>
      </c>
      <c r="G89" s="27"/>
      <c r="H89" s="44"/>
      <c r="I89" s="103">
        <v>38975.79</v>
      </c>
      <c r="J89" s="131"/>
      <c r="K89" s="132"/>
      <c r="L89" s="47"/>
      <c r="M89" s="103"/>
      <c r="N89" s="38" t="s">
        <v>796</v>
      </c>
      <c r="O89" s="63"/>
      <c r="P89" s="67">
        <v>45078</v>
      </c>
    </row>
    <row r="90" spans="1:16" ht="12.75" customHeight="1">
      <c r="A90" s="13">
        <f t="shared" si="3"/>
        <v>78</v>
      </c>
      <c r="B90" s="32" t="s">
        <v>831</v>
      </c>
      <c r="C90" s="23" t="s">
        <v>570</v>
      </c>
      <c r="D90" s="52" t="s">
        <v>571</v>
      </c>
      <c r="E90" s="23" t="s">
        <v>19</v>
      </c>
      <c r="F90" s="46">
        <v>20</v>
      </c>
      <c r="G90" s="27">
        <v>10</v>
      </c>
      <c r="H90" s="44"/>
      <c r="I90" s="103">
        <v>1345.56</v>
      </c>
      <c r="J90" s="131"/>
      <c r="K90" s="132">
        <v>2172.2399999999998</v>
      </c>
      <c r="L90" s="47"/>
      <c r="M90" s="103">
        <v>16533.63</v>
      </c>
      <c r="N90" s="38" t="s">
        <v>796</v>
      </c>
      <c r="O90" s="63"/>
      <c r="P90" s="67">
        <v>45352</v>
      </c>
    </row>
    <row r="91" spans="1:16" ht="12.75" customHeight="1">
      <c r="A91" s="13">
        <f t="shared" si="3"/>
        <v>79</v>
      </c>
      <c r="B91" s="32" t="s">
        <v>831</v>
      </c>
      <c r="C91" s="23" t="s">
        <v>570</v>
      </c>
      <c r="D91" s="52" t="s">
        <v>571</v>
      </c>
      <c r="E91" s="23" t="s">
        <v>19</v>
      </c>
      <c r="F91" s="46">
        <v>19</v>
      </c>
      <c r="G91" s="27">
        <v>11</v>
      </c>
      <c r="H91" s="44"/>
      <c r="I91" s="103">
        <v>1389.06</v>
      </c>
      <c r="J91" s="131"/>
      <c r="K91" s="132">
        <v>2021.94</v>
      </c>
      <c r="L91" s="47"/>
      <c r="M91" s="103"/>
      <c r="N91" s="38" t="s">
        <v>796</v>
      </c>
      <c r="O91" s="63"/>
      <c r="P91" s="67">
        <v>45352</v>
      </c>
    </row>
    <row r="92" spans="1:16" ht="12.75" customHeight="1">
      <c r="A92" s="13">
        <f t="shared" si="3"/>
        <v>80</v>
      </c>
      <c r="B92" s="32" t="s">
        <v>831</v>
      </c>
      <c r="C92" s="23" t="s">
        <v>570</v>
      </c>
      <c r="D92" s="52" t="s">
        <v>571</v>
      </c>
      <c r="E92" s="23" t="s">
        <v>19</v>
      </c>
      <c r="F92" s="46">
        <v>18</v>
      </c>
      <c r="G92" s="27">
        <v>12</v>
      </c>
      <c r="H92" s="44"/>
      <c r="I92" s="103">
        <v>1437.4</v>
      </c>
      <c r="J92" s="131"/>
      <c r="K92" s="132">
        <v>1896.66</v>
      </c>
      <c r="L92" s="47"/>
      <c r="M92" s="103"/>
      <c r="N92" s="38" t="s">
        <v>796</v>
      </c>
      <c r="O92" s="63"/>
      <c r="P92" s="67">
        <v>45352</v>
      </c>
    </row>
    <row r="93" spans="1:16" ht="12.75" customHeight="1">
      <c r="A93" s="13">
        <f t="shared" si="3"/>
        <v>81</v>
      </c>
      <c r="B93" s="32" t="s">
        <v>831</v>
      </c>
      <c r="C93" s="23" t="s">
        <v>570</v>
      </c>
      <c r="D93" s="52" t="s">
        <v>571</v>
      </c>
      <c r="E93" s="23" t="s">
        <v>19</v>
      </c>
      <c r="F93" s="46">
        <v>17</v>
      </c>
      <c r="G93" s="27">
        <v>13</v>
      </c>
      <c r="H93" s="44"/>
      <c r="I93" s="103">
        <v>1491.43</v>
      </c>
      <c r="J93" s="131"/>
      <c r="K93" s="132">
        <v>1790.69</v>
      </c>
      <c r="L93" s="47"/>
      <c r="M93" s="103"/>
      <c r="N93" s="38" t="s">
        <v>796</v>
      </c>
      <c r="O93" s="63"/>
      <c r="P93" s="67">
        <v>45352</v>
      </c>
    </row>
    <row r="94" spans="1:16" ht="12.75" customHeight="1">
      <c r="A94" s="13">
        <f t="shared" si="3"/>
        <v>82</v>
      </c>
      <c r="B94" s="32" t="s">
        <v>831</v>
      </c>
      <c r="C94" s="23" t="s">
        <v>570</v>
      </c>
      <c r="D94" s="52" t="s">
        <v>571</v>
      </c>
      <c r="E94" s="23" t="s">
        <v>19</v>
      </c>
      <c r="F94" s="46">
        <v>16</v>
      </c>
      <c r="G94" s="27">
        <v>14</v>
      </c>
      <c r="H94" s="44"/>
      <c r="I94" s="103">
        <v>1552.24</v>
      </c>
      <c r="J94" s="131"/>
      <c r="K94" s="132">
        <v>1699.82</v>
      </c>
      <c r="L94" s="47"/>
      <c r="M94" s="103"/>
      <c r="N94" s="38" t="s">
        <v>796</v>
      </c>
      <c r="O94" s="63"/>
      <c r="P94" s="67">
        <v>45352</v>
      </c>
    </row>
    <row r="95" spans="1:16" ht="12.75" customHeight="1">
      <c r="A95" s="13">
        <f t="shared" si="3"/>
        <v>83</v>
      </c>
      <c r="B95" s="32" t="s">
        <v>831</v>
      </c>
      <c r="C95" s="23" t="s">
        <v>570</v>
      </c>
      <c r="D95" s="52" t="s">
        <v>571</v>
      </c>
      <c r="E95" s="23" t="s">
        <v>19</v>
      </c>
      <c r="F95" s="46">
        <v>15</v>
      </c>
      <c r="G95" s="27"/>
      <c r="H95" s="44"/>
      <c r="I95" s="103">
        <v>1621.12</v>
      </c>
      <c r="J95" s="131"/>
      <c r="K95" s="132"/>
      <c r="L95" s="47"/>
      <c r="M95" s="103"/>
      <c r="N95" s="38" t="s">
        <v>796</v>
      </c>
      <c r="O95" s="63"/>
      <c r="P95" s="67">
        <v>45352</v>
      </c>
    </row>
    <row r="96" spans="1:16" ht="12.75" customHeight="1">
      <c r="A96" s="13">
        <f t="shared" si="3"/>
        <v>84</v>
      </c>
      <c r="B96" s="32" t="s">
        <v>831</v>
      </c>
      <c r="C96" s="23" t="s">
        <v>570</v>
      </c>
      <c r="D96" s="52" t="s">
        <v>571</v>
      </c>
      <c r="E96" s="23" t="s">
        <v>19</v>
      </c>
      <c r="F96" s="46">
        <v>20</v>
      </c>
      <c r="G96" s="27">
        <v>10</v>
      </c>
      <c r="H96" s="44"/>
      <c r="I96" s="103">
        <v>1583.95</v>
      </c>
      <c r="J96" s="131"/>
      <c r="K96" s="132">
        <v>2555.64</v>
      </c>
      <c r="L96" s="47"/>
      <c r="M96" s="103">
        <v>19433.599999999999</v>
      </c>
      <c r="N96" s="38" t="s">
        <v>796</v>
      </c>
      <c r="O96" s="63"/>
      <c r="P96" s="67">
        <v>45689</v>
      </c>
    </row>
    <row r="97" spans="1:16" ht="12.75" customHeight="1">
      <c r="A97" s="13">
        <f t="shared" si="3"/>
        <v>85</v>
      </c>
      <c r="B97" s="32" t="s">
        <v>831</v>
      </c>
      <c r="C97" s="23" t="s">
        <v>570</v>
      </c>
      <c r="D97" s="52" t="s">
        <v>571</v>
      </c>
      <c r="E97" s="23" t="s">
        <v>19</v>
      </c>
      <c r="F97" s="46">
        <v>19</v>
      </c>
      <c r="G97" s="27">
        <v>11</v>
      </c>
      <c r="H97" s="44"/>
      <c r="I97" s="103">
        <v>1635.12</v>
      </c>
      <c r="J97" s="131"/>
      <c r="K97" s="132">
        <v>2378.9499999999998</v>
      </c>
      <c r="L97" s="47"/>
      <c r="M97" s="103"/>
      <c r="N97" s="38" t="s">
        <v>796</v>
      </c>
      <c r="O97" s="63"/>
      <c r="P97" s="67">
        <v>45689</v>
      </c>
    </row>
    <row r="98" spans="1:16" ht="12.75" customHeight="1">
      <c r="A98" s="13">
        <f t="shared" si="3"/>
        <v>86</v>
      </c>
      <c r="B98" s="32" t="s">
        <v>831</v>
      </c>
      <c r="C98" s="23" t="s">
        <v>570</v>
      </c>
      <c r="D98" s="52" t="s">
        <v>571</v>
      </c>
      <c r="E98" s="23" t="s">
        <v>19</v>
      </c>
      <c r="F98" s="46">
        <v>18</v>
      </c>
      <c r="G98" s="27">
        <v>12</v>
      </c>
      <c r="H98" s="44"/>
      <c r="I98" s="103">
        <v>1691.92</v>
      </c>
      <c r="J98" s="131"/>
      <c r="K98" s="132">
        <v>2231072</v>
      </c>
      <c r="L98" s="47"/>
      <c r="M98" s="103"/>
      <c r="N98" s="38" t="s">
        <v>796</v>
      </c>
      <c r="O98" s="63"/>
      <c r="P98" s="67">
        <v>45689</v>
      </c>
    </row>
    <row r="99" spans="1:16" ht="12.75" customHeight="1">
      <c r="A99" s="13">
        <f t="shared" si="3"/>
        <v>87</v>
      </c>
      <c r="B99" s="32" t="s">
        <v>831</v>
      </c>
      <c r="C99" s="23" t="s">
        <v>570</v>
      </c>
      <c r="D99" s="52" t="s">
        <v>571</v>
      </c>
      <c r="E99" s="23" t="s">
        <v>19</v>
      </c>
      <c r="F99" s="46">
        <v>17</v>
      </c>
      <c r="G99" s="27">
        <v>13</v>
      </c>
      <c r="H99" s="44"/>
      <c r="I99" s="103">
        <v>1755.41</v>
      </c>
      <c r="J99" s="131"/>
      <c r="K99" s="132">
        <v>2107.16</v>
      </c>
      <c r="L99" s="47"/>
      <c r="M99" s="103"/>
      <c r="N99" s="38" t="s">
        <v>796</v>
      </c>
      <c r="O99" s="63"/>
      <c r="P99" s="67">
        <v>45689</v>
      </c>
    </row>
    <row r="100" spans="1:16" ht="12.75" customHeight="1">
      <c r="A100" s="13">
        <f t="shared" si="3"/>
        <v>88</v>
      </c>
      <c r="B100" s="32" t="s">
        <v>831</v>
      </c>
      <c r="C100" s="23" t="s">
        <v>570</v>
      </c>
      <c r="D100" s="52" t="s">
        <v>571</v>
      </c>
      <c r="E100" s="23" t="s">
        <v>19</v>
      </c>
      <c r="F100" s="46">
        <v>16</v>
      </c>
      <c r="G100" s="27">
        <v>14</v>
      </c>
      <c r="H100" s="44"/>
      <c r="I100" s="103">
        <v>1826.87</v>
      </c>
      <c r="J100" s="131"/>
      <c r="K100" s="132">
        <v>2000.4</v>
      </c>
      <c r="L100" s="47"/>
      <c r="M100" s="103"/>
      <c r="N100" s="38" t="s">
        <v>796</v>
      </c>
      <c r="O100" s="63"/>
      <c r="P100" s="67">
        <v>45689</v>
      </c>
    </row>
    <row r="101" spans="1:16" ht="12.75" customHeight="1">
      <c r="A101" s="13">
        <f t="shared" si="3"/>
        <v>89</v>
      </c>
      <c r="B101" s="32" t="s">
        <v>831</v>
      </c>
      <c r="C101" s="23" t="s">
        <v>570</v>
      </c>
      <c r="D101" s="52" t="s">
        <v>571</v>
      </c>
      <c r="E101" s="23" t="s">
        <v>19</v>
      </c>
      <c r="F101" s="46">
        <v>15</v>
      </c>
      <c r="G101" s="27"/>
      <c r="H101" s="44"/>
      <c r="I101" s="103">
        <v>1907.82</v>
      </c>
      <c r="J101" s="131"/>
      <c r="K101" s="132"/>
      <c r="L101" s="47"/>
      <c r="M101" s="103"/>
      <c r="N101" s="38" t="s">
        <v>796</v>
      </c>
      <c r="O101" s="63"/>
      <c r="P101" s="67">
        <v>45689</v>
      </c>
    </row>
    <row r="102" spans="1:16" ht="12.75" customHeight="1">
      <c r="A102" s="13">
        <f t="shared" si="3"/>
        <v>90</v>
      </c>
      <c r="B102" s="32" t="s">
        <v>979</v>
      </c>
      <c r="C102" s="23" t="s">
        <v>570</v>
      </c>
      <c r="D102" s="52" t="s">
        <v>571</v>
      </c>
      <c r="E102" s="23" t="s">
        <v>19</v>
      </c>
      <c r="F102" s="46" t="s">
        <v>977</v>
      </c>
      <c r="G102" s="27"/>
      <c r="H102" s="44"/>
      <c r="I102" s="103">
        <v>41385.279999999999</v>
      </c>
      <c r="J102" s="131"/>
      <c r="K102" s="132"/>
      <c r="L102" s="47"/>
      <c r="M102" s="103"/>
      <c r="N102" s="38" t="s">
        <v>796</v>
      </c>
      <c r="O102" s="63"/>
      <c r="P102" s="67">
        <v>45352</v>
      </c>
    </row>
    <row r="103" spans="1:16" ht="12.75" customHeight="1">
      <c r="A103" s="13">
        <f t="shared" si="3"/>
        <v>91</v>
      </c>
      <c r="B103" s="32" t="s">
        <v>979</v>
      </c>
      <c r="C103" s="23" t="s">
        <v>570</v>
      </c>
      <c r="D103" s="52" t="s">
        <v>571</v>
      </c>
      <c r="E103" s="23" t="s">
        <v>19</v>
      </c>
      <c r="F103" s="46" t="s">
        <v>977</v>
      </c>
      <c r="G103" s="27"/>
      <c r="H103" s="44"/>
      <c r="I103" s="103">
        <v>45527.78</v>
      </c>
      <c r="J103" s="131"/>
      <c r="K103" s="132"/>
      <c r="L103" s="47"/>
      <c r="M103" s="103"/>
      <c r="N103" s="38" t="s">
        <v>796</v>
      </c>
      <c r="O103" s="63"/>
      <c r="P103" s="67">
        <v>45689</v>
      </c>
    </row>
    <row r="104" spans="1:16" ht="12.75" customHeight="1">
      <c r="A104" s="13">
        <f t="shared" si="3"/>
        <v>92</v>
      </c>
      <c r="B104" s="156" t="s">
        <v>831</v>
      </c>
      <c r="C104" s="23" t="s">
        <v>570</v>
      </c>
      <c r="D104" s="52" t="s">
        <v>571</v>
      </c>
      <c r="E104" s="23" t="s">
        <v>19</v>
      </c>
      <c r="F104" s="46">
        <v>20</v>
      </c>
      <c r="G104" s="27">
        <v>10</v>
      </c>
      <c r="H104" s="44"/>
      <c r="I104" s="103">
        <v>1746.03</v>
      </c>
      <c r="J104" s="131"/>
      <c r="K104" s="132">
        <v>2818.53</v>
      </c>
      <c r="L104" s="47"/>
      <c r="M104" s="103">
        <v>21450.44</v>
      </c>
      <c r="N104" s="38" t="s">
        <v>796</v>
      </c>
      <c r="O104" s="63"/>
      <c r="P104" s="193">
        <v>46082</v>
      </c>
    </row>
    <row r="105" spans="1:16" ht="12.75" customHeight="1">
      <c r="A105" s="13">
        <f t="shared" si="3"/>
        <v>93</v>
      </c>
      <c r="B105" s="156" t="s">
        <v>831</v>
      </c>
      <c r="C105" s="23" t="s">
        <v>570</v>
      </c>
      <c r="D105" s="52" t="s">
        <v>571</v>
      </c>
      <c r="E105" s="23" t="s">
        <v>19</v>
      </c>
      <c r="F105" s="46">
        <v>19</v>
      </c>
      <c r="G105" s="27">
        <v>11</v>
      </c>
      <c r="H105" s="44"/>
      <c r="I105" s="103">
        <v>1802.47</v>
      </c>
      <c r="J105" s="131"/>
      <c r="K105" s="132">
        <v>2623.55</v>
      </c>
      <c r="L105" s="47"/>
      <c r="M105" s="103"/>
      <c r="N105" s="38" t="s">
        <v>796</v>
      </c>
      <c r="O105" s="63"/>
      <c r="P105" s="193">
        <v>46082</v>
      </c>
    </row>
    <row r="106" spans="1:16" ht="12.75" customHeight="1">
      <c r="A106" s="13">
        <f t="shared" si="3"/>
        <v>94</v>
      </c>
      <c r="B106" s="156" t="s">
        <v>831</v>
      </c>
      <c r="C106" s="23" t="s">
        <v>570</v>
      </c>
      <c r="D106" s="52" t="s">
        <v>571</v>
      </c>
      <c r="E106" s="23" t="s">
        <v>19</v>
      </c>
      <c r="F106" s="46">
        <v>18</v>
      </c>
      <c r="G106" s="27">
        <v>12</v>
      </c>
      <c r="H106" s="44"/>
      <c r="I106" s="103">
        <v>1865.21</v>
      </c>
      <c r="J106" s="131"/>
      <c r="K106" s="132">
        <v>2461.0300000000002</v>
      </c>
      <c r="L106" s="47"/>
      <c r="M106" s="103"/>
      <c r="N106" s="38" t="s">
        <v>796</v>
      </c>
      <c r="O106" s="63"/>
      <c r="P106" s="193">
        <v>46082</v>
      </c>
    </row>
    <row r="107" spans="1:16" ht="12.75" customHeight="1">
      <c r="A107" s="13">
        <f t="shared" si="3"/>
        <v>95</v>
      </c>
      <c r="B107" s="156" t="s">
        <v>831</v>
      </c>
      <c r="C107" s="23" t="s">
        <v>570</v>
      </c>
      <c r="D107" s="52" t="s">
        <v>571</v>
      </c>
      <c r="E107" s="23" t="s">
        <v>19</v>
      </c>
      <c r="F107" s="46">
        <v>17</v>
      </c>
      <c r="G107" s="27">
        <v>13</v>
      </c>
      <c r="H107" s="44"/>
      <c r="I107" s="103">
        <v>1935.3</v>
      </c>
      <c r="J107" s="131"/>
      <c r="K107" s="132">
        <v>2323.5300000000002</v>
      </c>
      <c r="L107" s="47"/>
      <c r="M107" s="103"/>
      <c r="N107" s="38" t="s">
        <v>796</v>
      </c>
      <c r="O107" s="63"/>
      <c r="P107" s="193">
        <v>46082</v>
      </c>
    </row>
    <row r="108" spans="1:16" ht="12.75" customHeight="1">
      <c r="A108" s="13">
        <f t="shared" si="3"/>
        <v>96</v>
      </c>
      <c r="B108" s="156" t="s">
        <v>831</v>
      </c>
      <c r="C108" s="23" t="s">
        <v>570</v>
      </c>
      <c r="D108" s="52" t="s">
        <v>571</v>
      </c>
      <c r="E108" s="23" t="s">
        <v>19</v>
      </c>
      <c r="F108" s="46">
        <v>16</v>
      </c>
      <c r="G108" s="27">
        <v>14</v>
      </c>
      <c r="H108" s="44"/>
      <c r="I108" s="103">
        <v>2014.18</v>
      </c>
      <c r="J108" s="131"/>
      <c r="K108" s="132">
        <v>2205.67</v>
      </c>
      <c r="L108" s="47"/>
      <c r="M108" s="103"/>
      <c r="N108" s="38" t="s">
        <v>796</v>
      </c>
      <c r="O108" s="63"/>
      <c r="P108" s="193">
        <v>46082</v>
      </c>
    </row>
    <row r="109" spans="1:16" ht="12.75" customHeight="1">
      <c r="A109" s="13">
        <f t="shared" si="3"/>
        <v>97</v>
      </c>
      <c r="B109" s="156" t="s">
        <v>831</v>
      </c>
      <c r="C109" s="23" t="s">
        <v>570</v>
      </c>
      <c r="D109" s="52" t="s">
        <v>571</v>
      </c>
      <c r="E109" s="23" t="s">
        <v>19</v>
      </c>
      <c r="F109" s="46">
        <v>15</v>
      </c>
      <c r="G109" s="27"/>
      <c r="H109" s="44"/>
      <c r="I109" s="103">
        <v>2103.54</v>
      </c>
      <c r="J109" s="131"/>
      <c r="K109" s="132"/>
      <c r="L109" s="47"/>
      <c r="M109" s="103"/>
      <c r="N109" s="38" t="s">
        <v>796</v>
      </c>
      <c r="O109" s="63"/>
      <c r="P109" s="193">
        <v>46082</v>
      </c>
    </row>
    <row r="110" spans="1:16" ht="12.75" customHeight="1">
      <c r="A110" s="13">
        <f t="shared" si="3"/>
        <v>98</v>
      </c>
      <c r="B110" s="156" t="s">
        <v>979</v>
      </c>
      <c r="C110" s="23" t="s">
        <v>570</v>
      </c>
      <c r="D110" s="52" t="s">
        <v>571</v>
      </c>
      <c r="E110" s="23" t="s">
        <v>19</v>
      </c>
      <c r="F110" s="46" t="s">
        <v>977</v>
      </c>
      <c r="G110" s="27"/>
      <c r="H110" s="44"/>
      <c r="I110" s="103">
        <v>50080.56</v>
      </c>
      <c r="J110" s="131"/>
      <c r="K110" s="132"/>
      <c r="L110" s="47"/>
      <c r="M110" s="103"/>
      <c r="N110" s="38" t="s">
        <v>796</v>
      </c>
      <c r="O110" s="63"/>
      <c r="P110" s="193">
        <v>46082</v>
      </c>
    </row>
    <row r="111" spans="1:16" ht="12.75" customHeight="1">
      <c r="A111" s="13">
        <f t="shared" si="3"/>
        <v>99</v>
      </c>
      <c r="B111" s="52" t="s">
        <v>917</v>
      </c>
      <c r="C111" s="23" t="s">
        <v>570</v>
      </c>
      <c r="D111" s="52" t="s">
        <v>918</v>
      </c>
      <c r="E111" s="23" t="s">
        <v>13</v>
      </c>
      <c r="F111" s="27">
        <v>20</v>
      </c>
      <c r="G111" s="27">
        <v>10</v>
      </c>
      <c r="H111" s="44"/>
      <c r="I111" s="103">
        <v>795.28</v>
      </c>
      <c r="J111" s="131"/>
      <c r="K111" s="132">
        <v>1164.8900000000001</v>
      </c>
      <c r="L111" s="47"/>
      <c r="M111" s="103"/>
      <c r="N111" s="38" t="s">
        <v>796</v>
      </c>
      <c r="O111" s="63"/>
      <c r="P111" s="67">
        <v>44562</v>
      </c>
    </row>
    <row r="112" spans="1:16" ht="12.75" customHeight="1">
      <c r="A112" s="13">
        <f t="shared" si="3"/>
        <v>100</v>
      </c>
      <c r="B112" s="52" t="s">
        <v>917</v>
      </c>
      <c r="C112" s="23" t="s">
        <v>570</v>
      </c>
      <c r="D112" s="52" t="s">
        <v>918</v>
      </c>
      <c r="E112" s="23" t="s">
        <v>13</v>
      </c>
      <c r="F112" s="27">
        <v>20</v>
      </c>
      <c r="G112" s="27">
        <v>10</v>
      </c>
      <c r="H112" s="44"/>
      <c r="I112" s="103">
        <v>862.21</v>
      </c>
      <c r="J112" s="131"/>
      <c r="K112" s="132">
        <v>1273.18</v>
      </c>
      <c r="L112" s="47"/>
      <c r="M112" s="103"/>
      <c r="N112" s="38" t="s">
        <v>796</v>
      </c>
      <c r="O112" s="63"/>
      <c r="P112" s="67">
        <v>45078</v>
      </c>
    </row>
    <row r="113" spans="1:16" ht="12.75" customHeight="1">
      <c r="A113" s="13">
        <f t="shared" si="3"/>
        <v>101</v>
      </c>
      <c r="B113" s="180" t="s">
        <v>917</v>
      </c>
      <c r="C113" s="23" t="s">
        <v>570</v>
      </c>
      <c r="D113" s="52" t="s">
        <v>918</v>
      </c>
      <c r="E113" s="23" t="s">
        <v>13</v>
      </c>
      <c r="F113" s="27">
        <v>20</v>
      </c>
      <c r="G113" s="27">
        <v>10</v>
      </c>
      <c r="H113" s="44"/>
      <c r="I113" s="103">
        <v>991.99</v>
      </c>
      <c r="J113" s="131"/>
      <c r="K113" s="132">
        <v>1465.15</v>
      </c>
      <c r="L113" s="47"/>
      <c r="M113" s="103"/>
      <c r="N113" s="38" t="s">
        <v>796</v>
      </c>
      <c r="O113" s="63"/>
      <c r="P113" s="67">
        <v>45352</v>
      </c>
    </row>
    <row r="114" spans="1:16" ht="12.75" customHeight="1">
      <c r="A114" s="13">
        <f t="shared" si="3"/>
        <v>102</v>
      </c>
      <c r="B114" s="32" t="s">
        <v>917</v>
      </c>
      <c r="C114" s="23" t="s">
        <v>570</v>
      </c>
      <c r="D114" s="52" t="s">
        <v>918</v>
      </c>
      <c r="E114" s="23" t="s">
        <v>13</v>
      </c>
      <c r="F114" s="27">
        <v>16</v>
      </c>
      <c r="G114" s="27">
        <v>14</v>
      </c>
      <c r="H114" s="44"/>
      <c r="I114" s="103">
        <v>1110.29</v>
      </c>
      <c r="J114" s="131"/>
      <c r="K114" s="132">
        <v>1194.78</v>
      </c>
      <c r="L114" s="47"/>
      <c r="M114" s="103"/>
      <c r="N114" s="38" t="s">
        <v>796</v>
      </c>
      <c r="O114" s="63"/>
      <c r="P114" s="67">
        <v>45352</v>
      </c>
    </row>
    <row r="115" spans="1:16" ht="12.75" customHeight="1">
      <c r="A115" s="13">
        <f t="shared" si="3"/>
        <v>103</v>
      </c>
      <c r="B115" s="32" t="s">
        <v>917</v>
      </c>
      <c r="C115" s="23" t="s">
        <v>570</v>
      </c>
      <c r="D115" s="52" t="s">
        <v>918</v>
      </c>
      <c r="E115" s="23" t="s">
        <v>13</v>
      </c>
      <c r="F115" s="27">
        <v>8</v>
      </c>
      <c r="G115" s="27">
        <v>6</v>
      </c>
      <c r="H115" s="44"/>
      <c r="I115" s="103">
        <v>1478.67</v>
      </c>
      <c r="J115" s="131"/>
      <c r="K115" s="132">
        <v>1821.18</v>
      </c>
      <c r="L115" s="47"/>
      <c r="M115" s="103"/>
      <c r="N115" s="38" t="s">
        <v>796</v>
      </c>
      <c r="O115" s="63"/>
      <c r="P115" s="67">
        <v>45292</v>
      </c>
    </row>
    <row r="116" spans="1:16" ht="12.75" customHeight="1">
      <c r="A116" s="13">
        <f t="shared" si="3"/>
        <v>104</v>
      </c>
      <c r="B116" s="32" t="s">
        <v>917</v>
      </c>
      <c r="C116" s="23" t="s">
        <v>570</v>
      </c>
      <c r="D116" s="52" t="s">
        <v>918</v>
      </c>
      <c r="E116" s="23" t="s">
        <v>13</v>
      </c>
      <c r="F116" s="27">
        <v>4</v>
      </c>
      <c r="G116" s="27">
        <v>2</v>
      </c>
      <c r="H116" s="44"/>
      <c r="I116" s="103">
        <v>2506.1799999999998</v>
      </c>
      <c r="J116" s="131"/>
      <c r="K116" s="132">
        <v>4561.12</v>
      </c>
      <c r="L116" s="47"/>
      <c r="M116" s="103"/>
      <c r="N116" s="38" t="s">
        <v>796</v>
      </c>
      <c r="O116" s="63"/>
      <c r="P116" s="67">
        <v>45292</v>
      </c>
    </row>
    <row r="117" spans="1:16" ht="12.75" customHeight="1">
      <c r="A117" s="13">
        <f t="shared" si="3"/>
        <v>105</v>
      </c>
      <c r="B117" s="180" t="s">
        <v>917</v>
      </c>
      <c r="C117" s="23" t="s">
        <v>570</v>
      </c>
      <c r="D117" s="52" t="s">
        <v>918</v>
      </c>
      <c r="E117" s="23" t="s">
        <v>13</v>
      </c>
      <c r="F117" s="27">
        <v>20</v>
      </c>
      <c r="G117" s="27">
        <v>10</v>
      </c>
      <c r="H117" s="44"/>
      <c r="I117" s="103">
        <v>1168.21</v>
      </c>
      <c r="J117" s="131"/>
      <c r="K117" s="132">
        <v>1724.2</v>
      </c>
      <c r="L117" s="47"/>
      <c r="M117" s="103"/>
      <c r="N117" s="38" t="s">
        <v>796</v>
      </c>
      <c r="O117" s="63"/>
      <c r="P117" s="67">
        <v>45689</v>
      </c>
    </row>
    <row r="118" spans="1:16" ht="12.75" customHeight="1">
      <c r="A118" s="13">
        <f t="shared" si="3"/>
        <v>106</v>
      </c>
      <c r="B118" s="180" t="s">
        <v>917</v>
      </c>
      <c r="C118" s="23" t="s">
        <v>570</v>
      </c>
      <c r="D118" s="52" t="s">
        <v>918</v>
      </c>
      <c r="E118" s="23" t="s">
        <v>13</v>
      </c>
      <c r="F118" s="27">
        <v>16</v>
      </c>
      <c r="G118" s="27">
        <v>14</v>
      </c>
      <c r="H118" s="44"/>
      <c r="I118" s="103">
        <v>1307.22</v>
      </c>
      <c r="J118" s="131"/>
      <c r="K118" s="132">
        <v>1406.51</v>
      </c>
      <c r="L118" s="47"/>
      <c r="M118" s="103"/>
      <c r="N118" s="38" t="s">
        <v>796</v>
      </c>
      <c r="O118" s="63"/>
      <c r="P118" s="67">
        <v>45689</v>
      </c>
    </row>
    <row r="119" spans="1:16" ht="12.75" customHeight="1">
      <c r="A119" s="13">
        <f t="shared" ref="A119:A129" si="4">A118+1</f>
        <v>107</v>
      </c>
      <c r="B119" s="156" t="s">
        <v>917</v>
      </c>
      <c r="C119" s="23" t="s">
        <v>570</v>
      </c>
      <c r="D119" s="52" t="s">
        <v>918</v>
      </c>
      <c r="E119" s="23" t="s">
        <v>13</v>
      </c>
      <c r="F119" s="27">
        <v>20</v>
      </c>
      <c r="G119" s="27">
        <v>10</v>
      </c>
      <c r="H119" s="44"/>
      <c r="I119" s="103">
        <v>1304.9100000000001</v>
      </c>
      <c r="J119" s="131"/>
      <c r="K119" s="132">
        <v>1936.34</v>
      </c>
      <c r="L119" s="47"/>
      <c r="M119" s="103"/>
      <c r="N119" s="38" t="s">
        <v>796</v>
      </c>
      <c r="O119" s="63"/>
      <c r="P119" s="193">
        <v>46082</v>
      </c>
    </row>
    <row r="120" spans="1:16" ht="12.75" customHeight="1">
      <c r="A120" s="13">
        <f t="shared" si="4"/>
        <v>108</v>
      </c>
      <c r="B120" s="156" t="s">
        <v>917</v>
      </c>
      <c r="C120" s="23" t="s">
        <v>570</v>
      </c>
      <c r="D120" s="52" t="s">
        <v>918</v>
      </c>
      <c r="E120" s="23" t="s">
        <v>13</v>
      </c>
      <c r="F120" s="27">
        <v>16</v>
      </c>
      <c r="G120" s="27">
        <v>14</v>
      </c>
      <c r="H120" s="44"/>
      <c r="I120" s="103">
        <v>1462.8</v>
      </c>
      <c r="J120" s="131"/>
      <c r="K120" s="132">
        <v>1575.54</v>
      </c>
      <c r="L120" s="47"/>
      <c r="M120" s="103"/>
      <c r="N120" s="38" t="s">
        <v>796</v>
      </c>
      <c r="O120" s="63"/>
      <c r="P120" s="193">
        <v>46082</v>
      </c>
    </row>
    <row r="121" spans="1:16" ht="12.75" customHeight="1">
      <c r="A121" s="13">
        <f t="shared" si="4"/>
        <v>109</v>
      </c>
      <c r="B121" s="52" t="s">
        <v>833</v>
      </c>
      <c r="C121" s="23" t="s">
        <v>570</v>
      </c>
      <c r="D121" s="52" t="s">
        <v>571</v>
      </c>
      <c r="E121" s="23" t="s">
        <v>832</v>
      </c>
      <c r="F121" s="27">
        <v>20</v>
      </c>
      <c r="G121" s="27">
        <v>10</v>
      </c>
      <c r="H121" s="44"/>
      <c r="I121" s="103">
        <v>927.06</v>
      </c>
      <c r="J121" s="131"/>
      <c r="K121" s="132">
        <v>1960.71</v>
      </c>
      <c r="L121" s="47"/>
      <c r="M121" s="103">
        <v>23006.16</v>
      </c>
      <c r="N121" s="38" t="s">
        <v>796</v>
      </c>
      <c r="O121" s="63">
        <v>604</v>
      </c>
      <c r="P121" s="67">
        <v>43617</v>
      </c>
    </row>
    <row r="122" spans="1:16" ht="12.75" customHeight="1">
      <c r="A122" s="13">
        <f t="shared" si="4"/>
        <v>110</v>
      </c>
      <c r="B122" s="52" t="s">
        <v>833</v>
      </c>
      <c r="C122" s="23" t="s">
        <v>570</v>
      </c>
      <c r="D122" s="52" t="s">
        <v>571</v>
      </c>
      <c r="E122" s="23" t="s">
        <v>13</v>
      </c>
      <c r="F122" s="27">
        <v>20</v>
      </c>
      <c r="G122" s="27">
        <v>10</v>
      </c>
      <c r="H122" s="44"/>
      <c r="I122" s="103">
        <v>1051.3800000000001</v>
      </c>
      <c r="J122" s="131"/>
      <c r="K122" s="132">
        <v>1661.69</v>
      </c>
      <c r="L122" s="47"/>
      <c r="M122" s="103"/>
      <c r="N122" s="38" t="s">
        <v>796</v>
      </c>
      <c r="O122" s="63"/>
      <c r="P122" s="67">
        <v>44562</v>
      </c>
    </row>
    <row r="123" spans="1:16" ht="12.75" customHeight="1">
      <c r="A123" s="13">
        <f t="shared" si="4"/>
        <v>111</v>
      </c>
      <c r="B123" s="52" t="s">
        <v>833</v>
      </c>
      <c r="C123" s="23" t="s">
        <v>570</v>
      </c>
      <c r="D123" s="52" t="s">
        <v>571</v>
      </c>
      <c r="E123" s="23" t="s">
        <v>13</v>
      </c>
      <c r="F123" s="27">
        <v>20</v>
      </c>
      <c r="G123" s="27">
        <v>10</v>
      </c>
      <c r="H123" s="44"/>
      <c r="I123" s="103">
        <v>851.27</v>
      </c>
      <c r="J123" s="131"/>
      <c r="K123" s="132">
        <v>1251.32</v>
      </c>
      <c r="L123" s="47"/>
      <c r="M123" s="103"/>
      <c r="N123" s="38" t="s">
        <v>796</v>
      </c>
      <c r="O123" s="63"/>
      <c r="P123" s="67">
        <v>45078</v>
      </c>
    </row>
    <row r="124" spans="1:16" ht="12.75" customHeight="1">
      <c r="A124" s="13">
        <f t="shared" si="4"/>
        <v>112</v>
      </c>
      <c r="B124" s="94" t="s">
        <v>833</v>
      </c>
      <c r="C124" s="23" t="s">
        <v>570</v>
      </c>
      <c r="D124" s="52" t="s">
        <v>571</v>
      </c>
      <c r="E124" s="23" t="s">
        <v>13</v>
      </c>
      <c r="F124" s="27">
        <v>20</v>
      </c>
      <c r="G124" s="27">
        <v>10</v>
      </c>
      <c r="H124" s="44"/>
      <c r="I124" s="103">
        <v>991.59</v>
      </c>
      <c r="J124" s="131"/>
      <c r="K124" s="132">
        <v>1464.34</v>
      </c>
      <c r="L124" s="47"/>
      <c r="M124" s="103"/>
      <c r="N124" s="38" t="s">
        <v>796</v>
      </c>
      <c r="O124" s="63"/>
      <c r="P124" s="67">
        <v>45352</v>
      </c>
    </row>
    <row r="125" spans="1:16" ht="12.75" customHeight="1">
      <c r="A125" s="13">
        <f t="shared" si="4"/>
        <v>113</v>
      </c>
      <c r="B125" s="94" t="s">
        <v>833</v>
      </c>
      <c r="C125" s="23" t="s">
        <v>570</v>
      </c>
      <c r="D125" s="52" t="s">
        <v>571</v>
      </c>
      <c r="E125" s="23" t="s">
        <v>13</v>
      </c>
      <c r="F125" s="27">
        <v>16</v>
      </c>
      <c r="G125" s="27">
        <v>14</v>
      </c>
      <c r="H125" s="44"/>
      <c r="I125" s="103">
        <v>1109.8</v>
      </c>
      <c r="J125" s="131"/>
      <c r="K125" s="132">
        <v>1194.21</v>
      </c>
      <c r="L125" s="47"/>
      <c r="M125" s="103"/>
      <c r="N125" s="38" t="s">
        <v>796</v>
      </c>
      <c r="O125" s="63"/>
      <c r="P125" s="67">
        <v>45352</v>
      </c>
    </row>
    <row r="126" spans="1:16" ht="12.75" customHeight="1">
      <c r="A126" s="13">
        <f t="shared" si="4"/>
        <v>114</v>
      </c>
      <c r="B126" s="94" t="s">
        <v>833</v>
      </c>
      <c r="C126" s="23" t="s">
        <v>570</v>
      </c>
      <c r="D126" s="52" t="s">
        <v>571</v>
      </c>
      <c r="E126" s="23" t="s">
        <v>13</v>
      </c>
      <c r="F126" s="27">
        <v>20</v>
      </c>
      <c r="G126" s="27">
        <v>10</v>
      </c>
      <c r="H126" s="44"/>
      <c r="I126" s="103">
        <v>1167.74</v>
      </c>
      <c r="J126" s="131"/>
      <c r="K126" s="132">
        <v>1723.24</v>
      </c>
      <c r="L126" s="47"/>
      <c r="M126" s="103"/>
      <c r="N126" s="38" t="s">
        <v>796</v>
      </c>
      <c r="O126" s="63"/>
      <c r="P126" s="67">
        <v>45689</v>
      </c>
    </row>
    <row r="127" spans="1:16" ht="12.75" customHeight="1">
      <c r="A127" s="13">
        <f t="shared" si="4"/>
        <v>115</v>
      </c>
      <c r="B127" s="94" t="s">
        <v>833</v>
      </c>
      <c r="C127" s="23" t="s">
        <v>570</v>
      </c>
      <c r="D127" s="52" t="s">
        <v>571</v>
      </c>
      <c r="E127" s="23" t="s">
        <v>13</v>
      </c>
      <c r="F127" s="27">
        <v>16</v>
      </c>
      <c r="G127" s="27">
        <v>14</v>
      </c>
      <c r="H127" s="44"/>
      <c r="I127" s="103">
        <v>1306.6099999999999</v>
      </c>
      <c r="J127" s="131"/>
      <c r="K127" s="132">
        <v>1405.83</v>
      </c>
      <c r="L127" s="47"/>
      <c r="M127" s="103"/>
      <c r="N127" s="38" t="s">
        <v>796</v>
      </c>
      <c r="O127" s="63"/>
      <c r="P127" s="67">
        <v>45689</v>
      </c>
    </row>
    <row r="128" spans="1:16" ht="12.75" customHeight="1">
      <c r="A128" s="13">
        <f t="shared" si="4"/>
        <v>116</v>
      </c>
      <c r="B128" s="155" t="s">
        <v>833</v>
      </c>
      <c r="C128" s="23" t="s">
        <v>570</v>
      </c>
      <c r="D128" s="52" t="s">
        <v>571</v>
      </c>
      <c r="E128" s="23" t="s">
        <v>13</v>
      </c>
      <c r="F128" s="27">
        <v>20</v>
      </c>
      <c r="G128" s="27">
        <v>10</v>
      </c>
      <c r="H128" s="44"/>
      <c r="I128" s="103">
        <v>1304.3699999999999</v>
      </c>
      <c r="J128" s="131"/>
      <c r="K128" s="132">
        <v>1935.28</v>
      </c>
      <c r="L128" s="47"/>
      <c r="M128" s="103"/>
      <c r="N128" s="38" t="s">
        <v>796</v>
      </c>
      <c r="O128" s="63"/>
      <c r="P128" s="193">
        <v>46082</v>
      </c>
    </row>
    <row r="129" spans="1:22" ht="12.75" customHeight="1">
      <c r="A129" s="13">
        <f t="shared" si="4"/>
        <v>117</v>
      </c>
      <c r="B129" s="155" t="s">
        <v>833</v>
      </c>
      <c r="C129" s="23" t="s">
        <v>570</v>
      </c>
      <c r="D129" s="52" t="s">
        <v>571</v>
      </c>
      <c r="E129" s="23" t="s">
        <v>13</v>
      </c>
      <c r="F129" s="27">
        <v>16</v>
      </c>
      <c r="G129" s="27">
        <v>14</v>
      </c>
      <c r="H129" s="44"/>
      <c r="I129" s="103">
        <v>1462.11</v>
      </c>
      <c r="J129" s="131"/>
      <c r="K129" s="132">
        <v>1574.79</v>
      </c>
      <c r="L129" s="47"/>
      <c r="M129" s="103"/>
      <c r="N129" s="38" t="s">
        <v>796</v>
      </c>
      <c r="O129" s="63"/>
      <c r="P129" s="193">
        <v>46082</v>
      </c>
    </row>
    <row r="130" spans="1:22" s="18" customFormat="1" ht="12.75" customHeight="1">
      <c r="A130" s="202" t="s">
        <v>16</v>
      </c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</row>
    <row r="131" spans="1:22" s="18" customFormat="1" ht="12.75" customHeight="1">
      <c r="A131" s="59">
        <f>A129+1</f>
        <v>118</v>
      </c>
      <c r="B131" s="155" t="s">
        <v>316</v>
      </c>
      <c r="C131" s="14" t="s">
        <v>55</v>
      </c>
      <c r="D131" s="53" t="s">
        <v>56</v>
      </c>
      <c r="E131" s="14" t="s">
        <v>13</v>
      </c>
      <c r="F131" s="27">
        <v>20</v>
      </c>
      <c r="G131" s="27">
        <v>10</v>
      </c>
      <c r="H131" s="44">
        <v>1216.6400000000001</v>
      </c>
      <c r="I131" s="103"/>
      <c r="J131" s="131">
        <v>1967.68</v>
      </c>
      <c r="K131" s="132"/>
      <c r="L131" s="47">
        <v>0</v>
      </c>
      <c r="M131" s="103"/>
      <c r="N131" s="39" t="s">
        <v>644</v>
      </c>
      <c r="O131" s="69">
        <v>606</v>
      </c>
      <c r="P131" s="67">
        <v>41395</v>
      </c>
    </row>
    <row r="132" spans="1:22" s="18" customFormat="1" ht="12.75" customHeight="1">
      <c r="A132" s="59">
        <f>A131+1</f>
        <v>119</v>
      </c>
      <c r="B132" s="155" t="s">
        <v>317</v>
      </c>
      <c r="C132" s="14" t="s">
        <v>55</v>
      </c>
      <c r="D132" s="52" t="s">
        <v>56</v>
      </c>
      <c r="E132" s="23" t="s">
        <v>19</v>
      </c>
      <c r="F132" s="27">
        <v>20</v>
      </c>
      <c r="G132" s="27">
        <v>10</v>
      </c>
      <c r="H132" s="44">
        <v>1208.82</v>
      </c>
      <c r="I132" s="103"/>
      <c r="J132" s="131">
        <v>1888.62</v>
      </c>
      <c r="K132" s="132"/>
      <c r="L132" s="47">
        <v>20394.13</v>
      </c>
      <c r="M132" s="103"/>
      <c r="N132" s="39" t="s">
        <v>644</v>
      </c>
      <c r="O132" s="69">
        <v>606</v>
      </c>
      <c r="P132" s="66">
        <v>41306</v>
      </c>
    </row>
    <row r="133" spans="1:22" s="112" customFormat="1" ht="12.75" customHeight="1">
      <c r="A133" s="202" t="s">
        <v>900</v>
      </c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113"/>
      <c r="R133" s="113"/>
      <c r="S133" s="113"/>
      <c r="T133" s="113"/>
      <c r="U133" s="113"/>
      <c r="V133" s="113"/>
    </row>
    <row r="134" spans="1:22" s="18" customFormat="1" ht="12.75" customHeight="1">
      <c r="A134" s="13">
        <f>A132+1</f>
        <v>120</v>
      </c>
      <c r="B134" s="52" t="s">
        <v>901</v>
      </c>
      <c r="C134" s="32" t="s">
        <v>902</v>
      </c>
      <c r="D134" s="32" t="s">
        <v>903</v>
      </c>
      <c r="E134" s="14" t="s">
        <v>13</v>
      </c>
      <c r="F134" s="32">
        <v>15</v>
      </c>
      <c r="G134" s="32">
        <v>10</v>
      </c>
      <c r="H134" s="32"/>
      <c r="I134" s="103">
        <v>680.3</v>
      </c>
      <c r="J134" s="133" t="s">
        <v>885</v>
      </c>
      <c r="K134" s="132">
        <v>822.97</v>
      </c>
      <c r="L134" s="32"/>
      <c r="M134" s="164"/>
      <c r="N134" s="108" t="s">
        <v>643</v>
      </c>
      <c r="O134" s="32"/>
      <c r="P134" s="67">
        <v>44105</v>
      </c>
    </row>
    <row r="135" spans="1:22" s="18" customFormat="1" ht="12.75" customHeight="1">
      <c r="A135" s="13">
        <f>A134+1</f>
        <v>121</v>
      </c>
      <c r="B135" s="52" t="s">
        <v>901</v>
      </c>
      <c r="C135" s="32" t="s">
        <v>902</v>
      </c>
      <c r="D135" s="32" t="s">
        <v>903</v>
      </c>
      <c r="E135" s="14" t="s">
        <v>13</v>
      </c>
      <c r="F135" s="32">
        <v>15</v>
      </c>
      <c r="G135" s="32">
        <v>10</v>
      </c>
      <c r="H135" s="32"/>
      <c r="I135" s="103">
        <v>841.73</v>
      </c>
      <c r="J135" s="133"/>
      <c r="K135" s="132">
        <v>938.38</v>
      </c>
      <c r="L135" s="32" t="s">
        <v>1080</v>
      </c>
      <c r="M135" s="164"/>
      <c r="N135" s="108" t="s">
        <v>643</v>
      </c>
      <c r="O135" s="32"/>
      <c r="P135" s="67">
        <v>44562</v>
      </c>
    </row>
    <row r="136" spans="1:22" s="18" customFormat="1" ht="12.75" customHeight="1">
      <c r="A136" s="13">
        <f t="shared" ref="A136:A147" si="5">A135+1</f>
        <v>122</v>
      </c>
      <c r="B136" s="52" t="s">
        <v>901</v>
      </c>
      <c r="C136" s="32" t="s">
        <v>902</v>
      </c>
      <c r="D136" s="32" t="s">
        <v>903</v>
      </c>
      <c r="E136" s="14" t="s">
        <v>13</v>
      </c>
      <c r="F136" s="32">
        <v>15</v>
      </c>
      <c r="G136" s="32">
        <v>1</v>
      </c>
      <c r="H136" s="32"/>
      <c r="I136" s="103">
        <v>935.72</v>
      </c>
      <c r="J136" s="133"/>
      <c r="K136" s="132">
        <v>4162.26</v>
      </c>
      <c r="L136" s="32"/>
      <c r="M136" s="164"/>
      <c r="N136" s="108" t="s">
        <v>643</v>
      </c>
      <c r="O136" s="32"/>
      <c r="P136" s="67">
        <v>45078</v>
      </c>
    </row>
    <row r="137" spans="1:22" s="18" customFormat="1" ht="12.75" customHeight="1">
      <c r="A137" s="13">
        <f t="shared" si="5"/>
        <v>123</v>
      </c>
      <c r="B137" s="180" t="s">
        <v>901</v>
      </c>
      <c r="C137" s="32" t="s">
        <v>902</v>
      </c>
      <c r="D137" s="32" t="s">
        <v>903</v>
      </c>
      <c r="E137" s="14" t="s">
        <v>13</v>
      </c>
      <c r="F137" s="32">
        <v>15</v>
      </c>
      <c r="G137" s="32">
        <v>1</v>
      </c>
      <c r="H137" s="32"/>
      <c r="I137" s="103">
        <v>1071.1500000000001</v>
      </c>
      <c r="J137" s="133"/>
      <c r="K137" s="132">
        <v>5147.97</v>
      </c>
      <c r="L137" s="32"/>
      <c r="M137" s="164"/>
      <c r="N137" s="108" t="s">
        <v>643</v>
      </c>
      <c r="O137" s="32"/>
      <c r="P137" s="67">
        <v>45352</v>
      </c>
    </row>
    <row r="138" spans="1:22" s="18" customFormat="1" ht="12.75" customHeight="1">
      <c r="A138" s="13">
        <f t="shared" si="5"/>
        <v>124</v>
      </c>
      <c r="B138" s="180" t="s">
        <v>901</v>
      </c>
      <c r="C138" s="32" t="s">
        <v>902</v>
      </c>
      <c r="D138" s="32" t="s">
        <v>903</v>
      </c>
      <c r="E138" s="14" t="s">
        <v>13</v>
      </c>
      <c r="F138" s="32">
        <v>10</v>
      </c>
      <c r="G138" s="32"/>
      <c r="H138" s="32"/>
      <c r="I138" s="103">
        <v>1216.75</v>
      </c>
      <c r="J138" s="133"/>
      <c r="K138" s="132"/>
      <c r="L138" s="32"/>
      <c r="M138" s="164"/>
      <c r="N138" s="108" t="s">
        <v>643</v>
      </c>
      <c r="O138" s="32"/>
      <c r="P138" s="67">
        <v>45352</v>
      </c>
    </row>
    <row r="139" spans="1:22" s="18" customFormat="1" ht="12.75" customHeight="1">
      <c r="A139" s="13">
        <f t="shared" si="5"/>
        <v>125</v>
      </c>
      <c r="B139" s="156" t="s">
        <v>901</v>
      </c>
      <c r="C139" s="32" t="s">
        <v>902</v>
      </c>
      <c r="D139" s="32" t="s">
        <v>903</v>
      </c>
      <c r="E139" s="14" t="s">
        <v>13</v>
      </c>
      <c r="F139" s="32">
        <v>15</v>
      </c>
      <c r="G139" s="32">
        <v>1</v>
      </c>
      <c r="H139" s="32"/>
      <c r="I139" s="103">
        <v>1136.1199999999999</v>
      </c>
      <c r="J139" s="133"/>
      <c r="K139" s="132">
        <v>5825.7</v>
      </c>
      <c r="L139" s="32"/>
      <c r="M139" s="164"/>
      <c r="N139" s="108" t="s">
        <v>643</v>
      </c>
      <c r="O139" s="32"/>
      <c r="P139" s="67">
        <v>45689</v>
      </c>
    </row>
    <row r="140" spans="1:22" s="18" customFormat="1" ht="12.75" customHeight="1">
      <c r="A140" s="13">
        <f t="shared" si="5"/>
        <v>126</v>
      </c>
      <c r="B140" s="156" t="s">
        <v>901</v>
      </c>
      <c r="C140" s="32" t="s">
        <v>902</v>
      </c>
      <c r="D140" s="32" t="s">
        <v>903</v>
      </c>
      <c r="E140" s="14" t="s">
        <v>13</v>
      </c>
      <c r="F140" s="32">
        <v>10</v>
      </c>
      <c r="G140" s="32"/>
      <c r="H140" s="32"/>
      <c r="I140" s="103">
        <v>1303.5999999999999</v>
      </c>
      <c r="J140" s="133"/>
      <c r="K140" s="132"/>
      <c r="L140" s="32"/>
      <c r="M140" s="164"/>
      <c r="N140" s="108" t="s">
        <v>643</v>
      </c>
      <c r="O140" s="32"/>
      <c r="P140" s="67">
        <v>45689</v>
      </c>
    </row>
    <row r="141" spans="1:22" s="18" customFormat="1" ht="12.75" customHeight="1">
      <c r="A141" s="13">
        <f t="shared" si="5"/>
        <v>127</v>
      </c>
      <c r="B141" s="52" t="s">
        <v>1090</v>
      </c>
      <c r="C141" s="32" t="s">
        <v>947</v>
      </c>
      <c r="D141" s="32" t="s">
        <v>1091</v>
      </c>
      <c r="E141" s="14" t="s">
        <v>13</v>
      </c>
      <c r="F141" s="32">
        <v>20</v>
      </c>
      <c r="G141" s="32">
        <v>10</v>
      </c>
      <c r="H141" s="32"/>
      <c r="I141" s="103">
        <v>872.65</v>
      </c>
      <c r="J141" s="133"/>
      <c r="K141" s="132">
        <v>1287.96</v>
      </c>
      <c r="L141" s="32"/>
      <c r="M141" s="164"/>
      <c r="N141" s="38" t="s">
        <v>796</v>
      </c>
      <c r="O141" s="32"/>
      <c r="P141" s="67">
        <v>45078</v>
      </c>
    </row>
    <row r="142" spans="1:22" s="18" customFormat="1" ht="12.75" customHeight="1">
      <c r="A142" s="13">
        <f t="shared" si="5"/>
        <v>128</v>
      </c>
      <c r="B142" s="180" t="s">
        <v>1090</v>
      </c>
      <c r="C142" s="32" t="s">
        <v>947</v>
      </c>
      <c r="D142" s="32" t="s">
        <v>1091</v>
      </c>
      <c r="E142" s="14" t="s">
        <v>13</v>
      </c>
      <c r="F142" s="32">
        <v>20</v>
      </c>
      <c r="G142" s="32">
        <v>10</v>
      </c>
      <c r="H142" s="32" t="s">
        <v>885</v>
      </c>
      <c r="I142" s="103">
        <v>977.7</v>
      </c>
      <c r="J142" s="133"/>
      <c r="K142" s="132">
        <v>1429.43</v>
      </c>
      <c r="L142" s="32"/>
      <c r="M142" s="164"/>
      <c r="N142" s="38" t="s">
        <v>796</v>
      </c>
      <c r="O142" s="32"/>
      <c r="P142" s="67">
        <v>45352</v>
      </c>
    </row>
    <row r="143" spans="1:22" s="18" customFormat="1" ht="12.75" customHeight="1">
      <c r="A143" s="13">
        <f t="shared" si="5"/>
        <v>129</v>
      </c>
      <c r="B143" s="180" t="s">
        <v>1090</v>
      </c>
      <c r="C143" s="32" t="s">
        <v>947</v>
      </c>
      <c r="D143" s="32" t="s">
        <v>1091</v>
      </c>
      <c r="E143" s="14" t="s">
        <v>13</v>
      </c>
      <c r="F143" s="32">
        <v>16</v>
      </c>
      <c r="G143" s="32">
        <v>14</v>
      </c>
      <c r="H143" s="32"/>
      <c r="I143" s="103">
        <v>1090.6300000000001</v>
      </c>
      <c r="J143" s="133"/>
      <c r="K143" s="132">
        <v>1171.3</v>
      </c>
      <c r="L143" s="32"/>
      <c r="M143" s="164"/>
      <c r="N143" s="38" t="s">
        <v>796</v>
      </c>
      <c r="O143" s="32"/>
      <c r="P143" s="67">
        <v>45352</v>
      </c>
    </row>
    <row r="144" spans="1:22" s="18" customFormat="1" ht="12.75" customHeight="1">
      <c r="A144" s="13">
        <f t="shared" si="5"/>
        <v>130</v>
      </c>
      <c r="B144" s="180" t="s">
        <v>1090</v>
      </c>
      <c r="C144" s="32" t="s">
        <v>947</v>
      </c>
      <c r="D144" s="32" t="s">
        <v>1091</v>
      </c>
      <c r="E144" s="14" t="s">
        <v>13</v>
      </c>
      <c r="F144" s="32">
        <v>20</v>
      </c>
      <c r="G144" s="32">
        <v>10</v>
      </c>
      <c r="H144" s="32"/>
      <c r="I144" s="103">
        <v>1151.3</v>
      </c>
      <c r="J144" s="133"/>
      <c r="K144" s="132">
        <v>1682.02</v>
      </c>
      <c r="L144" s="32"/>
      <c r="M144" s="164"/>
      <c r="N144" s="38" t="s">
        <v>796</v>
      </c>
      <c r="O144" s="32"/>
      <c r="P144" s="67">
        <v>45689</v>
      </c>
    </row>
    <row r="145" spans="1:22" s="18" customFormat="1" ht="12.75" customHeight="1">
      <c r="A145" s="13">
        <f t="shared" si="5"/>
        <v>131</v>
      </c>
      <c r="B145" s="180" t="s">
        <v>1090</v>
      </c>
      <c r="C145" s="32" t="s">
        <v>947</v>
      </c>
      <c r="D145" s="32" t="s">
        <v>1091</v>
      </c>
      <c r="E145" s="14" t="s">
        <v>13</v>
      </c>
      <c r="F145" s="32">
        <v>16</v>
      </c>
      <c r="G145" s="32">
        <v>14</v>
      </c>
      <c r="H145" s="32"/>
      <c r="I145" s="103">
        <v>1283.98</v>
      </c>
      <c r="J145" s="133"/>
      <c r="K145" s="132">
        <v>1378.78</v>
      </c>
      <c r="L145" s="32"/>
      <c r="M145" s="164"/>
      <c r="N145" s="38" t="s">
        <v>796</v>
      </c>
      <c r="O145" s="32"/>
      <c r="P145" s="67">
        <v>45689</v>
      </c>
    </row>
    <row r="146" spans="1:22" s="18" customFormat="1" ht="12.75" customHeight="1">
      <c r="A146" s="13">
        <f t="shared" si="5"/>
        <v>132</v>
      </c>
      <c r="B146" s="175" t="s">
        <v>1090</v>
      </c>
      <c r="C146" s="32" t="s">
        <v>947</v>
      </c>
      <c r="D146" s="32" t="s">
        <v>1091</v>
      </c>
      <c r="E146" s="14" t="s">
        <v>13</v>
      </c>
      <c r="F146" s="32">
        <v>20</v>
      </c>
      <c r="G146" s="32">
        <v>10</v>
      </c>
      <c r="H146" s="32"/>
      <c r="I146" s="103">
        <v>1364.93</v>
      </c>
      <c r="J146" s="133"/>
      <c r="K146" s="132">
        <v>2000.8</v>
      </c>
      <c r="L146" s="32"/>
      <c r="M146" s="164"/>
      <c r="N146" s="38" t="s">
        <v>796</v>
      </c>
      <c r="O146" s="32"/>
      <c r="P146" s="193">
        <v>46082</v>
      </c>
    </row>
    <row r="147" spans="1:22" s="18" customFormat="1" ht="12.75" customHeight="1">
      <c r="A147" s="13">
        <f t="shared" si="5"/>
        <v>133</v>
      </c>
      <c r="B147" s="175" t="s">
        <v>1090</v>
      </c>
      <c r="C147" s="32" t="s">
        <v>947</v>
      </c>
      <c r="D147" s="32" t="s">
        <v>1091</v>
      </c>
      <c r="E147" s="14" t="s">
        <v>13</v>
      </c>
      <c r="F147" s="32">
        <v>16</v>
      </c>
      <c r="G147" s="32">
        <v>14</v>
      </c>
      <c r="H147" s="32"/>
      <c r="I147" s="103">
        <v>1523.87</v>
      </c>
      <c r="J147" s="133"/>
      <c r="K147" s="132">
        <v>1637.44</v>
      </c>
      <c r="L147" s="32"/>
      <c r="M147" s="164"/>
      <c r="N147" s="38" t="s">
        <v>796</v>
      </c>
      <c r="O147" s="32"/>
      <c r="P147" s="193">
        <v>46082</v>
      </c>
    </row>
    <row r="148" spans="1:22" ht="12.75" customHeight="1">
      <c r="A148" s="202" t="s">
        <v>17</v>
      </c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</row>
    <row r="149" spans="1:22" ht="12.75" customHeight="1">
      <c r="A149" s="13">
        <f>A147+1</f>
        <v>134</v>
      </c>
      <c r="B149" s="52" t="s">
        <v>318</v>
      </c>
      <c r="C149" s="14" t="s">
        <v>57</v>
      </c>
      <c r="D149" s="15" t="s">
        <v>58</v>
      </c>
      <c r="E149" s="57" t="s">
        <v>13</v>
      </c>
      <c r="F149" s="26">
        <v>12</v>
      </c>
      <c r="G149" s="26">
        <v>5</v>
      </c>
      <c r="H149" s="44">
        <v>1180.83</v>
      </c>
      <c r="I149" s="103">
        <v>1214.5899999999999</v>
      </c>
      <c r="J149" s="131">
        <v>1355.75</v>
      </c>
      <c r="K149" s="132">
        <v>1506.69</v>
      </c>
      <c r="L149" s="70" t="s">
        <v>262</v>
      </c>
      <c r="M149" s="165"/>
      <c r="N149" s="99" t="s">
        <v>642</v>
      </c>
      <c r="O149" s="68">
        <v>587</v>
      </c>
      <c r="P149" s="66">
        <v>43617</v>
      </c>
    </row>
    <row r="150" spans="1:22" ht="12.75" customHeight="1">
      <c r="A150" s="13">
        <f>A149+1</f>
        <v>135</v>
      </c>
      <c r="B150" s="32" t="s">
        <v>318</v>
      </c>
      <c r="C150" s="14" t="s">
        <v>57</v>
      </c>
      <c r="D150" s="15" t="s">
        <v>58</v>
      </c>
      <c r="E150" s="57" t="s">
        <v>13</v>
      </c>
      <c r="F150" s="26">
        <v>12</v>
      </c>
      <c r="G150" s="26">
        <v>5</v>
      </c>
      <c r="H150" s="44"/>
      <c r="I150" s="103">
        <v>1451.39</v>
      </c>
      <c r="J150" s="131"/>
      <c r="K150" s="132">
        <v>1780.05</v>
      </c>
      <c r="L150" s="70"/>
      <c r="M150" s="165"/>
      <c r="N150" s="99" t="s">
        <v>642</v>
      </c>
      <c r="O150" s="68"/>
      <c r="P150" s="66">
        <v>44562</v>
      </c>
    </row>
    <row r="151" spans="1:22" ht="12.75" customHeight="1">
      <c r="A151" s="13">
        <f t="shared" ref="A151:A159" si="6">A150+1</f>
        <v>136</v>
      </c>
      <c r="B151" s="32" t="s">
        <v>318</v>
      </c>
      <c r="C151" s="14" t="s">
        <v>57</v>
      </c>
      <c r="D151" s="15" t="s">
        <v>58</v>
      </c>
      <c r="E151" s="57" t="s">
        <v>13</v>
      </c>
      <c r="F151" s="26">
        <v>12</v>
      </c>
      <c r="G151" s="26">
        <v>5</v>
      </c>
      <c r="H151" s="44"/>
      <c r="I151" s="103">
        <v>1407.05</v>
      </c>
      <c r="J151" s="131"/>
      <c r="K151" s="132">
        <v>1735.31</v>
      </c>
      <c r="L151" s="70"/>
      <c r="M151" s="165"/>
      <c r="N151" s="99" t="s">
        <v>642</v>
      </c>
      <c r="O151" s="68"/>
      <c r="P151" s="66">
        <v>44713</v>
      </c>
    </row>
    <row r="152" spans="1:22" ht="12.75" customHeight="1">
      <c r="A152" s="13">
        <f t="shared" si="6"/>
        <v>137</v>
      </c>
      <c r="B152" s="32" t="s">
        <v>318</v>
      </c>
      <c r="C152" s="14" t="s">
        <v>57</v>
      </c>
      <c r="D152" s="15" t="s">
        <v>58</v>
      </c>
      <c r="E152" s="57" t="s">
        <v>13</v>
      </c>
      <c r="F152" s="26">
        <v>12</v>
      </c>
      <c r="G152" s="26">
        <v>5</v>
      </c>
      <c r="H152" s="44"/>
      <c r="I152" s="103">
        <v>1452.14</v>
      </c>
      <c r="J152" s="131"/>
      <c r="K152" s="132">
        <v>1843.89</v>
      </c>
      <c r="L152" s="70"/>
      <c r="M152" s="165"/>
      <c r="N152" s="99" t="s">
        <v>642</v>
      </c>
      <c r="O152" s="68"/>
      <c r="P152" s="66">
        <v>45047</v>
      </c>
    </row>
    <row r="153" spans="1:22" ht="12.75" customHeight="1">
      <c r="A153" s="13">
        <f t="shared" si="6"/>
        <v>138</v>
      </c>
      <c r="B153" s="32" t="s">
        <v>318</v>
      </c>
      <c r="C153" s="14" t="s">
        <v>57</v>
      </c>
      <c r="D153" s="15" t="s">
        <v>58</v>
      </c>
      <c r="E153" s="57" t="s">
        <v>13</v>
      </c>
      <c r="F153" s="26">
        <v>12</v>
      </c>
      <c r="G153" s="26">
        <v>5</v>
      </c>
      <c r="H153" s="44"/>
      <c r="I153" s="103">
        <v>2107.17</v>
      </c>
      <c r="J153" s="131"/>
      <c r="K153" s="132">
        <v>2498.94</v>
      </c>
      <c r="L153" s="70"/>
      <c r="M153" s="165"/>
      <c r="N153" s="99" t="s">
        <v>642</v>
      </c>
      <c r="O153" s="68"/>
      <c r="P153" s="66">
        <v>45231</v>
      </c>
    </row>
    <row r="154" spans="1:22" ht="12.75" customHeight="1">
      <c r="A154" s="13">
        <f t="shared" si="6"/>
        <v>139</v>
      </c>
      <c r="B154" s="180" t="s">
        <v>318</v>
      </c>
      <c r="C154" s="14" t="s">
        <v>57</v>
      </c>
      <c r="D154" s="15" t="s">
        <v>58</v>
      </c>
      <c r="E154" s="57" t="s">
        <v>13</v>
      </c>
      <c r="F154" s="26">
        <v>12</v>
      </c>
      <c r="G154" s="26">
        <v>5</v>
      </c>
      <c r="H154" s="44"/>
      <c r="I154" s="103">
        <v>2200.25</v>
      </c>
      <c r="J154" s="131"/>
      <c r="K154" s="132">
        <v>2696.54</v>
      </c>
      <c r="L154" s="70"/>
      <c r="M154" s="165"/>
      <c r="N154" s="99" t="s">
        <v>642</v>
      </c>
      <c r="O154" s="68"/>
      <c r="P154" s="66">
        <v>45352</v>
      </c>
    </row>
    <row r="155" spans="1:22" ht="12.75" customHeight="1">
      <c r="A155" s="13">
        <f t="shared" si="6"/>
        <v>140</v>
      </c>
      <c r="B155" s="156" t="s">
        <v>318</v>
      </c>
      <c r="C155" s="14" t="s">
        <v>57</v>
      </c>
      <c r="D155" s="15" t="s">
        <v>58</v>
      </c>
      <c r="E155" s="57" t="s">
        <v>13</v>
      </c>
      <c r="F155" s="26">
        <v>12</v>
      </c>
      <c r="G155" s="26">
        <v>5</v>
      </c>
      <c r="H155" s="44"/>
      <c r="I155" s="103">
        <v>2293.21</v>
      </c>
      <c r="J155" s="131"/>
      <c r="K155" s="132">
        <v>2864.08</v>
      </c>
      <c r="L155" s="70"/>
      <c r="M155" s="165"/>
      <c r="N155" s="157" t="s">
        <v>1168</v>
      </c>
      <c r="O155" s="68"/>
      <c r="P155" s="66">
        <v>45689</v>
      </c>
    </row>
    <row r="156" spans="1:22" ht="12.75" customHeight="1">
      <c r="A156" s="13">
        <f t="shared" si="6"/>
        <v>141</v>
      </c>
      <c r="B156" s="156" t="s">
        <v>318</v>
      </c>
      <c r="C156" s="14" t="s">
        <v>57</v>
      </c>
      <c r="D156" s="15" t="s">
        <v>58</v>
      </c>
      <c r="E156" s="57" t="s">
        <v>13</v>
      </c>
      <c r="F156" s="26">
        <v>10</v>
      </c>
      <c r="G156" s="26">
        <v>8</v>
      </c>
      <c r="H156" s="44"/>
      <c r="I156" s="103">
        <v>2374.7600000000002</v>
      </c>
      <c r="J156" s="131"/>
      <c r="K156" s="132">
        <v>2497.09</v>
      </c>
      <c r="L156" s="70"/>
      <c r="M156" s="165"/>
      <c r="N156" s="157" t="s">
        <v>1168</v>
      </c>
      <c r="O156" s="68"/>
      <c r="P156" s="66">
        <v>45689</v>
      </c>
    </row>
    <row r="157" spans="1:22" ht="12.75" customHeight="1">
      <c r="A157" s="13">
        <f t="shared" si="6"/>
        <v>142</v>
      </c>
      <c r="B157" s="54" t="s">
        <v>745</v>
      </c>
      <c r="C157" s="23" t="s">
        <v>772</v>
      </c>
      <c r="D157" s="15" t="s">
        <v>59</v>
      </c>
      <c r="E157" s="57" t="s">
        <v>13</v>
      </c>
      <c r="F157" s="26">
        <v>20</v>
      </c>
      <c r="G157" s="26">
        <v>10</v>
      </c>
      <c r="H157" s="44">
        <v>1308.02</v>
      </c>
      <c r="I157" s="103"/>
      <c r="J157" s="131">
        <v>1696.73</v>
      </c>
      <c r="K157" s="132"/>
      <c r="L157" s="70" t="s">
        <v>262</v>
      </c>
      <c r="M157" s="165"/>
      <c r="N157" s="39" t="s">
        <v>644</v>
      </c>
      <c r="O157" s="69">
        <v>606</v>
      </c>
      <c r="P157" s="66">
        <v>41518</v>
      </c>
    </row>
    <row r="158" spans="1:22" ht="12.75" customHeight="1">
      <c r="A158" s="13">
        <f t="shared" si="6"/>
        <v>143</v>
      </c>
      <c r="B158" s="54" t="s">
        <v>319</v>
      </c>
      <c r="C158" s="23" t="s">
        <v>771</v>
      </c>
      <c r="D158" s="15" t="s">
        <v>59</v>
      </c>
      <c r="E158" s="57" t="s">
        <v>13</v>
      </c>
      <c r="F158" s="26">
        <v>20</v>
      </c>
      <c r="G158" s="26">
        <v>10</v>
      </c>
      <c r="H158" s="44">
        <v>1745.94</v>
      </c>
      <c r="I158" s="103">
        <v>1772.17</v>
      </c>
      <c r="J158" s="131">
        <v>2328.5100000000002</v>
      </c>
      <c r="K158" s="132">
        <v>2380.98</v>
      </c>
      <c r="L158" s="70" t="s">
        <v>262</v>
      </c>
      <c r="M158" s="165"/>
      <c r="N158" s="39" t="s">
        <v>644</v>
      </c>
      <c r="O158" s="69">
        <v>606</v>
      </c>
      <c r="P158" s="66">
        <v>43617</v>
      </c>
    </row>
    <row r="159" spans="1:22" ht="12.75" customHeight="1">
      <c r="A159" s="13">
        <f t="shared" si="6"/>
        <v>144</v>
      </c>
      <c r="B159" s="54" t="s">
        <v>320</v>
      </c>
      <c r="C159" s="23" t="s">
        <v>289</v>
      </c>
      <c r="D159" s="24" t="s">
        <v>289</v>
      </c>
      <c r="E159" s="25" t="s">
        <v>13</v>
      </c>
      <c r="F159" s="26">
        <v>15</v>
      </c>
      <c r="G159" s="26">
        <v>8</v>
      </c>
      <c r="H159" s="44">
        <v>621.76</v>
      </c>
      <c r="I159" s="103"/>
      <c r="J159" s="131">
        <v>808.86</v>
      </c>
      <c r="K159" s="132"/>
      <c r="L159" s="70" t="s">
        <v>262</v>
      </c>
      <c r="M159" s="165"/>
      <c r="N159" s="99" t="s">
        <v>642</v>
      </c>
      <c r="O159" s="68">
        <v>587</v>
      </c>
      <c r="P159" s="66">
        <v>41275</v>
      </c>
    </row>
    <row r="160" spans="1:22" s="105" customFormat="1" ht="12.75" customHeight="1">
      <c r="A160" s="208" t="s">
        <v>816</v>
      </c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104"/>
      <c r="R160" s="104"/>
      <c r="S160" s="104"/>
      <c r="T160" s="104"/>
      <c r="U160" s="104"/>
      <c r="V160" s="104"/>
    </row>
    <row r="161" spans="1:16" ht="15.75" customHeight="1">
      <c r="A161" s="59">
        <f>A159+1</f>
        <v>145</v>
      </c>
      <c r="B161" s="168" t="s">
        <v>817</v>
      </c>
      <c r="C161" s="107" t="s">
        <v>818</v>
      </c>
      <c r="D161" s="107" t="s">
        <v>819</v>
      </c>
      <c r="E161" s="107" t="s">
        <v>13</v>
      </c>
      <c r="F161" s="106">
        <v>8</v>
      </c>
      <c r="G161" s="106">
        <v>2</v>
      </c>
      <c r="H161" s="106"/>
      <c r="I161" s="166">
        <v>1921.04</v>
      </c>
      <c r="J161" s="135"/>
      <c r="K161" s="134">
        <v>5356.32</v>
      </c>
      <c r="L161" s="106"/>
      <c r="M161" s="166"/>
      <c r="N161" s="107" t="s">
        <v>820</v>
      </c>
      <c r="O161" s="106"/>
      <c r="P161" s="147">
        <v>43862</v>
      </c>
    </row>
    <row r="162" spans="1:16" ht="15.75" customHeight="1">
      <c r="A162" s="59">
        <f>A161+1</f>
        <v>146</v>
      </c>
      <c r="B162" s="155" t="s">
        <v>817</v>
      </c>
      <c r="C162" s="107" t="s">
        <v>818</v>
      </c>
      <c r="D162" s="107" t="s">
        <v>819</v>
      </c>
      <c r="E162" s="107" t="s">
        <v>13</v>
      </c>
      <c r="F162" s="106">
        <v>8</v>
      </c>
      <c r="G162" s="106">
        <v>2</v>
      </c>
      <c r="H162" s="106"/>
      <c r="I162" s="166">
        <v>2077.62</v>
      </c>
      <c r="J162" s="135"/>
      <c r="K162" s="134">
        <v>5792.93</v>
      </c>
      <c r="L162" s="106"/>
      <c r="M162" s="166"/>
      <c r="N162" s="107" t="s">
        <v>820</v>
      </c>
      <c r="O162" s="106"/>
      <c r="P162" s="147">
        <v>44713</v>
      </c>
    </row>
    <row r="163" spans="1:16" ht="15.75" customHeight="1">
      <c r="A163" s="202" t="s">
        <v>18</v>
      </c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</row>
    <row r="164" spans="1:16" ht="12.75" customHeight="1">
      <c r="A164" s="13">
        <f>A162+1</f>
        <v>147</v>
      </c>
      <c r="B164" s="52" t="s">
        <v>321</v>
      </c>
      <c r="C164" s="83" t="s">
        <v>572</v>
      </c>
      <c r="D164" s="83" t="s">
        <v>64</v>
      </c>
      <c r="E164" s="83" t="s">
        <v>13</v>
      </c>
      <c r="F164" s="83">
        <v>20</v>
      </c>
      <c r="G164" s="83">
        <v>10</v>
      </c>
      <c r="H164" s="83"/>
      <c r="I164" s="103">
        <v>678.52</v>
      </c>
      <c r="J164" s="129"/>
      <c r="K164" s="132">
        <v>996.76</v>
      </c>
      <c r="L164" s="83"/>
      <c r="M164" s="163"/>
      <c r="N164" s="38" t="s">
        <v>796</v>
      </c>
      <c r="O164" s="83">
        <v>604</v>
      </c>
      <c r="P164" s="109">
        <v>43617</v>
      </c>
    </row>
    <row r="165" spans="1:16" ht="12.75" customHeight="1">
      <c r="A165" s="13">
        <f>A164+1</f>
        <v>148</v>
      </c>
      <c r="B165" s="167" t="s">
        <v>321</v>
      </c>
      <c r="C165" s="83" t="s">
        <v>572</v>
      </c>
      <c r="D165" s="83" t="s">
        <v>973</v>
      </c>
      <c r="E165" s="83" t="s">
        <v>13</v>
      </c>
      <c r="F165" s="83">
        <v>20</v>
      </c>
      <c r="G165" s="83">
        <v>10</v>
      </c>
      <c r="H165" s="83"/>
      <c r="I165" s="103">
        <v>786.91</v>
      </c>
      <c r="J165" s="129"/>
      <c r="K165" s="132">
        <v>1140.1500000000001</v>
      </c>
      <c r="L165" s="83"/>
      <c r="M165" s="163"/>
      <c r="N165" s="38" t="s">
        <v>796</v>
      </c>
      <c r="O165" s="83"/>
      <c r="P165" s="109">
        <v>44562</v>
      </c>
    </row>
    <row r="166" spans="1:16" ht="12.75" customHeight="1">
      <c r="A166" s="13">
        <f t="shared" ref="A166:A229" si="7">A165+1</f>
        <v>149</v>
      </c>
      <c r="B166" s="167" t="s">
        <v>321</v>
      </c>
      <c r="C166" s="83" t="s">
        <v>572</v>
      </c>
      <c r="D166" s="83" t="s">
        <v>973</v>
      </c>
      <c r="E166" s="83" t="s">
        <v>13</v>
      </c>
      <c r="F166" s="83">
        <v>20</v>
      </c>
      <c r="G166" s="83">
        <v>10</v>
      </c>
      <c r="H166" s="83"/>
      <c r="I166" s="103">
        <v>968.84</v>
      </c>
      <c r="J166" s="129"/>
      <c r="K166" s="132">
        <v>1409.01</v>
      </c>
      <c r="L166" s="83"/>
      <c r="M166" s="163"/>
      <c r="N166" s="38" t="s">
        <v>796</v>
      </c>
      <c r="O166" s="83"/>
      <c r="P166" s="109">
        <v>45352</v>
      </c>
    </row>
    <row r="167" spans="1:16" ht="12.75" customHeight="1">
      <c r="A167" s="13">
        <f t="shared" si="7"/>
        <v>150</v>
      </c>
      <c r="B167" s="167" t="s">
        <v>321</v>
      </c>
      <c r="C167" s="83" t="s">
        <v>572</v>
      </c>
      <c r="D167" s="83" t="s">
        <v>973</v>
      </c>
      <c r="E167" s="83" t="s">
        <v>13</v>
      </c>
      <c r="F167" s="83">
        <v>16</v>
      </c>
      <c r="G167" s="83">
        <v>14</v>
      </c>
      <c r="H167" s="41"/>
      <c r="I167" s="103">
        <v>1078.8699999999999</v>
      </c>
      <c r="J167" s="144"/>
      <c r="K167" s="132">
        <v>1157.51</v>
      </c>
      <c r="L167" s="53"/>
      <c r="M167" s="152"/>
      <c r="N167" s="38" t="s">
        <v>796</v>
      </c>
      <c r="O167" s="83"/>
      <c r="P167" s="109">
        <v>45352</v>
      </c>
    </row>
    <row r="168" spans="1:16" ht="12.75" customHeight="1">
      <c r="A168" s="13">
        <f t="shared" si="7"/>
        <v>151</v>
      </c>
      <c r="B168" s="167" t="s">
        <v>321</v>
      </c>
      <c r="C168" s="83" t="s">
        <v>572</v>
      </c>
      <c r="D168" s="83" t="s">
        <v>973</v>
      </c>
      <c r="E168" s="83" t="s">
        <v>13</v>
      </c>
      <c r="F168" s="83">
        <v>20</v>
      </c>
      <c r="G168" s="83">
        <v>10</v>
      </c>
      <c r="H168" s="41"/>
      <c r="I168" s="103">
        <v>1140.8499999999999</v>
      </c>
      <c r="J168" s="144"/>
      <c r="K168" s="132">
        <v>1657.93</v>
      </c>
      <c r="L168" s="53"/>
      <c r="M168" s="152"/>
      <c r="N168" s="38" t="s">
        <v>796</v>
      </c>
      <c r="O168" s="83"/>
      <c r="P168" s="109">
        <v>45689</v>
      </c>
    </row>
    <row r="169" spans="1:16" ht="12.75" customHeight="1">
      <c r="A169" s="13">
        <f t="shared" si="7"/>
        <v>152</v>
      </c>
      <c r="B169" s="167" t="s">
        <v>321</v>
      </c>
      <c r="C169" s="83" t="s">
        <v>572</v>
      </c>
      <c r="D169" s="83" t="s">
        <v>973</v>
      </c>
      <c r="E169" s="83" t="s">
        <v>13</v>
      </c>
      <c r="F169" s="83">
        <v>16</v>
      </c>
      <c r="G169" s="83">
        <v>14</v>
      </c>
      <c r="H169" s="41"/>
      <c r="I169" s="103">
        <v>1270.1300000000001</v>
      </c>
      <c r="J169" s="144"/>
      <c r="K169" s="132">
        <v>1362.47</v>
      </c>
      <c r="L169" s="53"/>
      <c r="M169" s="152"/>
      <c r="N169" s="38" t="s">
        <v>796</v>
      </c>
      <c r="O169" s="83"/>
      <c r="P169" s="109">
        <v>45689</v>
      </c>
    </row>
    <row r="170" spans="1:16" ht="12.75" customHeight="1">
      <c r="A170" s="13">
        <f t="shared" si="7"/>
        <v>153</v>
      </c>
      <c r="B170" s="159" t="s">
        <v>321</v>
      </c>
      <c r="C170" s="83" t="s">
        <v>572</v>
      </c>
      <c r="D170" s="83" t="s">
        <v>973</v>
      </c>
      <c r="E170" s="83" t="s">
        <v>13</v>
      </c>
      <c r="F170" s="83">
        <v>20</v>
      </c>
      <c r="G170" s="83">
        <v>10</v>
      </c>
      <c r="H170" s="41"/>
      <c r="I170" s="103">
        <v>1324.79</v>
      </c>
      <c r="J170" s="144"/>
      <c r="K170" s="132">
        <v>1913.51</v>
      </c>
      <c r="L170" s="53"/>
      <c r="M170" s="152"/>
      <c r="N170" s="38" t="s">
        <v>796</v>
      </c>
      <c r="O170" s="83"/>
      <c r="P170" s="194">
        <v>46082</v>
      </c>
    </row>
    <row r="171" spans="1:16" ht="12.75" customHeight="1">
      <c r="A171" s="13">
        <f t="shared" si="7"/>
        <v>154</v>
      </c>
      <c r="B171" s="159" t="s">
        <v>321</v>
      </c>
      <c r="C171" s="83" t="s">
        <v>572</v>
      </c>
      <c r="D171" s="83" t="s">
        <v>973</v>
      </c>
      <c r="E171" s="83" t="s">
        <v>13</v>
      </c>
      <c r="F171" s="83">
        <v>16</v>
      </c>
      <c r="G171" s="83">
        <v>14</v>
      </c>
      <c r="H171" s="41"/>
      <c r="I171" s="103">
        <v>1472</v>
      </c>
      <c r="J171" s="144"/>
      <c r="K171" s="132">
        <v>1577.1</v>
      </c>
      <c r="L171" s="53"/>
      <c r="M171" s="152"/>
      <c r="N171" s="38" t="s">
        <v>796</v>
      </c>
      <c r="O171" s="83"/>
      <c r="P171" s="194">
        <v>46082</v>
      </c>
    </row>
    <row r="172" spans="1:16" ht="12.75" customHeight="1">
      <c r="A172" s="13">
        <f t="shared" si="7"/>
        <v>155</v>
      </c>
      <c r="B172" s="52" t="s">
        <v>788</v>
      </c>
      <c r="C172" s="14" t="s">
        <v>60</v>
      </c>
      <c r="D172" s="24" t="s">
        <v>532</v>
      </c>
      <c r="E172" s="57" t="s">
        <v>13</v>
      </c>
      <c r="F172" s="26">
        <v>20</v>
      </c>
      <c r="G172" s="26">
        <v>10</v>
      </c>
      <c r="H172" s="44">
        <v>690.68</v>
      </c>
      <c r="I172" s="103">
        <v>682.2</v>
      </c>
      <c r="J172" s="131">
        <v>1670.9</v>
      </c>
      <c r="K172" s="132">
        <v>1000.46</v>
      </c>
      <c r="L172" s="47">
        <v>0</v>
      </c>
      <c r="M172" s="103"/>
      <c r="N172" s="38" t="s">
        <v>796</v>
      </c>
      <c r="O172" s="69">
        <v>604</v>
      </c>
      <c r="P172" s="66">
        <v>43617</v>
      </c>
    </row>
    <row r="173" spans="1:16" ht="12.75" customHeight="1">
      <c r="A173" s="13">
        <f t="shared" si="7"/>
        <v>156</v>
      </c>
      <c r="B173" s="52" t="s">
        <v>788</v>
      </c>
      <c r="C173" s="14" t="s">
        <v>60</v>
      </c>
      <c r="D173" s="24" t="s">
        <v>532</v>
      </c>
      <c r="E173" s="25" t="s">
        <v>13</v>
      </c>
      <c r="F173" s="26">
        <v>20</v>
      </c>
      <c r="G173" s="26">
        <v>10</v>
      </c>
      <c r="H173" s="44"/>
      <c r="I173" s="103">
        <v>800.2</v>
      </c>
      <c r="J173" s="131"/>
      <c r="K173" s="132">
        <v>1153.45</v>
      </c>
      <c r="L173" s="47"/>
      <c r="M173" s="103"/>
      <c r="N173" s="38" t="s">
        <v>796</v>
      </c>
      <c r="O173" s="69"/>
      <c r="P173" s="66">
        <v>44562</v>
      </c>
    </row>
    <row r="174" spans="1:16" ht="12.75" customHeight="1">
      <c r="A174" s="13">
        <f t="shared" si="7"/>
        <v>157</v>
      </c>
      <c r="B174" s="52" t="s">
        <v>788</v>
      </c>
      <c r="C174" s="14" t="s">
        <v>60</v>
      </c>
      <c r="D174" s="24" t="s">
        <v>532</v>
      </c>
      <c r="E174" s="25" t="s">
        <v>13</v>
      </c>
      <c r="F174" s="26">
        <v>20</v>
      </c>
      <c r="G174" s="26">
        <v>10</v>
      </c>
      <c r="H174" s="44"/>
      <c r="I174" s="103">
        <v>856.47</v>
      </c>
      <c r="J174" s="131"/>
      <c r="K174" s="132">
        <v>1239.19</v>
      </c>
      <c r="L174" s="47"/>
      <c r="M174" s="103"/>
      <c r="N174" s="38" t="s">
        <v>796</v>
      </c>
      <c r="O174" s="69"/>
      <c r="P174" s="66">
        <v>45078</v>
      </c>
    </row>
    <row r="175" spans="1:16" ht="12.75" customHeight="1">
      <c r="A175" s="13">
        <f t="shared" si="7"/>
        <v>158</v>
      </c>
      <c r="B175" s="32" t="s">
        <v>788</v>
      </c>
      <c r="C175" s="14" t="s">
        <v>60</v>
      </c>
      <c r="D175" s="24" t="s">
        <v>532</v>
      </c>
      <c r="E175" s="25" t="s">
        <v>13</v>
      </c>
      <c r="F175" s="26">
        <v>20</v>
      </c>
      <c r="G175" s="26">
        <v>10</v>
      </c>
      <c r="H175" s="44"/>
      <c r="I175" s="103">
        <v>985.05</v>
      </c>
      <c r="J175" s="131"/>
      <c r="K175" s="132">
        <v>1425.23</v>
      </c>
      <c r="L175" s="47"/>
      <c r="M175" s="103"/>
      <c r="N175" s="38" t="s">
        <v>796</v>
      </c>
      <c r="O175" s="69"/>
      <c r="P175" s="66">
        <v>45352</v>
      </c>
    </row>
    <row r="176" spans="1:16" ht="12.75" customHeight="1">
      <c r="A176" s="13">
        <f t="shared" si="7"/>
        <v>159</v>
      </c>
      <c r="B176" s="180" t="s">
        <v>788</v>
      </c>
      <c r="C176" s="14" t="s">
        <v>60</v>
      </c>
      <c r="D176" s="24" t="s">
        <v>532</v>
      </c>
      <c r="E176" s="25" t="s">
        <v>13</v>
      </c>
      <c r="F176" s="26">
        <v>16</v>
      </c>
      <c r="G176" s="26">
        <v>14</v>
      </c>
      <c r="H176" s="44"/>
      <c r="I176" s="103">
        <v>1095.0899999999999</v>
      </c>
      <c r="J176" s="131"/>
      <c r="K176" s="132">
        <v>1173.72</v>
      </c>
      <c r="L176" s="47"/>
      <c r="M176" s="103"/>
      <c r="N176" s="38" t="s">
        <v>796</v>
      </c>
      <c r="O176" s="69"/>
      <c r="P176" s="66">
        <v>45352</v>
      </c>
    </row>
    <row r="177" spans="1:16" ht="12.75" customHeight="1">
      <c r="A177" s="13">
        <f t="shared" si="7"/>
        <v>160</v>
      </c>
      <c r="B177" s="180" t="s">
        <v>788</v>
      </c>
      <c r="C177" s="14" t="s">
        <v>60</v>
      </c>
      <c r="D177" s="24" t="s">
        <v>532</v>
      </c>
      <c r="E177" s="25" t="s">
        <v>13</v>
      </c>
      <c r="F177" s="26">
        <v>20</v>
      </c>
      <c r="G177" s="26">
        <v>5</v>
      </c>
      <c r="H177" s="44"/>
      <c r="I177" s="103">
        <v>1160</v>
      </c>
      <c r="J177" s="131"/>
      <c r="K177" s="132">
        <v>2711.89</v>
      </c>
      <c r="L177" s="47"/>
      <c r="M177" s="103"/>
      <c r="N177" s="38" t="s">
        <v>796</v>
      </c>
      <c r="O177" s="69"/>
      <c r="P177" s="66">
        <v>45689</v>
      </c>
    </row>
    <row r="178" spans="1:16" ht="12.75" customHeight="1">
      <c r="A178" s="13">
        <f t="shared" si="7"/>
        <v>161</v>
      </c>
      <c r="B178" s="180" t="s">
        <v>788</v>
      </c>
      <c r="C178" s="14" t="s">
        <v>60</v>
      </c>
      <c r="D178" s="24" t="s">
        <v>532</v>
      </c>
      <c r="E178" s="25" t="s">
        <v>13</v>
      </c>
      <c r="F178" s="26">
        <v>16</v>
      </c>
      <c r="G178" s="26">
        <v>14</v>
      </c>
      <c r="H178" s="44"/>
      <c r="I178" s="103">
        <v>1289.27</v>
      </c>
      <c r="J178" s="131"/>
      <c r="K178" s="132">
        <v>1381.61</v>
      </c>
      <c r="L178" s="47"/>
      <c r="M178" s="103"/>
      <c r="N178" s="38" t="s">
        <v>796</v>
      </c>
      <c r="O178" s="69"/>
      <c r="P178" s="66">
        <v>45689</v>
      </c>
    </row>
    <row r="179" spans="1:16" ht="12.75" customHeight="1">
      <c r="A179" s="13">
        <f t="shared" si="7"/>
        <v>162</v>
      </c>
      <c r="B179" s="156" t="s">
        <v>788</v>
      </c>
      <c r="C179" s="14" t="s">
        <v>60</v>
      </c>
      <c r="D179" s="24" t="s">
        <v>532</v>
      </c>
      <c r="E179" s="25" t="s">
        <v>13</v>
      </c>
      <c r="F179" s="26">
        <v>20</v>
      </c>
      <c r="G179" s="26">
        <v>5</v>
      </c>
      <c r="H179" s="44"/>
      <c r="I179" s="103">
        <v>1395.84</v>
      </c>
      <c r="J179" s="131"/>
      <c r="K179" s="132">
        <v>3161.92</v>
      </c>
      <c r="L179" s="47"/>
      <c r="M179" s="103"/>
      <c r="N179" s="38" t="s">
        <v>796</v>
      </c>
      <c r="O179" s="69"/>
      <c r="P179" s="193">
        <v>46082</v>
      </c>
    </row>
    <row r="180" spans="1:16" ht="12.75" customHeight="1">
      <c r="A180" s="13">
        <f t="shared" si="7"/>
        <v>163</v>
      </c>
      <c r="B180" s="156" t="s">
        <v>788</v>
      </c>
      <c r="C180" s="14" t="s">
        <v>60</v>
      </c>
      <c r="D180" s="24" t="s">
        <v>532</v>
      </c>
      <c r="E180" s="25" t="s">
        <v>13</v>
      </c>
      <c r="F180" s="26">
        <v>16</v>
      </c>
      <c r="G180" s="26">
        <v>14</v>
      </c>
      <c r="H180" s="44"/>
      <c r="I180" s="103">
        <v>1543.04</v>
      </c>
      <c r="J180" s="131"/>
      <c r="K180" s="132">
        <v>1648.16</v>
      </c>
      <c r="L180" s="47"/>
      <c r="M180" s="103"/>
      <c r="N180" s="38" t="s">
        <v>796</v>
      </c>
      <c r="O180" s="69"/>
      <c r="P180" s="193">
        <v>46082</v>
      </c>
    </row>
    <row r="181" spans="1:16" ht="12.75" customHeight="1">
      <c r="A181" s="13">
        <f t="shared" si="7"/>
        <v>164</v>
      </c>
      <c r="B181" s="156" t="s">
        <v>318</v>
      </c>
      <c r="C181" s="14" t="s">
        <v>57</v>
      </c>
      <c r="D181" s="15" t="s">
        <v>58</v>
      </c>
      <c r="E181" s="57" t="s">
        <v>13</v>
      </c>
      <c r="F181" s="27">
        <v>10</v>
      </c>
      <c r="G181" s="27">
        <v>8</v>
      </c>
      <c r="H181" s="41"/>
      <c r="I181" s="103">
        <v>2271.15</v>
      </c>
      <c r="J181" s="144"/>
      <c r="K181" s="132">
        <v>2377.5100000000002</v>
      </c>
      <c r="L181" s="53"/>
      <c r="M181" s="152"/>
      <c r="N181" s="99" t="s">
        <v>642</v>
      </c>
      <c r="O181" s="68"/>
      <c r="P181" s="66">
        <v>45352</v>
      </c>
    </row>
    <row r="182" spans="1:16" ht="12.75" customHeight="1">
      <c r="A182" s="13">
        <f t="shared" si="7"/>
        <v>165</v>
      </c>
      <c r="B182" s="52" t="s">
        <v>322</v>
      </c>
      <c r="C182" s="14" t="s">
        <v>61</v>
      </c>
      <c r="D182" s="15" t="s">
        <v>62</v>
      </c>
      <c r="E182" s="57" t="s">
        <v>13</v>
      </c>
      <c r="F182" s="26">
        <v>20</v>
      </c>
      <c r="G182" s="26">
        <v>10</v>
      </c>
      <c r="H182" s="44">
        <v>714.87</v>
      </c>
      <c r="I182" s="103">
        <v>717.89</v>
      </c>
      <c r="J182" s="131">
        <v>1047.02</v>
      </c>
      <c r="K182" s="132">
        <v>1053.06</v>
      </c>
      <c r="L182" s="47">
        <v>0</v>
      </c>
      <c r="M182" s="103"/>
      <c r="N182" s="38" t="s">
        <v>641</v>
      </c>
      <c r="O182" s="68">
        <v>605</v>
      </c>
      <c r="P182" s="66">
        <v>43617</v>
      </c>
    </row>
    <row r="183" spans="1:16" ht="12.75" customHeight="1">
      <c r="A183" s="13">
        <f t="shared" si="7"/>
        <v>166</v>
      </c>
      <c r="B183" s="14" t="s">
        <v>322</v>
      </c>
      <c r="C183" s="14" t="s">
        <v>61</v>
      </c>
      <c r="D183" s="24" t="s">
        <v>890</v>
      </c>
      <c r="E183" s="57" t="s">
        <v>13</v>
      </c>
      <c r="F183" s="26">
        <v>20</v>
      </c>
      <c r="G183" s="26">
        <v>10</v>
      </c>
      <c r="H183" s="44"/>
      <c r="I183" s="103">
        <v>717.89</v>
      </c>
      <c r="J183" s="131"/>
      <c r="K183" s="132">
        <v>1053.06</v>
      </c>
      <c r="L183" s="47"/>
      <c r="M183" s="103"/>
      <c r="N183" s="38" t="s">
        <v>641</v>
      </c>
      <c r="O183" s="68"/>
      <c r="P183" s="66">
        <v>44105</v>
      </c>
    </row>
    <row r="184" spans="1:16" ht="12.75" customHeight="1">
      <c r="A184" s="13">
        <f t="shared" si="7"/>
        <v>167</v>
      </c>
      <c r="B184" s="14" t="s">
        <v>322</v>
      </c>
      <c r="C184" s="14" t="s">
        <v>61</v>
      </c>
      <c r="D184" s="24" t="s">
        <v>890</v>
      </c>
      <c r="E184" s="57" t="s">
        <v>13</v>
      </c>
      <c r="F184" s="26">
        <v>20</v>
      </c>
      <c r="G184" s="26">
        <v>10</v>
      </c>
      <c r="H184" s="44"/>
      <c r="I184" s="103">
        <v>771.14</v>
      </c>
      <c r="J184" s="131"/>
      <c r="K184" s="132">
        <v>1125.3399999999999</v>
      </c>
      <c r="L184" s="47"/>
      <c r="M184" s="103"/>
      <c r="N184" s="38" t="s">
        <v>641</v>
      </c>
      <c r="O184" s="68"/>
      <c r="P184" s="66">
        <v>44562</v>
      </c>
    </row>
    <row r="185" spans="1:16" ht="12.75" customHeight="1">
      <c r="A185" s="13">
        <f t="shared" si="7"/>
        <v>168</v>
      </c>
      <c r="B185" s="14" t="s">
        <v>322</v>
      </c>
      <c r="C185" s="14" t="s">
        <v>61</v>
      </c>
      <c r="D185" s="24" t="s">
        <v>890</v>
      </c>
      <c r="E185" s="57" t="s">
        <v>13</v>
      </c>
      <c r="F185" s="26">
        <v>20</v>
      </c>
      <c r="G185" s="26">
        <v>10</v>
      </c>
      <c r="H185" s="44"/>
      <c r="I185" s="103">
        <v>824.55</v>
      </c>
      <c r="J185" s="131"/>
      <c r="K185" s="132">
        <v>1211.25</v>
      </c>
      <c r="L185" s="47"/>
      <c r="M185" s="103"/>
      <c r="N185" s="38" t="s">
        <v>641</v>
      </c>
      <c r="O185" s="68"/>
      <c r="P185" s="66">
        <v>45170</v>
      </c>
    </row>
    <row r="186" spans="1:16" ht="12.75" customHeight="1">
      <c r="A186" s="13">
        <f t="shared" si="7"/>
        <v>169</v>
      </c>
      <c r="B186" s="167" t="s">
        <v>322</v>
      </c>
      <c r="C186" s="83" t="s">
        <v>61</v>
      </c>
      <c r="D186" s="24" t="s">
        <v>890</v>
      </c>
      <c r="E186" s="57" t="s">
        <v>13</v>
      </c>
      <c r="F186" s="26">
        <v>20</v>
      </c>
      <c r="G186" s="26">
        <v>10</v>
      </c>
      <c r="H186" s="44"/>
      <c r="I186" s="103">
        <v>943.21</v>
      </c>
      <c r="J186" s="131"/>
      <c r="K186" s="132">
        <v>1382.98</v>
      </c>
      <c r="L186" s="47"/>
      <c r="M186" s="103"/>
      <c r="N186" s="38" t="s">
        <v>1162</v>
      </c>
      <c r="O186" s="68"/>
      <c r="P186" s="66">
        <v>45352</v>
      </c>
    </row>
    <row r="187" spans="1:16" ht="12.75" customHeight="1">
      <c r="A187" s="13">
        <f t="shared" si="7"/>
        <v>170</v>
      </c>
      <c r="B187" s="167" t="s">
        <v>322</v>
      </c>
      <c r="C187" s="83" t="s">
        <v>61</v>
      </c>
      <c r="D187" s="24" t="s">
        <v>890</v>
      </c>
      <c r="E187" s="57" t="s">
        <v>13</v>
      </c>
      <c r="F187" s="27">
        <v>16</v>
      </c>
      <c r="G187" s="27">
        <v>14</v>
      </c>
      <c r="H187" s="41"/>
      <c r="I187" s="103">
        <v>1053.1500000000001</v>
      </c>
      <c r="J187" s="144"/>
      <c r="K187" s="132">
        <v>1131.68</v>
      </c>
      <c r="L187" s="53"/>
      <c r="M187" s="152"/>
      <c r="N187" s="38" t="s">
        <v>1162</v>
      </c>
      <c r="O187" s="68"/>
      <c r="P187" s="66">
        <v>45352</v>
      </c>
    </row>
    <row r="188" spans="1:16" ht="12.75" customHeight="1">
      <c r="A188" s="13">
        <f t="shared" si="7"/>
        <v>171</v>
      </c>
      <c r="B188" s="167" t="s">
        <v>322</v>
      </c>
      <c r="C188" s="83" t="s">
        <v>61</v>
      </c>
      <c r="D188" s="24" t="s">
        <v>890</v>
      </c>
      <c r="E188" s="57" t="s">
        <v>13</v>
      </c>
      <c r="F188" s="26">
        <v>20</v>
      </c>
      <c r="G188" s="26">
        <v>10</v>
      </c>
      <c r="H188" s="41"/>
      <c r="I188" s="103">
        <v>1127.08</v>
      </c>
      <c r="J188" s="144"/>
      <c r="K188" s="132">
        <v>1663.45</v>
      </c>
      <c r="L188" s="53"/>
      <c r="M188" s="152"/>
      <c r="N188" s="38" t="s">
        <v>1180</v>
      </c>
      <c r="O188" s="68"/>
      <c r="P188" s="66">
        <v>45689</v>
      </c>
    </row>
    <row r="189" spans="1:16" ht="12.75" customHeight="1">
      <c r="A189" s="13">
        <f t="shared" si="7"/>
        <v>172</v>
      </c>
      <c r="B189" s="167" t="s">
        <v>322</v>
      </c>
      <c r="C189" s="83" t="s">
        <v>61</v>
      </c>
      <c r="D189" s="24" t="s">
        <v>890</v>
      </c>
      <c r="E189" s="57" t="s">
        <v>13</v>
      </c>
      <c r="F189" s="27">
        <v>16</v>
      </c>
      <c r="G189" s="27">
        <v>14</v>
      </c>
      <c r="H189" s="41"/>
      <c r="I189" s="103">
        <v>1261.18</v>
      </c>
      <c r="J189" s="144"/>
      <c r="K189" s="132">
        <v>1356.96</v>
      </c>
      <c r="L189" s="53"/>
      <c r="M189" s="152"/>
      <c r="N189" s="38" t="s">
        <v>1180</v>
      </c>
      <c r="O189" s="68"/>
      <c r="P189" s="66">
        <v>45689</v>
      </c>
    </row>
    <row r="190" spans="1:16" ht="12.75" customHeight="1">
      <c r="A190" s="13">
        <f t="shared" si="7"/>
        <v>173</v>
      </c>
      <c r="B190" s="159" t="s">
        <v>322</v>
      </c>
      <c r="C190" s="83" t="s">
        <v>61</v>
      </c>
      <c r="D190" s="24" t="s">
        <v>890</v>
      </c>
      <c r="E190" s="57" t="s">
        <v>13</v>
      </c>
      <c r="F190" s="26">
        <v>20</v>
      </c>
      <c r="G190" s="26">
        <v>10</v>
      </c>
      <c r="H190" s="41"/>
      <c r="I190" s="103">
        <v>1264.98</v>
      </c>
      <c r="J190" s="144"/>
      <c r="K190" s="132">
        <v>1864.54</v>
      </c>
      <c r="L190" s="53"/>
      <c r="M190" s="152"/>
      <c r="N190" s="38" t="s">
        <v>1180</v>
      </c>
      <c r="O190" s="68"/>
      <c r="P190" s="193">
        <v>46082</v>
      </c>
    </row>
    <row r="191" spans="1:16" ht="12.75" customHeight="1">
      <c r="A191" s="13">
        <f t="shared" si="7"/>
        <v>174</v>
      </c>
      <c r="B191" s="159" t="s">
        <v>322</v>
      </c>
      <c r="C191" s="83" t="s">
        <v>61</v>
      </c>
      <c r="D191" s="24" t="s">
        <v>890</v>
      </c>
      <c r="E191" s="57" t="s">
        <v>13</v>
      </c>
      <c r="F191" s="27">
        <v>16</v>
      </c>
      <c r="G191" s="27">
        <v>14</v>
      </c>
      <c r="H191" s="41"/>
      <c r="I191" s="103">
        <v>1414.88</v>
      </c>
      <c r="J191" s="144"/>
      <c r="K191" s="132">
        <v>1521.94</v>
      </c>
      <c r="L191" s="53"/>
      <c r="M191" s="152"/>
      <c r="N191" s="38" t="s">
        <v>1180</v>
      </c>
      <c r="O191" s="68"/>
      <c r="P191" s="193">
        <v>46082</v>
      </c>
    </row>
    <row r="192" spans="1:16" ht="12.75" customHeight="1">
      <c r="A192" s="13">
        <f t="shared" si="7"/>
        <v>175</v>
      </c>
      <c r="B192" s="52" t="s">
        <v>323</v>
      </c>
      <c r="C192" s="14" t="s">
        <v>61</v>
      </c>
      <c r="D192" s="15" t="s">
        <v>63</v>
      </c>
      <c r="E192" s="57" t="s">
        <v>13</v>
      </c>
      <c r="F192" s="26">
        <v>20</v>
      </c>
      <c r="G192" s="26">
        <v>10</v>
      </c>
      <c r="H192" s="44">
        <v>738.55</v>
      </c>
      <c r="I192" s="103">
        <v>741.56</v>
      </c>
      <c r="J192" s="131">
        <v>1070.69</v>
      </c>
      <c r="K192" s="132">
        <v>1076.74</v>
      </c>
      <c r="L192" s="47">
        <v>0</v>
      </c>
      <c r="M192" s="103"/>
      <c r="N192" s="38" t="s">
        <v>641</v>
      </c>
      <c r="O192" s="68">
        <v>605</v>
      </c>
      <c r="P192" s="66">
        <v>43617</v>
      </c>
    </row>
    <row r="193" spans="1:16" ht="12.75" customHeight="1">
      <c r="A193" s="13">
        <f t="shared" si="7"/>
        <v>176</v>
      </c>
      <c r="B193" s="14" t="s">
        <v>323</v>
      </c>
      <c r="C193" s="14" t="s">
        <v>61</v>
      </c>
      <c r="D193" s="24" t="s">
        <v>63</v>
      </c>
      <c r="E193" s="57" t="s">
        <v>13</v>
      </c>
      <c r="F193" s="26">
        <v>20</v>
      </c>
      <c r="G193" s="26">
        <v>10</v>
      </c>
      <c r="H193" s="44"/>
      <c r="I193" s="103">
        <v>801.24</v>
      </c>
      <c r="J193" s="131"/>
      <c r="K193" s="132">
        <v>1155.42</v>
      </c>
      <c r="L193" s="47"/>
      <c r="M193" s="103"/>
      <c r="N193" s="38" t="s">
        <v>641</v>
      </c>
      <c r="O193" s="68"/>
      <c r="P193" s="66">
        <v>44562</v>
      </c>
    </row>
    <row r="194" spans="1:16" ht="12.75" customHeight="1">
      <c r="A194" s="13">
        <f t="shared" si="7"/>
        <v>177</v>
      </c>
      <c r="B194" s="14" t="s">
        <v>323</v>
      </c>
      <c r="C194" s="14" t="s">
        <v>61</v>
      </c>
      <c r="D194" s="24" t="s">
        <v>63</v>
      </c>
      <c r="E194" s="57" t="s">
        <v>13</v>
      </c>
      <c r="F194" s="26">
        <v>20</v>
      </c>
      <c r="G194" s="26">
        <v>10</v>
      </c>
      <c r="H194" s="44"/>
      <c r="I194" s="103">
        <v>856.15</v>
      </c>
      <c r="J194" s="131"/>
      <c r="K194" s="132">
        <v>1242.8399999999999</v>
      </c>
      <c r="L194" s="47"/>
      <c r="M194" s="103"/>
      <c r="N194" s="38" t="s">
        <v>641</v>
      </c>
      <c r="O194" s="68"/>
      <c r="P194" s="66">
        <v>45170</v>
      </c>
    </row>
    <row r="195" spans="1:16" ht="12.75" customHeight="1">
      <c r="A195" s="13">
        <f t="shared" si="7"/>
        <v>178</v>
      </c>
      <c r="B195" s="32" t="s">
        <v>323</v>
      </c>
      <c r="C195" s="14" t="s">
        <v>61</v>
      </c>
      <c r="D195" s="24" t="s">
        <v>63</v>
      </c>
      <c r="E195" s="57" t="s">
        <v>13</v>
      </c>
      <c r="F195" s="26">
        <v>20</v>
      </c>
      <c r="G195" s="26">
        <v>10</v>
      </c>
      <c r="H195" s="44"/>
      <c r="I195" s="103">
        <v>979.54</v>
      </c>
      <c r="J195" s="131"/>
      <c r="K195" s="132">
        <v>1419.3</v>
      </c>
      <c r="L195" s="47"/>
      <c r="M195" s="103"/>
      <c r="N195" s="38" t="s">
        <v>1162</v>
      </c>
      <c r="O195" s="68"/>
      <c r="P195" s="66">
        <v>45352</v>
      </c>
    </row>
    <row r="196" spans="1:16" ht="12.75" customHeight="1">
      <c r="A196" s="13">
        <f t="shared" si="7"/>
        <v>179</v>
      </c>
      <c r="B196" s="32" t="s">
        <v>323</v>
      </c>
      <c r="C196" s="14" t="s">
        <v>61</v>
      </c>
      <c r="D196" s="24" t="s">
        <v>63</v>
      </c>
      <c r="E196" s="57" t="s">
        <v>13</v>
      </c>
      <c r="F196" s="27">
        <v>16</v>
      </c>
      <c r="G196" s="27">
        <v>14</v>
      </c>
      <c r="H196" s="41"/>
      <c r="I196" s="103">
        <v>1089.48</v>
      </c>
      <c r="J196" s="144"/>
      <c r="K196" s="132">
        <v>1168</v>
      </c>
      <c r="L196" s="53"/>
      <c r="M196" s="152"/>
      <c r="N196" s="38" t="s">
        <v>1162</v>
      </c>
      <c r="O196" s="68"/>
      <c r="P196" s="66">
        <v>45352</v>
      </c>
    </row>
    <row r="197" spans="1:16" ht="12.75" customHeight="1">
      <c r="A197" s="13">
        <f t="shared" si="7"/>
        <v>180</v>
      </c>
      <c r="B197" s="32" t="s">
        <v>323</v>
      </c>
      <c r="C197" s="14" t="s">
        <v>61</v>
      </c>
      <c r="D197" s="24" t="s">
        <v>63</v>
      </c>
      <c r="E197" s="57" t="s">
        <v>13</v>
      </c>
      <c r="F197" s="27">
        <v>20</v>
      </c>
      <c r="G197" s="27">
        <v>10</v>
      </c>
      <c r="H197" s="41"/>
      <c r="I197" s="103">
        <v>1174.5999999999999</v>
      </c>
      <c r="J197" s="144"/>
      <c r="K197" s="132">
        <v>1710.97</v>
      </c>
      <c r="L197" s="53"/>
      <c r="M197" s="152"/>
      <c r="N197" s="38" t="s">
        <v>1180</v>
      </c>
      <c r="O197" s="68"/>
      <c r="P197" s="66">
        <v>45689</v>
      </c>
    </row>
    <row r="198" spans="1:16" ht="12.75" customHeight="1">
      <c r="A198" s="13">
        <f t="shared" si="7"/>
        <v>181</v>
      </c>
      <c r="B198" s="32" t="s">
        <v>323</v>
      </c>
      <c r="C198" s="14" t="s">
        <v>61</v>
      </c>
      <c r="D198" s="24" t="s">
        <v>63</v>
      </c>
      <c r="E198" s="57" t="s">
        <v>13</v>
      </c>
      <c r="F198" s="27">
        <v>16</v>
      </c>
      <c r="G198" s="27">
        <v>14</v>
      </c>
      <c r="H198" s="41"/>
      <c r="I198" s="103">
        <v>1308.7</v>
      </c>
      <c r="J198" s="144"/>
      <c r="K198" s="132">
        <v>1404.48</v>
      </c>
      <c r="L198" s="53"/>
      <c r="M198" s="152"/>
      <c r="N198" s="38" t="s">
        <v>1180</v>
      </c>
      <c r="O198" s="68"/>
      <c r="P198" s="66">
        <v>45689</v>
      </c>
    </row>
    <row r="199" spans="1:16" ht="12.75" customHeight="1">
      <c r="A199" s="13">
        <f t="shared" si="7"/>
        <v>182</v>
      </c>
      <c r="B199" s="156" t="s">
        <v>323</v>
      </c>
      <c r="C199" s="14" t="s">
        <v>61</v>
      </c>
      <c r="D199" s="24" t="s">
        <v>63</v>
      </c>
      <c r="E199" s="57" t="s">
        <v>13</v>
      </c>
      <c r="F199" s="27">
        <v>20</v>
      </c>
      <c r="G199" s="27">
        <v>10</v>
      </c>
      <c r="H199" s="41"/>
      <c r="I199" s="103">
        <v>1328.78</v>
      </c>
      <c r="J199" s="144"/>
      <c r="K199" s="132">
        <v>1928.35</v>
      </c>
      <c r="L199" s="53"/>
      <c r="M199" s="152"/>
      <c r="N199" s="38" t="s">
        <v>1180</v>
      </c>
      <c r="O199" s="68"/>
      <c r="P199" s="193">
        <v>46082</v>
      </c>
    </row>
    <row r="200" spans="1:16" ht="12.75" customHeight="1">
      <c r="A200" s="13">
        <f t="shared" si="7"/>
        <v>183</v>
      </c>
      <c r="B200" s="156" t="s">
        <v>323</v>
      </c>
      <c r="C200" s="14" t="s">
        <v>61</v>
      </c>
      <c r="D200" s="24" t="s">
        <v>63</v>
      </c>
      <c r="E200" s="57" t="s">
        <v>13</v>
      </c>
      <c r="F200" s="27">
        <v>16</v>
      </c>
      <c r="G200" s="27">
        <v>14</v>
      </c>
      <c r="H200" s="41"/>
      <c r="I200" s="103">
        <v>1478.67</v>
      </c>
      <c r="J200" s="144"/>
      <c r="K200" s="132">
        <v>1585.73</v>
      </c>
      <c r="L200" s="53"/>
      <c r="M200" s="152"/>
      <c r="N200" s="38" t="s">
        <v>1180</v>
      </c>
      <c r="O200" s="68"/>
      <c r="P200" s="193">
        <v>46082</v>
      </c>
    </row>
    <row r="201" spans="1:16" ht="12.75" customHeight="1">
      <c r="A201" s="13">
        <f t="shared" si="7"/>
        <v>184</v>
      </c>
      <c r="B201" s="52" t="s">
        <v>324</v>
      </c>
      <c r="C201" s="14" t="s">
        <v>61</v>
      </c>
      <c r="D201" s="52" t="s">
        <v>813</v>
      </c>
      <c r="E201" s="14" t="s">
        <v>13</v>
      </c>
      <c r="F201" s="27">
        <v>20</v>
      </c>
      <c r="G201" s="27">
        <v>10</v>
      </c>
      <c r="H201" s="44">
        <v>762.2</v>
      </c>
      <c r="I201" s="103">
        <v>765.22</v>
      </c>
      <c r="J201" s="131">
        <v>1094.3499999999999</v>
      </c>
      <c r="K201" s="132">
        <v>1100.4000000000001</v>
      </c>
      <c r="L201" s="47">
        <v>0</v>
      </c>
      <c r="M201" s="103"/>
      <c r="N201" s="39" t="s">
        <v>641</v>
      </c>
      <c r="O201" s="68">
        <v>605</v>
      </c>
      <c r="P201" s="66">
        <v>43617</v>
      </c>
    </row>
    <row r="202" spans="1:16" ht="12.75" customHeight="1">
      <c r="A202" s="13">
        <f t="shared" si="7"/>
        <v>185</v>
      </c>
      <c r="B202" s="14" t="s">
        <v>324</v>
      </c>
      <c r="C202" s="14" t="s">
        <v>61</v>
      </c>
      <c r="D202" s="52" t="s">
        <v>813</v>
      </c>
      <c r="E202" s="14" t="s">
        <v>13</v>
      </c>
      <c r="F202" s="27">
        <v>20</v>
      </c>
      <c r="G202" s="27">
        <v>10</v>
      </c>
      <c r="H202" s="44"/>
      <c r="I202" s="103">
        <v>831.32</v>
      </c>
      <c r="J202" s="131"/>
      <c r="K202" s="132">
        <v>1185.51</v>
      </c>
      <c r="L202" s="47"/>
      <c r="M202" s="103"/>
      <c r="N202" s="39" t="s">
        <v>641</v>
      </c>
      <c r="O202" s="68"/>
      <c r="P202" s="66">
        <v>44562</v>
      </c>
    </row>
    <row r="203" spans="1:16" ht="12.75" customHeight="1">
      <c r="A203" s="13">
        <f t="shared" si="7"/>
        <v>186</v>
      </c>
      <c r="B203" s="14" t="s">
        <v>324</v>
      </c>
      <c r="C203" s="14" t="s">
        <v>61</v>
      </c>
      <c r="D203" s="52" t="s">
        <v>813</v>
      </c>
      <c r="E203" s="14" t="s">
        <v>13</v>
      </c>
      <c r="F203" s="27">
        <v>20</v>
      </c>
      <c r="G203" s="27">
        <v>10</v>
      </c>
      <c r="H203" s="44"/>
      <c r="I203" s="103">
        <v>887.73</v>
      </c>
      <c r="J203" s="131"/>
      <c r="K203" s="132">
        <v>1274.43</v>
      </c>
      <c r="L203" s="47"/>
      <c r="M203" s="103"/>
      <c r="N203" s="39" t="s">
        <v>641</v>
      </c>
      <c r="O203" s="68"/>
      <c r="P203" s="66">
        <v>45170</v>
      </c>
    </row>
    <row r="204" spans="1:16" ht="12.75" customHeight="1">
      <c r="A204" s="13">
        <f t="shared" si="7"/>
        <v>187</v>
      </c>
      <c r="B204" s="32" t="s">
        <v>324</v>
      </c>
      <c r="C204" s="14" t="s">
        <v>61</v>
      </c>
      <c r="D204" s="52" t="s">
        <v>813</v>
      </c>
      <c r="E204" s="14" t="s">
        <v>13</v>
      </c>
      <c r="F204" s="27">
        <v>20</v>
      </c>
      <c r="G204" s="27">
        <v>10</v>
      </c>
      <c r="H204" s="44"/>
      <c r="I204" s="103">
        <v>1015.87</v>
      </c>
      <c r="J204" s="131"/>
      <c r="K204" s="132">
        <v>1455.63</v>
      </c>
      <c r="L204" s="47"/>
      <c r="M204" s="103"/>
      <c r="N204" s="39" t="s">
        <v>1162</v>
      </c>
      <c r="O204" s="68"/>
      <c r="P204" s="66">
        <v>45352</v>
      </c>
    </row>
    <row r="205" spans="1:16" ht="12.75" customHeight="1">
      <c r="A205" s="13">
        <f t="shared" si="7"/>
        <v>188</v>
      </c>
      <c r="B205" s="32" t="s">
        <v>324</v>
      </c>
      <c r="C205" s="14" t="s">
        <v>61</v>
      </c>
      <c r="D205" s="52" t="s">
        <v>813</v>
      </c>
      <c r="E205" s="14" t="s">
        <v>13</v>
      </c>
      <c r="F205" s="27">
        <v>16</v>
      </c>
      <c r="G205" s="27">
        <v>14</v>
      </c>
      <c r="H205" s="41"/>
      <c r="I205" s="103">
        <v>1125.81</v>
      </c>
      <c r="J205" s="144"/>
      <c r="K205" s="132">
        <v>1204.33</v>
      </c>
      <c r="L205" s="53"/>
      <c r="M205" s="152"/>
      <c r="N205" s="39" t="s">
        <v>1162</v>
      </c>
      <c r="O205" s="68"/>
      <c r="P205" s="66">
        <v>45352</v>
      </c>
    </row>
    <row r="206" spans="1:16" ht="12.75" customHeight="1">
      <c r="A206" s="13">
        <f t="shared" si="7"/>
        <v>189</v>
      </c>
      <c r="B206" s="32" t="s">
        <v>324</v>
      </c>
      <c r="C206" s="14" t="s">
        <v>61</v>
      </c>
      <c r="D206" s="52" t="s">
        <v>813</v>
      </c>
      <c r="E206" s="14" t="s">
        <v>13</v>
      </c>
      <c r="F206" s="27">
        <v>20</v>
      </c>
      <c r="G206" s="27">
        <v>10</v>
      </c>
      <c r="H206" s="41"/>
      <c r="I206" s="103">
        <v>1222.1199999999999</v>
      </c>
      <c r="J206" s="144"/>
      <c r="K206" s="132">
        <v>1758.49</v>
      </c>
      <c r="L206" s="53"/>
      <c r="M206" s="152"/>
      <c r="N206" s="38" t="s">
        <v>1180</v>
      </c>
      <c r="O206" s="68"/>
      <c r="P206" s="66">
        <v>45689</v>
      </c>
    </row>
    <row r="207" spans="1:16" ht="12.75" customHeight="1">
      <c r="A207" s="13">
        <f t="shared" si="7"/>
        <v>190</v>
      </c>
      <c r="B207" s="32" t="s">
        <v>324</v>
      </c>
      <c r="C207" s="14" t="s">
        <v>61</v>
      </c>
      <c r="D207" s="52" t="s">
        <v>813</v>
      </c>
      <c r="E207" s="14" t="s">
        <v>13</v>
      </c>
      <c r="F207" s="27">
        <v>16</v>
      </c>
      <c r="G207" s="27">
        <v>14</v>
      </c>
      <c r="H207" s="41"/>
      <c r="I207" s="103">
        <v>1356.21</v>
      </c>
      <c r="J207" s="144"/>
      <c r="K207" s="132">
        <v>1452</v>
      </c>
      <c r="L207" s="53"/>
      <c r="M207" s="152"/>
      <c r="N207" s="38" t="s">
        <v>1180</v>
      </c>
      <c r="O207" s="68"/>
      <c r="P207" s="66">
        <v>45689</v>
      </c>
    </row>
    <row r="208" spans="1:16" ht="12.75" customHeight="1">
      <c r="A208" s="13">
        <f t="shared" si="7"/>
        <v>191</v>
      </c>
      <c r="B208" s="156" t="s">
        <v>324</v>
      </c>
      <c r="C208" s="14" t="s">
        <v>61</v>
      </c>
      <c r="D208" s="52" t="s">
        <v>813</v>
      </c>
      <c r="E208" s="14" t="s">
        <v>13</v>
      </c>
      <c r="F208" s="27">
        <v>20</v>
      </c>
      <c r="G208" s="27">
        <v>10</v>
      </c>
      <c r="H208" s="41"/>
      <c r="I208" s="103">
        <v>1392.56</v>
      </c>
      <c r="J208" s="144"/>
      <c r="K208" s="132">
        <v>1992.15</v>
      </c>
      <c r="L208" s="53"/>
      <c r="M208" s="152"/>
      <c r="N208" s="38" t="s">
        <v>1180</v>
      </c>
      <c r="O208" s="68"/>
      <c r="P208" s="193">
        <v>46082</v>
      </c>
    </row>
    <row r="209" spans="1:16" ht="12.75" customHeight="1">
      <c r="A209" s="13">
        <f t="shared" si="7"/>
        <v>192</v>
      </c>
      <c r="B209" s="156" t="s">
        <v>324</v>
      </c>
      <c r="C209" s="14" t="s">
        <v>61</v>
      </c>
      <c r="D209" s="52" t="s">
        <v>813</v>
      </c>
      <c r="E209" s="14" t="s">
        <v>13</v>
      </c>
      <c r="F209" s="27">
        <v>16</v>
      </c>
      <c r="G209" s="27">
        <v>14</v>
      </c>
      <c r="H209" s="41"/>
      <c r="I209" s="103">
        <v>1542.47</v>
      </c>
      <c r="J209" s="144"/>
      <c r="K209" s="132">
        <v>1649.53</v>
      </c>
      <c r="L209" s="53"/>
      <c r="M209" s="152"/>
      <c r="N209" s="38" t="s">
        <v>1180</v>
      </c>
      <c r="O209" s="68"/>
      <c r="P209" s="193">
        <v>46082</v>
      </c>
    </row>
    <row r="210" spans="1:16" s="8" customFormat="1" ht="12.75" customHeight="1">
      <c r="A210" s="13">
        <f t="shared" si="7"/>
        <v>193</v>
      </c>
      <c r="B210" s="52" t="s">
        <v>803</v>
      </c>
      <c r="C210" s="23" t="s">
        <v>60</v>
      </c>
      <c r="D210" s="24" t="s">
        <v>64</v>
      </c>
      <c r="E210" s="14" t="s">
        <v>19</v>
      </c>
      <c r="F210" s="26">
        <v>20</v>
      </c>
      <c r="G210" s="26">
        <v>10</v>
      </c>
      <c r="H210" s="44"/>
      <c r="I210" s="103">
        <v>1563.69</v>
      </c>
      <c r="J210" s="131"/>
      <c r="K210" s="132">
        <v>2143.63</v>
      </c>
      <c r="L210" s="47"/>
      <c r="M210" s="103">
        <v>9476.2099999999991</v>
      </c>
      <c r="N210" s="38" t="s">
        <v>796</v>
      </c>
      <c r="O210" s="68" t="s">
        <v>864</v>
      </c>
      <c r="P210" s="66">
        <v>43617</v>
      </c>
    </row>
    <row r="211" spans="1:16" s="8" customFormat="1" ht="12.75" customHeight="1">
      <c r="A211" s="13">
        <f t="shared" si="7"/>
        <v>194</v>
      </c>
      <c r="B211" s="52" t="s">
        <v>803</v>
      </c>
      <c r="C211" s="23" t="s">
        <v>60</v>
      </c>
      <c r="D211" s="24" t="s">
        <v>64</v>
      </c>
      <c r="E211" s="23" t="s">
        <v>19</v>
      </c>
      <c r="F211" s="26">
        <v>20</v>
      </c>
      <c r="G211" s="26">
        <v>10</v>
      </c>
      <c r="H211" s="44"/>
      <c r="I211" s="103">
        <v>1174</v>
      </c>
      <c r="J211" s="131"/>
      <c r="K211" s="132">
        <v>1926.76</v>
      </c>
      <c r="L211" s="47"/>
      <c r="M211" s="103"/>
      <c r="N211" s="38" t="s">
        <v>796</v>
      </c>
      <c r="O211" s="68"/>
      <c r="P211" s="66">
        <v>44562</v>
      </c>
    </row>
    <row r="212" spans="1:16" s="8" customFormat="1" ht="12.75" customHeight="1">
      <c r="A212" s="13">
        <f t="shared" si="7"/>
        <v>195</v>
      </c>
      <c r="B212" s="52" t="s">
        <v>1015</v>
      </c>
      <c r="C212" s="23" t="s">
        <v>60</v>
      </c>
      <c r="D212" s="24" t="s">
        <v>64</v>
      </c>
      <c r="E212" s="23" t="s">
        <v>19</v>
      </c>
      <c r="F212" s="46" t="s">
        <v>977</v>
      </c>
      <c r="G212" s="26"/>
      <c r="H212" s="44"/>
      <c r="I212" s="103">
        <v>55194.48</v>
      </c>
      <c r="J212" s="131"/>
      <c r="K212" s="132"/>
      <c r="L212" s="47"/>
      <c r="M212" s="103"/>
      <c r="N212" s="38" t="s">
        <v>796</v>
      </c>
      <c r="O212" s="68"/>
      <c r="P212" s="66">
        <v>44562</v>
      </c>
    </row>
    <row r="213" spans="1:16" s="8" customFormat="1" ht="12.75" customHeight="1">
      <c r="A213" s="13">
        <f t="shared" si="7"/>
        <v>196</v>
      </c>
      <c r="B213" s="52" t="s">
        <v>803</v>
      </c>
      <c r="C213" s="23" t="s">
        <v>60</v>
      </c>
      <c r="D213" s="24" t="s">
        <v>64</v>
      </c>
      <c r="E213" s="23" t="s">
        <v>19</v>
      </c>
      <c r="F213" s="26">
        <v>20</v>
      </c>
      <c r="G213" s="26">
        <v>10</v>
      </c>
      <c r="H213" s="44"/>
      <c r="I213" s="103">
        <v>1255.0899999999999</v>
      </c>
      <c r="J213" s="131"/>
      <c r="K213" s="132">
        <v>2063.71</v>
      </c>
      <c r="L213" s="47"/>
      <c r="M213" s="103"/>
      <c r="N213" s="38" t="s">
        <v>796</v>
      </c>
      <c r="O213" s="68"/>
      <c r="P213" s="66">
        <v>45078</v>
      </c>
    </row>
    <row r="214" spans="1:16" s="8" customFormat="1" ht="12.75" customHeight="1">
      <c r="A214" s="13">
        <f t="shared" si="7"/>
        <v>197</v>
      </c>
      <c r="B214" s="52" t="s">
        <v>1015</v>
      </c>
      <c r="C214" s="23" t="s">
        <v>60</v>
      </c>
      <c r="D214" s="24" t="s">
        <v>64</v>
      </c>
      <c r="E214" s="23" t="s">
        <v>19</v>
      </c>
      <c r="F214" s="46" t="s">
        <v>977</v>
      </c>
      <c r="G214" s="26"/>
      <c r="H214" s="44"/>
      <c r="I214" s="103">
        <v>55727.77</v>
      </c>
      <c r="J214" s="131"/>
      <c r="K214" s="132"/>
      <c r="L214" s="47"/>
      <c r="M214" s="103"/>
      <c r="N214" s="38" t="s">
        <v>796</v>
      </c>
      <c r="O214" s="68"/>
      <c r="P214" s="66">
        <v>45078</v>
      </c>
    </row>
    <row r="215" spans="1:16" s="8" customFormat="1" ht="12.75" customHeight="1">
      <c r="A215" s="13">
        <f t="shared" si="7"/>
        <v>198</v>
      </c>
      <c r="B215" s="52" t="s">
        <v>325</v>
      </c>
      <c r="C215" s="23" t="s">
        <v>60</v>
      </c>
      <c r="D215" s="24" t="s">
        <v>64</v>
      </c>
      <c r="E215" s="14" t="s">
        <v>19</v>
      </c>
      <c r="F215" s="26">
        <v>20</v>
      </c>
      <c r="G215" s="26">
        <v>10</v>
      </c>
      <c r="H215" s="34">
        <v>1527.22</v>
      </c>
      <c r="I215" s="84"/>
      <c r="J215" s="136">
        <v>2102.67</v>
      </c>
      <c r="K215" s="118"/>
      <c r="L215" s="34">
        <v>9341.64</v>
      </c>
      <c r="M215" s="84"/>
      <c r="N215" s="38" t="s">
        <v>796</v>
      </c>
      <c r="O215" s="69">
        <v>604</v>
      </c>
      <c r="P215" s="66">
        <v>43230</v>
      </c>
    </row>
    <row r="216" spans="1:16" s="8" customFormat="1" ht="12.75" customHeight="1">
      <c r="A216" s="13">
        <f t="shared" si="7"/>
        <v>199</v>
      </c>
      <c r="B216" s="52" t="s">
        <v>325</v>
      </c>
      <c r="C216" s="23" t="s">
        <v>60</v>
      </c>
      <c r="D216" s="24" t="s">
        <v>64</v>
      </c>
      <c r="E216" s="14" t="s">
        <v>19</v>
      </c>
      <c r="F216" s="26">
        <v>20</v>
      </c>
      <c r="G216" s="26">
        <v>10</v>
      </c>
      <c r="H216" s="34"/>
      <c r="I216" s="84" t="s">
        <v>1144</v>
      </c>
      <c r="J216" s="136"/>
      <c r="K216" s="118">
        <v>2373.61</v>
      </c>
      <c r="L216" s="34"/>
      <c r="M216" s="84" t="s">
        <v>1145</v>
      </c>
      <c r="N216" s="38" t="s">
        <v>796</v>
      </c>
      <c r="O216" s="69">
        <v>604</v>
      </c>
      <c r="P216" s="66">
        <v>45352</v>
      </c>
    </row>
    <row r="217" spans="1:16" s="8" customFormat="1" ht="12.75" customHeight="1">
      <c r="A217" s="13">
        <f t="shared" si="7"/>
        <v>200</v>
      </c>
      <c r="B217" s="52" t="s">
        <v>803</v>
      </c>
      <c r="C217" s="23" t="s">
        <v>60</v>
      </c>
      <c r="D217" s="24" t="s">
        <v>64</v>
      </c>
      <c r="E217" s="23" t="s">
        <v>19</v>
      </c>
      <c r="F217" s="26">
        <v>20</v>
      </c>
      <c r="G217" s="26">
        <v>10</v>
      </c>
      <c r="H217" s="34"/>
      <c r="I217" s="84">
        <v>1443.54</v>
      </c>
      <c r="J217" s="136"/>
      <c r="K217" s="118">
        <v>2373.61</v>
      </c>
      <c r="L217" s="34"/>
      <c r="M217" s="84"/>
      <c r="N217" s="38" t="s">
        <v>796</v>
      </c>
      <c r="O217" s="69"/>
      <c r="P217" s="66">
        <v>45352</v>
      </c>
    </row>
    <row r="218" spans="1:16" s="8" customFormat="1" ht="12.75" customHeight="1">
      <c r="A218" s="13">
        <f t="shared" si="7"/>
        <v>201</v>
      </c>
      <c r="B218" s="52" t="s">
        <v>803</v>
      </c>
      <c r="C218" s="23" t="s">
        <v>60</v>
      </c>
      <c r="D218" s="24" t="s">
        <v>64</v>
      </c>
      <c r="E218" s="23" t="s">
        <v>19</v>
      </c>
      <c r="F218" s="26">
        <v>19</v>
      </c>
      <c r="G218" s="26">
        <v>11</v>
      </c>
      <c r="H218" s="34"/>
      <c r="I218" s="84">
        <v>1492.52</v>
      </c>
      <c r="J218" s="136"/>
      <c r="K218" s="118">
        <v>2204.52</v>
      </c>
      <c r="L218" s="34"/>
      <c r="M218" s="84"/>
      <c r="N218" s="38" t="s">
        <v>796</v>
      </c>
      <c r="O218" s="69"/>
      <c r="P218" s="66">
        <v>45352</v>
      </c>
    </row>
    <row r="219" spans="1:16" s="8" customFormat="1" ht="12.75" customHeight="1">
      <c r="A219" s="13">
        <f t="shared" si="7"/>
        <v>202</v>
      </c>
      <c r="B219" s="52" t="s">
        <v>803</v>
      </c>
      <c r="C219" s="23" t="s">
        <v>60</v>
      </c>
      <c r="D219" s="24" t="s">
        <v>64</v>
      </c>
      <c r="E219" s="23" t="s">
        <v>19</v>
      </c>
      <c r="F219" s="26">
        <v>18</v>
      </c>
      <c r="G219" s="26">
        <v>12</v>
      </c>
      <c r="H219" s="34"/>
      <c r="I219" s="84">
        <v>1546.87</v>
      </c>
      <c r="J219" s="136"/>
      <c r="K219" s="118">
        <v>2063.5700000000002</v>
      </c>
      <c r="L219" s="34"/>
      <c r="M219" s="84"/>
      <c r="N219" s="38" t="s">
        <v>796</v>
      </c>
      <c r="O219" s="69"/>
      <c r="P219" s="66">
        <v>45352</v>
      </c>
    </row>
    <row r="220" spans="1:16" s="8" customFormat="1" ht="12.75" customHeight="1">
      <c r="A220" s="13">
        <f t="shared" si="7"/>
        <v>203</v>
      </c>
      <c r="B220" s="52" t="s">
        <v>803</v>
      </c>
      <c r="C220" s="23" t="s">
        <v>60</v>
      </c>
      <c r="D220" s="24" t="s">
        <v>64</v>
      </c>
      <c r="E220" s="23" t="s">
        <v>19</v>
      </c>
      <c r="F220" s="26">
        <v>17</v>
      </c>
      <c r="G220" s="26">
        <v>13</v>
      </c>
      <c r="H220" s="34"/>
      <c r="I220" s="84">
        <v>1607.67</v>
      </c>
      <c r="J220" s="136"/>
      <c r="K220" s="118">
        <v>1944.33</v>
      </c>
      <c r="L220" s="34"/>
      <c r="M220" s="84"/>
      <c r="N220" s="38" t="s">
        <v>796</v>
      </c>
      <c r="O220" s="69"/>
      <c r="P220" s="66">
        <v>45352</v>
      </c>
    </row>
    <row r="221" spans="1:16" s="8" customFormat="1" ht="12.75" customHeight="1">
      <c r="A221" s="13">
        <f t="shared" si="7"/>
        <v>204</v>
      </c>
      <c r="B221" s="52" t="s">
        <v>803</v>
      </c>
      <c r="C221" s="23" t="s">
        <v>60</v>
      </c>
      <c r="D221" s="24" t="s">
        <v>64</v>
      </c>
      <c r="E221" s="23" t="s">
        <v>19</v>
      </c>
      <c r="F221" s="26">
        <v>16</v>
      </c>
      <c r="G221" s="26">
        <v>14</v>
      </c>
      <c r="H221" s="34"/>
      <c r="I221" s="84">
        <v>1676.05</v>
      </c>
      <c r="J221" s="136"/>
      <c r="K221" s="118">
        <v>1842.13</v>
      </c>
      <c r="L221" s="34"/>
      <c r="M221" s="84"/>
      <c r="N221" s="38" t="s">
        <v>796</v>
      </c>
      <c r="O221" s="69"/>
      <c r="P221" s="66">
        <v>45352</v>
      </c>
    </row>
    <row r="222" spans="1:16" s="8" customFormat="1" ht="12.75" customHeight="1">
      <c r="A222" s="13">
        <f t="shared" si="7"/>
        <v>205</v>
      </c>
      <c r="B222" s="52" t="s">
        <v>803</v>
      </c>
      <c r="C222" s="23" t="s">
        <v>60</v>
      </c>
      <c r="D222" s="24" t="s">
        <v>64</v>
      </c>
      <c r="E222" s="23" t="s">
        <v>19</v>
      </c>
      <c r="F222" s="26">
        <v>15</v>
      </c>
      <c r="G222" s="26"/>
      <c r="H222" s="34"/>
      <c r="I222" s="84">
        <v>1753.56</v>
      </c>
      <c r="J222" s="136"/>
      <c r="K222" s="118"/>
      <c r="L222" s="34"/>
      <c r="M222" s="84"/>
      <c r="N222" s="38" t="s">
        <v>796</v>
      </c>
      <c r="O222" s="69"/>
      <c r="P222" s="66">
        <v>45689</v>
      </c>
    </row>
    <row r="223" spans="1:16" s="8" customFormat="1" ht="12.75" customHeight="1">
      <c r="A223" s="13">
        <f t="shared" si="7"/>
        <v>206</v>
      </c>
      <c r="B223" s="52" t="s">
        <v>803</v>
      </c>
      <c r="C223" s="23" t="s">
        <v>60</v>
      </c>
      <c r="D223" s="24" t="s">
        <v>64</v>
      </c>
      <c r="E223" s="23" t="s">
        <v>19</v>
      </c>
      <c r="F223" s="26">
        <v>20</v>
      </c>
      <c r="G223" s="26">
        <v>10</v>
      </c>
      <c r="H223" s="34"/>
      <c r="I223" s="84">
        <v>1699.57</v>
      </c>
      <c r="J223" s="136"/>
      <c r="K223" s="118">
        <v>2793.24</v>
      </c>
      <c r="L223" s="34"/>
      <c r="M223" s="84">
        <v>21873.37</v>
      </c>
      <c r="N223" s="38" t="s">
        <v>796</v>
      </c>
      <c r="O223" s="69"/>
      <c r="P223" s="66">
        <v>45689</v>
      </c>
    </row>
    <row r="224" spans="1:16" s="8" customFormat="1" ht="12.75" customHeight="1">
      <c r="A224" s="13">
        <f t="shared" si="7"/>
        <v>207</v>
      </c>
      <c r="B224" s="52" t="s">
        <v>803</v>
      </c>
      <c r="C224" s="23" t="s">
        <v>60</v>
      </c>
      <c r="D224" s="24" t="s">
        <v>64</v>
      </c>
      <c r="E224" s="23" t="s">
        <v>19</v>
      </c>
      <c r="F224" s="26">
        <v>19</v>
      </c>
      <c r="G224" s="26">
        <v>11</v>
      </c>
      <c r="H224" s="34"/>
      <c r="I224" s="84">
        <v>1757.15</v>
      </c>
      <c r="J224" s="136"/>
      <c r="K224" s="118">
        <v>2594.4</v>
      </c>
      <c r="L224" s="34"/>
      <c r="M224" s="84"/>
      <c r="N224" s="38" t="s">
        <v>796</v>
      </c>
      <c r="O224" s="69"/>
      <c r="P224" s="66">
        <v>45689</v>
      </c>
    </row>
    <row r="225" spans="1:16" s="8" customFormat="1" ht="12.75" customHeight="1">
      <c r="A225" s="13">
        <f t="shared" si="7"/>
        <v>208</v>
      </c>
      <c r="B225" s="52" t="s">
        <v>803</v>
      </c>
      <c r="C225" s="23" t="s">
        <v>60</v>
      </c>
      <c r="D225" s="24" t="s">
        <v>64</v>
      </c>
      <c r="E225" s="23" t="s">
        <v>19</v>
      </c>
      <c r="F225" s="26">
        <v>18</v>
      </c>
      <c r="G225" s="26">
        <v>12</v>
      </c>
      <c r="H225" s="34"/>
      <c r="I225" s="84">
        <v>1821.09</v>
      </c>
      <c r="J225" s="136"/>
      <c r="K225" s="118">
        <v>2428.6799999999998</v>
      </c>
      <c r="L225" s="34"/>
      <c r="M225" s="84"/>
      <c r="N225" s="38" t="s">
        <v>796</v>
      </c>
      <c r="O225" s="69"/>
      <c r="P225" s="66">
        <v>45689</v>
      </c>
    </row>
    <row r="226" spans="1:16" s="8" customFormat="1" ht="12.75" customHeight="1">
      <c r="A226" s="13">
        <f t="shared" si="7"/>
        <v>209</v>
      </c>
      <c r="B226" s="52" t="s">
        <v>803</v>
      </c>
      <c r="C226" s="23" t="s">
        <v>60</v>
      </c>
      <c r="D226" s="24" t="s">
        <v>64</v>
      </c>
      <c r="E226" s="23" t="s">
        <v>19</v>
      </c>
      <c r="F226" s="26">
        <v>17</v>
      </c>
      <c r="G226" s="26">
        <v>13</v>
      </c>
      <c r="H226" s="34"/>
      <c r="I226" s="84">
        <v>1892.56</v>
      </c>
      <c r="J226" s="136"/>
      <c r="K226" s="118">
        <v>2288.46</v>
      </c>
      <c r="L226" s="34"/>
      <c r="M226" s="84"/>
      <c r="N226" s="38" t="s">
        <v>796</v>
      </c>
      <c r="O226" s="69"/>
      <c r="P226" s="66">
        <v>45689</v>
      </c>
    </row>
    <row r="227" spans="1:16" s="8" customFormat="1" ht="12.75" customHeight="1">
      <c r="A227" s="13">
        <f t="shared" si="7"/>
        <v>210</v>
      </c>
      <c r="B227" s="52" t="s">
        <v>803</v>
      </c>
      <c r="C227" s="23" t="s">
        <v>60</v>
      </c>
      <c r="D227" s="24" t="s">
        <v>64</v>
      </c>
      <c r="E227" s="23" t="s">
        <v>19</v>
      </c>
      <c r="F227" s="26">
        <v>16</v>
      </c>
      <c r="G227" s="26">
        <v>14</v>
      </c>
      <c r="H227" s="34"/>
      <c r="I227" s="84">
        <v>1972.98</v>
      </c>
      <c r="J227" s="136"/>
      <c r="K227" s="118">
        <v>2168.2800000000002</v>
      </c>
      <c r="L227" s="34"/>
      <c r="M227" s="84"/>
      <c r="N227" s="38" t="s">
        <v>796</v>
      </c>
      <c r="O227" s="69"/>
      <c r="P227" s="66">
        <v>45689</v>
      </c>
    </row>
    <row r="228" spans="1:16" s="8" customFormat="1" ht="12.75" customHeight="1">
      <c r="A228" s="13">
        <f t="shared" si="7"/>
        <v>211</v>
      </c>
      <c r="B228" s="52" t="s">
        <v>803</v>
      </c>
      <c r="C228" s="23" t="s">
        <v>60</v>
      </c>
      <c r="D228" s="24" t="s">
        <v>64</v>
      </c>
      <c r="E228" s="23" t="s">
        <v>19</v>
      </c>
      <c r="F228" s="26">
        <v>15</v>
      </c>
      <c r="G228" s="26"/>
      <c r="H228" s="34"/>
      <c r="I228" s="84">
        <v>2064.12</v>
      </c>
      <c r="J228" s="136"/>
      <c r="K228" s="118"/>
      <c r="L228" s="34"/>
      <c r="M228" s="84"/>
      <c r="N228" s="38" t="s">
        <v>796</v>
      </c>
      <c r="O228" s="69"/>
      <c r="P228" s="66">
        <v>45689</v>
      </c>
    </row>
    <row r="229" spans="1:16" s="8" customFormat="1" ht="12.75" customHeight="1">
      <c r="A229" s="13">
        <f t="shared" si="7"/>
        <v>212</v>
      </c>
      <c r="B229" s="52" t="s">
        <v>1015</v>
      </c>
      <c r="C229" s="23" t="s">
        <v>60</v>
      </c>
      <c r="D229" s="24" t="s">
        <v>64</v>
      </c>
      <c r="E229" s="14" t="s">
        <v>19</v>
      </c>
      <c r="F229" s="26" t="s">
        <v>977</v>
      </c>
      <c r="G229" s="26"/>
      <c r="H229" s="34"/>
      <c r="I229" s="84">
        <v>77680.429999999993</v>
      </c>
      <c r="J229" s="136"/>
      <c r="K229" s="118"/>
      <c r="L229" s="34"/>
      <c r="M229" s="84"/>
      <c r="N229" s="38" t="s">
        <v>796</v>
      </c>
      <c r="O229" s="69"/>
      <c r="P229" s="66">
        <v>45352</v>
      </c>
    </row>
    <row r="230" spans="1:16" s="8" customFormat="1" ht="12.75" customHeight="1">
      <c r="A230" s="13">
        <f t="shared" ref="A230:A293" si="8">A229+1</f>
        <v>213</v>
      </c>
      <c r="B230" s="52" t="s">
        <v>1015</v>
      </c>
      <c r="C230" s="23" t="s">
        <v>60</v>
      </c>
      <c r="D230" s="24" t="s">
        <v>64</v>
      </c>
      <c r="E230" s="14" t="s">
        <v>19</v>
      </c>
      <c r="F230" s="26" t="s">
        <v>977</v>
      </c>
      <c r="G230" s="26"/>
      <c r="H230" s="34"/>
      <c r="I230" s="84">
        <v>89866.46</v>
      </c>
      <c r="J230" s="136"/>
      <c r="K230" s="118"/>
      <c r="L230" s="34"/>
      <c r="M230" s="84"/>
      <c r="N230" s="38" t="s">
        <v>796</v>
      </c>
      <c r="O230" s="69"/>
      <c r="P230" s="66">
        <v>45689</v>
      </c>
    </row>
    <row r="231" spans="1:16" s="8" customFormat="1" ht="12.75" customHeight="1">
      <c r="A231" s="13">
        <f t="shared" si="8"/>
        <v>214</v>
      </c>
      <c r="B231" s="155" t="s">
        <v>325</v>
      </c>
      <c r="C231" s="23" t="s">
        <v>60</v>
      </c>
      <c r="D231" s="24" t="s">
        <v>64</v>
      </c>
      <c r="E231" s="14" t="s">
        <v>19</v>
      </c>
      <c r="F231" s="26">
        <v>20</v>
      </c>
      <c r="G231" s="26">
        <v>10</v>
      </c>
      <c r="H231" s="34"/>
      <c r="I231" s="84">
        <v>1923.21</v>
      </c>
      <c r="J231" s="136"/>
      <c r="K231" s="118">
        <v>3129.92</v>
      </c>
      <c r="L231" s="34"/>
      <c r="M231" s="84">
        <v>24134.14</v>
      </c>
      <c r="N231" s="38" t="s">
        <v>796</v>
      </c>
      <c r="O231" s="69"/>
      <c r="P231" s="193">
        <v>46082</v>
      </c>
    </row>
    <row r="232" spans="1:16" s="8" customFormat="1" ht="12.75" customHeight="1">
      <c r="A232" s="13">
        <f t="shared" si="8"/>
        <v>215</v>
      </c>
      <c r="B232" s="155" t="s">
        <v>325</v>
      </c>
      <c r="C232" s="23" t="s">
        <v>60</v>
      </c>
      <c r="D232" s="24" t="s">
        <v>64</v>
      </c>
      <c r="E232" s="14" t="s">
        <v>19</v>
      </c>
      <c r="F232" s="26">
        <v>19</v>
      </c>
      <c r="G232" s="26">
        <v>11</v>
      </c>
      <c r="H232" s="34"/>
      <c r="I232" s="84">
        <v>1986.71</v>
      </c>
      <c r="J232" s="136"/>
      <c r="K232" s="118">
        <v>2910.51</v>
      </c>
      <c r="L232" s="34"/>
      <c r="M232" s="84"/>
      <c r="N232" s="38" t="s">
        <v>796</v>
      </c>
      <c r="O232" s="69"/>
      <c r="P232" s="193">
        <v>46082</v>
      </c>
    </row>
    <row r="233" spans="1:16" s="8" customFormat="1" ht="12.75" customHeight="1">
      <c r="A233" s="13">
        <f t="shared" si="8"/>
        <v>216</v>
      </c>
      <c r="B233" s="155" t="s">
        <v>325</v>
      </c>
      <c r="C233" s="23" t="s">
        <v>60</v>
      </c>
      <c r="D233" s="24" t="s">
        <v>64</v>
      </c>
      <c r="E233" s="14" t="s">
        <v>19</v>
      </c>
      <c r="F233" s="26">
        <v>18</v>
      </c>
      <c r="G233" s="26">
        <v>12</v>
      </c>
      <c r="H233" s="34"/>
      <c r="I233" s="84">
        <v>2057.2800000000002</v>
      </c>
      <c r="J233" s="136"/>
      <c r="K233" s="118">
        <v>2727.66</v>
      </c>
      <c r="L233" s="34"/>
      <c r="M233" s="84"/>
      <c r="N233" s="38" t="s">
        <v>796</v>
      </c>
      <c r="O233" s="69"/>
      <c r="P233" s="193">
        <v>46082</v>
      </c>
    </row>
    <row r="234" spans="1:16" s="8" customFormat="1" ht="12.75" customHeight="1">
      <c r="A234" s="13">
        <f t="shared" si="8"/>
        <v>217</v>
      </c>
      <c r="B234" s="155" t="s">
        <v>325</v>
      </c>
      <c r="C234" s="23" t="s">
        <v>60</v>
      </c>
      <c r="D234" s="24" t="s">
        <v>64</v>
      </c>
      <c r="E234" s="14" t="s">
        <v>19</v>
      </c>
      <c r="F234" s="26">
        <v>17</v>
      </c>
      <c r="G234" s="26">
        <v>13</v>
      </c>
      <c r="H234" s="34"/>
      <c r="I234" s="84">
        <v>2136.13</v>
      </c>
      <c r="J234" s="136"/>
      <c r="K234" s="118">
        <v>2572.98</v>
      </c>
      <c r="L234" s="34"/>
      <c r="M234" s="84"/>
      <c r="N234" s="38" t="s">
        <v>796</v>
      </c>
      <c r="O234" s="69"/>
      <c r="P234" s="193">
        <v>46082</v>
      </c>
    </row>
    <row r="235" spans="1:16" s="8" customFormat="1" ht="12.75" customHeight="1">
      <c r="A235" s="13">
        <f t="shared" si="8"/>
        <v>218</v>
      </c>
      <c r="B235" s="155" t="s">
        <v>325</v>
      </c>
      <c r="C235" s="23" t="s">
        <v>60</v>
      </c>
      <c r="D235" s="24" t="s">
        <v>64</v>
      </c>
      <c r="E235" s="14" t="s">
        <v>19</v>
      </c>
      <c r="F235" s="26">
        <v>16</v>
      </c>
      <c r="G235" s="26">
        <v>14</v>
      </c>
      <c r="H235" s="34"/>
      <c r="I235" s="84">
        <v>2224.9</v>
      </c>
      <c r="J235" s="136"/>
      <c r="K235" s="118">
        <v>2440.36</v>
      </c>
      <c r="L235" s="34"/>
      <c r="M235" s="84"/>
      <c r="N235" s="38" t="s">
        <v>796</v>
      </c>
      <c r="O235" s="69"/>
      <c r="P235" s="193">
        <v>46082</v>
      </c>
    </row>
    <row r="236" spans="1:16" s="8" customFormat="1" ht="12.75" customHeight="1">
      <c r="A236" s="13">
        <f t="shared" si="8"/>
        <v>219</v>
      </c>
      <c r="B236" s="155" t="s">
        <v>325</v>
      </c>
      <c r="C236" s="23" t="s">
        <v>60</v>
      </c>
      <c r="D236" s="24" t="s">
        <v>64</v>
      </c>
      <c r="E236" s="14" t="s">
        <v>19</v>
      </c>
      <c r="F236" s="26">
        <v>15</v>
      </c>
      <c r="G236" s="26"/>
      <c r="H236" s="34"/>
      <c r="I236" s="84">
        <v>2325.4299999999998</v>
      </c>
      <c r="J236" s="136"/>
      <c r="K236" s="118"/>
      <c r="L236" s="34"/>
      <c r="M236" s="84"/>
      <c r="N236" s="38" t="s">
        <v>796</v>
      </c>
      <c r="O236" s="69"/>
      <c r="P236" s="193">
        <v>46082</v>
      </c>
    </row>
    <row r="237" spans="1:16" s="8" customFormat="1" ht="12.75" customHeight="1">
      <c r="A237" s="13">
        <f t="shared" si="8"/>
        <v>220</v>
      </c>
      <c r="B237" s="155" t="s">
        <v>1208</v>
      </c>
      <c r="C237" s="23" t="s">
        <v>60</v>
      </c>
      <c r="D237" s="24" t="s">
        <v>64</v>
      </c>
      <c r="E237" s="14" t="s">
        <v>19</v>
      </c>
      <c r="F237" s="26" t="s">
        <v>977</v>
      </c>
      <c r="G237" s="26"/>
      <c r="H237" s="34"/>
      <c r="I237" s="84">
        <v>112849.5</v>
      </c>
      <c r="J237" s="136"/>
      <c r="K237" s="118"/>
      <c r="L237" s="34"/>
      <c r="M237" s="84"/>
      <c r="N237" s="38" t="s">
        <v>796</v>
      </c>
      <c r="O237" s="69"/>
      <c r="P237" s="193">
        <v>46082</v>
      </c>
    </row>
    <row r="238" spans="1:16" s="8" customFormat="1" ht="12.75" customHeight="1">
      <c r="A238" s="13">
        <f t="shared" si="8"/>
        <v>221</v>
      </c>
      <c r="B238" s="52" t="s">
        <v>650</v>
      </c>
      <c r="C238" s="14" t="s">
        <v>65</v>
      </c>
      <c r="D238" s="15" t="s">
        <v>62</v>
      </c>
      <c r="E238" s="14" t="s">
        <v>19</v>
      </c>
      <c r="F238" s="26">
        <v>20</v>
      </c>
      <c r="G238" s="26">
        <v>10</v>
      </c>
      <c r="H238" s="34">
        <v>1452.18</v>
      </c>
      <c r="I238" s="84">
        <v>1488.66</v>
      </c>
      <c r="J238" s="136">
        <v>2491.52</v>
      </c>
      <c r="K238" s="118">
        <v>2564.48</v>
      </c>
      <c r="L238" s="34">
        <v>9094.4500000000007</v>
      </c>
      <c r="M238" s="84">
        <v>9184.17</v>
      </c>
      <c r="N238" s="38" t="s">
        <v>641</v>
      </c>
      <c r="O238" s="68">
        <v>605</v>
      </c>
      <c r="P238" s="66">
        <v>43234</v>
      </c>
    </row>
    <row r="239" spans="1:16" s="8" customFormat="1" ht="12.75" customHeight="1">
      <c r="A239" s="13">
        <f t="shared" si="8"/>
        <v>222</v>
      </c>
      <c r="B239" s="52" t="s">
        <v>650</v>
      </c>
      <c r="C239" s="14" t="s">
        <v>65</v>
      </c>
      <c r="D239" s="24" t="s">
        <v>888</v>
      </c>
      <c r="E239" s="14" t="s">
        <v>19</v>
      </c>
      <c r="F239" s="26">
        <v>20</v>
      </c>
      <c r="G239" s="26">
        <v>10</v>
      </c>
      <c r="H239" s="34"/>
      <c r="I239" s="84">
        <v>1488.66</v>
      </c>
      <c r="J239" s="136"/>
      <c r="K239" s="118">
        <v>2564.48</v>
      </c>
      <c r="L239" s="34"/>
      <c r="M239" s="84"/>
      <c r="N239" s="38" t="s">
        <v>641</v>
      </c>
      <c r="O239" s="68"/>
      <c r="P239" s="66">
        <v>43617</v>
      </c>
    </row>
    <row r="240" spans="1:16" s="8" customFormat="1" ht="12.75" customHeight="1">
      <c r="A240" s="13">
        <f t="shared" si="8"/>
        <v>223</v>
      </c>
      <c r="B240" s="32" t="s">
        <v>1054</v>
      </c>
      <c r="C240" s="14" t="s">
        <v>65</v>
      </c>
      <c r="D240" s="24" t="s">
        <v>1055</v>
      </c>
      <c r="E240" s="14" t="s">
        <v>19</v>
      </c>
      <c r="F240" s="31" t="s">
        <v>977</v>
      </c>
      <c r="G240" s="26"/>
      <c r="H240" s="34"/>
      <c r="I240" s="84">
        <v>58074.52</v>
      </c>
      <c r="J240" s="136"/>
      <c r="K240" s="118"/>
      <c r="L240" s="34"/>
      <c r="M240" s="84"/>
      <c r="N240" s="38" t="s">
        <v>641</v>
      </c>
      <c r="O240" s="68"/>
      <c r="P240" s="66">
        <v>44562</v>
      </c>
    </row>
    <row r="241" spans="1:16" s="8" customFormat="1" ht="12.75" customHeight="1">
      <c r="A241" s="13">
        <f t="shared" si="8"/>
        <v>224</v>
      </c>
      <c r="B241" s="32" t="s">
        <v>650</v>
      </c>
      <c r="C241" s="14" t="s">
        <v>65</v>
      </c>
      <c r="D241" s="15" t="s">
        <v>62</v>
      </c>
      <c r="E241" s="14" t="s">
        <v>19</v>
      </c>
      <c r="F241" s="26">
        <v>20</v>
      </c>
      <c r="G241" s="26">
        <v>10</v>
      </c>
      <c r="H241" s="34"/>
      <c r="I241" s="84">
        <v>1105.29</v>
      </c>
      <c r="J241" s="136"/>
      <c r="K241" s="118">
        <v>1795.26</v>
      </c>
      <c r="L241" s="34"/>
      <c r="M241" s="84">
        <v>13799.49</v>
      </c>
      <c r="N241" s="38" t="s">
        <v>641</v>
      </c>
      <c r="O241" s="68"/>
      <c r="P241" s="66">
        <v>44562</v>
      </c>
    </row>
    <row r="242" spans="1:16" s="8" customFormat="1" ht="12.75" customHeight="1">
      <c r="A242" s="13">
        <f t="shared" si="8"/>
        <v>225</v>
      </c>
      <c r="B242" s="32" t="s">
        <v>650</v>
      </c>
      <c r="C242" s="14" t="s">
        <v>65</v>
      </c>
      <c r="D242" s="15" t="s">
        <v>62</v>
      </c>
      <c r="E242" s="14" t="s">
        <v>19</v>
      </c>
      <c r="F242" s="26">
        <v>20</v>
      </c>
      <c r="G242" s="26">
        <v>10</v>
      </c>
      <c r="H242" s="34"/>
      <c r="I242" s="84">
        <v>1176.97</v>
      </c>
      <c r="J242" s="136"/>
      <c r="K242" s="118">
        <v>1917.9</v>
      </c>
      <c r="L242" s="34"/>
      <c r="M242" s="84"/>
      <c r="N242" s="38" t="s">
        <v>641</v>
      </c>
      <c r="O242" s="68"/>
      <c r="P242" s="66">
        <v>45170</v>
      </c>
    </row>
    <row r="243" spans="1:16" s="8" customFormat="1" ht="12.75" customHeight="1">
      <c r="A243" s="13">
        <f t="shared" si="8"/>
        <v>226</v>
      </c>
      <c r="B243" s="32" t="s">
        <v>1054</v>
      </c>
      <c r="C243" s="14" t="s">
        <v>65</v>
      </c>
      <c r="D243" s="24" t="s">
        <v>1055</v>
      </c>
      <c r="E243" s="14" t="s">
        <v>19</v>
      </c>
      <c r="F243" s="31" t="s">
        <v>977</v>
      </c>
      <c r="G243" s="26"/>
      <c r="H243" s="34"/>
      <c r="I243" s="84">
        <v>60089.02</v>
      </c>
      <c r="J243" s="136"/>
      <c r="K243" s="118"/>
      <c r="L243" s="34"/>
      <c r="M243" s="84"/>
      <c r="N243" s="38" t="s">
        <v>641</v>
      </c>
      <c r="O243" s="68"/>
      <c r="P243" s="66">
        <v>45170</v>
      </c>
    </row>
    <row r="244" spans="1:16" s="8" customFormat="1" ht="12.75" customHeight="1">
      <c r="A244" s="13">
        <f t="shared" si="8"/>
        <v>227</v>
      </c>
      <c r="B244" s="32" t="s">
        <v>650</v>
      </c>
      <c r="C244" s="14" t="s">
        <v>65</v>
      </c>
      <c r="D244" s="15" t="s">
        <v>62</v>
      </c>
      <c r="E244" s="14" t="s">
        <v>19</v>
      </c>
      <c r="F244" s="26">
        <v>20</v>
      </c>
      <c r="G244" s="26">
        <v>10</v>
      </c>
      <c r="H244" s="34"/>
      <c r="I244" s="84" t="s">
        <v>1150</v>
      </c>
      <c r="J244" s="136"/>
      <c r="K244" s="118">
        <v>2185.61</v>
      </c>
      <c r="L244" s="34"/>
      <c r="M244" s="84">
        <v>16840.97</v>
      </c>
      <c r="N244" s="38" t="s">
        <v>1162</v>
      </c>
      <c r="O244" s="68"/>
      <c r="P244" s="66">
        <v>45352</v>
      </c>
    </row>
    <row r="245" spans="1:16" s="8" customFormat="1" ht="12.75" customHeight="1">
      <c r="A245" s="13">
        <f t="shared" si="8"/>
        <v>228</v>
      </c>
      <c r="B245" s="32" t="s">
        <v>650</v>
      </c>
      <c r="C245" s="14" t="s">
        <v>65</v>
      </c>
      <c r="D245" s="15" t="s">
        <v>62</v>
      </c>
      <c r="E245" s="14" t="s">
        <v>19</v>
      </c>
      <c r="F245" s="26">
        <v>19</v>
      </c>
      <c r="G245" s="26">
        <v>11</v>
      </c>
      <c r="H245" s="34"/>
      <c r="I245" s="84">
        <v>1387.88</v>
      </c>
      <c r="J245" s="136"/>
      <c r="K245" s="118">
        <v>2032.51</v>
      </c>
      <c r="L245" s="34"/>
      <c r="M245" s="84"/>
      <c r="N245" s="38" t="s">
        <v>1162</v>
      </c>
      <c r="O245" s="68"/>
      <c r="P245" s="66">
        <v>45352</v>
      </c>
    </row>
    <row r="246" spans="1:16" s="8" customFormat="1" ht="12.75" customHeight="1">
      <c r="A246" s="13">
        <f t="shared" si="8"/>
        <v>229</v>
      </c>
      <c r="B246" s="32" t="s">
        <v>650</v>
      </c>
      <c r="C246" s="14" t="s">
        <v>65</v>
      </c>
      <c r="D246" s="15" t="s">
        <v>62</v>
      </c>
      <c r="E246" s="14" t="s">
        <v>19</v>
      </c>
      <c r="F246" s="26">
        <v>18</v>
      </c>
      <c r="G246" s="26">
        <v>12</v>
      </c>
      <c r="H246" s="34"/>
      <c r="I246" s="84">
        <v>1437.12</v>
      </c>
      <c r="J246" s="136"/>
      <c r="K246" s="118">
        <v>1904.93</v>
      </c>
      <c r="L246" s="34"/>
      <c r="M246" s="84"/>
      <c r="N246" s="38" t="s">
        <v>1162</v>
      </c>
      <c r="O246" s="68"/>
      <c r="P246" s="66">
        <v>45352</v>
      </c>
    </row>
    <row r="247" spans="1:16" s="8" customFormat="1" ht="12.75" customHeight="1">
      <c r="A247" s="13">
        <f t="shared" si="8"/>
        <v>230</v>
      </c>
      <c r="B247" s="32" t="s">
        <v>650</v>
      </c>
      <c r="C247" s="14" t="s">
        <v>65</v>
      </c>
      <c r="D247" s="15" t="s">
        <v>62</v>
      </c>
      <c r="E247" s="14" t="s">
        <v>19</v>
      </c>
      <c r="F247" s="26">
        <v>17</v>
      </c>
      <c r="G247" s="26">
        <v>13</v>
      </c>
      <c r="H247" s="34"/>
      <c r="I247" s="84">
        <v>1492.16</v>
      </c>
      <c r="J247" s="136"/>
      <c r="K247" s="118">
        <v>1796.96</v>
      </c>
      <c r="L247" s="34"/>
      <c r="M247" s="84"/>
      <c r="N247" s="38" t="s">
        <v>1162</v>
      </c>
      <c r="O247" s="68"/>
      <c r="P247" s="66">
        <v>45352</v>
      </c>
    </row>
    <row r="248" spans="1:16" s="8" customFormat="1" ht="12.75" customHeight="1">
      <c r="A248" s="13">
        <f t="shared" si="8"/>
        <v>231</v>
      </c>
      <c r="B248" s="32" t="s">
        <v>650</v>
      </c>
      <c r="C248" s="14" t="s">
        <v>65</v>
      </c>
      <c r="D248" s="15" t="s">
        <v>62</v>
      </c>
      <c r="E248" s="14" t="s">
        <v>19</v>
      </c>
      <c r="F248" s="26">
        <v>16</v>
      </c>
      <c r="G248" s="26">
        <v>14</v>
      </c>
      <c r="H248" s="34"/>
      <c r="I248" s="84">
        <v>1554.07</v>
      </c>
      <c r="J248" s="136"/>
      <c r="K248" s="118">
        <v>1704.42</v>
      </c>
      <c r="L248" s="34"/>
      <c r="M248" s="84"/>
      <c r="N248" s="38" t="s">
        <v>1162</v>
      </c>
      <c r="O248" s="68"/>
      <c r="P248" s="66">
        <v>45352</v>
      </c>
    </row>
    <row r="249" spans="1:16" s="8" customFormat="1" ht="12.75" customHeight="1">
      <c r="A249" s="13">
        <f t="shared" si="8"/>
        <v>232</v>
      </c>
      <c r="B249" s="32" t="s">
        <v>650</v>
      </c>
      <c r="C249" s="14" t="s">
        <v>65</v>
      </c>
      <c r="D249" s="15" t="s">
        <v>62</v>
      </c>
      <c r="E249" s="14" t="s">
        <v>19</v>
      </c>
      <c r="F249" s="26">
        <v>15</v>
      </c>
      <c r="G249" s="26"/>
      <c r="H249" s="34"/>
      <c r="I249" s="84">
        <v>1624.22</v>
      </c>
      <c r="J249" s="136"/>
      <c r="K249" s="118"/>
      <c r="L249" s="34"/>
      <c r="M249" s="84"/>
      <c r="N249" s="38" t="s">
        <v>1162</v>
      </c>
      <c r="O249" s="68"/>
      <c r="P249" s="66">
        <v>45352</v>
      </c>
    </row>
    <row r="250" spans="1:16" s="8" customFormat="1" ht="12.75" customHeight="1">
      <c r="A250" s="13">
        <f t="shared" si="8"/>
        <v>233</v>
      </c>
      <c r="B250" s="32" t="s">
        <v>650</v>
      </c>
      <c r="C250" s="14" t="s">
        <v>65</v>
      </c>
      <c r="D250" s="15" t="s">
        <v>62</v>
      </c>
      <c r="E250" s="14" t="s">
        <v>19</v>
      </c>
      <c r="F250" s="26">
        <v>20</v>
      </c>
      <c r="G250" s="26">
        <v>10</v>
      </c>
      <c r="H250" s="34"/>
      <c r="I250" s="84">
        <v>1554.37</v>
      </c>
      <c r="J250" s="136"/>
      <c r="K250" s="118">
        <v>2532.09</v>
      </c>
      <c r="L250" s="34"/>
      <c r="M250" s="84">
        <v>19552.7</v>
      </c>
      <c r="N250" s="38" t="s">
        <v>1162</v>
      </c>
      <c r="O250" s="68"/>
      <c r="P250" s="66">
        <v>45689</v>
      </c>
    </row>
    <row r="251" spans="1:16" s="8" customFormat="1" ht="12.75" customHeight="1">
      <c r="A251" s="13">
        <f t="shared" si="8"/>
        <v>234</v>
      </c>
      <c r="B251" s="32" t="s">
        <v>650</v>
      </c>
      <c r="C251" s="14" t="s">
        <v>65</v>
      </c>
      <c r="D251" s="15" t="s">
        <v>62</v>
      </c>
      <c r="E251" s="14" t="s">
        <v>19</v>
      </c>
      <c r="F251" s="26">
        <v>19</v>
      </c>
      <c r="G251" s="26">
        <v>11</v>
      </c>
      <c r="H251" s="34"/>
      <c r="I251" s="84">
        <v>1605.5</v>
      </c>
      <c r="J251" s="136"/>
      <c r="K251" s="118">
        <v>2354.25</v>
      </c>
      <c r="L251" s="34"/>
      <c r="M251" s="84"/>
      <c r="N251" s="38" t="s">
        <v>1162</v>
      </c>
      <c r="O251" s="68"/>
      <c r="P251" s="66">
        <v>45689</v>
      </c>
    </row>
    <row r="252" spans="1:16" s="8" customFormat="1" ht="12.75" customHeight="1">
      <c r="A252" s="13">
        <f t="shared" si="8"/>
        <v>235</v>
      </c>
      <c r="B252" s="32" t="s">
        <v>650</v>
      </c>
      <c r="C252" s="14" t="s">
        <v>65</v>
      </c>
      <c r="D252" s="15" t="s">
        <v>62</v>
      </c>
      <c r="E252" s="14" t="s">
        <v>19</v>
      </c>
      <c r="F252" s="26">
        <v>18</v>
      </c>
      <c r="G252" s="26">
        <v>12</v>
      </c>
      <c r="H252" s="34"/>
      <c r="I252" s="84">
        <v>1662.3969999999999</v>
      </c>
      <c r="J252" s="136"/>
      <c r="K252" s="118">
        <v>2206.13</v>
      </c>
      <c r="L252" s="34"/>
      <c r="M252" s="84"/>
      <c r="N252" s="38" t="s">
        <v>1162</v>
      </c>
      <c r="O252" s="68"/>
      <c r="P252" s="66">
        <v>45689</v>
      </c>
    </row>
    <row r="253" spans="1:16" s="8" customFormat="1" ht="12.75" customHeight="1">
      <c r="A253" s="13">
        <f t="shared" si="8"/>
        <v>236</v>
      </c>
      <c r="B253" s="32" t="s">
        <v>650</v>
      </c>
      <c r="C253" s="14" t="s">
        <v>65</v>
      </c>
      <c r="D253" s="15" t="s">
        <v>62</v>
      </c>
      <c r="E253" s="14" t="s">
        <v>19</v>
      </c>
      <c r="F253" s="26">
        <v>17</v>
      </c>
      <c r="G253" s="26">
        <v>13</v>
      </c>
      <c r="H253" s="34"/>
      <c r="I253" s="84">
        <v>1726.88</v>
      </c>
      <c r="J253" s="136"/>
      <c r="K253" s="118">
        <v>2080.77</v>
      </c>
      <c r="L253" s="34"/>
      <c r="M253" s="84"/>
      <c r="N253" s="38" t="s">
        <v>1162</v>
      </c>
      <c r="O253" s="68"/>
      <c r="P253" s="66">
        <v>45689</v>
      </c>
    </row>
    <row r="254" spans="1:16" s="8" customFormat="1" ht="12.75" customHeight="1">
      <c r="A254" s="13">
        <f t="shared" si="8"/>
        <v>237</v>
      </c>
      <c r="B254" s="32" t="s">
        <v>650</v>
      </c>
      <c r="C254" s="14" t="s">
        <v>65</v>
      </c>
      <c r="D254" s="15" t="s">
        <v>62</v>
      </c>
      <c r="E254" s="14" t="s">
        <v>19</v>
      </c>
      <c r="F254" s="26">
        <v>16</v>
      </c>
      <c r="G254" s="26">
        <v>14</v>
      </c>
      <c r="H254" s="34"/>
      <c r="I254" s="84">
        <v>1798.77</v>
      </c>
      <c r="J254" s="136"/>
      <c r="K254" s="118">
        <v>1973.37</v>
      </c>
      <c r="L254" s="34"/>
      <c r="M254" s="84"/>
      <c r="N254" s="38" t="s">
        <v>1162</v>
      </c>
      <c r="O254" s="68"/>
      <c r="P254" s="66">
        <v>45689</v>
      </c>
    </row>
    <row r="255" spans="1:16" s="8" customFormat="1" ht="12.75" customHeight="1">
      <c r="A255" s="13">
        <f t="shared" si="8"/>
        <v>238</v>
      </c>
      <c r="B255" s="32" t="s">
        <v>650</v>
      </c>
      <c r="C255" s="14" t="s">
        <v>65</v>
      </c>
      <c r="D255" s="15" t="s">
        <v>62</v>
      </c>
      <c r="E255" s="14" t="s">
        <v>19</v>
      </c>
      <c r="F255" s="26">
        <v>15</v>
      </c>
      <c r="G255" s="26"/>
      <c r="H255" s="34"/>
      <c r="I255" s="84">
        <v>1880.24</v>
      </c>
      <c r="J255" s="136"/>
      <c r="K255" s="118"/>
      <c r="L255" s="34"/>
      <c r="M255" s="84"/>
      <c r="N255" s="38" t="s">
        <v>1162</v>
      </c>
      <c r="O255" s="68"/>
      <c r="P255" s="66">
        <v>45689</v>
      </c>
    </row>
    <row r="256" spans="1:16" s="8" customFormat="1" ht="12.75" customHeight="1">
      <c r="A256" s="13">
        <f t="shared" si="8"/>
        <v>239</v>
      </c>
      <c r="B256" s="32" t="s">
        <v>1054</v>
      </c>
      <c r="C256" s="14" t="s">
        <v>65</v>
      </c>
      <c r="D256" s="24" t="s">
        <v>1055</v>
      </c>
      <c r="E256" s="14" t="s">
        <v>19</v>
      </c>
      <c r="F256" s="31" t="s">
        <v>977</v>
      </c>
      <c r="G256" s="26"/>
      <c r="H256" s="34"/>
      <c r="I256" s="84">
        <v>68403.17</v>
      </c>
      <c r="J256" s="136"/>
      <c r="K256" s="118"/>
      <c r="L256" s="34"/>
      <c r="M256" s="84"/>
      <c r="N256" s="38" t="s">
        <v>1162</v>
      </c>
      <c r="O256" s="68"/>
      <c r="P256" s="66">
        <v>45352</v>
      </c>
    </row>
    <row r="257" spans="1:16" s="8" customFormat="1" ht="12.75" customHeight="1">
      <c r="A257" s="13">
        <f t="shared" si="8"/>
        <v>240</v>
      </c>
      <c r="B257" s="32" t="s">
        <v>1054</v>
      </c>
      <c r="C257" s="14" t="s">
        <v>65</v>
      </c>
      <c r="D257" s="24" t="s">
        <v>1055</v>
      </c>
      <c r="E257" s="14" t="s">
        <v>19</v>
      </c>
      <c r="F257" s="31" t="s">
        <v>977</v>
      </c>
      <c r="G257" s="26"/>
      <c r="H257" s="34"/>
      <c r="I257" s="84">
        <v>82474.5</v>
      </c>
      <c r="J257" s="136"/>
      <c r="K257" s="118"/>
      <c r="L257" s="34"/>
      <c r="M257" s="84"/>
      <c r="N257" s="38" t="s">
        <v>1162</v>
      </c>
      <c r="O257" s="68"/>
      <c r="P257" s="66">
        <v>45689</v>
      </c>
    </row>
    <row r="258" spans="1:16" s="8" customFormat="1" ht="12.75" customHeight="1">
      <c r="A258" s="13">
        <f t="shared" si="8"/>
        <v>241</v>
      </c>
      <c r="B258" s="156" t="s">
        <v>650</v>
      </c>
      <c r="C258" s="14" t="s">
        <v>65</v>
      </c>
      <c r="D258" s="24" t="s">
        <v>1055</v>
      </c>
      <c r="E258" s="14" t="s">
        <v>19</v>
      </c>
      <c r="F258" s="31">
        <v>20</v>
      </c>
      <c r="G258" s="26">
        <v>10</v>
      </c>
      <c r="H258" s="34"/>
      <c r="I258" s="84">
        <v>1711.07</v>
      </c>
      <c r="J258" s="136"/>
      <c r="K258" s="118">
        <v>2771.65</v>
      </c>
      <c r="L258" s="34"/>
      <c r="M258" s="84">
        <v>21211.45</v>
      </c>
      <c r="N258" s="38" t="s">
        <v>1162</v>
      </c>
      <c r="O258" s="68"/>
      <c r="P258" s="193">
        <v>46082</v>
      </c>
    </row>
    <row r="259" spans="1:16" s="8" customFormat="1" ht="12.75" customHeight="1">
      <c r="A259" s="13">
        <f t="shared" si="8"/>
        <v>242</v>
      </c>
      <c r="B259" s="156" t="s">
        <v>650</v>
      </c>
      <c r="C259" s="14" t="s">
        <v>65</v>
      </c>
      <c r="D259" s="24" t="s">
        <v>1055</v>
      </c>
      <c r="E259" s="14" t="s">
        <v>19</v>
      </c>
      <c r="F259" s="31">
        <v>19</v>
      </c>
      <c r="G259" s="26">
        <v>11</v>
      </c>
      <c r="H259" s="34"/>
      <c r="I259" s="84">
        <v>1766.88</v>
      </c>
      <c r="J259" s="136"/>
      <c r="K259" s="118">
        <v>2578.7800000000002</v>
      </c>
      <c r="L259" s="34"/>
      <c r="M259" s="84"/>
      <c r="N259" s="38" t="s">
        <v>1162</v>
      </c>
      <c r="O259" s="68"/>
      <c r="P259" s="193">
        <v>46082</v>
      </c>
    </row>
    <row r="260" spans="1:16" s="8" customFormat="1" ht="12.75" customHeight="1">
      <c r="A260" s="13">
        <f t="shared" si="8"/>
        <v>243</v>
      </c>
      <c r="B260" s="156" t="s">
        <v>650</v>
      </c>
      <c r="C260" s="14" t="s">
        <v>65</v>
      </c>
      <c r="D260" s="24" t="s">
        <v>1055</v>
      </c>
      <c r="E260" s="14" t="s">
        <v>19</v>
      </c>
      <c r="F260" s="31">
        <v>18</v>
      </c>
      <c r="G260" s="26">
        <v>12</v>
      </c>
      <c r="H260" s="34"/>
      <c r="I260" s="84">
        <v>1828.89</v>
      </c>
      <c r="J260" s="136"/>
      <c r="K260" s="118">
        <v>2418.11</v>
      </c>
      <c r="L260" s="34"/>
      <c r="M260" s="84"/>
      <c r="N260" s="38" t="s">
        <v>1162</v>
      </c>
      <c r="O260" s="68"/>
      <c r="P260" s="193">
        <v>46082</v>
      </c>
    </row>
    <row r="261" spans="1:16" s="8" customFormat="1" ht="12.75" customHeight="1">
      <c r="A261" s="13">
        <f t="shared" si="8"/>
        <v>244</v>
      </c>
      <c r="B261" s="156" t="s">
        <v>650</v>
      </c>
      <c r="C261" s="14" t="s">
        <v>65</v>
      </c>
      <c r="D261" s="24" t="s">
        <v>1055</v>
      </c>
      <c r="E261" s="14" t="s">
        <v>19</v>
      </c>
      <c r="F261" s="31">
        <v>17</v>
      </c>
      <c r="G261" s="26">
        <v>13</v>
      </c>
      <c r="H261" s="34"/>
      <c r="I261" s="84">
        <v>1898.21</v>
      </c>
      <c r="J261" s="136"/>
      <c r="K261" s="118">
        <v>2282.14</v>
      </c>
      <c r="L261" s="34"/>
      <c r="M261" s="84"/>
      <c r="N261" s="38" t="s">
        <v>1162</v>
      </c>
      <c r="O261" s="68"/>
      <c r="P261" s="193">
        <v>46082</v>
      </c>
    </row>
    <row r="262" spans="1:16" s="8" customFormat="1" ht="12.75" customHeight="1">
      <c r="A262" s="13">
        <f t="shared" si="8"/>
        <v>245</v>
      </c>
      <c r="B262" s="156" t="s">
        <v>650</v>
      </c>
      <c r="C262" s="14" t="s">
        <v>65</v>
      </c>
      <c r="D262" s="24" t="s">
        <v>1055</v>
      </c>
      <c r="E262" s="14" t="s">
        <v>19</v>
      </c>
      <c r="F262" s="31">
        <v>16</v>
      </c>
      <c r="G262" s="26">
        <v>14</v>
      </c>
      <c r="H262" s="34"/>
      <c r="I262" s="84">
        <v>1976.21</v>
      </c>
      <c r="J262" s="136"/>
      <c r="K262" s="118">
        <v>2165.61</v>
      </c>
      <c r="L262" s="34"/>
      <c r="M262" s="84"/>
      <c r="N262" s="38" t="s">
        <v>1162</v>
      </c>
      <c r="O262" s="68"/>
      <c r="P262" s="193">
        <v>46082</v>
      </c>
    </row>
    <row r="263" spans="1:16" s="8" customFormat="1" ht="12.75" customHeight="1">
      <c r="A263" s="13">
        <f t="shared" si="8"/>
        <v>246</v>
      </c>
      <c r="B263" s="156" t="s">
        <v>650</v>
      </c>
      <c r="C263" s="14" t="s">
        <v>65</v>
      </c>
      <c r="D263" s="24" t="s">
        <v>1055</v>
      </c>
      <c r="E263" s="14" t="s">
        <v>19</v>
      </c>
      <c r="F263" s="31">
        <v>15</v>
      </c>
      <c r="G263" s="26"/>
      <c r="H263" s="34"/>
      <c r="I263" s="84">
        <v>2064.59</v>
      </c>
      <c r="J263" s="136"/>
      <c r="K263" s="118"/>
      <c r="L263" s="34"/>
      <c r="M263" s="84"/>
      <c r="N263" s="38" t="s">
        <v>1162</v>
      </c>
      <c r="O263" s="68"/>
      <c r="P263" s="193">
        <v>46082</v>
      </c>
    </row>
    <row r="264" spans="1:16" s="8" customFormat="1" ht="12.75" customHeight="1">
      <c r="A264" s="13">
        <f t="shared" si="8"/>
        <v>247</v>
      </c>
      <c r="B264" s="156" t="s">
        <v>1054</v>
      </c>
      <c r="C264" s="14" t="s">
        <v>65</v>
      </c>
      <c r="D264" s="24" t="s">
        <v>1055</v>
      </c>
      <c r="E264" s="14" t="s">
        <v>19</v>
      </c>
      <c r="F264" s="31" t="s">
        <v>977</v>
      </c>
      <c r="G264" s="26"/>
      <c r="H264" s="34"/>
      <c r="I264" s="84">
        <v>90286.79</v>
      </c>
      <c r="J264" s="136"/>
      <c r="K264" s="118"/>
      <c r="L264" s="34"/>
      <c r="M264" s="84"/>
      <c r="N264" s="38" t="s">
        <v>1162</v>
      </c>
      <c r="O264" s="68"/>
      <c r="P264" s="193">
        <v>46082</v>
      </c>
    </row>
    <row r="265" spans="1:16" s="8" customFormat="1" ht="12.75" customHeight="1">
      <c r="A265" s="13">
        <f t="shared" si="8"/>
        <v>248</v>
      </c>
      <c r="B265" s="52" t="s">
        <v>651</v>
      </c>
      <c r="C265" s="14" t="s">
        <v>65</v>
      </c>
      <c r="D265" s="15" t="s">
        <v>66</v>
      </c>
      <c r="E265" s="14" t="s">
        <v>19</v>
      </c>
      <c r="F265" s="26">
        <v>20</v>
      </c>
      <c r="G265" s="26">
        <v>10</v>
      </c>
      <c r="H265" s="34">
        <v>1500.34</v>
      </c>
      <c r="I265" s="84">
        <v>1536.82</v>
      </c>
      <c r="J265" s="136">
        <v>2540.4899999999998</v>
      </c>
      <c r="K265" s="118">
        <v>2613.4699999999998</v>
      </c>
      <c r="L265" s="34">
        <v>9094.4500000000007</v>
      </c>
      <c r="M265" s="84">
        <v>9184.17</v>
      </c>
      <c r="N265" s="38" t="s">
        <v>641</v>
      </c>
      <c r="O265" s="68">
        <v>605</v>
      </c>
      <c r="P265" s="66">
        <v>43234</v>
      </c>
    </row>
    <row r="266" spans="1:16" s="8" customFormat="1" ht="12.75" customHeight="1">
      <c r="A266" s="13">
        <f t="shared" si="8"/>
        <v>249</v>
      </c>
      <c r="B266" s="52" t="s">
        <v>651</v>
      </c>
      <c r="C266" s="14" t="s">
        <v>65</v>
      </c>
      <c r="D266" s="24" t="s">
        <v>813</v>
      </c>
      <c r="E266" s="14" t="s">
        <v>19</v>
      </c>
      <c r="F266" s="26">
        <v>20</v>
      </c>
      <c r="G266" s="26">
        <v>10</v>
      </c>
      <c r="H266" s="34"/>
      <c r="I266" s="84">
        <v>1536.82</v>
      </c>
      <c r="J266" s="136"/>
      <c r="K266" s="118">
        <v>2613.4699999999998</v>
      </c>
      <c r="L266" s="34"/>
      <c r="M266" s="84"/>
      <c r="N266" s="38" t="s">
        <v>641</v>
      </c>
      <c r="O266" s="68"/>
      <c r="P266" s="66">
        <v>43617</v>
      </c>
    </row>
    <row r="267" spans="1:16" s="8" customFormat="1" ht="12.75" customHeight="1">
      <c r="A267" s="13">
        <f t="shared" si="8"/>
        <v>250</v>
      </c>
      <c r="B267" s="32" t="s">
        <v>1056</v>
      </c>
      <c r="C267" s="23" t="s">
        <v>65</v>
      </c>
      <c r="D267" s="24" t="s">
        <v>1057</v>
      </c>
      <c r="E267" s="14" t="s">
        <v>19</v>
      </c>
      <c r="F267" s="26">
        <v>20</v>
      </c>
      <c r="G267" s="26">
        <v>10</v>
      </c>
      <c r="H267" s="34"/>
      <c r="I267" s="84">
        <v>58074.52</v>
      </c>
      <c r="J267" s="136"/>
      <c r="K267" s="118"/>
      <c r="L267" s="34"/>
      <c r="M267" s="84"/>
      <c r="N267" s="38" t="s">
        <v>641</v>
      </c>
      <c r="O267" s="68"/>
      <c r="P267" s="66">
        <v>44562</v>
      </c>
    </row>
    <row r="268" spans="1:16" s="8" customFormat="1" ht="12.75" customHeight="1">
      <c r="A268" s="13">
        <f t="shared" si="8"/>
        <v>251</v>
      </c>
      <c r="B268" s="32" t="s">
        <v>651</v>
      </c>
      <c r="C268" s="14" t="s">
        <v>65</v>
      </c>
      <c r="D268" s="15" t="s">
        <v>66</v>
      </c>
      <c r="E268" s="14" t="s">
        <v>19</v>
      </c>
      <c r="F268" s="26">
        <v>20</v>
      </c>
      <c r="G268" s="26">
        <v>10</v>
      </c>
      <c r="H268" s="34"/>
      <c r="I268" s="84">
        <v>1165.46</v>
      </c>
      <c r="J268" s="136"/>
      <c r="K268" s="118">
        <v>1855.43</v>
      </c>
      <c r="L268" s="34"/>
      <c r="M268" s="84">
        <v>13799.49</v>
      </c>
      <c r="N268" s="38" t="s">
        <v>641</v>
      </c>
      <c r="O268" s="68"/>
      <c r="P268" s="66">
        <v>44562</v>
      </c>
    </row>
    <row r="269" spans="1:16" s="8" customFormat="1" ht="12.75" customHeight="1">
      <c r="A269" s="13">
        <f t="shared" si="8"/>
        <v>252</v>
      </c>
      <c r="B269" s="32" t="s">
        <v>651</v>
      </c>
      <c r="C269" s="14" t="s">
        <v>65</v>
      </c>
      <c r="D269" s="15" t="s">
        <v>66</v>
      </c>
      <c r="E269" s="14" t="s">
        <v>19</v>
      </c>
      <c r="F269" s="26">
        <v>20</v>
      </c>
      <c r="G269" s="26">
        <v>10</v>
      </c>
      <c r="H269" s="34"/>
      <c r="I269" s="84">
        <v>1240.1600000000001</v>
      </c>
      <c r="J269" s="136"/>
      <c r="K269" s="118">
        <v>1981.09</v>
      </c>
      <c r="L269" s="34"/>
      <c r="M269" s="84"/>
      <c r="N269" s="38" t="s">
        <v>641</v>
      </c>
      <c r="O269" s="68"/>
      <c r="P269" s="66">
        <v>45170</v>
      </c>
    </row>
    <row r="270" spans="1:16" s="8" customFormat="1" ht="12.75" customHeight="1">
      <c r="A270" s="13">
        <f t="shared" si="8"/>
        <v>253</v>
      </c>
      <c r="B270" s="32" t="s">
        <v>1056</v>
      </c>
      <c r="C270" s="23" t="s">
        <v>65</v>
      </c>
      <c r="D270" s="24" t="s">
        <v>1057</v>
      </c>
      <c r="E270" s="14" t="s">
        <v>19</v>
      </c>
      <c r="F270" s="46" t="s">
        <v>977</v>
      </c>
      <c r="G270" s="26"/>
      <c r="H270" s="34"/>
      <c r="I270" s="84">
        <v>60089.02</v>
      </c>
      <c r="J270" s="136"/>
      <c r="K270" s="118"/>
      <c r="L270" s="34"/>
      <c r="M270" s="84"/>
      <c r="N270" s="38" t="s">
        <v>641</v>
      </c>
      <c r="O270" s="68"/>
      <c r="P270" s="66">
        <v>45170</v>
      </c>
    </row>
    <row r="271" spans="1:16" s="8" customFormat="1" ht="12.75" customHeight="1">
      <c r="A271" s="13">
        <f t="shared" si="8"/>
        <v>254</v>
      </c>
      <c r="B271" s="32" t="s">
        <v>651</v>
      </c>
      <c r="C271" s="14" t="s">
        <v>65</v>
      </c>
      <c r="D271" s="15" t="s">
        <v>66</v>
      </c>
      <c r="E271" s="14" t="s">
        <v>19</v>
      </c>
      <c r="F271" s="26">
        <v>20</v>
      </c>
      <c r="G271" s="26">
        <v>10</v>
      </c>
      <c r="H271" s="34"/>
      <c r="I271" s="84">
        <v>1416.2</v>
      </c>
      <c r="J271" s="136"/>
      <c r="K271" s="118">
        <v>2258.27</v>
      </c>
      <c r="L271" s="34"/>
      <c r="M271" s="84">
        <v>16840.57</v>
      </c>
      <c r="N271" s="38" t="s">
        <v>1162</v>
      </c>
      <c r="O271" s="68"/>
      <c r="P271" s="66">
        <v>45352</v>
      </c>
    </row>
    <row r="272" spans="1:16" s="8" customFormat="1" ht="12.75" customHeight="1">
      <c r="A272" s="13">
        <f t="shared" si="8"/>
        <v>255</v>
      </c>
      <c r="B272" s="32" t="s">
        <v>651</v>
      </c>
      <c r="C272" s="14" t="s">
        <v>65</v>
      </c>
      <c r="D272" s="15" t="s">
        <v>66</v>
      </c>
      <c r="E272" s="14" t="s">
        <v>19</v>
      </c>
      <c r="F272" s="26">
        <v>19</v>
      </c>
      <c r="G272" s="26">
        <v>11</v>
      </c>
      <c r="H272" s="34"/>
      <c r="I272" s="84">
        <v>1460.53</v>
      </c>
      <c r="J272" s="136"/>
      <c r="K272" s="118">
        <v>2105.17</v>
      </c>
      <c r="L272" s="34"/>
      <c r="M272" s="84"/>
      <c r="N272" s="38" t="s">
        <v>1162</v>
      </c>
      <c r="O272" s="68"/>
      <c r="P272" s="66">
        <v>45352</v>
      </c>
    </row>
    <row r="273" spans="1:16" s="8" customFormat="1" ht="12.75" customHeight="1">
      <c r="A273" s="13">
        <f t="shared" si="8"/>
        <v>256</v>
      </c>
      <c r="B273" s="32" t="s">
        <v>651</v>
      </c>
      <c r="C273" s="14" t="s">
        <v>65</v>
      </c>
      <c r="D273" s="15" t="s">
        <v>66</v>
      </c>
      <c r="E273" s="14" t="s">
        <v>19</v>
      </c>
      <c r="F273" s="26">
        <v>18</v>
      </c>
      <c r="G273" s="26">
        <v>12</v>
      </c>
      <c r="H273" s="34"/>
      <c r="I273" s="84">
        <v>1509.78</v>
      </c>
      <c r="J273" s="136"/>
      <c r="K273" s="118">
        <v>1977.59</v>
      </c>
      <c r="L273" s="34"/>
      <c r="M273" s="84"/>
      <c r="N273" s="38" t="s">
        <v>1162</v>
      </c>
      <c r="O273" s="68"/>
      <c r="P273" s="66">
        <v>45352</v>
      </c>
    </row>
    <row r="274" spans="1:16" s="8" customFormat="1" ht="12.75" customHeight="1">
      <c r="A274" s="13">
        <f t="shared" si="8"/>
        <v>257</v>
      </c>
      <c r="B274" s="32" t="s">
        <v>651</v>
      </c>
      <c r="C274" s="14" t="s">
        <v>65</v>
      </c>
      <c r="D274" s="15" t="s">
        <v>66</v>
      </c>
      <c r="E274" s="14" t="s">
        <v>19</v>
      </c>
      <c r="F274" s="26">
        <v>17</v>
      </c>
      <c r="G274" s="26">
        <v>13</v>
      </c>
      <c r="H274" s="34"/>
      <c r="I274" s="84">
        <v>1564.82</v>
      </c>
      <c r="J274" s="136"/>
      <c r="K274" s="118">
        <v>1869.62</v>
      </c>
      <c r="L274" s="34"/>
      <c r="M274" s="84"/>
      <c r="N274" s="38" t="s">
        <v>1162</v>
      </c>
      <c r="O274" s="68"/>
      <c r="P274" s="66">
        <v>45352</v>
      </c>
    </row>
    <row r="275" spans="1:16" s="8" customFormat="1" ht="12.75" customHeight="1">
      <c r="A275" s="13">
        <f t="shared" si="8"/>
        <v>258</v>
      </c>
      <c r="B275" s="32" t="s">
        <v>651</v>
      </c>
      <c r="C275" s="14" t="s">
        <v>65</v>
      </c>
      <c r="D275" s="15" t="s">
        <v>66</v>
      </c>
      <c r="E275" s="14" t="s">
        <v>19</v>
      </c>
      <c r="F275" s="26">
        <v>16</v>
      </c>
      <c r="G275" s="26">
        <v>14</v>
      </c>
      <c r="H275" s="34"/>
      <c r="I275" s="84">
        <v>1626.72</v>
      </c>
      <c r="J275" s="136"/>
      <c r="K275" s="118">
        <v>1777.08</v>
      </c>
      <c r="L275" s="34"/>
      <c r="M275" s="84"/>
      <c r="N275" s="38" t="s">
        <v>1162</v>
      </c>
      <c r="O275" s="68"/>
      <c r="P275" s="66">
        <v>45352</v>
      </c>
    </row>
    <row r="276" spans="1:16" s="8" customFormat="1" ht="12.75" customHeight="1">
      <c r="A276" s="13">
        <f t="shared" si="8"/>
        <v>259</v>
      </c>
      <c r="B276" s="32" t="s">
        <v>651</v>
      </c>
      <c r="C276" s="14" t="s">
        <v>65</v>
      </c>
      <c r="D276" s="15" t="s">
        <v>66</v>
      </c>
      <c r="E276" s="14" t="s">
        <v>19</v>
      </c>
      <c r="F276" s="26">
        <v>15</v>
      </c>
      <c r="G276" s="26"/>
      <c r="H276" s="34"/>
      <c r="I276" s="84">
        <v>1696.89</v>
      </c>
      <c r="J276" s="136"/>
      <c r="K276" s="118"/>
      <c r="L276" s="34"/>
      <c r="M276" s="84"/>
      <c r="N276" s="38" t="s">
        <v>1162</v>
      </c>
      <c r="O276" s="68"/>
      <c r="P276" s="66">
        <v>45352</v>
      </c>
    </row>
    <row r="277" spans="1:16" s="8" customFormat="1" ht="12.75" customHeight="1">
      <c r="A277" s="13">
        <f t="shared" si="8"/>
        <v>260</v>
      </c>
      <c r="B277" s="32" t="s">
        <v>651</v>
      </c>
      <c r="C277" s="14" t="s">
        <v>65</v>
      </c>
      <c r="D277" s="15" t="s">
        <v>66</v>
      </c>
      <c r="E277" s="14" t="s">
        <v>19</v>
      </c>
      <c r="F277" s="26">
        <v>20</v>
      </c>
      <c r="G277" s="26">
        <v>10</v>
      </c>
      <c r="H277" s="34"/>
      <c r="I277" s="84">
        <v>1648.4</v>
      </c>
      <c r="J277" s="136"/>
      <c r="K277" s="118">
        <v>2627.01</v>
      </c>
      <c r="L277" s="34"/>
      <c r="M277" s="84">
        <v>19552.7</v>
      </c>
      <c r="N277" s="38" t="s">
        <v>1162</v>
      </c>
      <c r="O277" s="68"/>
      <c r="P277" s="66">
        <v>45689</v>
      </c>
    </row>
    <row r="278" spans="1:16" s="8" customFormat="1" ht="12.75" customHeight="1">
      <c r="A278" s="13">
        <f t="shared" si="8"/>
        <v>261</v>
      </c>
      <c r="B278" s="32" t="s">
        <v>651</v>
      </c>
      <c r="C278" s="14" t="s">
        <v>65</v>
      </c>
      <c r="D278" s="15" t="s">
        <v>66</v>
      </c>
      <c r="E278" s="14" t="s">
        <v>19</v>
      </c>
      <c r="F278" s="26">
        <v>19</v>
      </c>
      <c r="G278" s="26">
        <v>11</v>
      </c>
      <c r="H278" s="34"/>
      <c r="I278" s="84">
        <v>1700.83</v>
      </c>
      <c r="J278" s="136"/>
      <c r="K278" s="118">
        <v>2449.2800000000002</v>
      </c>
      <c r="L278" s="34"/>
      <c r="M278" s="84"/>
      <c r="N278" s="38" t="s">
        <v>1162</v>
      </c>
      <c r="O278" s="68"/>
      <c r="P278" s="66">
        <v>45689</v>
      </c>
    </row>
    <row r="279" spans="1:16" s="8" customFormat="1" ht="12.75" customHeight="1">
      <c r="A279" s="13">
        <f t="shared" si="8"/>
        <v>262</v>
      </c>
      <c r="B279" s="32" t="s">
        <v>651</v>
      </c>
      <c r="C279" s="14" t="s">
        <v>65</v>
      </c>
      <c r="D279" s="15" t="s">
        <v>66</v>
      </c>
      <c r="E279" s="14" t="s">
        <v>19</v>
      </c>
      <c r="F279" s="26">
        <v>18</v>
      </c>
      <c r="G279" s="26">
        <v>12</v>
      </c>
      <c r="H279" s="34"/>
      <c r="I279" s="84">
        <v>1758.01</v>
      </c>
      <c r="J279" s="136"/>
      <c r="K279" s="118">
        <v>2301.16</v>
      </c>
      <c r="L279" s="34"/>
      <c r="M279" s="84"/>
      <c r="N279" s="38" t="s">
        <v>1162</v>
      </c>
      <c r="O279" s="68"/>
      <c r="P279" s="66">
        <v>45689</v>
      </c>
    </row>
    <row r="280" spans="1:16" s="8" customFormat="1" ht="12.75" customHeight="1">
      <c r="A280" s="13">
        <f t="shared" si="8"/>
        <v>263</v>
      </c>
      <c r="B280" s="32" t="s">
        <v>651</v>
      </c>
      <c r="C280" s="14" t="s">
        <v>65</v>
      </c>
      <c r="D280" s="15" t="s">
        <v>66</v>
      </c>
      <c r="E280" s="14" t="s">
        <v>19</v>
      </c>
      <c r="F280" s="26">
        <v>17</v>
      </c>
      <c r="G280" s="26">
        <v>13</v>
      </c>
      <c r="H280" s="34"/>
      <c r="I280" s="84">
        <v>1821.91</v>
      </c>
      <c r="J280" s="136"/>
      <c r="K280" s="118">
        <v>2175.81</v>
      </c>
      <c r="L280" s="34"/>
      <c r="M280" s="84"/>
      <c r="N280" s="38" t="s">
        <v>1162</v>
      </c>
      <c r="O280" s="68"/>
      <c r="P280" s="66">
        <v>45689</v>
      </c>
    </row>
    <row r="281" spans="1:16" s="8" customFormat="1" ht="12.75" customHeight="1">
      <c r="A281" s="13">
        <f t="shared" si="8"/>
        <v>264</v>
      </c>
      <c r="B281" s="32" t="s">
        <v>651</v>
      </c>
      <c r="C281" s="14" t="s">
        <v>65</v>
      </c>
      <c r="D281" s="15" t="s">
        <v>66</v>
      </c>
      <c r="E281" s="14" t="s">
        <v>19</v>
      </c>
      <c r="F281" s="26">
        <v>16</v>
      </c>
      <c r="G281" s="26">
        <v>14</v>
      </c>
      <c r="H281" s="34"/>
      <c r="I281" s="84">
        <v>1893.81</v>
      </c>
      <c r="J281" s="136"/>
      <c r="K281" s="118">
        <v>2068.41</v>
      </c>
      <c r="L281" s="34"/>
      <c r="M281" s="84"/>
      <c r="N281" s="38" t="s">
        <v>1162</v>
      </c>
      <c r="O281" s="68"/>
      <c r="P281" s="66">
        <v>45689</v>
      </c>
    </row>
    <row r="282" spans="1:16" s="8" customFormat="1" ht="12.75" customHeight="1">
      <c r="A282" s="13">
        <f t="shared" si="8"/>
        <v>265</v>
      </c>
      <c r="B282" s="32" t="s">
        <v>651</v>
      </c>
      <c r="C282" s="14" t="s">
        <v>65</v>
      </c>
      <c r="D282" s="15" t="s">
        <v>66</v>
      </c>
      <c r="E282" s="14" t="s">
        <v>19</v>
      </c>
      <c r="F282" s="26">
        <v>15</v>
      </c>
      <c r="G282" s="26"/>
      <c r="H282" s="34"/>
      <c r="I282" s="84">
        <v>1975.28</v>
      </c>
      <c r="J282" s="136"/>
      <c r="K282" s="118"/>
      <c r="L282" s="34"/>
      <c r="M282" s="84"/>
      <c r="N282" s="38" t="s">
        <v>1162</v>
      </c>
      <c r="O282" s="68"/>
      <c r="P282" s="66">
        <v>45689</v>
      </c>
    </row>
    <row r="283" spans="1:16" s="8" customFormat="1" ht="12.75" customHeight="1">
      <c r="A283" s="13">
        <f t="shared" si="8"/>
        <v>266</v>
      </c>
      <c r="B283" s="32" t="s">
        <v>1056</v>
      </c>
      <c r="C283" s="23" t="s">
        <v>65</v>
      </c>
      <c r="D283" s="24" t="s">
        <v>1057</v>
      </c>
      <c r="E283" s="14" t="s">
        <v>19</v>
      </c>
      <c r="F283" s="46" t="s">
        <v>977</v>
      </c>
      <c r="G283" s="26"/>
      <c r="H283" s="34"/>
      <c r="I283" s="84">
        <v>68403.17</v>
      </c>
      <c r="J283" s="136"/>
      <c r="K283" s="118"/>
      <c r="L283" s="34"/>
      <c r="M283" s="84"/>
      <c r="N283" s="38" t="s">
        <v>1162</v>
      </c>
      <c r="O283" s="68"/>
      <c r="P283" s="66">
        <v>45352</v>
      </c>
    </row>
    <row r="284" spans="1:16" s="8" customFormat="1" ht="12.75" customHeight="1">
      <c r="A284" s="13">
        <f t="shared" si="8"/>
        <v>267</v>
      </c>
      <c r="B284" s="32" t="s">
        <v>1056</v>
      </c>
      <c r="C284" s="23" t="s">
        <v>65</v>
      </c>
      <c r="D284" s="24" t="s">
        <v>1057</v>
      </c>
      <c r="E284" s="14" t="s">
        <v>19</v>
      </c>
      <c r="F284" s="46" t="s">
        <v>977</v>
      </c>
      <c r="G284" s="26"/>
      <c r="H284" s="34"/>
      <c r="I284" s="84">
        <v>82474.5</v>
      </c>
      <c r="J284" s="136"/>
      <c r="K284" s="118"/>
      <c r="L284" s="34"/>
      <c r="M284" s="84"/>
      <c r="N284" s="38" t="s">
        <v>1162</v>
      </c>
      <c r="O284" s="68"/>
      <c r="P284" s="66">
        <v>45689</v>
      </c>
    </row>
    <row r="285" spans="1:16" s="8" customFormat="1" ht="12.75" customHeight="1">
      <c r="A285" s="13">
        <f t="shared" si="8"/>
        <v>268</v>
      </c>
      <c r="B285" s="156" t="s">
        <v>651</v>
      </c>
      <c r="C285" s="23" t="s">
        <v>65</v>
      </c>
      <c r="D285" s="24" t="s">
        <v>1057</v>
      </c>
      <c r="E285" s="14" t="s">
        <v>19</v>
      </c>
      <c r="F285" s="46">
        <v>20</v>
      </c>
      <c r="G285" s="26">
        <v>10</v>
      </c>
      <c r="H285" s="34"/>
      <c r="I285" s="84">
        <v>1838.67</v>
      </c>
      <c r="J285" s="136"/>
      <c r="K285" s="118">
        <v>2899.24</v>
      </c>
      <c r="L285" s="34"/>
      <c r="M285" s="84">
        <v>21211.45</v>
      </c>
      <c r="N285" s="38" t="s">
        <v>1162</v>
      </c>
      <c r="O285" s="68"/>
      <c r="P285" s="193">
        <v>46082</v>
      </c>
    </row>
    <row r="286" spans="1:16" s="8" customFormat="1" ht="12.75" customHeight="1">
      <c r="A286" s="13">
        <f t="shared" si="8"/>
        <v>269</v>
      </c>
      <c r="B286" s="156" t="s">
        <v>651</v>
      </c>
      <c r="C286" s="23" t="s">
        <v>65</v>
      </c>
      <c r="D286" s="24" t="s">
        <v>1057</v>
      </c>
      <c r="E286" s="14" t="s">
        <v>19</v>
      </c>
      <c r="F286" s="46">
        <v>19</v>
      </c>
      <c r="G286" s="26">
        <v>11</v>
      </c>
      <c r="H286" s="34"/>
      <c r="I286" s="84">
        <v>1894.47</v>
      </c>
      <c r="J286" s="136"/>
      <c r="K286" s="118">
        <v>2706.37</v>
      </c>
      <c r="L286" s="34"/>
      <c r="M286" s="84"/>
      <c r="N286" s="38" t="s">
        <v>1162</v>
      </c>
      <c r="O286" s="68"/>
      <c r="P286" s="193">
        <v>46082</v>
      </c>
    </row>
    <row r="287" spans="1:16" s="8" customFormat="1" ht="12.75" customHeight="1">
      <c r="A287" s="13">
        <f t="shared" si="8"/>
        <v>270</v>
      </c>
      <c r="B287" s="156" t="s">
        <v>651</v>
      </c>
      <c r="C287" s="23" t="s">
        <v>65</v>
      </c>
      <c r="D287" s="24" t="s">
        <v>1057</v>
      </c>
      <c r="E287" s="14" t="s">
        <v>19</v>
      </c>
      <c r="F287" s="46">
        <v>18</v>
      </c>
      <c r="G287" s="26">
        <v>12</v>
      </c>
      <c r="H287" s="34"/>
      <c r="I287" s="84">
        <v>1956.48</v>
      </c>
      <c r="J287" s="136"/>
      <c r="K287" s="118">
        <v>2545.6999999999998</v>
      </c>
      <c r="L287" s="34"/>
      <c r="M287" s="84"/>
      <c r="N287" s="38" t="s">
        <v>1162</v>
      </c>
      <c r="O287" s="68"/>
      <c r="P287" s="193">
        <v>46082</v>
      </c>
    </row>
    <row r="288" spans="1:16" s="8" customFormat="1" ht="12.75" customHeight="1">
      <c r="A288" s="13">
        <f t="shared" si="8"/>
        <v>271</v>
      </c>
      <c r="B288" s="156" t="s">
        <v>651</v>
      </c>
      <c r="C288" s="23" t="s">
        <v>65</v>
      </c>
      <c r="D288" s="24" t="s">
        <v>1057</v>
      </c>
      <c r="E288" s="14" t="s">
        <v>19</v>
      </c>
      <c r="F288" s="46">
        <v>17</v>
      </c>
      <c r="G288" s="26">
        <v>13</v>
      </c>
      <c r="H288" s="34"/>
      <c r="I288" s="84">
        <v>2025.81</v>
      </c>
      <c r="J288" s="136"/>
      <c r="K288" s="118">
        <v>2409.73</v>
      </c>
      <c r="L288" s="34"/>
      <c r="M288" s="84"/>
      <c r="N288" s="38" t="s">
        <v>1162</v>
      </c>
      <c r="O288" s="68"/>
      <c r="P288" s="193">
        <v>46082</v>
      </c>
    </row>
    <row r="289" spans="1:16" s="8" customFormat="1" ht="12.75" customHeight="1">
      <c r="A289" s="13">
        <f t="shared" si="8"/>
        <v>272</v>
      </c>
      <c r="B289" s="156" t="s">
        <v>651</v>
      </c>
      <c r="C289" s="23" t="s">
        <v>65</v>
      </c>
      <c r="D289" s="24" t="s">
        <v>1057</v>
      </c>
      <c r="E289" s="14" t="s">
        <v>19</v>
      </c>
      <c r="F289" s="46">
        <v>16</v>
      </c>
      <c r="G289" s="26">
        <v>14</v>
      </c>
      <c r="H289" s="34"/>
      <c r="I289" s="84">
        <v>2103.8000000000002</v>
      </c>
      <c r="J289" s="136"/>
      <c r="K289" s="118">
        <v>2293.1999999999998</v>
      </c>
      <c r="L289" s="34"/>
      <c r="M289" s="84"/>
      <c r="N289" s="38" t="s">
        <v>1162</v>
      </c>
      <c r="O289" s="68"/>
      <c r="P289" s="193">
        <v>46082</v>
      </c>
    </row>
    <row r="290" spans="1:16" s="8" customFormat="1" ht="12.75" customHeight="1">
      <c r="A290" s="13">
        <f t="shared" si="8"/>
        <v>273</v>
      </c>
      <c r="B290" s="156" t="s">
        <v>651</v>
      </c>
      <c r="C290" s="23" t="s">
        <v>65</v>
      </c>
      <c r="D290" s="24" t="s">
        <v>1057</v>
      </c>
      <c r="E290" s="14" t="s">
        <v>19</v>
      </c>
      <c r="F290" s="46">
        <v>15</v>
      </c>
      <c r="G290" s="26"/>
      <c r="H290" s="34"/>
      <c r="I290" s="84">
        <v>2192.1799999999998</v>
      </c>
      <c r="J290" s="136"/>
      <c r="K290" s="118"/>
      <c r="L290" s="34"/>
      <c r="M290" s="84"/>
      <c r="N290" s="38" t="s">
        <v>1162</v>
      </c>
      <c r="O290" s="68"/>
      <c r="P290" s="193">
        <v>46082</v>
      </c>
    </row>
    <row r="291" spans="1:16" s="8" customFormat="1" ht="12.75" customHeight="1">
      <c r="A291" s="13">
        <f t="shared" si="8"/>
        <v>274</v>
      </c>
      <c r="B291" s="156" t="s">
        <v>1056</v>
      </c>
      <c r="C291" s="23" t="s">
        <v>65</v>
      </c>
      <c r="D291" s="24" t="s">
        <v>1057</v>
      </c>
      <c r="E291" s="14" t="s">
        <v>19</v>
      </c>
      <c r="F291" s="46" t="s">
        <v>977</v>
      </c>
      <c r="G291" s="26"/>
      <c r="H291" s="34"/>
      <c r="I291" s="84">
        <v>90286.79</v>
      </c>
      <c r="J291" s="136"/>
      <c r="K291" s="118"/>
      <c r="L291" s="34"/>
      <c r="M291" s="84"/>
      <c r="N291" s="38" t="s">
        <v>1162</v>
      </c>
      <c r="O291" s="68"/>
      <c r="P291" s="193">
        <v>46082</v>
      </c>
    </row>
    <row r="292" spans="1:16" s="8" customFormat="1" ht="12.75" customHeight="1">
      <c r="A292" s="13">
        <f t="shared" si="8"/>
        <v>275</v>
      </c>
      <c r="B292" s="52" t="s">
        <v>652</v>
      </c>
      <c r="C292" s="14" t="s">
        <v>65</v>
      </c>
      <c r="D292" s="15" t="s">
        <v>63</v>
      </c>
      <c r="E292" s="14" t="s">
        <v>19</v>
      </c>
      <c r="F292" s="26">
        <v>20</v>
      </c>
      <c r="G292" s="26">
        <v>10</v>
      </c>
      <c r="H292" s="34">
        <v>1476.66</v>
      </c>
      <c r="I292" s="84">
        <v>1513.14</v>
      </c>
      <c r="J292" s="136">
        <v>2516.8200000000002</v>
      </c>
      <c r="K292" s="118">
        <v>2589.8000000000002</v>
      </c>
      <c r="L292" s="34">
        <v>9094.4500000000007</v>
      </c>
      <c r="M292" s="84">
        <v>9184.17</v>
      </c>
      <c r="N292" s="38" t="s">
        <v>641</v>
      </c>
      <c r="O292" s="68">
        <v>605</v>
      </c>
      <c r="P292" s="66">
        <v>43617</v>
      </c>
    </row>
    <row r="293" spans="1:16" s="8" customFormat="1" ht="12.75" customHeight="1">
      <c r="A293" s="13">
        <f t="shared" si="8"/>
        <v>276</v>
      </c>
      <c r="B293" s="32" t="s">
        <v>1058</v>
      </c>
      <c r="C293" s="14" t="s">
        <v>65</v>
      </c>
      <c r="D293" s="15" t="s">
        <v>63</v>
      </c>
      <c r="E293" s="14" t="s">
        <v>19</v>
      </c>
      <c r="F293" s="31" t="s">
        <v>977</v>
      </c>
      <c r="G293" s="26"/>
      <c r="H293" s="34"/>
      <c r="I293" s="84">
        <v>58074.52</v>
      </c>
      <c r="J293" s="136"/>
      <c r="K293" s="118"/>
      <c r="L293" s="34"/>
      <c r="M293" s="84"/>
      <c r="N293" s="38" t="s">
        <v>641</v>
      </c>
      <c r="O293" s="68"/>
      <c r="P293" s="66">
        <v>44562</v>
      </c>
    </row>
    <row r="294" spans="1:16" s="8" customFormat="1" ht="12.75" customHeight="1">
      <c r="A294" s="13">
        <f t="shared" ref="A294:A357" si="9">A293+1</f>
        <v>277</v>
      </c>
      <c r="B294" s="32" t="s">
        <v>652</v>
      </c>
      <c r="C294" s="14" t="s">
        <v>65</v>
      </c>
      <c r="D294" s="24" t="s">
        <v>63</v>
      </c>
      <c r="E294" s="14" t="s">
        <v>19</v>
      </c>
      <c r="F294" s="26">
        <v>20</v>
      </c>
      <c r="G294" s="26">
        <v>10</v>
      </c>
      <c r="H294" s="34"/>
      <c r="I294" s="84">
        <v>1135.3800000000001</v>
      </c>
      <c r="J294" s="136"/>
      <c r="K294" s="118">
        <v>1825.35</v>
      </c>
      <c r="L294" s="34"/>
      <c r="M294" s="84">
        <v>13799.49</v>
      </c>
      <c r="N294" s="38" t="s">
        <v>641</v>
      </c>
      <c r="O294" s="68"/>
      <c r="P294" s="66">
        <v>44562</v>
      </c>
    </row>
    <row r="295" spans="1:16" s="8" customFormat="1" ht="12.75" customHeight="1">
      <c r="A295" s="13">
        <f t="shared" si="9"/>
        <v>278</v>
      </c>
      <c r="B295" s="52" t="s">
        <v>652</v>
      </c>
      <c r="C295" s="14" t="s">
        <v>65</v>
      </c>
      <c r="D295" s="15" t="s">
        <v>63</v>
      </c>
      <c r="E295" s="14" t="s">
        <v>19</v>
      </c>
      <c r="F295" s="26">
        <v>20</v>
      </c>
      <c r="G295" s="26">
        <v>10</v>
      </c>
      <c r="H295" s="34"/>
      <c r="I295" s="84">
        <v>1208.57</v>
      </c>
      <c r="J295" s="136"/>
      <c r="K295" s="118">
        <v>1949.51</v>
      </c>
      <c r="L295" s="34"/>
      <c r="M295" s="84"/>
      <c r="N295" s="38" t="s">
        <v>641</v>
      </c>
      <c r="O295" s="68"/>
      <c r="P295" s="66">
        <v>45170</v>
      </c>
    </row>
    <row r="296" spans="1:16" s="8" customFormat="1" ht="12.75" customHeight="1">
      <c r="A296" s="13">
        <f t="shared" si="9"/>
        <v>279</v>
      </c>
      <c r="B296" s="32" t="s">
        <v>1058</v>
      </c>
      <c r="C296" s="14" t="s">
        <v>65</v>
      </c>
      <c r="D296" s="15" t="s">
        <v>63</v>
      </c>
      <c r="E296" s="14" t="s">
        <v>19</v>
      </c>
      <c r="F296" s="31" t="s">
        <v>977</v>
      </c>
      <c r="G296" s="26"/>
      <c r="H296" s="34"/>
      <c r="I296" s="84">
        <v>60089.02</v>
      </c>
      <c r="J296" s="136"/>
      <c r="K296" s="118"/>
      <c r="L296" s="34"/>
      <c r="M296" s="84"/>
      <c r="N296" s="38" t="s">
        <v>641</v>
      </c>
      <c r="O296" s="68"/>
      <c r="P296" s="66">
        <v>45170</v>
      </c>
    </row>
    <row r="297" spans="1:16" s="8" customFormat="1" ht="12.75" customHeight="1">
      <c r="A297" s="13">
        <f t="shared" si="9"/>
        <v>280</v>
      </c>
      <c r="B297" s="52" t="s">
        <v>652</v>
      </c>
      <c r="C297" s="14" t="s">
        <v>65</v>
      </c>
      <c r="D297" s="15" t="s">
        <v>63</v>
      </c>
      <c r="E297" s="14" t="s">
        <v>19</v>
      </c>
      <c r="F297" s="26">
        <v>20</v>
      </c>
      <c r="G297" s="26">
        <v>10</v>
      </c>
      <c r="H297" s="34"/>
      <c r="I297" s="84">
        <v>1379.87</v>
      </c>
      <c r="J297" s="136"/>
      <c r="K297" s="118">
        <v>2221.94</v>
      </c>
      <c r="L297" s="34"/>
      <c r="M297" s="84">
        <v>16840.97</v>
      </c>
      <c r="N297" s="38" t="s">
        <v>1162</v>
      </c>
      <c r="O297" s="68"/>
      <c r="P297" s="66">
        <v>45352</v>
      </c>
    </row>
    <row r="298" spans="1:16" s="8" customFormat="1" ht="12.75" customHeight="1">
      <c r="A298" s="13">
        <f t="shared" si="9"/>
        <v>281</v>
      </c>
      <c r="B298" s="52" t="s">
        <v>652</v>
      </c>
      <c r="C298" s="14" t="s">
        <v>65</v>
      </c>
      <c r="D298" s="15" t="s">
        <v>63</v>
      </c>
      <c r="E298" s="14" t="s">
        <v>19</v>
      </c>
      <c r="F298" s="26">
        <v>19</v>
      </c>
      <c r="G298" s="26">
        <v>11</v>
      </c>
      <c r="H298" s="34"/>
      <c r="I298" s="84">
        <v>1424.21</v>
      </c>
      <c r="J298" s="136"/>
      <c r="K298" s="118">
        <v>2068.84</v>
      </c>
      <c r="L298" s="34"/>
      <c r="M298" s="84"/>
      <c r="N298" s="38" t="s">
        <v>1162</v>
      </c>
      <c r="O298" s="68"/>
      <c r="P298" s="66">
        <v>45352</v>
      </c>
    </row>
    <row r="299" spans="1:16" s="8" customFormat="1" ht="12.75" customHeight="1">
      <c r="A299" s="13">
        <f t="shared" si="9"/>
        <v>282</v>
      </c>
      <c r="B299" s="52" t="s">
        <v>652</v>
      </c>
      <c r="C299" s="14" t="s">
        <v>65</v>
      </c>
      <c r="D299" s="15" t="s">
        <v>63</v>
      </c>
      <c r="E299" s="14" t="s">
        <v>19</v>
      </c>
      <c r="F299" s="26">
        <v>18</v>
      </c>
      <c r="G299" s="26">
        <v>12</v>
      </c>
      <c r="H299" s="34"/>
      <c r="I299" s="84">
        <v>1473.44</v>
      </c>
      <c r="J299" s="136"/>
      <c r="K299" s="118">
        <v>1941.26</v>
      </c>
      <c r="L299" s="34"/>
      <c r="M299" s="84"/>
      <c r="N299" s="38" t="s">
        <v>1162</v>
      </c>
      <c r="O299" s="68"/>
      <c r="P299" s="66">
        <v>45352</v>
      </c>
    </row>
    <row r="300" spans="1:16" s="8" customFormat="1" ht="12.75" customHeight="1">
      <c r="A300" s="13">
        <f t="shared" si="9"/>
        <v>283</v>
      </c>
      <c r="B300" s="52" t="s">
        <v>652</v>
      </c>
      <c r="C300" s="14" t="s">
        <v>65</v>
      </c>
      <c r="D300" s="15" t="s">
        <v>63</v>
      </c>
      <c r="E300" s="14" t="s">
        <v>19</v>
      </c>
      <c r="F300" s="26">
        <v>17</v>
      </c>
      <c r="G300" s="26">
        <v>13</v>
      </c>
      <c r="H300" s="34"/>
      <c r="I300" s="84">
        <v>1528.49</v>
      </c>
      <c r="J300" s="136"/>
      <c r="K300" s="118">
        <v>1833.29</v>
      </c>
      <c r="L300" s="34"/>
      <c r="M300" s="84"/>
      <c r="N300" s="38" t="s">
        <v>1162</v>
      </c>
      <c r="O300" s="68"/>
      <c r="P300" s="66">
        <v>45352</v>
      </c>
    </row>
    <row r="301" spans="1:16" s="8" customFormat="1" ht="12.75" customHeight="1">
      <c r="A301" s="13">
        <f t="shared" si="9"/>
        <v>284</v>
      </c>
      <c r="B301" s="52" t="s">
        <v>652</v>
      </c>
      <c r="C301" s="14" t="s">
        <v>65</v>
      </c>
      <c r="D301" s="15" t="s">
        <v>63</v>
      </c>
      <c r="E301" s="14" t="s">
        <v>19</v>
      </c>
      <c r="F301" s="26">
        <v>16</v>
      </c>
      <c r="G301" s="26">
        <v>14</v>
      </c>
      <c r="H301" s="34"/>
      <c r="I301" s="84">
        <v>1590.4</v>
      </c>
      <c r="J301" s="136"/>
      <c r="K301" s="118">
        <v>1740.75</v>
      </c>
      <c r="L301" s="34"/>
      <c r="M301" s="84"/>
      <c r="N301" s="38" t="s">
        <v>1162</v>
      </c>
      <c r="O301" s="68"/>
      <c r="P301" s="66">
        <v>45352</v>
      </c>
    </row>
    <row r="302" spans="1:16" s="8" customFormat="1" ht="12.75" customHeight="1">
      <c r="A302" s="13">
        <f t="shared" si="9"/>
        <v>285</v>
      </c>
      <c r="B302" s="52" t="s">
        <v>652</v>
      </c>
      <c r="C302" s="14" t="s">
        <v>65</v>
      </c>
      <c r="D302" s="15" t="s">
        <v>63</v>
      </c>
      <c r="E302" s="14" t="s">
        <v>19</v>
      </c>
      <c r="F302" s="26">
        <v>15</v>
      </c>
      <c r="G302" s="26"/>
      <c r="H302" s="34"/>
      <c r="I302" s="84">
        <v>1660.55</v>
      </c>
      <c r="J302" s="136"/>
      <c r="K302" s="118"/>
      <c r="L302" s="34"/>
      <c r="M302" s="84"/>
      <c r="N302" s="38" t="s">
        <v>1162</v>
      </c>
      <c r="O302" s="68"/>
      <c r="P302" s="66">
        <v>45352</v>
      </c>
    </row>
    <row r="303" spans="1:16" s="8" customFormat="1" ht="12.75" customHeight="1">
      <c r="A303" s="13">
        <f t="shared" si="9"/>
        <v>286</v>
      </c>
      <c r="B303" s="52" t="s">
        <v>652</v>
      </c>
      <c r="C303" s="14" t="s">
        <v>65</v>
      </c>
      <c r="D303" s="15" t="s">
        <v>63</v>
      </c>
      <c r="E303" s="14" t="s">
        <v>19</v>
      </c>
      <c r="F303" s="26">
        <v>20</v>
      </c>
      <c r="G303" s="26">
        <v>10</v>
      </c>
      <c r="H303" s="34"/>
      <c r="I303" s="84">
        <v>1601.88</v>
      </c>
      <c r="J303" s="136"/>
      <c r="K303" s="118">
        <v>2579.52</v>
      </c>
      <c r="L303" s="34"/>
      <c r="M303" s="84">
        <v>19552.7</v>
      </c>
      <c r="N303" s="38" t="s">
        <v>1162</v>
      </c>
      <c r="O303" s="68"/>
      <c r="P303" s="66">
        <v>45689</v>
      </c>
    </row>
    <row r="304" spans="1:16" s="8" customFormat="1" ht="12.75" customHeight="1">
      <c r="A304" s="13">
        <f t="shared" si="9"/>
        <v>287</v>
      </c>
      <c r="B304" s="52" t="s">
        <v>652</v>
      </c>
      <c r="C304" s="14" t="s">
        <v>65</v>
      </c>
      <c r="D304" s="15" t="s">
        <v>63</v>
      </c>
      <c r="E304" s="14" t="s">
        <v>19</v>
      </c>
      <c r="F304" s="26">
        <v>19</v>
      </c>
      <c r="G304" s="26">
        <v>11</v>
      </c>
      <c r="H304" s="34"/>
      <c r="I304" s="84">
        <v>1653.32</v>
      </c>
      <c r="J304" s="136"/>
      <c r="K304" s="118">
        <v>2401.77</v>
      </c>
      <c r="L304" s="34"/>
      <c r="M304" s="84"/>
      <c r="N304" s="38" t="s">
        <v>1162</v>
      </c>
      <c r="O304" s="68"/>
      <c r="P304" s="66">
        <v>45689</v>
      </c>
    </row>
    <row r="305" spans="1:16" s="8" customFormat="1" ht="12.75" customHeight="1">
      <c r="A305" s="13">
        <f t="shared" si="9"/>
        <v>288</v>
      </c>
      <c r="B305" s="52" t="s">
        <v>652</v>
      </c>
      <c r="C305" s="14" t="s">
        <v>65</v>
      </c>
      <c r="D305" s="15" t="s">
        <v>63</v>
      </c>
      <c r="E305" s="14" t="s">
        <v>19</v>
      </c>
      <c r="F305" s="26">
        <v>18</v>
      </c>
      <c r="G305" s="26">
        <v>12</v>
      </c>
      <c r="H305" s="34"/>
      <c r="I305" s="84">
        <v>1710.49</v>
      </c>
      <c r="J305" s="136"/>
      <c r="K305" s="118">
        <v>2253.64</v>
      </c>
      <c r="L305" s="34"/>
      <c r="M305" s="84"/>
      <c r="N305" s="38" t="s">
        <v>1162</v>
      </c>
      <c r="O305" s="68"/>
      <c r="P305" s="66">
        <v>45689</v>
      </c>
    </row>
    <row r="306" spans="1:16" s="8" customFormat="1" ht="12.75" customHeight="1">
      <c r="A306" s="13">
        <f t="shared" si="9"/>
        <v>289</v>
      </c>
      <c r="B306" s="52" t="s">
        <v>652</v>
      </c>
      <c r="C306" s="14" t="s">
        <v>65</v>
      </c>
      <c r="D306" s="15" t="s">
        <v>63</v>
      </c>
      <c r="E306" s="14" t="s">
        <v>19</v>
      </c>
      <c r="F306" s="26">
        <v>17</v>
      </c>
      <c r="G306" s="26">
        <v>13</v>
      </c>
      <c r="H306" s="34"/>
      <c r="I306" s="84">
        <v>1774.39</v>
      </c>
      <c r="J306" s="136"/>
      <c r="K306" s="118">
        <v>2128.29</v>
      </c>
      <c r="L306" s="34"/>
      <c r="M306" s="84"/>
      <c r="N306" s="38" t="s">
        <v>1162</v>
      </c>
      <c r="O306" s="68"/>
      <c r="P306" s="66">
        <v>45689</v>
      </c>
    </row>
    <row r="307" spans="1:16" s="8" customFormat="1" ht="12.75" customHeight="1">
      <c r="A307" s="13">
        <f t="shared" si="9"/>
        <v>290</v>
      </c>
      <c r="B307" s="52" t="s">
        <v>652</v>
      </c>
      <c r="C307" s="14" t="s">
        <v>65</v>
      </c>
      <c r="D307" s="15" t="s">
        <v>63</v>
      </c>
      <c r="E307" s="14" t="s">
        <v>19</v>
      </c>
      <c r="F307" s="26">
        <v>16</v>
      </c>
      <c r="G307" s="26">
        <v>14</v>
      </c>
      <c r="H307" s="34"/>
      <c r="I307" s="84">
        <v>1846.29</v>
      </c>
      <c r="J307" s="136"/>
      <c r="K307" s="118">
        <v>2020.89</v>
      </c>
      <c r="L307" s="34"/>
      <c r="M307" s="84"/>
      <c r="N307" s="38" t="s">
        <v>1162</v>
      </c>
      <c r="O307" s="68"/>
      <c r="P307" s="66">
        <v>45689</v>
      </c>
    </row>
    <row r="308" spans="1:16" s="8" customFormat="1" ht="12.75" customHeight="1">
      <c r="A308" s="13">
        <f t="shared" si="9"/>
        <v>291</v>
      </c>
      <c r="B308" s="52" t="s">
        <v>652</v>
      </c>
      <c r="C308" s="14" t="s">
        <v>65</v>
      </c>
      <c r="D308" s="15" t="s">
        <v>63</v>
      </c>
      <c r="E308" s="14" t="s">
        <v>19</v>
      </c>
      <c r="F308" s="26">
        <v>15</v>
      </c>
      <c r="G308" s="26"/>
      <c r="H308" s="34"/>
      <c r="I308" s="84">
        <v>1927.76</v>
      </c>
      <c r="J308" s="136"/>
      <c r="K308" s="118"/>
      <c r="L308" s="34"/>
      <c r="M308" s="84"/>
      <c r="N308" s="38" t="s">
        <v>1162</v>
      </c>
      <c r="O308" s="68"/>
      <c r="P308" s="66">
        <v>45689</v>
      </c>
    </row>
    <row r="309" spans="1:16" s="8" customFormat="1" ht="12.75" customHeight="1">
      <c r="A309" s="13">
        <f t="shared" si="9"/>
        <v>292</v>
      </c>
      <c r="B309" s="52" t="s">
        <v>1058</v>
      </c>
      <c r="C309" s="14" t="s">
        <v>65</v>
      </c>
      <c r="D309" s="15" t="s">
        <v>63</v>
      </c>
      <c r="E309" s="14" t="s">
        <v>19</v>
      </c>
      <c r="F309" s="31" t="s">
        <v>977</v>
      </c>
      <c r="G309" s="26"/>
      <c r="H309" s="34"/>
      <c r="I309" s="84">
        <v>68403.17</v>
      </c>
      <c r="J309" s="136"/>
      <c r="K309" s="118"/>
      <c r="L309" s="34"/>
      <c r="M309" s="84"/>
      <c r="N309" s="38" t="s">
        <v>1162</v>
      </c>
      <c r="O309" s="68"/>
      <c r="P309" s="66">
        <v>45352</v>
      </c>
    </row>
    <row r="310" spans="1:16" s="8" customFormat="1" ht="12.75" customHeight="1">
      <c r="A310" s="13">
        <f t="shared" si="9"/>
        <v>293</v>
      </c>
      <c r="B310" s="52" t="s">
        <v>1058</v>
      </c>
      <c r="C310" s="14" t="s">
        <v>65</v>
      </c>
      <c r="D310" s="15" t="s">
        <v>63</v>
      </c>
      <c r="E310" s="14" t="s">
        <v>19</v>
      </c>
      <c r="F310" s="31" t="s">
        <v>977</v>
      </c>
      <c r="G310" s="26"/>
      <c r="H310" s="34"/>
      <c r="I310" s="84">
        <v>82474.5</v>
      </c>
      <c r="J310" s="136"/>
      <c r="K310" s="118"/>
      <c r="L310" s="34"/>
      <c r="M310" s="84"/>
      <c r="N310" s="38" t="s">
        <v>1162</v>
      </c>
      <c r="O310" s="68"/>
      <c r="P310" s="66">
        <v>45689</v>
      </c>
    </row>
    <row r="311" spans="1:16" s="8" customFormat="1" ht="12.75" customHeight="1">
      <c r="A311" s="13">
        <f t="shared" si="9"/>
        <v>294</v>
      </c>
      <c r="B311" s="156" t="s">
        <v>652</v>
      </c>
      <c r="C311" s="14" t="s">
        <v>65</v>
      </c>
      <c r="D311" s="15" t="s">
        <v>63</v>
      </c>
      <c r="E311" s="14" t="s">
        <v>19</v>
      </c>
      <c r="F311" s="31">
        <v>20</v>
      </c>
      <c r="G311" s="26">
        <v>10</v>
      </c>
      <c r="H311" s="34"/>
      <c r="I311" s="84">
        <v>1774.88</v>
      </c>
      <c r="J311" s="136"/>
      <c r="K311" s="118">
        <v>2835.45</v>
      </c>
      <c r="L311" s="34"/>
      <c r="M311" s="84">
        <v>21211.45</v>
      </c>
      <c r="N311" s="38" t="s">
        <v>1162</v>
      </c>
      <c r="O311" s="68"/>
      <c r="P311" s="193">
        <v>46082</v>
      </c>
    </row>
    <row r="312" spans="1:16" s="8" customFormat="1" ht="12.75" customHeight="1">
      <c r="A312" s="13">
        <f t="shared" si="9"/>
        <v>295</v>
      </c>
      <c r="B312" s="156" t="s">
        <v>652</v>
      </c>
      <c r="C312" s="14" t="s">
        <v>65</v>
      </c>
      <c r="D312" s="15" t="s">
        <v>63</v>
      </c>
      <c r="E312" s="14" t="s">
        <v>19</v>
      </c>
      <c r="F312" s="31">
        <v>19</v>
      </c>
      <c r="G312" s="26">
        <v>11</v>
      </c>
      <c r="H312" s="34"/>
      <c r="I312" s="84">
        <v>1830.69</v>
      </c>
      <c r="J312" s="136"/>
      <c r="K312" s="118">
        <v>2642.58</v>
      </c>
      <c r="L312" s="34"/>
      <c r="M312" s="84"/>
      <c r="N312" s="38" t="s">
        <v>1162</v>
      </c>
      <c r="O312" s="68"/>
      <c r="P312" s="193">
        <v>46082</v>
      </c>
    </row>
    <row r="313" spans="1:16" s="8" customFormat="1" ht="12.75" customHeight="1">
      <c r="A313" s="13">
        <f t="shared" si="9"/>
        <v>296</v>
      </c>
      <c r="B313" s="156" t="s">
        <v>652</v>
      </c>
      <c r="C313" s="14" t="s">
        <v>65</v>
      </c>
      <c r="D313" s="15" t="s">
        <v>63</v>
      </c>
      <c r="E313" s="14" t="s">
        <v>19</v>
      </c>
      <c r="F313" s="31">
        <v>18</v>
      </c>
      <c r="G313" s="26">
        <v>12</v>
      </c>
      <c r="H313" s="34"/>
      <c r="I313" s="84">
        <v>1892.7</v>
      </c>
      <c r="J313" s="136"/>
      <c r="K313" s="118">
        <v>2481.92</v>
      </c>
      <c r="L313" s="34"/>
      <c r="M313" s="84"/>
      <c r="N313" s="38" t="s">
        <v>1162</v>
      </c>
      <c r="O313" s="68"/>
      <c r="P313" s="193">
        <v>46082</v>
      </c>
    </row>
    <row r="314" spans="1:16" s="8" customFormat="1" ht="12.75" customHeight="1">
      <c r="A314" s="13">
        <f t="shared" si="9"/>
        <v>297</v>
      </c>
      <c r="B314" s="156" t="s">
        <v>652</v>
      </c>
      <c r="C314" s="14" t="s">
        <v>65</v>
      </c>
      <c r="D314" s="15" t="s">
        <v>63</v>
      </c>
      <c r="E314" s="14" t="s">
        <v>19</v>
      </c>
      <c r="F314" s="31">
        <v>17</v>
      </c>
      <c r="G314" s="26">
        <v>13</v>
      </c>
      <c r="H314" s="34"/>
      <c r="I314" s="84">
        <v>1962.03</v>
      </c>
      <c r="J314" s="136"/>
      <c r="K314" s="118">
        <v>2345.94</v>
      </c>
      <c r="L314" s="34"/>
      <c r="M314" s="84"/>
      <c r="N314" s="38" t="s">
        <v>1162</v>
      </c>
      <c r="O314" s="68"/>
      <c r="P314" s="193">
        <v>46082</v>
      </c>
    </row>
    <row r="315" spans="1:16" s="8" customFormat="1" ht="12.75" customHeight="1">
      <c r="A315" s="13">
        <f t="shared" si="9"/>
        <v>298</v>
      </c>
      <c r="B315" s="156" t="s">
        <v>652</v>
      </c>
      <c r="C315" s="14" t="s">
        <v>65</v>
      </c>
      <c r="D315" s="15" t="s">
        <v>63</v>
      </c>
      <c r="E315" s="14" t="s">
        <v>19</v>
      </c>
      <c r="F315" s="31">
        <v>16</v>
      </c>
      <c r="G315" s="26">
        <v>14</v>
      </c>
      <c r="H315" s="34"/>
      <c r="I315" s="84">
        <v>2040.01</v>
      </c>
      <c r="J315" s="136"/>
      <c r="K315" s="118">
        <v>2229.4</v>
      </c>
      <c r="L315" s="34"/>
      <c r="M315" s="84"/>
      <c r="N315" s="38" t="s">
        <v>1162</v>
      </c>
      <c r="O315" s="68"/>
      <c r="P315" s="193">
        <v>46082</v>
      </c>
    </row>
    <row r="316" spans="1:16" s="8" customFormat="1" ht="12.75" customHeight="1">
      <c r="A316" s="13">
        <f t="shared" si="9"/>
        <v>299</v>
      </c>
      <c r="B316" s="156" t="s">
        <v>652</v>
      </c>
      <c r="C316" s="14" t="s">
        <v>65</v>
      </c>
      <c r="D316" s="15" t="s">
        <v>63</v>
      </c>
      <c r="E316" s="14" t="s">
        <v>19</v>
      </c>
      <c r="F316" s="31">
        <v>15</v>
      </c>
      <c r="G316" s="26"/>
      <c r="H316" s="34"/>
      <c r="I316" s="84">
        <v>2128.39</v>
      </c>
      <c r="J316" s="136"/>
      <c r="K316" s="118"/>
      <c r="L316" s="34"/>
      <c r="M316" s="84"/>
      <c r="N316" s="38" t="s">
        <v>1162</v>
      </c>
      <c r="O316" s="68"/>
      <c r="P316" s="193">
        <v>46082</v>
      </c>
    </row>
    <row r="317" spans="1:16" s="8" customFormat="1" ht="12.75" customHeight="1">
      <c r="A317" s="13">
        <f t="shared" si="9"/>
        <v>300</v>
      </c>
      <c r="B317" s="156" t="s">
        <v>1058</v>
      </c>
      <c r="C317" s="14" t="s">
        <v>65</v>
      </c>
      <c r="D317" s="15" t="s">
        <v>63</v>
      </c>
      <c r="E317" s="14" t="s">
        <v>19</v>
      </c>
      <c r="F317" s="31" t="s">
        <v>977</v>
      </c>
      <c r="G317" s="26"/>
      <c r="H317" s="34"/>
      <c r="I317" s="84">
        <v>90286.79</v>
      </c>
      <c r="J317" s="136"/>
      <c r="K317" s="118"/>
      <c r="L317" s="34"/>
      <c r="M317" s="84"/>
      <c r="N317" s="38" t="s">
        <v>1162</v>
      </c>
      <c r="O317" s="68"/>
      <c r="P317" s="193">
        <v>46082</v>
      </c>
    </row>
    <row r="318" spans="1:16" s="8" customFormat="1" ht="12.75" customHeight="1">
      <c r="A318" s="13">
        <f t="shared" si="9"/>
        <v>301</v>
      </c>
      <c r="B318" s="32" t="s">
        <v>329</v>
      </c>
      <c r="C318" s="14" t="s">
        <v>67</v>
      </c>
      <c r="D318" s="15" t="s">
        <v>64</v>
      </c>
      <c r="E318" s="14" t="s">
        <v>19</v>
      </c>
      <c r="F318" s="26">
        <v>20</v>
      </c>
      <c r="G318" s="26">
        <v>10</v>
      </c>
      <c r="H318" s="34">
        <v>1913.16</v>
      </c>
      <c r="I318" s="84"/>
      <c r="J318" s="136">
        <v>2452.2800000000002</v>
      </c>
      <c r="K318" s="118"/>
      <c r="L318" s="34">
        <v>14161.55</v>
      </c>
      <c r="M318" s="84"/>
      <c r="N318" s="38" t="s">
        <v>796</v>
      </c>
      <c r="O318" s="68"/>
      <c r="P318" s="51"/>
    </row>
    <row r="319" spans="1:16" s="8" customFormat="1" ht="12.75" customHeight="1">
      <c r="A319" s="13">
        <f t="shared" si="9"/>
        <v>302</v>
      </c>
      <c r="B319" s="32" t="s">
        <v>330</v>
      </c>
      <c r="C319" s="23" t="s">
        <v>268</v>
      </c>
      <c r="D319" s="24" t="s">
        <v>269</v>
      </c>
      <c r="E319" s="23" t="s">
        <v>13</v>
      </c>
      <c r="F319" s="26">
        <v>20</v>
      </c>
      <c r="G319" s="26">
        <v>10</v>
      </c>
      <c r="H319" s="34">
        <v>714.87</v>
      </c>
      <c r="I319" s="84">
        <v>717.89</v>
      </c>
      <c r="J319" s="136">
        <v>1047.02</v>
      </c>
      <c r="K319" s="118">
        <v>1053.06</v>
      </c>
      <c r="L319" s="35" t="s">
        <v>262</v>
      </c>
      <c r="M319" s="85"/>
      <c r="N319" s="38" t="s">
        <v>641</v>
      </c>
      <c r="O319" s="69">
        <v>605</v>
      </c>
      <c r="P319" s="66">
        <v>43617</v>
      </c>
    </row>
    <row r="320" spans="1:16" s="8" customFormat="1" ht="12.75" customHeight="1">
      <c r="A320" s="13">
        <f t="shared" si="9"/>
        <v>303</v>
      </c>
      <c r="B320" s="32" t="s">
        <v>330</v>
      </c>
      <c r="C320" s="23" t="s">
        <v>268</v>
      </c>
      <c r="D320" s="24" t="s">
        <v>269</v>
      </c>
      <c r="E320" s="23" t="s">
        <v>13</v>
      </c>
      <c r="F320" s="26">
        <v>20</v>
      </c>
      <c r="G320" s="26">
        <v>10</v>
      </c>
      <c r="H320" s="34"/>
      <c r="I320" s="84">
        <v>824.55</v>
      </c>
      <c r="J320" s="136"/>
      <c r="K320" s="118">
        <v>1211.25</v>
      </c>
      <c r="L320" s="35"/>
      <c r="M320" s="85"/>
      <c r="N320" s="38" t="s">
        <v>641</v>
      </c>
      <c r="O320" s="69"/>
      <c r="P320" s="66">
        <v>45170</v>
      </c>
    </row>
    <row r="321" spans="1:16" s="8" customFormat="1" ht="12.75" customHeight="1">
      <c r="A321" s="13">
        <f t="shared" si="9"/>
        <v>304</v>
      </c>
      <c r="B321" s="156" t="s">
        <v>330</v>
      </c>
      <c r="C321" s="23" t="s">
        <v>268</v>
      </c>
      <c r="D321" s="24" t="s">
        <v>269</v>
      </c>
      <c r="E321" s="23" t="s">
        <v>13</v>
      </c>
      <c r="F321" s="26">
        <v>20</v>
      </c>
      <c r="G321" s="26">
        <v>10</v>
      </c>
      <c r="H321" s="34"/>
      <c r="I321" s="84">
        <v>1252.4100000000001</v>
      </c>
      <c r="J321" s="136"/>
      <c r="K321" s="118">
        <v>1851.98</v>
      </c>
      <c r="L321" s="35"/>
      <c r="M321" s="85"/>
      <c r="N321" s="38" t="s">
        <v>1180</v>
      </c>
      <c r="O321" s="69"/>
      <c r="P321" s="193">
        <v>46082</v>
      </c>
    </row>
    <row r="322" spans="1:16" s="8" customFormat="1" ht="12.75" customHeight="1">
      <c r="A322" s="13">
        <f t="shared" si="9"/>
        <v>305</v>
      </c>
      <c r="B322" s="156" t="s">
        <v>330</v>
      </c>
      <c r="C322" s="23" t="s">
        <v>268</v>
      </c>
      <c r="D322" s="24" t="s">
        <v>269</v>
      </c>
      <c r="E322" s="23" t="s">
        <v>13</v>
      </c>
      <c r="F322" s="26">
        <v>16</v>
      </c>
      <c r="G322" s="26">
        <v>14</v>
      </c>
      <c r="H322" s="34"/>
      <c r="I322" s="84">
        <v>1402.3</v>
      </c>
      <c r="J322" s="136"/>
      <c r="K322" s="118">
        <v>1509.38</v>
      </c>
      <c r="L322" s="35"/>
      <c r="M322" s="85"/>
      <c r="N322" s="38" t="s">
        <v>1180</v>
      </c>
      <c r="O322" s="69"/>
      <c r="P322" s="193">
        <v>46082</v>
      </c>
    </row>
    <row r="323" spans="1:16" s="8" customFormat="1" ht="12.75" customHeight="1">
      <c r="A323" s="13">
        <f t="shared" si="9"/>
        <v>306</v>
      </c>
      <c r="B323" s="32" t="s">
        <v>746</v>
      </c>
      <c r="C323" s="23" t="s">
        <v>572</v>
      </c>
      <c r="D323" s="52" t="s">
        <v>574</v>
      </c>
      <c r="E323" s="23" t="s">
        <v>13</v>
      </c>
      <c r="F323" s="27">
        <v>20</v>
      </c>
      <c r="G323" s="27">
        <v>10</v>
      </c>
      <c r="H323" s="34">
        <v>686.98</v>
      </c>
      <c r="I323" s="84"/>
      <c r="J323" s="136">
        <v>1013.71</v>
      </c>
      <c r="K323" s="118"/>
      <c r="L323" s="35" t="s">
        <v>747</v>
      </c>
      <c r="M323" s="85"/>
      <c r="N323" s="38" t="s">
        <v>796</v>
      </c>
      <c r="O323" s="71">
        <v>604</v>
      </c>
      <c r="P323" s="66">
        <v>43231</v>
      </c>
    </row>
    <row r="324" spans="1:16" s="8" customFormat="1" ht="12.75" customHeight="1">
      <c r="A324" s="13">
        <f t="shared" si="9"/>
        <v>307</v>
      </c>
      <c r="B324" s="52" t="s">
        <v>653</v>
      </c>
      <c r="C324" s="23" t="s">
        <v>572</v>
      </c>
      <c r="D324" s="52" t="s">
        <v>573</v>
      </c>
      <c r="E324" s="23" t="s">
        <v>13</v>
      </c>
      <c r="F324" s="27">
        <v>20</v>
      </c>
      <c r="G324" s="27">
        <v>10</v>
      </c>
      <c r="H324" s="34">
        <v>683.28</v>
      </c>
      <c r="I324" s="84">
        <v>674.82</v>
      </c>
      <c r="J324" s="136">
        <v>1010.01</v>
      </c>
      <c r="K324" s="118">
        <v>993.07</v>
      </c>
      <c r="L324" s="35"/>
      <c r="M324" s="85"/>
      <c r="N324" s="38" t="s">
        <v>796</v>
      </c>
      <c r="O324" s="71">
        <v>604</v>
      </c>
      <c r="P324" s="66">
        <v>43617</v>
      </c>
    </row>
    <row r="325" spans="1:16" s="8" customFormat="1" ht="12.75" customHeight="1">
      <c r="A325" s="13">
        <f t="shared" si="9"/>
        <v>308</v>
      </c>
      <c r="B325" s="23" t="s">
        <v>653</v>
      </c>
      <c r="C325" s="23" t="s">
        <v>572</v>
      </c>
      <c r="D325" s="52" t="s">
        <v>573</v>
      </c>
      <c r="E325" s="23" t="s">
        <v>13</v>
      </c>
      <c r="F325" s="27">
        <v>20</v>
      </c>
      <c r="G325" s="27">
        <v>10</v>
      </c>
      <c r="H325" s="34"/>
      <c r="I325" s="84">
        <v>773.6</v>
      </c>
      <c r="J325" s="136"/>
      <c r="K325" s="118">
        <v>1126.8399999999999</v>
      </c>
      <c r="L325" s="35"/>
      <c r="M325" s="85"/>
      <c r="N325" s="38" t="s">
        <v>796</v>
      </c>
      <c r="O325" s="71"/>
      <c r="P325" s="66">
        <v>44562</v>
      </c>
    </row>
    <row r="326" spans="1:16" s="8" customFormat="1" ht="12.75" customHeight="1">
      <c r="A326" s="13">
        <f t="shared" si="9"/>
        <v>309</v>
      </c>
      <c r="B326" s="23" t="s">
        <v>653</v>
      </c>
      <c r="C326" s="23" t="s">
        <v>572</v>
      </c>
      <c r="D326" s="52" t="s">
        <v>573</v>
      </c>
      <c r="E326" s="23" t="s">
        <v>13</v>
      </c>
      <c r="F326" s="27">
        <v>20</v>
      </c>
      <c r="G326" s="27">
        <v>5</v>
      </c>
      <c r="H326" s="34"/>
      <c r="I326" s="84">
        <v>674.82</v>
      </c>
      <c r="J326" s="136"/>
      <c r="K326" s="118">
        <v>1629.67</v>
      </c>
      <c r="L326" s="35"/>
      <c r="M326" s="85"/>
      <c r="N326" s="38" t="s">
        <v>796</v>
      </c>
      <c r="O326" s="71"/>
      <c r="P326" s="66">
        <v>43617</v>
      </c>
    </row>
    <row r="327" spans="1:16" s="8" customFormat="1" ht="12.75" customHeight="1">
      <c r="A327" s="13">
        <f t="shared" si="9"/>
        <v>310</v>
      </c>
      <c r="B327" s="23" t="s">
        <v>653</v>
      </c>
      <c r="C327" s="23" t="s">
        <v>572</v>
      </c>
      <c r="D327" s="52" t="s">
        <v>573</v>
      </c>
      <c r="E327" s="23" t="s">
        <v>13</v>
      </c>
      <c r="F327" s="27">
        <v>20</v>
      </c>
      <c r="G327" s="27">
        <v>10</v>
      </c>
      <c r="H327" s="34"/>
      <c r="I327" s="84">
        <v>828.27</v>
      </c>
      <c r="J327" s="136"/>
      <c r="K327" s="118">
        <v>1211</v>
      </c>
      <c r="L327" s="35"/>
      <c r="M327" s="85"/>
      <c r="N327" s="38" t="s">
        <v>796</v>
      </c>
      <c r="O327" s="71"/>
      <c r="P327" s="66">
        <v>45078</v>
      </c>
    </row>
    <row r="328" spans="1:16" s="8" customFormat="1" ht="12.75" customHeight="1">
      <c r="A328" s="13">
        <f t="shared" si="9"/>
        <v>311</v>
      </c>
      <c r="B328" s="180" t="s">
        <v>653</v>
      </c>
      <c r="C328" s="23" t="s">
        <v>572</v>
      </c>
      <c r="D328" s="52" t="s">
        <v>573</v>
      </c>
      <c r="E328" s="23" t="s">
        <v>13</v>
      </c>
      <c r="F328" s="27">
        <v>20</v>
      </c>
      <c r="G328" s="27">
        <v>10</v>
      </c>
      <c r="H328" s="34"/>
      <c r="I328" s="84">
        <v>952.6</v>
      </c>
      <c r="J328" s="136"/>
      <c r="K328" s="118">
        <v>1392.79</v>
      </c>
      <c r="L328" s="35"/>
      <c r="M328" s="85"/>
      <c r="N328" s="38" t="s">
        <v>796</v>
      </c>
      <c r="O328" s="71"/>
      <c r="P328" s="66">
        <v>45352</v>
      </c>
    </row>
    <row r="329" spans="1:16" s="8" customFormat="1" ht="12.75" customHeight="1">
      <c r="A329" s="13">
        <f t="shared" si="9"/>
        <v>312</v>
      </c>
      <c r="B329" s="180" t="s">
        <v>653</v>
      </c>
      <c r="C329" s="23" t="s">
        <v>572</v>
      </c>
      <c r="D329" s="52" t="s">
        <v>573</v>
      </c>
      <c r="E329" s="23" t="s">
        <v>13</v>
      </c>
      <c r="F329" s="27">
        <v>16</v>
      </c>
      <c r="G329" s="27">
        <v>14</v>
      </c>
      <c r="H329" s="34"/>
      <c r="I329" s="84">
        <v>1062.6400000000001</v>
      </c>
      <c r="J329" s="136"/>
      <c r="K329" s="118">
        <v>1141.29</v>
      </c>
      <c r="L329" s="35"/>
      <c r="M329" s="85"/>
      <c r="N329" s="38" t="s">
        <v>796</v>
      </c>
      <c r="O329" s="71"/>
      <c r="P329" s="66">
        <v>45352</v>
      </c>
    </row>
    <row r="330" spans="1:16" s="8" customFormat="1" ht="12.75" customHeight="1">
      <c r="A330" s="13">
        <f t="shared" si="9"/>
        <v>313</v>
      </c>
      <c r="B330" s="180" t="s">
        <v>653</v>
      </c>
      <c r="C330" s="23" t="s">
        <v>572</v>
      </c>
      <c r="D330" s="52" t="s">
        <v>573</v>
      </c>
      <c r="E330" s="23" t="s">
        <v>13</v>
      </c>
      <c r="F330" s="27">
        <v>20</v>
      </c>
      <c r="G330" s="27">
        <v>10</v>
      </c>
      <c r="H330" s="34"/>
      <c r="I330" s="84">
        <v>1121.71</v>
      </c>
      <c r="J330" s="136"/>
      <c r="K330" s="118">
        <v>1638.79</v>
      </c>
      <c r="L330" s="35"/>
      <c r="M330" s="85"/>
      <c r="N330" s="38" t="s">
        <v>796</v>
      </c>
      <c r="O330" s="71"/>
      <c r="P330" s="66">
        <v>45323</v>
      </c>
    </row>
    <row r="331" spans="1:16" s="8" customFormat="1" ht="12.75" customHeight="1">
      <c r="A331" s="13">
        <f t="shared" si="9"/>
        <v>314</v>
      </c>
      <c r="B331" s="180" t="s">
        <v>653</v>
      </c>
      <c r="C331" s="23" t="s">
        <v>572</v>
      </c>
      <c r="D331" s="52" t="s">
        <v>573</v>
      </c>
      <c r="E331" s="23" t="s">
        <v>13</v>
      </c>
      <c r="F331" s="27">
        <v>16</v>
      </c>
      <c r="G331" s="27">
        <v>14</v>
      </c>
      <c r="H331" s="34"/>
      <c r="I331" s="84">
        <v>1251</v>
      </c>
      <c r="J331" s="136"/>
      <c r="K331" s="118">
        <v>1343.34</v>
      </c>
      <c r="L331" s="35"/>
      <c r="M331" s="85"/>
      <c r="N331" s="38" t="s">
        <v>796</v>
      </c>
      <c r="O331" s="71"/>
      <c r="P331" s="66">
        <v>45323</v>
      </c>
    </row>
    <row r="332" spans="1:16" s="8" customFormat="1" ht="12.75" customHeight="1">
      <c r="A332" s="13">
        <f t="shared" si="9"/>
        <v>315</v>
      </c>
      <c r="B332" s="180" t="s">
        <v>653</v>
      </c>
      <c r="C332" s="23" t="s">
        <v>572</v>
      </c>
      <c r="D332" s="52" t="s">
        <v>573</v>
      </c>
      <c r="E332" s="23" t="s">
        <v>13</v>
      </c>
      <c r="F332" s="27">
        <v>20</v>
      </c>
      <c r="G332" s="27">
        <v>10</v>
      </c>
      <c r="H332" s="34"/>
      <c r="I332" s="182">
        <v>1121.71</v>
      </c>
      <c r="J332" s="136"/>
      <c r="K332" s="118">
        <v>1638.79</v>
      </c>
      <c r="L332" s="35"/>
      <c r="M332" s="85"/>
      <c r="N332" s="38" t="s">
        <v>796</v>
      </c>
      <c r="O332" s="71"/>
      <c r="P332" s="66">
        <v>45689</v>
      </c>
    </row>
    <row r="333" spans="1:16" s="8" customFormat="1" ht="12.75" customHeight="1">
      <c r="A333" s="13">
        <f t="shared" si="9"/>
        <v>316</v>
      </c>
      <c r="B333" s="180" t="s">
        <v>653</v>
      </c>
      <c r="C333" s="23" t="s">
        <v>572</v>
      </c>
      <c r="D333" s="52" t="s">
        <v>573</v>
      </c>
      <c r="E333" s="23" t="s">
        <v>13</v>
      </c>
      <c r="F333" s="27">
        <v>16</v>
      </c>
      <c r="G333" s="27">
        <v>14</v>
      </c>
      <c r="H333" s="34"/>
      <c r="I333" s="84">
        <v>1251</v>
      </c>
      <c r="J333" s="136"/>
      <c r="K333" s="118">
        <v>1343.34</v>
      </c>
      <c r="L333" s="35"/>
      <c r="M333" s="85"/>
      <c r="N333" s="38" t="s">
        <v>796</v>
      </c>
      <c r="O333" s="71"/>
      <c r="P333" s="66">
        <v>45689</v>
      </c>
    </row>
    <row r="334" spans="1:16" s="8" customFormat="1" ht="12.75" customHeight="1">
      <c r="A334" s="13">
        <f t="shared" si="9"/>
        <v>317</v>
      </c>
      <c r="B334" s="156" t="s">
        <v>653</v>
      </c>
      <c r="C334" s="23" t="s">
        <v>572</v>
      </c>
      <c r="D334" s="52" t="s">
        <v>573</v>
      </c>
      <c r="E334" s="23" t="s">
        <v>13</v>
      </c>
      <c r="F334" s="27">
        <v>20</v>
      </c>
      <c r="G334" s="27">
        <v>10</v>
      </c>
      <c r="H334" s="34"/>
      <c r="I334" s="84">
        <v>1253.73</v>
      </c>
      <c r="J334" s="136"/>
      <c r="K334" s="118">
        <v>1842.45</v>
      </c>
      <c r="L334" s="35"/>
      <c r="M334" s="85"/>
      <c r="N334" s="38" t="s">
        <v>796</v>
      </c>
      <c r="O334" s="71"/>
      <c r="P334" s="193">
        <v>46082</v>
      </c>
    </row>
    <row r="335" spans="1:16" s="8" customFormat="1" ht="12.75" customHeight="1">
      <c r="A335" s="13">
        <f t="shared" si="9"/>
        <v>318</v>
      </c>
      <c r="B335" s="156" t="s">
        <v>653</v>
      </c>
      <c r="C335" s="23" t="s">
        <v>572</v>
      </c>
      <c r="D335" s="52" t="s">
        <v>573</v>
      </c>
      <c r="E335" s="23" t="s">
        <v>13</v>
      </c>
      <c r="F335" s="27">
        <v>16</v>
      </c>
      <c r="G335" s="27">
        <v>14</v>
      </c>
      <c r="H335" s="34"/>
      <c r="I335" s="84">
        <v>1400.94</v>
      </c>
      <c r="J335" s="136"/>
      <c r="K335" s="118">
        <v>1506.05</v>
      </c>
      <c r="L335" s="35"/>
      <c r="M335" s="85"/>
      <c r="N335" s="38" t="s">
        <v>796</v>
      </c>
      <c r="O335" s="71"/>
      <c r="P335" s="193">
        <v>46082</v>
      </c>
    </row>
    <row r="336" spans="1:16" s="8" customFormat="1" ht="12.75" customHeight="1">
      <c r="A336" s="13">
        <f t="shared" si="9"/>
        <v>319</v>
      </c>
      <c r="B336" s="52" t="s">
        <v>654</v>
      </c>
      <c r="C336" s="23" t="s">
        <v>572</v>
      </c>
      <c r="D336" s="52" t="s">
        <v>573</v>
      </c>
      <c r="E336" s="23" t="s">
        <v>19</v>
      </c>
      <c r="F336" s="27">
        <v>20</v>
      </c>
      <c r="G336" s="27">
        <v>10</v>
      </c>
      <c r="H336" s="34">
        <v>1523.51</v>
      </c>
      <c r="I336" s="84">
        <v>1559.98</v>
      </c>
      <c r="J336" s="136">
        <v>2098.9699999999998</v>
      </c>
      <c r="K336" s="118">
        <v>2139.94</v>
      </c>
      <c r="L336" s="35">
        <v>9341.64</v>
      </c>
      <c r="M336" s="85">
        <v>9476.2099999999991</v>
      </c>
      <c r="N336" s="38" t="s">
        <v>796</v>
      </c>
      <c r="O336" s="71">
        <v>604</v>
      </c>
      <c r="P336" s="66">
        <v>43617</v>
      </c>
    </row>
    <row r="337" spans="1:16" s="8" customFormat="1" ht="12.75" customHeight="1">
      <c r="A337" s="13">
        <f t="shared" si="9"/>
        <v>320</v>
      </c>
      <c r="B337" s="32" t="s">
        <v>654</v>
      </c>
      <c r="C337" s="23" t="s">
        <v>572</v>
      </c>
      <c r="D337" s="52" t="s">
        <v>573</v>
      </c>
      <c r="E337" s="23" t="s">
        <v>19</v>
      </c>
      <c r="F337" s="27">
        <v>20</v>
      </c>
      <c r="G337" s="27">
        <v>5</v>
      </c>
      <c r="H337" s="34"/>
      <c r="I337" s="84">
        <v>1559.98</v>
      </c>
      <c r="J337" s="136"/>
      <c r="K337" s="118">
        <v>3299.77</v>
      </c>
      <c r="L337" s="35"/>
      <c r="M337" s="85">
        <v>9476.2099999999991</v>
      </c>
      <c r="N337" s="38" t="s">
        <v>796</v>
      </c>
      <c r="O337" s="71">
        <v>604</v>
      </c>
      <c r="P337" s="66">
        <v>43636</v>
      </c>
    </row>
    <row r="338" spans="1:16" s="8" customFormat="1" ht="12.75" customHeight="1">
      <c r="A338" s="13">
        <f t="shared" si="9"/>
        <v>321</v>
      </c>
      <c r="B338" s="32" t="s">
        <v>654</v>
      </c>
      <c r="C338" s="23" t="s">
        <v>572</v>
      </c>
      <c r="D338" s="52" t="s">
        <v>573</v>
      </c>
      <c r="E338" s="23" t="s">
        <v>19</v>
      </c>
      <c r="F338" s="27">
        <v>20</v>
      </c>
      <c r="G338" s="27">
        <v>10</v>
      </c>
      <c r="H338" s="34"/>
      <c r="I338" s="84">
        <v>1160.7</v>
      </c>
      <c r="J338" s="136"/>
      <c r="K338" s="118">
        <v>1913.46</v>
      </c>
      <c r="L338" s="35"/>
      <c r="M338" s="85">
        <v>15055.5</v>
      </c>
      <c r="N338" s="38" t="s">
        <v>796</v>
      </c>
      <c r="O338" s="71"/>
      <c r="P338" s="66">
        <v>44562</v>
      </c>
    </row>
    <row r="339" spans="1:16" s="8" customFormat="1" ht="12.75" customHeight="1">
      <c r="A339" s="13">
        <f t="shared" si="9"/>
        <v>322</v>
      </c>
      <c r="B339" s="32" t="s">
        <v>1018</v>
      </c>
      <c r="C339" s="23" t="s">
        <v>572</v>
      </c>
      <c r="D339" s="52" t="s">
        <v>573</v>
      </c>
      <c r="E339" s="23" t="s">
        <v>19</v>
      </c>
      <c r="F339" s="46" t="s">
        <v>977</v>
      </c>
      <c r="G339" s="27"/>
      <c r="H339" s="34"/>
      <c r="I339" s="84">
        <v>55194.48</v>
      </c>
      <c r="J339" s="136"/>
      <c r="K339" s="118"/>
      <c r="L339" s="35"/>
      <c r="M339" s="85"/>
      <c r="N339" s="38" t="s">
        <v>796</v>
      </c>
      <c r="O339" s="71"/>
      <c r="P339" s="66">
        <v>44562</v>
      </c>
    </row>
    <row r="340" spans="1:16" s="8" customFormat="1" ht="12.75" customHeight="1">
      <c r="A340" s="13">
        <f t="shared" si="9"/>
        <v>323</v>
      </c>
      <c r="B340" s="32" t="s">
        <v>654</v>
      </c>
      <c r="C340" s="23" t="s">
        <v>572</v>
      </c>
      <c r="D340" s="52" t="s">
        <v>573</v>
      </c>
      <c r="E340" s="23" t="s">
        <v>19</v>
      </c>
      <c r="F340" s="46">
        <v>20</v>
      </c>
      <c r="G340" s="27">
        <v>3</v>
      </c>
      <c r="H340" s="34"/>
      <c r="I340" s="84">
        <v>1160.7</v>
      </c>
      <c r="J340" s="136"/>
      <c r="K340" s="118">
        <v>5426.44</v>
      </c>
      <c r="L340" s="35"/>
      <c r="M340" s="85"/>
      <c r="N340" s="38" t="s">
        <v>796</v>
      </c>
      <c r="O340" s="71"/>
      <c r="P340" s="66">
        <v>44562</v>
      </c>
    </row>
    <row r="341" spans="1:16" s="8" customFormat="1" ht="12.75" customHeight="1">
      <c r="A341" s="13">
        <f t="shared" si="9"/>
        <v>324</v>
      </c>
      <c r="B341" s="32" t="s">
        <v>1018</v>
      </c>
      <c r="C341" s="23" t="s">
        <v>572</v>
      </c>
      <c r="D341" s="52" t="s">
        <v>573</v>
      </c>
      <c r="E341" s="23" t="s">
        <v>19</v>
      </c>
      <c r="F341" s="46" t="s">
        <v>977</v>
      </c>
      <c r="G341" s="27"/>
      <c r="H341" s="34"/>
      <c r="I341" s="84">
        <v>55194.48</v>
      </c>
      <c r="J341" s="136"/>
      <c r="K341" s="118"/>
      <c r="L341" s="35"/>
      <c r="M341" s="85"/>
      <c r="N341" s="38" t="s">
        <v>796</v>
      </c>
      <c r="O341" s="71"/>
      <c r="P341" s="66">
        <v>44562</v>
      </c>
    </row>
    <row r="342" spans="1:16" s="8" customFormat="1" ht="12.75" customHeight="1">
      <c r="A342" s="13">
        <f t="shared" si="9"/>
        <v>325</v>
      </c>
      <c r="B342" s="32" t="s">
        <v>654</v>
      </c>
      <c r="C342" s="23" t="s">
        <v>572</v>
      </c>
      <c r="D342" s="52" t="s">
        <v>573</v>
      </c>
      <c r="E342" s="23" t="s">
        <v>19</v>
      </c>
      <c r="F342" s="46">
        <v>20</v>
      </c>
      <c r="G342" s="27">
        <v>10</v>
      </c>
      <c r="H342" s="34"/>
      <c r="I342" s="84">
        <v>1240.98</v>
      </c>
      <c r="J342" s="136"/>
      <c r="K342" s="118">
        <v>2049.6</v>
      </c>
      <c r="L342" s="35"/>
      <c r="M342" s="85"/>
      <c r="N342" s="38" t="s">
        <v>796</v>
      </c>
      <c r="O342" s="71"/>
      <c r="P342" s="66">
        <v>45078</v>
      </c>
    </row>
    <row r="343" spans="1:16" s="8" customFormat="1" ht="12.75" customHeight="1">
      <c r="A343" s="13">
        <f t="shared" si="9"/>
        <v>326</v>
      </c>
      <c r="B343" s="32" t="s">
        <v>1018</v>
      </c>
      <c r="C343" s="23" t="s">
        <v>572</v>
      </c>
      <c r="D343" s="52" t="s">
        <v>573</v>
      </c>
      <c r="E343" s="23" t="s">
        <v>19</v>
      </c>
      <c r="F343" s="46" t="s">
        <v>977</v>
      </c>
      <c r="G343" s="27"/>
      <c r="H343" s="34"/>
      <c r="I343" s="84">
        <v>55727.77</v>
      </c>
      <c r="J343" s="136"/>
      <c r="K343" s="118"/>
      <c r="L343" s="35"/>
      <c r="M343" s="85"/>
      <c r="N343" s="38" t="s">
        <v>796</v>
      </c>
      <c r="O343" s="71"/>
      <c r="P343" s="66">
        <v>45078</v>
      </c>
    </row>
    <row r="344" spans="1:16" s="8" customFormat="1" ht="12.75" customHeight="1">
      <c r="A344" s="13">
        <f t="shared" si="9"/>
        <v>327</v>
      </c>
      <c r="B344" s="32" t="s">
        <v>654</v>
      </c>
      <c r="C344" s="23" t="s">
        <v>572</v>
      </c>
      <c r="D344" s="52" t="s">
        <v>573</v>
      </c>
      <c r="E344" s="23" t="s">
        <v>19</v>
      </c>
      <c r="F344" s="46">
        <v>20</v>
      </c>
      <c r="G344" s="27">
        <v>10</v>
      </c>
      <c r="H344" s="34"/>
      <c r="I344" s="84">
        <v>1427.32</v>
      </c>
      <c r="J344" s="136"/>
      <c r="K344" s="118">
        <v>2357.38</v>
      </c>
      <c r="L344" s="35"/>
      <c r="M344" s="85"/>
      <c r="N344" s="38" t="s">
        <v>796</v>
      </c>
      <c r="O344" s="71"/>
      <c r="P344" s="66">
        <v>45352</v>
      </c>
    </row>
    <row r="345" spans="1:16" s="8" customFormat="1" ht="12.75" customHeight="1">
      <c r="A345" s="13">
        <f t="shared" si="9"/>
        <v>328</v>
      </c>
      <c r="B345" s="32" t="s">
        <v>654</v>
      </c>
      <c r="C345" s="23" t="s">
        <v>572</v>
      </c>
      <c r="D345" s="52" t="s">
        <v>573</v>
      </c>
      <c r="E345" s="23" t="s">
        <v>19</v>
      </c>
      <c r="F345" s="46">
        <v>19</v>
      </c>
      <c r="G345" s="27">
        <v>11</v>
      </c>
      <c r="H345" s="34"/>
      <c r="I345" s="84">
        <v>1476.27</v>
      </c>
      <c r="J345" s="136"/>
      <c r="K345" s="118">
        <v>2188.29</v>
      </c>
      <c r="L345" s="35"/>
      <c r="M345" s="85"/>
      <c r="N345" s="38" t="s">
        <v>796</v>
      </c>
      <c r="O345" s="71"/>
      <c r="P345" s="66">
        <v>45352</v>
      </c>
    </row>
    <row r="346" spans="1:16" s="8" customFormat="1" ht="12.75" customHeight="1">
      <c r="A346" s="13">
        <f t="shared" si="9"/>
        <v>329</v>
      </c>
      <c r="B346" s="32" t="s">
        <v>654</v>
      </c>
      <c r="C346" s="23" t="s">
        <v>572</v>
      </c>
      <c r="D346" s="52" t="s">
        <v>573</v>
      </c>
      <c r="E346" s="23" t="s">
        <v>19</v>
      </c>
      <c r="F346" s="46">
        <v>18</v>
      </c>
      <c r="G346" s="27">
        <v>12</v>
      </c>
      <c r="H346" s="34"/>
      <c r="I346" s="84">
        <v>1530.64</v>
      </c>
      <c r="J346" s="136"/>
      <c r="K346" s="118">
        <v>2047.33</v>
      </c>
      <c r="L346" s="35"/>
      <c r="M346" s="85"/>
      <c r="N346" s="38" t="s">
        <v>796</v>
      </c>
      <c r="O346" s="71"/>
      <c r="P346" s="66">
        <v>45352</v>
      </c>
    </row>
    <row r="347" spans="1:16" s="8" customFormat="1" ht="12.75" customHeight="1">
      <c r="A347" s="13">
        <f t="shared" si="9"/>
        <v>330</v>
      </c>
      <c r="B347" s="32" t="s">
        <v>654</v>
      </c>
      <c r="C347" s="23" t="s">
        <v>572</v>
      </c>
      <c r="D347" s="52" t="s">
        <v>573</v>
      </c>
      <c r="E347" s="23" t="s">
        <v>19</v>
      </c>
      <c r="F347" s="46">
        <v>17</v>
      </c>
      <c r="G347" s="27">
        <v>13</v>
      </c>
      <c r="H347" s="34"/>
      <c r="I347" s="84">
        <v>1591.44</v>
      </c>
      <c r="J347" s="136"/>
      <c r="K347" s="118">
        <v>1928.11</v>
      </c>
      <c r="L347" s="35"/>
      <c r="M347" s="85"/>
      <c r="N347" s="38" t="s">
        <v>796</v>
      </c>
      <c r="O347" s="71"/>
      <c r="P347" s="66">
        <v>45352</v>
      </c>
    </row>
    <row r="348" spans="1:16" s="8" customFormat="1" ht="12.75" customHeight="1">
      <c r="A348" s="13">
        <f t="shared" si="9"/>
        <v>331</v>
      </c>
      <c r="B348" s="32" t="s">
        <v>654</v>
      </c>
      <c r="C348" s="23" t="s">
        <v>572</v>
      </c>
      <c r="D348" s="52" t="s">
        <v>573</v>
      </c>
      <c r="E348" s="23" t="s">
        <v>19</v>
      </c>
      <c r="F348" s="46">
        <v>16</v>
      </c>
      <c r="G348" s="27">
        <v>14</v>
      </c>
      <c r="H348" s="34"/>
      <c r="I348" s="84">
        <v>1659.83</v>
      </c>
      <c r="J348" s="136"/>
      <c r="K348" s="118">
        <v>1825.91</v>
      </c>
      <c r="L348" s="35"/>
      <c r="M348" s="85"/>
      <c r="N348" s="38" t="s">
        <v>796</v>
      </c>
      <c r="O348" s="71"/>
      <c r="P348" s="66">
        <v>45352</v>
      </c>
    </row>
    <row r="349" spans="1:16" s="8" customFormat="1" ht="12.75" customHeight="1">
      <c r="A349" s="13">
        <f t="shared" si="9"/>
        <v>332</v>
      </c>
      <c r="B349" s="32" t="s">
        <v>654</v>
      </c>
      <c r="C349" s="23" t="s">
        <v>572</v>
      </c>
      <c r="D349" s="52" t="s">
        <v>573</v>
      </c>
      <c r="E349" s="23" t="s">
        <v>19</v>
      </c>
      <c r="F349" s="46">
        <v>15</v>
      </c>
      <c r="G349" s="27"/>
      <c r="H349" s="34"/>
      <c r="I349" s="84">
        <v>1737.33</v>
      </c>
      <c r="J349" s="136"/>
      <c r="K349" s="118"/>
      <c r="L349" s="35"/>
      <c r="M349" s="85"/>
      <c r="N349" s="38" t="s">
        <v>796</v>
      </c>
      <c r="O349" s="71"/>
      <c r="P349" s="66">
        <v>45352</v>
      </c>
    </row>
    <row r="350" spans="1:16" s="8" customFormat="1" ht="12.75" customHeight="1">
      <c r="A350" s="13">
        <f t="shared" si="9"/>
        <v>333</v>
      </c>
      <c r="B350" s="32" t="s">
        <v>654</v>
      </c>
      <c r="C350" s="23" t="s">
        <v>572</v>
      </c>
      <c r="D350" s="52" t="s">
        <v>573</v>
      </c>
      <c r="E350" s="23" t="s">
        <v>19</v>
      </c>
      <c r="F350" s="46">
        <v>20</v>
      </c>
      <c r="G350" s="27">
        <v>10</v>
      </c>
      <c r="H350" s="34"/>
      <c r="I350" s="84">
        <v>1680.44</v>
      </c>
      <c r="J350" s="136"/>
      <c r="K350" s="118">
        <v>2774.1</v>
      </c>
      <c r="L350" s="35"/>
      <c r="M350" s="85">
        <v>21873.37</v>
      </c>
      <c r="N350" s="38" t="s">
        <v>796</v>
      </c>
      <c r="O350" s="71"/>
      <c r="P350" s="66">
        <v>45689</v>
      </c>
    </row>
    <row r="351" spans="1:16" s="8" customFormat="1" ht="12.75" customHeight="1">
      <c r="A351" s="13">
        <f t="shared" si="9"/>
        <v>334</v>
      </c>
      <c r="B351" s="32" t="s">
        <v>654</v>
      </c>
      <c r="C351" s="23" t="s">
        <v>572</v>
      </c>
      <c r="D351" s="52" t="s">
        <v>573</v>
      </c>
      <c r="E351" s="23" t="s">
        <v>19</v>
      </c>
      <c r="F351" s="46">
        <v>19</v>
      </c>
      <c r="G351" s="27">
        <v>11</v>
      </c>
      <c r="H351" s="34"/>
      <c r="I351" s="84">
        <v>1738</v>
      </c>
      <c r="J351" s="136"/>
      <c r="K351" s="118">
        <v>2575.2600000000002</v>
      </c>
      <c r="L351" s="35"/>
      <c r="M351" s="85"/>
      <c r="N351" s="38" t="s">
        <v>796</v>
      </c>
      <c r="O351" s="71"/>
      <c r="P351" s="66">
        <v>45689</v>
      </c>
    </row>
    <row r="352" spans="1:16" s="8" customFormat="1" ht="12.75" customHeight="1">
      <c r="A352" s="13">
        <f t="shared" si="9"/>
        <v>335</v>
      </c>
      <c r="B352" s="32" t="s">
        <v>654</v>
      </c>
      <c r="C352" s="23" t="s">
        <v>572</v>
      </c>
      <c r="D352" s="52" t="s">
        <v>573</v>
      </c>
      <c r="E352" s="23" t="s">
        <v>19</v>
      </c>
      <c r="F352" s="46">
        <v>18</v>
      </c>
      <c r="G352" s="27">
        <v>12</v>
      </c>
      <c r="H352" s="34"/>
      <c r="I352" s="84">
        <v>1801.95</v>
      </c>
      <c r="J352" s="136"/>
      <c r="K352" s="118">
        <v>2409.54</v>
      </c>
      <c r="L352" s="35"/>
      <c r="M352" s="85"/>
      <c r="N352" s="38" t="s">
        <v>796</v>
      </c>
      <c r="O352" s="71"/>
      <c r="P352" s="66">
        <v>45689</v>
      </c>
    </row>
    <row r="353" spans="1:16" s="8" customFormat="1" ht="12.75" customHeight="1">
      <c r="A353" s="13">
        <f t="shared" si="9"/>
        <v>336</v>
      </c>
      <c r="B353" s="32" t="s">
        <v>654</v>
      </c>
      <c r="C353" s="23" t="s">
        <v>572</v>
      </c>
      <c r="D353" s="52" t="s">
        <v>573</v>
      </c>
      <c r="E353" s="23" t="s">
        <v>19</v>
      </c>
      <c r="F353" s="46">
        <v>17</v>
      </c>
      <c r="G353" s="27">
        <v>13</v>
      </c>
      <c r="H353" s="34"/>
      <c r="I353" s="84">
        <v>1873.41</v>
      </c>
      <c r="J353" s="136"/>
      <c r="K353" s="118">
        <v>2269.3200000000002</v>
      </c>
      <c r="L353" s="35"/>
      <c r="M353" s="85"/>
      <c r="N353" s="38" t="s">
        <v>796</v>
      </c>
      <c r="O353" s="71"/>
      <c r="P353" s="66">
        <v>45689</v>
      </c>
    </row>
    <row r="354" spans="1:16" s="8" customFormat="1" ht="12.75" customHeight="1">
      <c r="A354" s="13">
        <f t="shared" si="9"/>
        <v>337</v>
      </c>
      <c r="B354" s="32" t="s">
        <v>654</v>
      </c>
      <c r="C354" s="23" t="s">
        <v>572</v>
      </c>
      <c r="D354" s="52" t="s">
        <v>573</v>
      </c>
      <c r="E354" s="23" t="s">
        <v>19</v>
      </c>
      <c r="F354" s="46">
        <v>16</v>
      </c>
      <c r="G354" s="27">
        <v>14</v>
      </c>
      <c r="H354" s="34"/>
      <c r="I354" s="84">
        <v>1953.84</v>
      </c>
      <c r="J354" s="136"/>
      <c r="K354" s="118">
        <v>2149.15</v>
      </c>
      <c r="L354" s="35"/>
      <c r="M354" s="85"/>
      <c r="N354" s="38" t="s">
        <v>796</v>
      </c>
      <c r="O354" s="71"/>
      <c r="P354" s="66">
        <v>45689</v>
      </c>
    </row>
    <row r="355" spans="1:16" s="8" customFormat="1" ht="12.75" customHeight="1">
      <c r="A355" s="13">
        <f t="shared" si="9"/>
        <v>338</v>
      </c>
      <c r="B355" s="32" t="s">
        <v>654</v>
      </c>
      <c r="C355" s="23" t="s">
        <v>572</v>
      </c>
      <c r="D355" s="52" t="s">
        <v>573</v>
      </c>
      <c r="E355" s="23" t="s">
        <v>19</v>
      </c>
      <c r="F355" s="46">
        <v>15</v>
      </c>
      <c r="G355" s="27"/>
      <c r="H355" s="34"/>
      <c r="I355" s="84">
        <v>2044.98</v>
      </c>
      <c r="J355" s="136"/>
      <c r="K355" s="118"/>
      <c r="L355" s="35"/>
      <c r="M355" s="85"/>
      <c r="N355" s="38" t="s">
        <v>796</v>
      </c>
      <c r="O355" s="71"/>
      <c r="P355" s="66">
        <v>45689</v>
      </c>
    </row>
    <row r="356" spans="1:16" s="8" customFormat="1" ht="12.75" customHeight="1">
      <c r="A356" s="13">
        <f t="shared" si="9"/>
        <v>339</v>
      </c>
      <c r="B356" s="32" t="s">
        <v>1018</v>
      </c>
      <c r="C356" s="23" t="s">
        <v>572</v>
      </c>
      <c r="D356" s="52" t="s">
        <v>573</v>
      </c>
      <c r="E356" s="23" t="s">
        <v>19</v>
      </c>
      <c r="F356" s="46" t="s">
        <v>977</v>
      </c>
      <c r="G356" s="27"/>
      <c r="H356" s="34"/>
      <c r="I356" s="84">
        <v>77680.429999999993</v>
      </c>
      <c r="J356" s="136"/>
      <c r="K356" s="118"/>
      <c r="L356" s="35"/>
      <c r="M356" s="85"/>
      <c r="N356" s="38" t="s">
        <v>796</v>
      </c>
      <c r="O356" s="71"/>
      <c r="P356" s="66">
        <v>45352</v>
      </c>
    </row>
    <row r="357" spans="1:16" s="8" customFormat="1" ht="12.75" customHeight="1">
      <c r="A357" s="13">
        <f t="shared" si="9"/>
        <v>340</v>
      </c>
      <c r="B357" s="32" t="s">
        <v>1018</v>
      </c>
      <c r="C357" s="23" t="s">
        <v>572</v>
      </c>
      <c r="D357" s="52" t="s">
        <v>573</v>
      </c>
      <c r="E357" s="23" t="s">
        <v>19</v>
      </c>
      <c r="F357" s="46" t="s">
        <v>977</v>
      </c>
      <c r="G357" s="27"/>
      <c r="H357" s="34"/>
      <c r="I357" s="84">
        <v>89666.46</v>
      </c>
      <c r="J357" s="136"/>
      <c r="K357" s="118"/>
      <c r="L357" s="35"/>
      <c r="M357" s="85"/>
      <c r="N357" s="38" t="s">
        <v>796</v>
      </c>
      <c r="O357" s="71"/>
      <c r="P357" s="66">
        <v>45689</v>
      </c>
    </row>
    <row r="358" spans="1:16" s="8" customFormat="1" ht="12.75" customHeight="1">
      <c r="A358" s="13">
        <f t="shared" ref="A358:A390" si="10">A357+1</f>
        <v>341</v>
      </c>
      <c r="B358" s="156" t="s">
        <v>1018</v>
      </c>
      <c r="C358" s="23" t="s">
        <v>572</v>
      </c>
      <c r="D358" s="52" t="s">
        <v>573</v>
      </c>
      <c r="E358" s="23" t="s">
        <v>19</v>
      </c>
      <c r="F358" s="46" t="s">
        <v>977</v>
      </c>
      <c r="G358" s="27"/>
      <c r="H358" s="34"/>
      <c r="I358" s="84">
        <v>112849.5</v>
      </c>
      <c r="J358" s="136"/>
      <c r="K358" s="118"/>
      <c r="L358" s="35"/>
      <c r="M358" s="85"/>
      <c r="N358" s="38" t="s">
        <v>796</v>
      </c>
      <c r="O358" s="71"/>
      <c r="P358" s="193">
        <v>46082</v>
      </c>
    </row>
    <row r="359" spans="1:16" s="8" customFormat="1" ht="12.75" customHeight="1">
      <c r="A359" s="13">
        <f t="shared" si="10"/>
        <v>342</v>
      </c>
      <c r="B359" s="156" t="s">
        <v>654</v>
      </c>
      <c r="C359" s="23" t="s">
        <v>572</v>
      </c>
      <c r="D359" s="52" t="s">
        <v>573</v>
      </c>
      <c r="E359" s="23" t="s">
        <v>19</v>
      </c>
      <c r="F359" s="46">
        <v>20</v>
      </c>
      <c r="G359" s="27">
        <v>10</v>
      </c>
      <c r="H359" s="34"/>
      <c r="I359" s="84">
        <v>1852.15</v>
      </c>
      <c r="J359" s="136"/>
      <c r="K359" s="118">
        <v>3058.86</v>
      </c>
      <c r="L359" s="35"/>
      <c r="M359" s="85">
        <v>24134.14</v>
      </c>
      <c r="N359" s="38" t="s">
        <v>796</v>
      </c>
      <c r="O359" s="71"/>
      <c r="P359" s="193">
        <v>46082</v>
      </c>
    </row>
    <row r="360" spans="1:16" s="8" customFormat="1" ht="12.75" customHeight="1">
      <c r="A360" s="13">
        <f t="shared" si="10"/>
        <v>343</v>
      </c>
      <c r="B360" s="156" t="s">
        <v>654</v>
      </c>
      <c r="C360" s="23" t="s">
        <v>572</v>
      </c>
      <c r="D360" s="52" t="s">
        <v>573</v>
      </c>
      <c r="E360" s="23" t="s">
        <v>19</v>
      </c>
      <c r="F360" s="46">
        <v>19</v>
      </c>
      <c r="G360" s="27">
        <v>11</v>
      </c>
      <c r="H360" s="34"/>
      <c r="I360" s="84">
        <v>1915.65</v>
      </c>
      <c r="J360" s="136"/>
      <c r="K360" s="118">
        <v>2839.45</v>
      </c>
      <c r="L360" s="35"/>
      <c r="M360" s="85"/>
      <c r="N360" s="38" t="s">
        <v>796</v>
      </c>
      <c r="O360" s="71"/>
      <c r="P360" s="193">
        <v>46082</v>
      </c>
    </row>
    <row r="361" spans="1:16" s="8" customFormat="1" ht="12.75" customHeight="1">
      <c r="A361" s="13">
        <f t="shared" si="10"/>
        <v>344</v>
      </c>
      <c r="B361" s="156" t="s">
        <v>654</v>
      </c>
      <c r="C361" s="23" t="s">
        <v>572</v>
      </c>
      <c r="D361" s="52" t="s">
        <v>573</v>
      </c>
      <c r="E361" s="23" t="s">
        <v>19</v>
      </c>
      <c r="F361" s="46">
        <v>18</v>
      </c>
      <c r="G361" s="27">
        <v>12</v>
      </c>
      <c r="H361" s="34"/>
      <c r="I361" s="84">
        <v>1986.23</v>
      </c>
      <c r="J361" s="136"/>
      <c r="K361" s="118">
        <v>2656.61</v>
      </c>
      <c r="L361" s="35"/>
      <c r="M361" s="85"/>
      <c r="N361" s="38" t="s">
        <v>796</v>
      </c>
      <c r="O361" s="71"/>
      <c r="P361" s="193">
        <v>46082</v>
      </c>
    </row>
    <row r="362" spans="1:16" s="8" customFormat="1" ht="12.75" customHeight="1">
      <c r="A362" s="13">
        <f t="shared" si="10"/>
        <v>345</v>
      </c>
      <c r="B362" s="156" t="s">
        <v>654</v>
      </c>
      <c r="C362" s="23" t="s">
        <v>572</v>
      </c>
      <c r="D362" s="52" t="s">
        <v>573</v>
      </c>
      <c r="E362" s="23" t="s">
        <v>19</v>
      </c>
      <c r="F362" s="46">
        <v>17</v>
      </c>
      <c r="G362" s="27">
        <v>13</v>
      </c>
      <c r="H362" s="34"/>
      <c r="I362" s="84">
        <v>2065.06</v>
      </c>
      <c r="J362" s="136"/>
      <c r="K362" s="118">
        <v>2501.91</v>
      </c>
      <c r="L362" s="35"/>
      <c r="M362" s="85"/>
      <c r="N362" s="38" t="s">
        <v>796</v>
      </c>
      <c r="O362" s="71"/>
      <c r="P362" s="193">
        <v>46082</v>
      </c>
    </row>
    <row r="363" spans="1:16" s="8" customFormat="1" ht="12.75" customHeight="1">
      <c r="A363" s="13">
        <f t="shared" si="10"/>
        <v>346</v>
      </c>
      <c r="B363" s="156" t="s">
        <v>654</v>
      </c>
      <c r="C363" s="23" t="s">
        <v>572</v>
      </c>
      <c r="D363" s="52" t="s">
        <v>573</v>
      </c>
      <c r="E363" s="23" t="s">
        <v>19</v>
      </c>
      <c r="F363" s="46">
        <v>16</v>
      </c>
      <c r="G363" s="27">
        <v>14</v>
      </c>
      <c r="H363" s="34"/>
      <c r="I363" s="84">
        <v>2153.8200000000002</v>
      </c>
      <c r="J363" s="136"/>
      <c r="K363" s="118">
        <v>2369.23</v>
      </c>
      <c r="L363" s="35"/>
      <c r="M363" s="85"/>
      <c r="N363" s="38" t="s">
        <v>796</v>
      </c>
      <c r="O363" s="71"/>
      <c r="P363" s="193">
        <v>46082</v>
      </c>
    </row>
    <row r="364" spans="1:16" s="8" customFormat="1" ht="12.75" customHeight="1">
      <c r="A364" s="13">
        <f t="shared" si="10"/>
        <v>347</v>
      </c>
      <c r="B364" s="156" t="s">
        <v>654</v>
      </c>
      <c r="C364" s="23" t="s">
        <v>572</v>
      </c>
      <c r="D364" s="52" t="s">
        <v>573</v>
      </c>
      <c r="E364" s="23" t="s">
        <v>19</v>
      </c>
      <c r="F364" s="46">
        <v>15</v>
      </c>
      <c r="G364" s="27"/>
      <c r="H364" s="34"/>
      <c r="I364" s="84">
        <v>2254.38</v>
      </c>
      <c r="J364" s="136"/>
      <c r="K364" s="118"/>
      <c r="L364" s="35"/>
      <c r="M364" s="85"/>
      <c r="N364" s="38" t="s">
        <v>796</v>
      </c>
      <c r="O364" s="71"/>
      <c r="P364" s="193">
        <v>46082</v>
      </c>
    </row>
    <row r="365" spans="1:16" ht="15.75" customHeight="1">
      <c r="A365" s="13">
        <f t="shared" si="10"/>
        <v>348</v>
      </c>
      <c r="B365" s="52" t="s">
        <v>655</v>
      </c>
      <c r="C365" s="23" t="s">
        <v>572</v>
      </c>
      <c r="D365" s="52" t="s">
        <v>574</v>
      </c>
      <c r="E365" s="23" t="s">
        <v>19</v>
      </c>
      <c r="F365" s="64">
        <v>20</v>
      </c>
      <c r="G365" s="27">
        <v>10</v>
      </c>
      <c r="H365" s="35">
        <v>1530.9</v>
      </c>
      <c r="I365" s="85">
        <v>1567.38</v>
      </c>
      <c r="J365" s="136">
        <v>2106.36</v>
      </c>
      <c r="K365" s="118">
        <v>2147.33</v>
      </c>
      <c r="L365" s="35">
        <v>9341.64</v>
      </c>
      <c r="M365" s="85">
        <v>9476.2099999999991</v>
      </c>
      <c r="N365" s="38" t="s">
        <v>796</v>
      </c>
      <c r="O365" s="71">
        <v>604</v>
      </c>
      <c r="P365" s="66">
        <v>43617</v>
      </c>
    </row>
    <row r="366" spans="1:16" ht="15.75" customHeight="1">
      <c r="A366" s="13">
        <f t="shared" si="10"/>
        <v>349</v>
      </c>
      <c r="B366" s="32" t="s">
        <v>655</v>
      </c>
      <c r="C366" s="23" t="s">
        <v>572</v>
      </c>
      <c r="D366" s="52" t="s">
        <v>574</v>
      </c>
      <c r="E366" s="23" t="s">
        <v>19</v>
      </c>
      <c r="F366" s="64">
        <v>20</v>
      </c>
      <c r="G366" s="27">
        <v>10</v>
      </c>
      <c r="H366" s="35"/>
      <c r="I366" s="85">
        <v>1187.3</v>
      </c>
      <c r="J366" s="136"/>
      <c r="K366" s="118">
        <v>1940.07</v>
      </c>
      <c r="L366" s="35"/>
      <c r="M366" s="85">
        <v>15055.5</v>
      </c>
      <c r="N366" s="38" t="s">
        <v>796</v>
      </c>
      <c r="O366" s="71"/>
      <c r="P366" s="66">
        <v>44562</v>
      </c>
    </row>
    <row r="367" spans="1:16" ht="15.75" customHeight="1">
      <c r="A367" s="13">
        <f t="shared" si="10"/>
        <v>350</v>
      </c>
      <c r="B367" s="32" t="s">
        <v>1060</v>
      </c>
      <c r="C367" s="23" t="s">
        <v>572</v>
      </c>
      <c r="D367" s="52" t="s">
        <v>574</v>
      </c>
      <c r="E367" s="23" t="s">
        <v>19</v>
      </c>
      <c r="F367" s="46" t="s">
        <v>977</v>
      </c>
      <c r="G367" s="27"/>
      <c r="H367" s="35"/>
      <c r="I367" s="85">
        <v>55194.48</v>
      </c>
      <c r="J367" s="136"/>
      <c r="K367" s="118"/>
      <c r="L367" s="35"/>
      <c r="M367" s="85"/>
      <c r="N367" s="38" t="s">
        <v>796</v>
      </c>
      <c r="O367" s="71"/>
      <c r="P367" s="66">
        <v>44562</v>
      </c>
    </row>
    <row r="368" spans="1:16" ht="15.75" customHeight="1">
      <c r="A368" s="13">
        <f t="shared" si="10"/>
        <v>351</v>
      </c>
      <c r="B368" s="32" t="s">
        <v>655</v>
      </c>
      <c r="C368" s="23" t="s">
        <v>572</v>
      </c>
      <c r="D368" s="52" t="s">
        <v>574</v>
      </c>
      <c r="E368" s="23" t="s">
        <v>19</v>
      </c>
      <c r="F368" s="64">
        <v>20</v>
      </c>
      <c r="G368" s="27">
        <v>10</v>
      </c>
      <c r="H368" s="35"/>
      <c r="I368" s="85">
        <v>1269.18</v>
      </c>
      <c r="J368" s="136"/>
      <c r="K368" s="118">
        <v>2077.8000000000002</v>
      </c>
      <c r="L368" s="35"/>
      <c r="M368" s="85"/>
      <c r="N368" s="38" t="s">
        <v>796</v>
      </c>
      <c r="O368" s="71"/>
      <c r="P368" s="66">
        <v>45078</v>
      </c>
    </row>
    <row r="369" spans="1:16" ht="15.75" customHeight="1">
      <c r="A369" s="13">
        <f t="shared" si="10"/>
        <v>352</v>
      </c>
      <c r="B369" s="32" t="s">
        <v>1060</v>
      </c>
      <c r="C369" s="23" t="s">
        <v>572</v>
      </c>
      <c r="D369" s="52" t="s">
        <v>574</v>
      </c>
      <c r="E369" s="23" t="s">
        <v>19</v>
      </c>
      <c r="F369" s="46" t="s">
        <v>977</v>
      </c>
      <c r="G369" s="27"/>
      <c r="H369" s="35"/>
      <c r="I369" s="85">
        <v>55727.77</v>
      </c>
      <c r="J369" s="136"/>
      <c r="K369" s="118"/>
      <c r="L369" s="35"/>
      <c r="M369" s="85"/>
      <c r="N369" s="38" t="s">
        <v>796</v>
      </c>
      <c r="O369" s="71"/>
      <c r="P369" s="66">
        <v>45078</v>
      </c>
    </row>
    <row r="370" spans="1:16" ht="15.75" customHeight="1">
      <c r="A370" s="13">
        <f t="shared" si="10"/>
        <v>353</v>
      </c>
      <c r="B370" s="32" t="s">
        <v>655</v>
      </c>
      <c r="C370" s="23" t="s">
        <v>572</v>
      </c>
      <c r="D370" s="52" t="s">
        <v>574</v>
      </c>
      <c r="E370" s="23" t="s">
        <v>19</v>
      </c>
      <c r="F370" s="64">
        <v>20</v>
      </c>
      <c r="G370" s="27">
        <v>10</v>
      </c>
      <c r="H370" s="35"/>
      <c r="I370" s="85">
        <v>1459.76</v>
      </c>
      <c r="J370" s="136"/>
      <c r="K370" s="118">
        <v>2389.8200000000002</v>
      </c>
      <c r="L370" s="35"/>
      <c r="M370" s="85">
        <v>18601.21</v>
      </c>
      <c r="N370" s="38" t="s">
        <v>796</v>
      </c>
      <c r="O370" s="71"/>
      <c r="P370" s="66">
        <v>45352</v>
      </c>
    </row>
    <row r="371" spans="1:16" ht="15.75" customHeight="1">
      <c r="A371" s="13">
        <f t="shared" si="10"/>
        <v>354</v>
      </c>
      <c r="B371" s="32" t="s">
        <v>655</v>
      </c>
      <c r="C371" s="23" t="s">
        <v>572</v>
      </c>
      <c r="D371" s="52" t="s">
        <v>574</v>
      </c>
      <c r="E371" s="23" t="s">
        <v>19</v>
      </c>
      <c r="F371" s="64">
        <v>19</v>
      </c>
      <c r="G371" s="27">
        <v>11</v>
      </c>
      <c r="H371" s="35"/>
      <c r="I371" s="85">
        <v>1508.72</v>
      </c>
      <c r="J371" s="136"/>
      <c r="K371" s="118">
        <v>2220.7199999999998</v>
      </c>
      <c r="L371" s="35"/>
      <c r="M371" s="85"/>
      <c r="N371" s="38" t="s">
        <v>796</v>
      </c>
      <c r="O371" s="71"/>
      <c r="P371" s="66">
        <v>45352</v>
      </c>
    </row>
    <row r="372" spans="1:16" ht="15.75" customHeight="1">
      <c r="A372" s="13">
        <f t="shared" si="10"/>
        <v>355</v>
      </c>
      <c r="B372" s="32" t="s">
        <v>655</v>
      </c>
      <c r="C372" s="23" t="s">
        <v>572</v>
      </c>
      <c r="D372" s="52" t="s">
        <v>574</v>
      </c>
      <c r="E372" s="23" t="s">
        <v>19</v>
      </c>
      <c r="F372" s="64">
        <v>18</v>
      </c>
      <c r="G372" s="27">
        <v>12</v>
      </c>
      <c r="H372" s="35"/>
      <c r="I372" s="85">
        <v>1563.08</v>
      </c>
      <c r="J372" s="136"/>
      <c r="K372" s="118">
        <v>2079.7800000000002</v>
      </c>
      <c r="L372" s="35"/>
      <c r="M372" s="85"/>
      <c r="N372" s="38" t="s">
        <v>796</v>
      </c>
      <c r="O372" s="71"/>
      <c r="P372" s="66">
        <v>45352</v>
      </c>
    </row>
    <row r="373" spans="1:16" ht="15.75" customHeight="1">
      <c r="A373" s="13">
        <f t="shared" si="10"/>
        <v>356</v>
      </c>
      <c r="B373" s="32" t="s">
        <v>655</v>
      </c>
      <c r="C373" s="23" t="s">
        <v>572</v>
      </c>
      <c r="D373" s="52" t="s">
        <v>574</v>
      </c>
      <c r="E373" s="23" t="s">
        <v>19</v>
      </c>
      <c r="F373" s="64">
        <v>17</v>
      </c>
      <c r="G373" s="27">
        <v>13</v>
      </c>
      <c r="H373" s="35"/>
      <c r="I373" s="85">
        <v>1623.89</v>
      </c>
      <c r="J373" s="136"/>
      <c r="K373" s="118">
        <v>1960.56</v>
      </c>
      <c r="L373" s="35"/>
      <c r="M373" s="85"/>
      <c r="N373" s="38" t="s">
        <v>796</v>
      </c>
      <c r="O373" s="71"/>
      <c r="P373" s="66">
        <v>45352</v>
      </c>
    </row>
    <row r="374" spans="1:16" ht="15.75" customHeight="1">
      <c r="A374" s="13">
        <f t="shared" si="10"/>
        <v>357</v>
      </c>
      <c r="B374" s="32" t="s">
        <v>655</v>
      </c>
      <c r="C374" s="23" t="s">
        <v>572</v>
      </c>
      <c r="D374" s="52" t="s">
        <v>574</v>
      </c>
      <c r="E374" s="23" t="s">
        <v>19</v>
      </c>
      <c r="F374" s="64">
        <v>16</v>
      </c>
      <c r="G374" s="27">
        <v>14</v>
      </c>
      <c r="H374" s="35"/>
      <c r="I374" s="85">
        <v>1692.27</v>
      </c>
      <c r="J374" s="136"/>
      <c r="K374" s="118">
        <v>1858.36</v>
      </c>
      <c r="L374" s="35"/>
      <c r="M374" s="85"/>
      <c r="N374" s="38" t="s">
        <v>796</v>
      </c>
      <c r="O374" s="71"/>
      <c r="P374" s="66">
        <v>45352</v>
      </c>
    </row>
    <row r="375" spans="1:16" ht="15.75" customHeight="1">
      <c r="A375" s="13">
        <f t="shared" si="10"/>
        <v>358</v>
      </c>
      <c r="B375" s="32" t="s">
        <v>655</v>
      </c>
      <c r="C375" s="23" t="s">
        <v>572</v>
      </c>
      <c r="D375" s="52" t="s">
        <v>574</v>
      </c>
      <c r="E375" s="23" t="s">
        <v>19</v>
      </c>
      <c r="F375" s="64">
        <v>15</v>
      </c>
      <c r="G375" s="27"/>
      <c r="H375" s="35"/>
      <c r="I375" s="85">
        <v>1769.77</v>
      </c>
      <c r="J375" s="136"/>
      <c r="K375" s="118"/>
      <c r="L375" s="35"/>
      <c r="M375" s="85"/>
      <c r="N375" s="38" t="s">
        <v>796</v>
      </c>
      <c r="O375" s="71"/>
      <c r="P375" s="66">
        <v>45352</v>
      </c>
    </row>
    <row r="376" spans="1:16" ht="15.75" customHeight="1">
      <c r="A376" s="13">
        <f t="shared" si="10"/>
        <v>359</v>
      </c>
      <c r="B376" s="32" t="s">
        <v>655</v>
      </c>
      <c r="C376" s="23" t="s">
        <v>572</v>
      </c>
      <c r="D376" s="52" t="s">
        <v>574</v>
      </c>
      <c r="E376" s="23" t="s">
        <v>19</v>
      </c>
      <c r="F376" s="64">
        <v>20</v>
      </c>
      <c r="G376" s="27">
        <v>10</v>
      </c>
      <c r="H376" s="35"/>
      <c r="I376" s="85">
        <v>1718.71</v>
      </c>
      <c r="J376" s="136"/>
      <c r="K376" s="118">
        <v>2812.37</v>
      </c>
      <c r="L376" s="35"/>
      <c r="M376" s="85">
        <v>21873.37</v>
      </c>
      <c r="N376" s="38" t="s">
        <v>796</v>
      </c>
      <c r="O376" s="71"/>
      <c r="P376" s="66">
        <v>45689</v>
      </c>
    </row>
    <row r="377" spans="1:16" ht="15.75" customHeight="1">
      <c r="A377" s="13">
        <f t="shared" si="10"/>
        <v>360</v>
      </c>
      <c r="B377" s="32" t="s">
        <v>655</v>
      </c>
      <c r="C377" s="23" t="s">
        <v>572</v>
      </c>
      <c r="D377" s="52" t="s">
        <v>574</v>
      </c>
      <c r="E377" s="23" t="s">
        <v>19</v>
      </c>
      <c r="F377" s="64">
        <v>19</v>
      </c>
      <c r="G377" s="27">
        <v>11</v>
      </c>
      <c r="H377" s="35"/>
      <c r="I377" s="85">
        <v>1776.29</v>
      </c>
      <c r="J377" s="136"/>
      <c r="K377" s="118">
        <v>2613.5500000000002</v>
      </c>
      <c r="L377" s="35"/>
      <c r="M377" s="85"/>
      <c r="N377" s="38" t="s">
        <v>796</v>
      </c>
      <c r="O377" s="71"/>
      <c r="P377" s="66">
        <v>45689</v>
      </c>
    </row>
    <row r="378" spans="1:16" ht="15.75" customHeight="1">
      <c r="A378" s="13">
        <f t="shared" si="10"/>
        <v>361</v>
      </c>
      <c r="B378" s="32" t="s">
        <v>655</v>
      </c>
      <c r="C378" s="23" t="s">
        <v>572</v>
      </c>
      <c r="D378" s="52" t="s">
        <v>574</v>
      </c>
      <c r="E378" s="23" t="s">
        <v>19</v>
      </c>
      <c r="F378" s="64">
        <v>18</v>
      </c>
      <c r="G378" s="27">
        <v>12</v>
      </c>
      <c r="H378" s="35"/>
      <c r="I378" s="85">
        <v>1840.22</v>
      </c>
      <c r="J378" s="136"/>
      <c r="K378" s="118">
        <v>2447.8200000000002</v>
      </c>
      <c r="L378" s="35"/>
      <c r="M378" s="85"/>
      <c r="N378" s="38" t="s">
        <v>796</v>
      </c>
      <c r="O378" s="71"/>
      <c r="P378" s="66">
        <v>45689</v>
      </c>
    </row>
    <row r="379" spans="1:16" ht="15.75" customHeight="1">
      <c r="A379" s="13">
        <f t="shared" si="10"/>
        <v>362</v>
      </c>
      <c r="B379" s="32" t="s">
        <v>655</v>
      </c>
      <c r="C379" s="23" t="s">
        <v>572</v>
      </c>
      <c r="D379" s="52" t="s">
        <v>574</v>
      </c>
      <c r="E379" s="23" t="s">
        <v>19</v>
      </c>
      <c r="F379" s="64">
        <v>17</v>
      </c>
      <c r="G379" s="27">
        <v>13</v>
      </c>
      <c r="H379" s="35"/>
      <c r="I379" s="85">
        <v>1911.7</v>
      </c>
      <c r="J379" s="136"/>
      <c r="K379" s="118">
        <v>2307.6</v>
      </c>
      <c r="L379" s="35"/>
      <c r="M379" s="85"/>
      <c r="N379" s="38" t="s">
        <v>796</v>
      </c>
      <c r="O379" s="71"/>
      <c r="P379" s="66">
        <v>45689</v>
      </c>
    </row>
    <row r="380" spans="1:16" ht="15.75" customHeight="1">
      <c r="A380" s="13">
        <f t="shared" si="10"/>
        <v>363</v>
      </c>
      <c r="B380" s="32" t="s">
        <v>655</v>
      </c>
      <c r="C380" s="23" t="s">
        <v>572</v>
      </c>
      <c r="D380" s="52" t="s">
        <v>574</v>
      </c>
      <c r="E380" s="23" t="s">
        <v>19</v>
      </c>
      <c r="F380" s="64">
        <v>16</v>
      </c>
      <c r="G380" s="27">
        <v>14</v>
      </c>
      <c r="H380" s="35"/>
      <c r="I380" s="85">
        <v>1992.14</v>
      </c>
      <c r="J380" s="136"/>
      <c r="K380" s="118">
        <v>2187.42</v>
      </c>
      <c r="L380" s="35"/>
      <c r="M380" s="85"/>
      <c r="N380" s="38" t="s">
        <v>796</v>
      </c>
      <c r="O380" s="71"/>
      <c r="P380" s="66">
        <v>45689</v>
      </c>
    </row>
    <row r="381" spans="1:16" ht="15.75" customHeight="1">
      <c r="A381" s="13">
        <f t="shared" si="10"/>
        <v>364</v>
      </c>
      <c r="B381" s="32" t="s">
        <v>655</v>
      </c>
      <c r="C381" s="23" t="s">
        <v>572</v>
      </c>
      <c r="D381" s="52" t="s">
        <v>574</v>
      </c>
      <c r="E381" s="23" t="s">
        <v>19</v>
      </c>
      <c r="F381" s="64">
        <v>15</v>
      </c>
      <c r="G381" s="27"/>
      <c r="H381" s="35"/>
      <c r="I381" s="85">
        <v>2083.2600000000002</v>
      </c>
      <c r="J381" s="136"/>
      <c r="K381" s="118"/>
      <c r="L381" s="35"/>
      <c r="M381" s="85"/>
      <c r="N381" s="38" t="s">
        <v>796</v>
      </c>
      <c r="O381" s="71"/>
      <c r="P381" s="66">
        <v>45689</v>
      </c>
    </row>
    <row r="382" spans="1:16" ht="15.75" customHeight="1">
      <c r="A382" s="13">
        <f t="shared" si="10"/>
        <v>365</v>
      </c>
      <c r="B382" s="156" t="s">
        <v>655</v>
      </c>
      <c r="C382" s="23" t="s">
        <v>572</v>
      </c>
      <c r="D382" s="52" t="s">
        <v>574</v>
      </c>
      <c r="E382" s="23" t="s">
        <v>19</v>
      </c>
      <c r="F382" s="64">
        <v>20</v>
      </c>
      <c r="G382" s="27">
        <v>10</v>
      </c>
      <c r="H382" s="35"/>
      <c r="I382" s="85">
        <v>1994.25</v>
      </c>
      <c r="J382" s="136"/>
      <c r="K382" s="118">
        <v>3200.97</v>
      </c>
      <c r="L382" s="35"/>
      <c r="M382" s="85">
        <v>24134.14</v>
      </c>
      <c r="N382" s="38" t="s">
        <v>796</v>
      </c>
      <c r="O382" s="71"/>
      <c r="P382" s="193">
        <v>46082</v>
      </c>
    </row>
    <row r="383" spans="1:16" ht="15.75" customHeight="1">
      <c r="A383" s="13">
        <f t="shared" si="10"/>
        <v>366</v>
      </c>
      <c r="B383" s="156" t="s">
        <v>655</v>
      </c>
      <c r="C383" s="23" t="s">
        <v>572</v>
      </c>
      <c r="D383" s="52" t="s">
        <v>574</v>
      </c>
      <c r="E383" s="23" t="s">
        <v>19</v>
      </c>
      <c r="F383" s="64">
        <v>19</v>
      </c>
      <c r="G383" s="27">
        <v>11</v>
      </c>
      <c r="H383" s="35"/>
      <c r="I383" s="85">
        <v>2057.7600000000002</v>
      </c>
      <c r="J383" s="136"/>
      <c r="K383" s="118">
        <v>2981.56</v>
      </c>
      <c r="L383" s="35"/>
      <c r="M383" s="85"/>
      <c r="N383" s="38" t="s">
        <v>796</v>
      </c>
      <c r="O383" s="71"/>
      <c r="P383" s="193">
        <v>46082</v>
      </c>
    </row>
    <row r="384" spans="1:16" ht="15.75" customHeight="1">
      <c r="A384" s="13">
        <f t="shared" si="10"/>
        <v>367</v>
      </c>
      <c r="B384" s="156" t="s">
        <v>655</v>
      </c>
      <c r="C384" s="23" t="s">
        <v>572</v>
      </c>
      <c r="D384" s="52" t="s">
        <v>574</v>
      </c>
      <c r="E384" s="23" t="s">
        <v>19</v>
      </c>
      <c r="F384" s="64">
        <v>18</v>
      </c>
      <c r="G384" s="27">
        <v>12</v>
      </c>
      <c r="H384" s="35"/>
      <c r="I384" s="85">
        <v>2128.35</v>
      </c>
      <c r="J384" s="136"/>
      <c r="K384" s="118">
        <v>2798.7</v>
      </c>
      <c r="L384" s="35"/>
      <c r="M384" s="85"/>
      <c r="N384" s="38" t="s">
        <v>796</v>
      </c>
      <c r="O384" s="71"/>
      <c r="P384" s="193">
        <v>46082</v>
      </c>
    </row>
    <row r="385" spans="1:16" ht="15.75" customHeight="1">
      <c r="A385" s="13">
        <f t="shared" si="10"/>
        <v>368</v>
      </c>
      <c r="B385" s="156" t="s">
        <v>655</v>
      </c>
      <c r="C385" s="23" t="s">
        <v>572</v>
      </c>
      <c r="D385" s="52" t="s">
        <v>574</v>
      </c>
      <c r="E385" s="23" t="s">
        <v>19</v>
      </c>
      <c r="F385" s="64">
        <v>17</v>
      </c>
      <c r="G385" s="27">
        <v>13</v>
      </c>
      <c r="H385" s="35"/>
      <c r="I385" s="85">
        <v>2207.17</v>
      </c>
      <c r="J385" s="136"/>
      <c r="K385" s="118">
        <v>2644.02</v>
      </c>
      <c r="L385" s="35"/>
      <c r="M385" s="85"/>
      <c r="N385" s="38" t="s">
        <v>796</v>
      </c>
      <c r="O385" s="71"/>
      <c r="P385" s="193">
        <v>46082</v>
      </c>
    </row>
    <row r="386" spans="1:16" ht="15.75" customHeight="1">
      <c r="A386" s="13">
        <f t="shared" si="10"/>
        <v>369</v>
      </c>
      <c r="B386" s="156" t="s">
        <v>655</v>
      </c>
      <c r="C386" s="23" t="s">
        <v>572</v>
      </c>
      <c r="D386" s="52" t="s">
        <v>574</v>
      </c>
      <c r="E386" s="23" t="s">
        <v>19</v>
      </c>
      <c r="F386" s="64">
        <v>16</v>
      </c>
      <c r="G386" s="27">
        <v>14</v>
      </c>
      <c r="H386" s="35"/>
      <c r="I386" s="85">
        <v>2295.94</v>
      </c>
      <c r="J386" s="136"/>
      <c r="K386" s="118">
        <v>2511.4</v>
      </c>
      <c r="L386" s="35"/>
      <c r="M386" s="85"/>
      <c r="N386" s="38" t="s">
        <v>796</v>
      </c>
      <c r="O386" s="71"/>
      <c r="P386" s="193">
        <v>46082</v>
      </c>
    </row>
    <row r="387" spans="1:16" ht="15.75" customHeight="1">
      <c r="A387" s="13">
        <f t="shared" si="10"/>
        <v>370</v>
      </c>
      <c r="B387" s="156" t="s">
        <v>655</v>
      </c>
      <c r="C387" s="23" t="s">
        <v>572</v>
      </c>
      <c r="D387" s="52" t="s">
        <v>574</v>
      </c>
      <c r="E387" s="23" t="s">
        <v>19</v>
      </c>
      <c r="F387" s="64">
        <v>15</v>
      </c>
      <c r="G387" s="27"/>
      <c r="H387" s="35"/>
      <c r="I387" s="85">
        <v>2396.4899999999998</v>
      </c>
      <c r="J387" s="136"/>
      <c r="K387" s="118"/>
      <c r="L387" s="35"/>
      <c r="M387" s="85"/>
      <c r="N387" s="38" t="s">
        <v>796</v>
      </c>
      <c r="O387" s="71"/>
      <c r="P387" s="193">
        <v>46082</v>
      </c>
    </row>
    <row r="388" spans="1:16" ht="15.75" customHeight="1">
      <c r="A388" s="13">
        <f t="shared" si="10"/>
        <v>371</v>
      </c>
      <c r="B388" s="32" t="s">
        <v>1060</v>
      </c>
      <c r="C388" s="23" t="s">
        <v>572</v>
      </c>
      <c r="D388" s="52" t="s">
        <v>574</v>
      </c>
      <c r="E388" s="23" t="s">
        <v>19</v>
      </c>
      <c r="F388" s="46" t="s">
        <v>977</v>
      </c>
      <c r="G388" s="27"/>
      <c r="H388" s="35"/>
      <c r="I388" s="85">
        <v>77680.429999999993</v>
      </c>
      <c r="J388" s="136"/>
      <c r="K388" s="118"/>
      <c r="L388" s="35"/>
      <c r="M388" s="85"/>
      <c r="N388" s="38" t="s">
        <v>796</v>
      </c>
      <c r="O388" s="71"/>
      <c r="P388" s="66">
        <v>45352</v>
      </c>
    </row>
    <row r="389" spans="1:16" ht="15.75" customHeight="1">
      <c r="A389" s="13">
        <f t="shared" si="10"/>
        <v>372</v>
      </c>
      <c r="B389" s="32" t="s">
        <v>1060</v>
      </c>
      <c r="C389" s="23" t="s">
        <v>572</v>
      </c>
      <c r="D389" s="52" t="s">
        <v>574</v>
      </c>
      <c r="E389" s="23" t="s">
        <v>19</v>
      </c>
      <c r="F389" s="46" t="s">
        <v>977</v>
      </c>
      <c r="G389" s="27"/>
      <c r="H389" s="35"/>
      <c r="I389" s="85">
        <v>89666.46</v>
      </c>
      <c r="J389" s="136"/>
      <c r="K389" s="118"/>
      <c r="L389" s="35"/>
      <c r="M389" s="85"/>
      <c r="N389" s="38" t="s">
        <v>796</v>
      </c>
      <c r="O389" s="71"/>
      <c r="P389" s="66">
        <v>45689</v>
      </c>
    </row>
    <row r="390" spans="1:16" ht="15.75" customHeight="1">
      <c r="A390" s="13">
        <f t="shared" si="10"/>
        <v>373</v>
      </c>
      <c r="B390" s="156" t="s">
        <v>1060</v>
      </c>
      <c r="C390" s="23" t="s">
        <v>572</v>
      </c>
      <c r="D390" s="52" t="s">
        <v>574</v>
      </c>
      <c r="E390" s="23" t="s">
        <v>19</v>
      </c>
      <c r="F390" s="46" t="s">
        <v>977</v>
      </c>
      <c r="G390" s="27"/>
      <c r="H390" s="35"/>
      <c r="I390" s="85">
        <v>112849.5</v>
      </c>
      <c r="J390" s="136"/>
      <c r="K390" s="118"/>
      <c r="L390" s="35"/>
      <c r="M390" s="85"/>
      <c r="N390" s="38" t="s">
        <v>796</v>
      </c>
      <c r="O390" s="71"/>
      <c r="P390" s="193">
        <v>46082</v>
      </c>
    </row>
    <row r="391" spans="1:16" s="100" customFormat="1" ht="15.75" customHeight="1">
      <c r="A391" s="202" t="s">
        <v>20</v>
      </c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</row>
    <row r="392" spans="1:16" ht="12.75" customHeight="1">
      <c r="A392" s="13">
        <f>A390+1</f>
        <v>374</v>
      </c>
      <c r="B392" s="52" t="s">
        <v>331</v>
      </c>
      <c r="C392" s="14" t="s">
        <v>68</v>
      </c>
      <c r="D392" s="24" t="s">
        <v>744</v>
      </c>
      <c r="E392" s="57" t="s">
        <v>13</v>
      </c>
      <c r="F392" s="26">
        <v>20</v>
      </c>
      <c r="G392" s="26">
        <v>10</v>
      </c>
      <c r="H392" s="44"/>
      <c r="I392" s="103">
        <v>981.33</v>
      </c>
      <c r="J392" s="131"/>
      <c r="K392" s="132">
        <v>1577.17</v>
      </c>
      <c r="L392" s="47"/>
      <c r="M392" s="103"/>
      <c r="N392" s="99" t="s">
        <v>642</v>
      </c>
      <c r="O392" s="68">
        <v>600</v>
      </c>
      <c r="P392" s="66">
        <v>43617</v>
      </c>
    </row>
    <row r="393" spans="1:16" ht="12.75" customHeight="1">
      <c r="A393" s="13">
        <f>A392+1</f>
        <v>375</v>
      </c>
      <c r="B393" s="14" t="s">
        <v>331</v>
      </c>
      <c r="C393" s="14" t="s">
        <v>68</v>
      </c>
      <c r="D393" s="24" t="s">
        <v>744</v>
      </c>
      <c r="E393" s="57" t="s">
        <v>13</v>
      </c>
      <c r="F393" s="26">
        <v>20</v>
      </c>
      <c r="G393" s="26">
        <v>10</v>
      </c>
      <c r="H393" s="44"/>
      <c r="I393" s="103">
        <v>766.4</v>
      </c>
      <c r="J393" s="131"/>
      <c r="K393" s="132">
        <v>1148.42</v>
      </c>
      <c r="L393" s="47"/>
      <c r="M393" s="103"/>
      <c r="N393" s="99" t="s">
        <v>642</v>
      </c>
      <c r="O393" s="68"/>
      <c r="P393" s="66">
        <v>44562</v>
      </c>
    </row>
    <row r="394" spans="1:16" ht="12.75" customHeight="1">
      <c r="A394" s="13">
        <f t="shared" ref="A394:A424" si="11">A393+1</f>
        <v>376</v>
      </c>
      <c r="B394" s="14" t="s">
        <v>331</v>
      </c>
      <c r="C394" s="14" t="s">
        <v>68</v>
      </c>
      <c r="D394" s="24" t="s">
        <v>744</v>
      </c>
      <c r="E394" s="57" t="s">
        <v>13</v>
      </c>
      <c r="F394" s="26">
        <v>20</v>
      </c>
      <c r="G394" s="26">
        <v>10</v>
      </c>
      <c r="H394" s="44"/>
      <c r="I394" s="103">
        <v>883.28</v>
      </c>
      <c r="J394" s="131"/>
      <c r="K394" s="132">
        <v>1342.66</v>
      </c>
      <c r="L394" s="47"/>
      <c r="M394" s="103"/>
      <c r="N394" s="99" t="s">
        <v>642</v>
      </c>
      <c r="O394" s="68"/>
      <c r="P394" s="66">
        <v>44713</v>
      </c>
    </row>
    <row r="395" spans="1:16" ht="12.75" customHeight="1">
      <c r="A395" s="13">
        <f t="shared" si="11"/>
        <v>377</v>
      </c>
      <c r="B395" s="14" t="s">
        <v>331</v>
      </c>
      <c r="C395" s="14" t="s">
        <v>68</v>
      </c>
      <c r="D395" s="24" t="s">
        <v>744</v>
      </c>
      <c r="E395" s="57" t="s">
        <v>13</v>
      </c>
      <c r="F395" s="26">
        <v>20</v>
      </c>
      <c r="G395" s="26">
        <v>2</v>
      </c>
      <c r="H395" s="44">
        <v>792.97</v>
      </c>
      <c r="I395" s="103"/>
      <c r="J395" s="131">
        <v>4460.49</v>
      </c>
      <c r="K395" s="132" t="s">
        <v>885</v>
      </c>
      <c r="L395" s="47">
        <v>0</v>
      </c>
      <c r="M395" s="103"/>
      <c r="N395" s="99" t="s">
        <v>642</v>
      </c>
      <c r="O395" s="68">
        <v>600</v>
      </c>
      <c r="P395" s="66">
        <v>43257</v>
      </c>
    </row>
    <row r="396" spans="1:16" ht="12.75" customHeight="1">
      <c r="A396" s="13">
        <f t="shared" si="11"/>
        <v>378</v>
      </c>
      <c r="B396" s="14" t="s">
        <v>331</v>
      </c>
      <c r="C396" s="14" t="s">
        <v>68</v>
      </c>
      <c r="D396" s="24" t="s">
        <v>744</v>
      </c>
      <c r="E396" s="57" t="s">
        <v>13</v>
      </c>
      <c r="F396" s="26">
        <v>20</v>
      </c>
      <c r="G396" s="26">
        <v>10</v>
      </c>
      <c r="H396" s="44"/>
      <c r="I396" s="103">
        <v>894.93</v>
      </c>
      <c r="J396" s="131"/>
      <c r="K396" s="132">
        <v>1365.97</v>
      </c>
      <c r="L396" s="47"/>
      <c r="M396" s="103"/>
      <c r="N396" s="99" t="s">
        <v>642</v>
      </c>
      <c r="O396" s="68"/>
      <c r="P396" s="66">
        <v>45047</v>
      </c>
    </row>
    <row r="397" spans="1:16" ht="12.75" customHeight="1">
      <c r="A397" s="13">
        <f t="shared" si="11"/>
        <v>379</v>
      </c>
      <c r="B397" s="180" t="s">
        <v>331</v>
      </c>
      <c r="C397" s="23" t="s">
        <v>68</v>
      </c>
      <c r="D397" s="24" t="s">
        <v>744</v>
      </c>
      <c r="E397" s="57" t="s">
        <v>13</v>
      </c>
      <c r="F397" s="26">
        <v>20</v>
      </c>
      <c r="G397" s="26">
        <v>10</v>
      </c>
      <c r="H397" s="44"/>
      <c r="I397" s="103">
        <v>912.84</v>
      </c>
      <c r="J397" s="131"/>
      <c r="K397" s="132">
        <v>1401.51</v>
      </c>
      <c r="L397" s="47"/>
      <c r="M397" s="103"/>
      <c r="N397" s="157" t="s">
        <v>1163</v>
      </c>
      <c r="O397" s="68"/>
      <c r="P397" s="66">
        <v>45352</v>
      </c>
    </row>
    <row r="398" spans="1:16" ht="12.75" customHeight="1">
      <c r="A398" s="13">
        <f t="shared" si="11"/>
        <v>380</v>
      </c>
      <c r="B398" s="180" t="s">
        <v>331</v>
      </c>
      <c r="C398" s="23" t="s">
        <v>68</v>
      </c>
      <c r="D398" s="24" t="s">
        <v>744</v>
      </c>
      <c r="E398" s="57" t="s">
        <v>13</v>
      </c>
      <c r="F398" s="27">
        <v>16</v>
      </c>
      <c r="G398" s="27">
        <v>14</v>
      </c>
      <c r="H398" s="41"/>
      <c r="I398" s="179">
        <v>1034.99</v>
      </c>
      <c r="J398" s="144"/>
      <c r="K398" s="151">
        <v>1122.27</v>
      </c>
      <c r="L398" s="53"/>
      <c r="M398" s="152"/>
      <c r="N398" s="157" t="s">
        <v>1163</v>
      </c>
      <c r="O398" s="68"/>
      <c r="P398" s="66">
        <v>45352</v>
      </c>
    </row>
    <row r="399" spans="1:16" ht="12.75" customHeight="1">
      <c r="A399" s="13">
        <f t="shared" si="11"/>
        <v>381</v>
      </c>
      <c r="B399" s="156" t="s">
        <v>331</v>
      </c>
      <c r="C399" s="23" t="s">
        <v>68</v>
      </c>
      <c r="D399" s="24" t="s">
        <v>744</v>
      </c>
      <c r="E399" s="57" t="s">
        <v>13</v>
      </c>
      <c r="F399" s="26">
        <v>20</v>
      </c>
      <c r="G399" s="26">
        <v>10</v>
      </c>
      <c r="H399" s="41"/>
      <c r="I399" s="179">
        <v>1013.66</v>
      </c>
      <c r="J399" s="144"/>
      <c r="K399" s="151">
        <v>1535.61</v>
      </c>
      <c r="L399" s="53"/>
      <c r="M399" s="152"/>
      <c r="N399" s="157" t="s">
        <v>1163</v>
      </c>
      <c r="O399" s="68"/>
      <c r="P399" s="66">
        <v>45689</v>
      </c>
    </row>
    <row r="400" spans="1:16" ht="12.75" customHeight="1">
      <c r="A400" s="13">
        <f t="shared" si="11"/>
        <v>382</v>
      </c>
      <c r="B400" s="156" t="s">
        <v>331</v>
      </c>
      <c r="C400" s="23" t="s">
        <v>68</v>
      </c>
      <c r="D400" s="24" t="s">
        <v>744</v>
      </c>
      <c r="E400" s="57" t="s">
        <v>13</v>
      </c>
      <c r="F400" s="27">
        <v>16</v>
      </c>
      <c r="G400" s="27">
        <v>14</v>
      </c>
      <c r="H400" s="41"/>
      <c r="I400" s="179">
        <v>1144.1400000000001</v>
      </c>
      <c r="J400" s="144"/>
      <c r="K400" s="151">
        <v>1237.3599999999999</v>
      </c>
      <c r="L400" s="53"/>
      <c r="M400" s="152"/>
      <c r="N400" s="157" t="s">
        <v>1163</v>
      </c>
      <c r="O400" s="68"/>
      <c r="P400" s="66">
        <v>45689</v>
      </c>
    </row>
    <row r="401" spans="1:16" ht="12.75" customHeight="1">
      <c r="A401" s="13">
        <f t="shared" si="11"/>
        <v>383</v>
      </c>
      <c r="B401" s="114" t="s">
        <v>332</v>
      </c>
      <c r="C401" s="14" t="s">
        <v>70</v>
      </c>
      <c r="D401" s="15" t="s">
        <v>69</v>
      </c>
      <c r="E401" s="57" t="s">
        <v>13</v>
      </c>
      <c r="F401" s="26">
        <v>20</v>
      </c>
      <c r="G401" s="26">
        <v>10</v>
      </c>
      <c r="H401" s="44">
        <v>862.28</v>
      </c>
      <c r="I401" s="103"/>
      <c r="J401" s="131">
        <v>1325.49</v>
      </c>
      <c r="K401" s="132"/>
      <c r="L401" s="47">
        <v>0</v>
      </c>
      <c r="M401" s="103"/>
      <c r="N401" s="38"/>
      <c r="O401" s="68"/>
      <c r="P401" s="66">
        <v>41275</v>
      </c>
    </row>
    <row r="402" spans="1:16" s="8" customFormat="1" ht="12.75" customHeight="1">
      <c r="A402" s="13">
        <f t="shared" si="11"/>
        <v>384</v>
      </c>
      <c r="B402" s="52" t="s">
        <v>809</v>
      </c>
      <c r="C402" s="14" t="s">
        <v>71</v>
      </c>
      <c r="D402" s="24" t="s">
        <v>533</v>
      </c>
      <c r="E402" s="14" t="s">
        <v>19</v>
      </c>
      <c r="F402" s="26">
        <v>20</v>
      </c>
      <c r="G402" s="26">
        <v>10</v>
      </c>
      <c r="H402" s="44"/>
      <c r="I402" s="84">
        <v>1180</v>
      </c>
      <c r="J402" s="131"/>
      <c r="K402" s="118">
        <v>1963.35</v>
      </c>
      <c r="L402" s="47"/>
      <c r="M402" s="103">
        <v>10180.77</v>
      </c>
      <c r="N402" s="99" t="s">
        <v>642</v>
      </c>
      <c r="O402" s="68" t="s">
        <v>859</v>
      </c>
      <c r="P402" s="66">
        <v>43617</v>
      </c>
    </row>
    <row r="403" spans="1:16" s="8" customFormat="1" ht="12.75" customHeight="1">
      <c r="A403" s="13">
        <f t="shared" si="11"/>
        <v>385</v>
      </c>
      <c r="B403" s="32" t="s">
        <v>809</v>
      </c>
      <c r="C403" s="14" t="s">
        <v>71</v>
      </c>
      <c r="D403" s="24" t="s">
        <v>533</v>
      </c>
      <c r="E403" s="23" t="s">
        <v>19</v>
      </c>
      <c r="F403" s="26">
        <v>20</v>
      </c>
      <c r="G403" s="26">
        <v>10</v>
      </c>
      <c r="H403" s="72" t="s">
        <v>885</v>
      </c>
      <c r="I403" s="84">
        <v>924.81</v>
      </c>
      <c r="J403" s="131"/>
      <c r="K403" s="118">
        <v>1465.34</v>
      </c>
      <c r="L403" s="47"/>
      <c r="M403" s="103">
        <v>10180.77</v>
      </c>
      <c r="N403" s="99" t="s">
        <v>642</v>
      </c>
      <c r="O403" s="68"/>
      <c r="P403" s="66">
        <v>44562</v>
      </c>
    </row>
    <row r="404" spans="1:16" s="8" customFormat="1" ht="12.75" customHeight="1">
      <c r="A404" s="13">
        <f t="shared" si="11"/>
        <v>386</v>
      </c>
      <c r="B404" s="32" t="s">
        <v>1008</v>
      </c>
      <c r="C404" s="14" t="s">
        <v>71</v>
      </c>
      <c r="D404" s="24" t="s">
        <v>533</v>
      </c>
      <c r="E404" s="23" t="s">
        <v>19</v>
      </c>
      <c r="F404" s="46" t="s">
        <v>977</v>
      </c>
      <c r="G404" s="26"/>
      <c r="H404" s="44"/>
      <c r="I404" s="84">
        <v>43422.33</v>
      </c>
      <c r="J404" s="131"/>
      <c r="K404" s="118"/>
      <c r="L404" s="47"/>
      <c r="M404" s="103"/>
      <c r="N404" s="99" t="s">
        <v>642</v>
      </c>
      <c r="O404" s="68"/>
      <c r="P404" s="66">
        <v>44562</v>
      </c>
    </row>
    <row r="405" spans="1:16" s="8" customFormat="1" ht="12.75" customHeight="1">
      <c r="A405" s="13">
        <f t="shared" si="11"/>
        <v>387</v>
      </c>
      <c r="B405" s="32" t="s">
        <v>809</v>
      </c>
      <c r="C405" s="14" t="s">
        <v>71</v>
      </c>
      <c r="D405" s="24" t="s">
        <v>533</v>
      </c>
      <c r="E405" s="23" t="s">
        <v>19</v>
      </c>
      <c r="F405" s="26">
        <v>20</v>
      </c>
      <c r="G405" s="26">
        <v>10</v>
      </c>
      <c r="H405" s="44"/>
      <c r="I405" s="84">
        <v>1062.0999999999999</v>
      </c>
      <c r="J405" s="131"/>
      <c r="K405" s="118">
        <v>1704.54</v>
      </c>
      <c r="L405" s="47"/>
      <c r="M405" s="103">
        <v>12788.32</v>
      </c>
      <c r="N405" s="99" t="s">
        <v>642</v>
      </c>
      <c r="O405" s="68"/>
      <c r="P405" s="66">
        <v>44713</v>
      </c>
    </row>
    <row r="406" spans="1:16" s="8" customFormat="1" ht="12.75" customHeight="1">
      <c r="A406" s="13">
        <f t="shared" si="11"/>
        <v>388</v>
      </c>
      <c r="B406" s="32" t="s">
        <v>1008</v>
      </c>
      <c r="C406" s="14" t="s">
        <v>71</v>
      </c>
      <c r="D406" s="24" t="s">
        <v>533</v>
      </c>
      <c r="E406" s="23" t="s">
        <v>19</v>
      </c>
      <c r="F406" s="46" t="s">
        <v>977</v>
      </c>
      <c r="G406" s="26"/>
      <c r="H406" s="44"/>
      <c r="I406" s="84">
        <v>45978.97</v>
      </c>
      <c r="J406" s="131"/>
      <c r="K406" s="118"/>
      <c r="L406" s="47"/>
      <c r="M406" s="103"/>
      <c r="N406" s="99" t="s">
        <v>642</v>
      </c>
      <c r="O406" s="68"/>
      <c r="P406" s="66">
        <v>44713</v>
      </c>
    </row>
    <row r="407" spans="1:16" s="8" customFormat="1" ht="12.75" customHeight="1">
      <c r="A407" s="13">
        <f t="shared" si="11"/>
        <v>389</v>
      </c>
      <c r="B407" s="32" t="s">
        <v>809</v>
      </c>
      <c r="C407" s="14" t="s">
        <v>71</v>
      </c>
      <c r="D407" s="24" t="s">
        <v>533</v>
      </c>
      <c r="E407" s="23" t="s">
        <v>19</v>
      </c>
      <c r="F407" s="26">
        <v>20</v>
      </c>
      <c r="G407" s="26">
        <v>10</v>
      </c>
      <c r="H407" s="44"/>
      <c r="I407" s="84">
        <v>1067.8</v>
      </c>
      <c r="J407" s="131"/>
      <c r="K407" s="118">
        <v>1712.91</v>
      </c>
      <c r="L407" s="47"/>
      <c r="M407" s="103"/>
      <c r="N407" s="99" t="s">
        <v>642</v>
      </c>
      <c r="O407" s="68"/>
      <c r="P407" s="66">
        <v>45047</v>
      </c>
    </row>
    <row r="408" spans="1:16" s="8" customFormat="1" ht="12.75" customHeight="1">
      <c r="A408" s="13">
        <f t="shared" si="11"/>
        <v>390</v>
      </c>
      <c r="B408" s="32" t="s">
        <v>1008</v>
      </c>
      <c r="C408" s="14" t="s">
        <v>71</v>
      </c>
      <c r="D408" s="24" t="s">
        <v>533</v>
      </c>
      <c r="E408" s="23" t="s">
        <v>19</v>
      </c>
      <c r="F408" s="46" t="s">
        <v>977</v>
      </c>
      <c r="G408" s="26"/>
      <c r="H408" s="44"/>
      <c r="I408" s="84">
        <v>45978.97</v>
      </c>
      <c r="J408" s="131"/>
      <c r="K408" s="118"/>
      <c r="L408" s="47"/>
      <c r="M408" s="103"/>
      <c r="N408" s="99" t="s">
        <v>642</v>
      </c>
      <c r="O408" s="68"/>
      <c r="P408" s="66">
        <v>45047</v>
      </c>
    </row>
    <row r="409" spans="1:16" s="8" customFormat="1" ht="12.75" customHeight="1">
      <c r="A409" s="13">
        <f t="shared" si="11"/>
        <v>391</v>
      </c>
      <c r="B409" s="52" t="s">
        <v>333</v>
      </c>
      <c r="C409" s="14" t="s">
        <v>71</v>
      </c>
      <c r="D409" s="24" t="s">
        <v>533</v>
      </c>
      <c r="E409" s="14" t="s">
        <v>19</v>
      </c>
      <c r="F409" s="26">
        <v>20</v>
      </c>
      <c r="G409" s="26">
        <v>10</v>
      </c>
      <c r="H409" s="34">
        <v>1156.8599999999999</v>
      </c>
      <c r="I409" s="84">
        <v>1180</v>
      </c>
      <c r="J409" s="136">
        <v>1917.04</v>
      </c>
      <c r="K409" s="118">
        <v>1963.35</v>
      </c>
      <c r="L409" s="34">
        <v>9486.2000000000007</v>
      </c>
      <c r="M409" s="84"/>
      <c r="N409" s="99" t="s">
        <v>642</v>
      </c>
      <c r="O409" s="68">
        <v>600</v>
      </c>
      <c r="P409" s="66">
        <v>43257</v>
      </c>
    </row>
    <row r="410" spans="1:16" s="8" customFormat="1" ht="12.75" customHeight="1">
      <c r="A410" s="13">
        <f t="shared" si="11"/>
        <v>392</v>
      </c>
      <c r="B410" s="32" t="s">
        <v>809</v>
      </c>
      <c r="C410" s="14" t="s">
        <v>71</v>
      </c>
      <c r="D410" s="24" t="s">
        <v>533</v>
      </c>
      <c r="E410" s="23" t="s">
        <v>19</v>
      </c>
      <c r="F410" s="26">
        <v>20</v>
      </c>
      <c r="G410" s="26">
        <v>10</v>
      </c>
      <c r="H410" s="44"/>
      <c r="I410" s="84">
        <v>1104.8900000000001</v>
      </c>
      <c r="J410" s="131"/>
      <c r="K410" s="118">
        <v>1787.1</v>
      </c>
      <c r="L410" s="47"/>
      <c r="M410" s="103">
        <v>13643.9</v>
      </c>
      <c r="N410" s="157" t="s">
        <v>1163</v>
      </c>
      <c r="O410" s="68"/>
      <c r="P410" s="66">
        <v>45352</v>
      </c>
    </row>
    <row r="411" spans="1:16" s="8" customFormat="1" ht="12.75" customHeight="1">
      <c r="A411" s="13">
        <f t="shared" si="11"/>
        <v>393</v>
      </c>
      <c r="B411" s="32" t="s">
        <v>809</v>
      </c>
      <c r="C411" s="14" t="s">
        <v>71</v>
      </c>
      <c r="D411" s="24" t="s">
        <v>533</v>
      </c>
      <c r="E411" s="23" t="s">
        <v>19</v>
      </c>
      <c r="F411" s="26">
        <v>19</v>
      </c>
      <c r="G411" s="26">
        <v>11</v>
      </c>
      <c r="H411" s="44"/>
      <c r="I411" s="84">
        <v>1140.79</v>
      </c>
      <c r="J411" s="131"/>
      <c r="K411" s="118">
        <v>1663.05</v>
      </c>
      <c r="L411" s="47"/>
      <c r="M411" s="103"/>
      <c r="N411" s="157" t="s">
        <v>1163</v>
      </c>
      <c r="O411" s="68"/>
      <c r="P411" s="66">
        <v>45352</v>
      </c>
    </row>
    <row r="412" spans="1:16" s="8" customFormat="1" ht="12.75" customHeight="1">
      <c r="A412" s="13">
        <f t="shared" si="11"/>
        <v>394</v>
      </c>
      <c r="B412" s="32" t="s">
        <v>809</v>
      </c>
      <c r="C412" s="14" t="s">
        <v>71</v>
      </c>
      <c r="D412" s="24" t="s">
        <v>533</v>
      </c>
      <c r="E412" s="23" t="s">
        <v>19</v>
      </c>
      <c r="F412" s="26">
        <v>18</v>
      </c>
      <c r="G412" s="26">
        <v>12</v>
      </c>
      <c r="H412" s="44"/>
      <c r="I412" s="84">
        <v>1180.7</v>
      </c>
      <c r="J412" s="131"/>
      <c r="K412" s="118">
        <v>1559.7</v>
      </c>
      <c r="L412" s="47"/>
      <c r="M412" s="103"/>
      <c r="N412" s="157" t="s">
        <v>1163</v>
      </c>
      <c r="O412" s="68"/>
      <c r="P412" s="66">
        <v>45352</v>
      </c>
    </row>
    <row r="413" spans="1:16" s="8" customFormat="1" ht="12.75" customHeight="1">
      <c r="A413" s="13">
        <f t="shared" si="11"/>
        <v>395</v>
      </c>
      <c r="B413" s="32" t="s">
        <v>809</v>
      </c>
      <c r="C413" s="14" t="s">
        <v>71</v>
      </c>
      <c r="D413" s="24" t="s">
        <v>533</v>
      </c>
      <c r="E413" s="23" t="s">
        <v>19</v>
      </c>
      <c r="F413" s="26">
        <v>17</v>
      </c>
      <c r="G413" s="26">
        <v>13</v>
      </c>
      <c r="H413" s="44"/>
      <c r="I413" s="84">
        <v>1225.27</v>
      </c>
      <c r="J413" s="131"/>
      <c r="K413" s="118">
        <v>1472.23</v>
      </c>
      <c r="L413" s="47"/>
      <c r="M413" s="103"/>
      <c r="N413" s="157" t="s">
        <v>1163</v>
      </c>
      <c r="O413" s="68"/>
      <c r="P413" s="66">
        <v>45352</v>
      </c>
    </row>
    <row r="414" spans="1:16" s="8" customFormat="1" ht="12.75" customHeight="1">
      <c r="A414" s="13">
        <f t="shared" si="11"/>
        <v>396</v>
      </c>
      <c r="B414" s="32" t="s">
        <v>809</v>
      </c>
      <c r="C414" s="14" t="s">
        <v>71</v>
      </c>
      <c r="D414" s="24" t="s">
        <v>533</v>
      </c>
      <c r="E414" s="23" t="s">
        <v>19</v>
      </c>
      <c r="F414" s="26">
        <v>16</v>
      </c>
      <c r="G414" s="26">
        <v>14</v>
      </c>
      <c r="H414" s="44"/>
      <c r="I414" s="84">
        <v>1275.45</v>
      </c>
      <c r="J414" s="131"/>
      <c r="K414" s="118">
        <v>1397.28</v>
      </c>
      <c r="L414" s="47"/>
      <c r="M414" s="103"/>
      <c r="N414" s="157" t="s">
        <v>1163</v>
      </c>
      <c r="O414" s="68"/>
      <c r="P414" s="66">
        <v>45352</v>
      </c>
    </row>
    <row r="415" spans="1:16" s="8" customFormat="1" ht="12.75" customHeight="1">
      <c r="A415" s="13">
        <f t="shared" si="11"/>
        <v>397</v>
      </c>
      <c r="B415" s="32" t="s">
        <v>809</v>
      </c>
      <c r="C415" s="14" t="s">
        <v>71</v>
      </c>
      <c r="D415" s="24" t="s">
        <v>533</v>
      </c>
      <c r="E415" s="23" t="s">
        <v>19</v>
      </c>
      <c r="F415" s="26">
        <v>15</v>
      </c>
      <c r="G415" s="26"/>
      <c r="H415" s="44"/>
      <c r="I415" s="84">
        <v>1332.3</v>
      </c>
      <c r="J415" s="131"/>
      <c r="K415" s="118"/>
      <c r="L415" s="47"/>
      <c r="M415" s="103"/>
      <c r="N415" s="157" t="s">
        <v>1163</v>
      </c>
      <c r="O415" s="68"/>
      <c r="P415" s="66">
        <v>45352</v>
      </c>
    </row>
    <row r="416" spans="1:16" s="8" customFormat="1" ht="12.75" customHeight="1">
      <c r="A416" s="13">
        <f t="shared" si="11"/>
        <v>398</v>
      </c>
      <c r="B416" s="156" t="s">
        <v>809</v>
      </c>
      <c r="C416" s="14" t="s">
        <v>71</v>
      </c>
      <c r="D416" s="24" t="s">
        <v>533</v>
      </c>
      <c r="E416" s="23" t="s">
        <v>19</v>
      </c>
      <c r="F416" s="26">
        <v>20</v>
      </c>
      <c r="G416" s="26">
        <v>10</v>
      </c>
      <c r="H416" s="44"/>
      <c r="I416" s="84">
        <v>1208.2</v>
      </c>
      <c r="J416" s="131"/>
      <c r="K416" s="118">
        <v>1930.26</v>
      </c>
      <c r="L416" s="47"/>
      <c r="M416" s="103">
        <v>14441.64</v>
      </c>
      <c r="N416" s="157" t="s">
        <v>1163</v>
      </c>
      <c r="O416" s="68"/>
      <c r="P416" s="66">
        <v>45689</v>
      </c>
    </row>
    <row r="417" spans="1:16" s="8" customFormat="1" ht="12.75" customHeight="1">
      <c r="A417" s="13">
        <f t="shared" si="11"/>
        <v>399</v>
      </c>
      <c r="B417" s="156" t="s">
        <v>809</v>
      </c>
      <c r="C417" s="14" t="s">
        <v>71</v>
      </c>
      <c r="D417" s="24" t="s">
        <v>533</v>
      </c>
      <c r="E417" s="23" t="s">
        <v>19</v>
      </c>
      <c r="F417" s="26">
        <v>19</v>
      </c>
      <c r="G417" s="26">
        <v>11</v>
      </c>
      <c r="H417" s="44"/>
      <c r="I417" s="84">
        <v>1246.22</v>
      </c>
      <c r="J417" s="131"/>
      <c r="K417" s="118">
        <v>1798.99</v>
      </c>
      <c r="L417" s="47"/>
      <c r="M417" s="103"/>
      <c r="N417" s="157" t="s">
        <v>1163</v>
      </c>
      <c r="O417" s="68"/>
      <c r="P417" s="66">
        <v>45689</v>
      </c>
    </row>
    <row r="418" spans="1:16" s="8" customFormat="1" ht="12.75" customHeight="1">
      <c r="A418" s="13">
        <f t="shared" si="11"/>
        <v>400</v>
      </c>
      <c r="B418" s="156" t="s">
        <v>809</v>
      </c>
      <c r="C418" s="14" t="s">
        <v>71</v>
      </c>
      <c r="D418" s="24" t="s">
        <v>533</v>
      </c>
      <c r="E418" s="23" t="s">
        <v>19</v>
      </c>
      <c r="F418" s="26">
        <v>18</v>
      </c>
      <c r="G418" s="26">
        <v>12</v>
      </c>
      <c r="H418" s="44"/>
      <c r="I418" s="84">
        <v>1288.43</v>
      </c>
      <c r="J418" s="131"/>
      <c r="K418" s="118">
        <v>1689.56</v>
      </c>
      <c r="L418" s="47"/>
      <c r="M418" s="103"/>
      <c r="N418" s="157" t="s">
        <v>1163</v>
      </c>
      <c r="O418" s="68"/>
      <c r="P418" s="66">
        <v>45689</v>
      </c>
    </row>
    <row r="419" spans="1:16" s="8" customFormat="1" ht="12.75" customHeight="1">
      <c r="A419" s="13">
        <f t="shared" si="11"/>
        <v>401</v>
      </c>
      <c r="B419" s="156" t="s">
        <v>809</v>
      </c>
      <c r="C419" s="14" t="s">
        <v>71</v>
      </c>
      <c r="D419" s="24" t="s">
        <v>533</v>
      </c>
      <c r="E419" s="23" t="s">
        <v>19</v>
      </c>
      <c r="F419" s="26">
        <v>17</v>
      </c>
      <c r="G419" s="26">
        <v>13</v>
      </c>
      <c r="H419" s="44"/>
      <c r="I419" s="84">
        <v>1335.59</v>
      </c>
      <c r="J419" s="131"/>
      <c r="K419" s="118">
        <v>1597</v>
      </c>
      <c r="L419" s="47"/>
      <c r="M419" s="103"/>
      <c r="N419" s="157" t="s">
        <v>1163</v>
      </c>
      <c r="O419" s="68"/>
      <c r="P419" s="66">
        <v>45689</v>
      </c>
    </row>
    <row r="420" spans="1:16" s="8" customFormat="1" ht="12.75" customHeight="1">
      <c r="A420" s="13">
        <f t="shared" si="11"/>
        <v>402</v>
      </c>
      <c r="B420" s="156" t="s">
        <v>809</v>
      </c>
      <c r="C420" s="14" t="s">
        <v>71</v>
      </c>
      <c r="D420" s="24" t="s">
        <v>533</v>
      </c>
      <c r="E420" s="23" t="s">
        <v>19</v>
      </c>
      <c r="F420" s="26">
        <v>16</v>
      </c>
      <c r="G420" s="26">
        <v>14</v>
      </c>
      <c r="H420" s="44"/>
      <c r="I420" s="84">
        <v>1388.71</v>
      </c>
      <c r="J420" s="131"/>
      <c r="K420" s="118">
        <v>1517.65</v>
      </c>
      <c r="L420" s="47"/>
      <c r="M420" s="103"/>
      <c r="N420" s="157" t="s">
        <v>1163</v>
      </c>
      <c r="O420" s="68"/>
      <c r="P420" s="66">
        <v>45689</v>
      </c>
    </row>
    <row r="421" spans="1:16" s="8" customFormat="1" ht="12.75" customHeight="1">
      <c r="A421" s="13">
        <f t="shared" si="11"/>
        <v>403</v>
      </c>
      <c r="B421" s="156" t="s">
        <v>809</v>
      </c>
      <c r="C421" s="14" t="s">
        <v>71</v>
      </c>
      <c r="D421" s="24" t="s">
        <v>533</v>
      </c>
      <c r="E421" s="23" t="s">
        <v>19</v>
      </c>
      <c r="F421" s="26">
        <v>15</v>
      </c>
      <c r="G421" s="26"/>
      <c r="H421" s="44"/>
      <c r="I421" s="84">
        <v>1448.88</v>
      </c>
      <c r="J421" s="131"/>
      <c r="K421" s="118"/>
      <c r="L421" s="47"/>
      <c r="M421" s="103"/>
      <c r="N421" s="157" t="s">
        <v>1163</v>
      </c>
      <c r="O421" s="68"/>
      <c r="P421" s="66">
        <v>45689</v>
      </c>
    </row>
    <row r="422" spans="1:16" s="8" customFormat="1" ht="12.75" customHeight="1">
      <c r="A422" s="13">
        <f t="shared" si="11"/>
        <v>404</v>
      </c>
      <c r="B422" s="32" t="s">
        <v>1008</v>
      </c>
      <c r="C422" s="14" t="s">
        <v>71</v>
      </c>
      <c r="D422" s="24" t="s">
        <v>533</v>
      </c>
      <c r="E422" s="23" t="s">
        <v>19</v>
      </c>
      <c r="F422" s="46" t="s">
        <v>977</v>
      </c>
      <c r="G422" s="26"/>
      <c r="H422" s="44"/>
      <c r="I422" s="84">
        <v>77683.92</v>
      </c>
      <c r="J422" s="131"/>
      <c r="K422" s="118"/>
      <c r="L422" s="47"/>
      <c r="M422" s="103"/>
      <c r="N422" s="157" t="s">
        <v>1163</v>
      </c>
      <c r="O422" s="68"/>
      <c r="P422" s="66">
        <v>45352</v>
      </c>
    </row>
    <row r="423" spans="1:16" s="8" customFormat="1" ht="12.75" customHeight="1">
      <c r="A423" s="13">
        <f t="shared" si="11"/>
        <v>405</v>
      </c>
      <c r="B423" s="156" t="s">
        <v>1008</v>
      </c>
      <c r="C423" s="14" t="s">
        <v>71</v>
      </c>
      <c r="D423" s="24" t="s">
        <v>533</v>
      </c>
      <c r="E423" s="23" t="s">
        <v>19</v>
      </c>
      <c r="F423" s="46" t="s">
        <v>977</v>
      </c>
      <c r="G423" s="26"/>
      <c r="H423" s="44"/>
      <c r="I423" s="84">
        <v>84541.78</v>
      </c>
      <c r="J423" s="131"/>
      <c r="K423" s="118"/>
      <c r="L423" s="47"/>
      <c r="M423" s="103"/>
      <c r="N423" s="157" t="s">
        <v>1163</v>
      </c>
      <c r="O423" s="68"/>
      <c r="P423" s="66">
        <v>45689</v>
      </c>
    </row>
    <row r="424" spans="1:16" ht="15.75" customHeight="1">
      <c r="A424" s="13">
        <f t="shared" si="11"/>
        <v>406</v>
      </c>
      <c r="B424" s="54" t="s">
        <v>334</v>
      </c>
      <c r="C424" s="14" t="s">
        <v>72</v>
      </c>
      <c r="D424" s="15" t="s">
        <v>73</v>
      </c>
      <c r="E424" s="14" t="s">
        <v>19</v>
      </c>
      <c r="F424" s="26">
        <v>24</v>
      </c>
      <c r="G424" s="26">
        <v>10</v>
      </c>
      <c r="H424" s="34">
        <v>1121.46</v>
      </c>
      <c r="I424" s="84"/>
      <c r="J424" s="136">
        <v>1883.71</v>
      </c>
      <c r="K424" s="118"/>
      <c r="L424" s="34">
        <v>11568.15</v>
      </c>
      <c r="M424" s="84"/>
      <c r="N424" s="38"/>
      <c r="O424" s="68"/>
      <c r="P424" s="66">
        <v>41306</v>
      </c>
    </row>
    <row r="425" spans="1:16" ht="12.75" customHeight="1">
      <c r="A425" s="202" t="s">
        <v>21</v>
      </c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</row>
    <row r="426" spans="1:16" ht="12.75" customHeight="1">
      <c r="A426" s="13">
        <f>A424+1</f>
        <v>407</v>
      </c>
      <c r="B426" s="32" t="s">
        <v>335</v>
      </c>
      <c r="C426" s="14" t="s">
        <v>74</v>
      </c>
      <c r="D426" s="15" t="s">
        <v>75</v>
      </c>
      <c r="E426" s="57" t="s">
        <v>13</v>
      </c>
      <c r="F426" s="31">
        <v>40</v>
      </c>
      <c r="G426" s="31">
        <v>10</v>
      </c>
      <c r="H426" s="44">
        <v>2994.86</v>
      </c>
      <c r="I426" s="165">
        <v>2994.86</v>
      </c>
      <c r="J426" s="131">
        <v>3517.27</v>
      </c>
      <c r="K426" s="138">
        <v>3517.27</v>
      </c>
      <c r="L426" s="47">
        <v>0</v>
      </c>
      <c r="M426" s="103"/>
      <c r="N426" s="99" t="s">
        <v>642</v>
      </c>
      <c r="O426" s="68">
        <v>580</v>
      </c>
      <c r="P426" s="66">
        <v>43617</v>
      </c>
    </row>
    <row r="427" spans="1:16" ht="12.75" customHeight="1">
      <c r="A427" s="13">
        <f>A426+1</f>
        <v>408</v>
      </c>
      <c r="B427" s="32" t="s">
        <v>335</v>
      </c>
      <c r="C427" s="14" t="s">
        <v>74</v>
      </c>
      <c r="D427" s="24" t="s">
        <v>1001</v>
      </c>
      <c r="E427" s="25" t="s">
        <v>13</v>
      </c>
      <c r="F427" s="31" t="s">
        <v>976</v>
      </c>
      <c r="G427" s="31"/>
      <c r="H427" s="44"/>
      <c r="I427" s="165">
        <v>30976.19</v>
      </c>
      <c r="J427" s="131"/>
      <c r="K427" s="138"/>
      <c r="L427" s="47"/>
      <c r="M427" s="103"/>
      <c r="N427" s="99" t="s">
        <v>642</v>
      </c>
      <c r="O427" s="68"/>
      <c r="P427" s="66">
        <v>44562</v>
      </c>
    </row>
    <row r="428" spans="1:16" ht="12.75" customHeight="1">
      <c r="A428" s="13">
        <f t="shared" ref="A428:A491" si="12">A427+1</f>
        <v>409</v>
      </c>
      <c r="B428" s="94" t="s">
        <v>335</v>
      </c>
      <c r="C428" s="14" t="s">
        <v>74</v>
      </c>
      <c r="D428" s="24" t="s">
        <v>1001</v>
      </c>
      <c r="E428" s="25" t="s">
        <v>13</v>
      </c>
      <c r="F428" s="31" t="s">
        <v>976</v>
      </c>
      <c r="G428" s="31"/>
      <c r="H428" s="44"/>
      <c r="I428" s="165">
        <v>32225.08</v>
      </c>
      <c r="J428" s="131"/>
      <c r="K428" s="138"/>
      <c r="L428" s="47"/>
      <c r="M428" s="103"/>
      <c r="N428" s="99" t="s">
        <v>642</v>
      </c>
      <c r="O428" s="68"/>
      <c r="P428" s="66">
        <v>45352</v>
      </c>
    </row>
    <row r="429" spans="1:16" ht="12.75" customHeight="1">
      <c r="A429" s="13">
        <f t="shared" si="12"/>
        <v>410</v>
      </c>
      <c r="B429" s="155" t="s">
        <v>335</v>
      </c>
      <c r="C429" s="14" t="s">
        <v>74</v>
      </c>
      <c r="D429" s="24" t="s">
        <v>1198</v>
      </c>
      <c r="E429" s="25" t="s">
        <v>13</v>
      </c>
      <c r="F429" s="31" t="s">
        <v>976</v>
      </c>
      <c r="G429" s="31"/>
      <c r="H429" s="44"/>
      <c r="I429" s="165">
        <v>32817.379999999997</v>
      </c>
      <c r="J429" s="131"/>
      <c r="K429" s="138"/>
      <c r="L429" s="47"/>
      <c r="M429" s="103"/>
      <c r="N429" s="157" t="s">
        <v>1163</v>
      </c>
      <c r="O429" s="68"/>
      <c r="P429" s="66">
        <v>45689</v>
      </c>
    </row>
    <row r="430" spans="1:16" ht="12.75" customHeight="1">
      <c r="A430" s="13">
        <f t="shared" si="12"/>
        <v>411</v>
      </c>
      <c r="B430" s="32" t="s">
        <v>336</v>
      </c>
      <c r="C430" s="23" t="s">
        <v>74</v>
      </c>
      <c r="D430" s="24" t="s">
        <v>76</v>
      </c>
      <c r="E430" s="25" t="s">
        <v>13</v>
      </c>
      <c r="F430" s="31" t="s">
        <v>976</v>
      </c>
      <c r="G430" s="31"/>
      <c r="H430" s="44"/>
      <c r="I430" s="165">
        <v>30914.29</v>
      </c>
      <c r="J430" s="131"/>
      <c r="K430" s="138"/>
      <c r="L430" s="47"/>
      <c r="M430" s="103"/>
      <c r="N430" s="99" t="s">
        <v>642</v>
      </c>
      <c r="O430" s="68"/>
      <c r="P430" s="66">
        <v>44562</v>
      </c>
    </row>
    <row r="431" spans="1:16" ht="12.75" customHeight="1">
      <c r="A431" s="13">
        <f t="shared" si="12"/>
        <v>412</v>
      </c>
      <c r="B431" s="52" t="s">
        <v>336</v>
      </c>
      <c r="C431" s="23" t="s">
        <v>74</v>
      </c>
      <c r="D431" s="15" t="s">
        <v>76</v>
      </c>
      <c r="E431" s="57" t="s">
        <v>13</v>
      </c>
      <c r="F431" s="31" t="s">
        <v>293</v>
      </c>
      <c r="G431" s="26" t="s">
        <v>22</v>
      </c>
      <c r="H431" s="72" t="s">
        <v>735</v>
      </c>
      <c r="I431" s="165">
        <v>1586.21</v>
      </c>
      <c r="J431" s="139" t="s">
        <v>736</v>
      </c>
      <c r="K431" s="138">
        <v>1900.83</v>
      </c>
      <c r="L431" s="47">
        <v>0</v>
      </c>
      <c r="M431" s="103"/>
      <c r="N431" s="99" t="s">
        <v>642</v>
      </c>
      <c r="O431" s="68">
        <v>580</v>
      </c>
      <c r="P431" s="66">
        <v>43617</v>
      </c>
    </row>
    <row r="432" spans="1:16" ht="12.75" customHeight="1">
      <c r="A432" s="13">
        <f t="shared" si="12"/>
        <v>413</v>
      </c>
      <c r="B432" s="52" t="s">
        <v>336</v>
      </c>
      <c r="C432" s="23" t="s">
        <v>74</v>
      </c>
      <c r="D432" s="15" t="s">
        <v>76</v>
      </c>
      <c r="E432" s="57" t="s">
        <v>13</v>
      </c>
      <c r="F432" s="31"/>
      <c r="G432" s="26"/>
      <c r="H432" s="72"/>
      <c r="I432" s="103">
        <v>45854.39</v>
      </c>
      <c r="J432" s="139"/>
      <c r="K432" s="138"/>
      <c r="L432" s="53"/>
      <c r="M432" s="103"/>
      <c r="N432" s="99" t="s">
        <v>642</v>
      </c>
      <c r="O432" s="68"/>
      <c r="P432" s="66">
        <v>45017</v>
      </c>
    </row>
    <row r="433" spans="1:16" ht="12.75" customHeight="1">
      <c r="A433" s="13">
        <f t="shared" si="12"/>
        <v>414</v>
      </c>
      <c r="B433" s="94" t="s">
        <v>336</v>
      </c>
      <c r="C433" s="23" t="s">
        <v>74</v>
      </c>
      <c r="D433" s="15" t="s">
        <v>76</v>
      </c>
      <c r="E433" s="57" t="s">
        <v>13</v>
      </c>
      <c r="F433" s="31"/>
      <c r="G433" s="26"/>
      <c r="H433" s="72"/>
      <c r="I433" s="103">
        <v>47103.28</v>
      </c>
      <c r="J433" s="139"/>
      <c r="K433" s="138"/>
      <c r="L433" s="53"/>
      <c r="M433" s="103"/>
      <c r="N433" s="99" t="s">
        <v>642</v>
      </c>
      <c r="O433" s="68"/>
      <c r="P433" s="66">
        <v>45352</v>
      </c>
    </row>
    <row r="434" spans="1:16" ht="12.75" customHeight="1">
      <c r="A434" s="13">
        <f t="shared" si="12"/>
        <v>415</v>
      </c>
      <c r="B434" s="155" t="s">
        <v>336</v>
      </c>
      <c r="C434" s="23" t="s">
        <v>1199</v>
      </c>
      <c r="D434" s="15" t="s">
        <v>974</v>
      </c>
      <c r="E434" s="57" t="s">
        <v>13</v>
      </c>
      <c r="F434" s="31"/>
      <c r="G434" s="26"/>
      <c r="H434" s="72"/>
      <c r="I434" s="103">
        <v>32755.48</v>
      </c>
      <c r="J434" s="139"/>
      <c r="K434" s="138"/>
      <c r="L434" s="53"/>
      <c r="M434" s="103"/>
      <c r="N434" s="157" t="s">
        <v>1163</v>
      </c>
      <c r="O434" s="68"/>
      <c r="P434" s="66">
        <v>45689</v>
      </c>
    </row>
    <row r="435" spans="1:16" ht="12.75" customHeight="1">
      <c r="A435" s="13">
        <f t="shared" si="12"/>
        <v>416</v>
      </c>
      <c r="B435" s="54" t="s">
        <v>337</v>
      </c>
      <c r="C435" s="14" t="s">
        <v>77</v>
      </c>
      <c r="D435" s="15" t="s">
        <v>78</v>
      </c>
      <c r="E435" s="57" t="s">
        <v>13</v>
      </c>
      <c r="F435" s="26">
        <v>20</v>
      </c>
      <c r="G435" s="26">
        <v>10</v>
      </c>
      <c r="H435" s="44">
        <v>745.58</v>
      </c>
      <c r="I435" s="103"/>
      <c r="J435" s="131">
        <v>1087.6400000000001</v>
      </c>
      <c r="K435" s="132"/>
      <c r="L435" s="47">
        <v>0</v>
      </c>
      <c r="M435" s="103"/>
      <c r="N435" s="99" t="s">
        <v>642</v>
      </c>
      <c r="O435" s="68"/>
      <c r="P435" s="66">
        <v>41275</v>
      </c>
    </row>
    <row r="436" spans="1:16" ht="12.75" customHeight="1">
      <c r="A436" s="13">
        <f t="shared" si="12"/>
        <v>417</v>
      </c>
      <c r="B436" s="54" t="s">
        <v>338</v>
      </c>
      <c r="C436" s="14" t="s">
        <v>77</v>
      </c>
      <c r="D436" s="15" t="s">
        <v>79</v>
      </c>
      <c r="E436" s="57" t="s">
        <v>13</v>
      </c>
      <c r="F436" s="26">
        <v>20</v>
      </c>
      <c r="G436" s="26">
        <v>10</v>
      </c>
      <c r="H436" s="44">
        <v>745.58</v>
      </c>
      <c r="I436" s="103"/>
      <c r="J436" s="131">
        <v>1087.6400000000001</v>
      </c>
      <c r="K436" s="132"/>
      <c r="L436" s="47">
        <v>0</v>
      </c>
      <c r="M436" s="103"/>
      <c r="N436" s="99" t="s">
        <v>642</v>
      </c>
      <c r="O436" s="68"/>
      <c r="P436" s="66">
        <v>41275</v>
      </c>
    </row>
    <row r="437" spans="1:16" ht="12.75" customHeight="1">
      <c r="A437" s="13">
        <f t="shared" si="12"/>
        <v>418</v>
      </c>
      <c r="B437" s="52" t="s">
        <v>339</v>
      </c>
      <c r="C437" s="14" t="s">
        <v>80</v>
      </c>
      <c r="D437" s="15" t="s">
        <v>81</v>
      </c>
      <c r="E437" s="57" t="s">
        <v>13</v>
      </c>
      <c r="F437" s="26">
        <v>20</v>
      </c>
      <c r="G437" s="26">
        <v>10</v>
      </c>
      <c r="H437" s="44">
        <v>714.87</v>
      </c>
      <c r="I437" s="103">
        <v>717.89</v>
      </c>
      <c r="J437" s="131">
        <v>1047.02</v>
      </c>
      <c r="K437" s="132">
        <v>1053.06</v>
      </c>
      <c r="L437" s="47">
        <v>0</v>
      </c>
      <c r="M437" s="103"/>
      <c r="N437" s="38" t="s">
        <v>641</v>
      </c>
      <c r="O437" s="68" t="s">
        <v>692</v>
      </c>
      <c r="P437" s="66">
        <v>43617</v>
      </c>
    </row>
    <row r="438" spans="1:16" ht="12.75" customHeight="1">
      <c r="A438" s="13">
        <f t="shared" si="12"/>
        <v>419</v>
      </c>
      <c r="B438" s="32" t="s">
        <v>339</v>
      </c>
      <c r="C438" s="14" t="s">
        <v>80</v>
      </c>
      <c r="D438" s="24" t="s">
        <v>937</v>
      </c>
      <c r="E438" s="57" t="s">
        <v>13</v>
      </c>
      <c r="F438" s="26">
        <v>20</v>
      </c>
      <c r="G438" s="26">
        <v>10</v>
      </c>
      <c r="H438" s="44"/>
      <c r="I438" s="103">
        <v>800.29</v>
      </c>
      <c r="J438" s="131"/>
      <c r="K438" s="132">
        <v>1187.3599999999999</v>
      </c>
      <c r="L438" s="47"/>
      <c r="M438" s="103"/>
      <c r="N438" s="38" t="s">
        <v>641</v>
      </c>
      <c r="O438" s="68"/>
      <c r="P438" s="66">
        <v>44562</v>
      </c>
    </row>
    <row r="439" spans="1:16" ht="12.75" customHeight="1">
      <c r="A439" s="13">
        <f t="shared" si="12"/>
        <v>420</v>
      </c>
      <c r="B439" s="32" t="s">
        <v>339</v>
      </c>
      <c r="C439" s="14" t="s">
        <v>80</v>
      </c>
      <c r="D439" s="24" t="s">
        <v>937</v>
      </c>
      <c r="E439" s="57" t="s">
        <v>13</v>
      </c>
      <c r="F439" s="26">
        <v>20</v>
      </c>
      <c r="G439" s="26">
        <v>10</v>
      </c>
      <c r="H439" s="44"/>
      <c r="I439" s="103">
        <v>853.03</v>
      </c>
      <c r="J439" s="131"/>
      <c r="K439" s="132">
        <v>1272.25</v>
      </c>
      <c r="L439" s="47"/>
      <c r="M439" s="103"/>
      <c r="N439" s="38" t="s">
        <v>641</v>
      </c>
      <c r="O439" s="68"/>
      <c r="P439" s="66">
        <v>45170</v>
      </c>
    </row>
    <row r="440" spans="1:16" ht="12.75" customHeight="1">
      <c r="A440" s="13">
        <f t="shared" si="12"/>
        <v>421</v>
      </c>
      <c r="B440" s="52" t="s">
        <v>339</v>
      </c>
      <c r="C440" s="14" t="s">
        <v>80</v>
      </c>
      <c r="D440" s="24" t="s">
        <v>937</v>
      </c>
      <c r="E440" s="57" t="s">
        <v>13</v>
      </c>
      <c r="F440" s="26">
        <v>20</v>
      </c>
      <c r="G440" s="26">
        <v>10</v>
      </c>
      <c r="H440" s="44"/>
      <c r="I440" s="103">
        <v>975.33</v>
      </c>
      <c r="J440" s="131"/>
      <c r="K440" s="132">
        <v>1451.83</v>
      </c>
      <c r="L440" s="47"/>
      <c r="M440" s="103"/>
      <c r="N440" s="38" t="s">
        <v>641</v>
      </c>
      <c r="O440" s="68"/>
      <c r="P440" s="66">
        <v>45352</v>
      </c>
    </row>
    <row r="441" spans="1:16" ht="12.75" customHeight="1">
      <c r="A441" s="13">
        <f t="shared" si="12"/>
        <v>422</v>
      </c>
      <c r="B441" s="52" t="s">
        <v>339</v>
      </c>
      <c r="C441" s="14" t="s">
        <v>80</v>
      </c>
      <c r="D441" s="24" t="s">
        <v>937</v>
      </c>
      <c r="E441" s="57" t="s">
        <v>13</v>
      </c>
      <c r="F441" s="27">
        <v>16</v>
      </c>
      <c r="G441" s="27">
        <v>14</v>
      </c>
      <c r="H441" s="41"/>
      <c r="I441" s="103">
        <v>1094.46</v>
      </c>
      <c r="J441" s="144"/>
      <c r="K441" s="132">
        <v>1179.57</v>
      </c>
      <c r="L441" s="53"/>
      <c r="M441" s="152"/>
      <c r="N441" s="38" t="s">
        <v>641</v>
      </c>
      <c r="O441" s="68"/>
      <c r="P441" s="66">
        <v>45352</v>
      </c>
    </row>
    <row r="442" spans="1:16" ht="12.75" customHeight="1">
      <c r="A442" s="13">
        <f t="shared" si="12"/>
        <v>423</v>
      </c>
      <c r="B442" s="52" t="s">
        <v>339</v>
      </c>
      <c r="C442" s="14" t="s">
        <v>80</v>
      </c>
      <c r="D442" s="24" t="s">
        <v>937</v>
      </c>
      <c r="E442" s="57" t="s">
        <v>13</v>
      </c>
      <c r="F442" s="26">
        <v>20</v>
      </c>
      <c r="G442" s="26">
        <v>10</v>
      </c>
      <c r="H442" s="41"/>
      <c r="I442" s="103">
        <v>1147.33</v>
      </c>
      <c r="J442" s="144"/>
      <c r="K442" s="132">
        <v>1709.26</v>
      </c>
      <c r="L442" s="53"/>
      <c r="M442" s="152"/>
      <c r="N442" s="38" t="s">
        <v>1180</v>
      </c>
      <c r="O442" s="68"/>
      <c r="P442" s="66">
        <v>45689</v>
      </c>
    </row>
    <row r="443" spans="1:16" ht="12.75" customHeight="1">
      <c r="A443" s="13">
        <f t="shared" si="12"/>
        <v>424</v>
      </c>
      <c r="B443" s="52" t="s">
        <v>339</v>
      </c>
      <c r="C443" s="14" t="s">
        <v>80</v>
      </c>
      <c r="D443" s="24" t="s">
        <v>937</v>
      </c>
      <c r="E443" s="57" t="s">
        <v>13</v>
      </c>
      <c r="F443" s="27">
        <v>16</v>
      </c>
      <c r="G443" s="27">
        <v>14</v>
      </c>
      <c r="H443" s="41"/>
      <c r="I443" s="103">
        <v>1287.8</v>
      </c>
      <c r="J443" s="144"/>
      <c r="K443" s="132">
        <v>1388.15</v>
      </c>
      <c r="L443" s="53"/>
      <c r="M443" s="152"/>
      <c r="N443" s="38" t="s">
        <v>1180</v>
      </c>
      <c r="O443" s="68"/>
      <c r="P443" s="66">
        <v>45689</v>
      </c>
    </row>
    <row r="444" spans="1:16" ht="12.75" customHeight="1">
      <c r="A444" s="13">
        <f t="shared" si="12"/>
        <v>425</v>
      </c>
      <c r="B444" s="155" t="s">
        <v>339</v>
      </c>
      <c r="C444" s="14" t="s">
        <v>80</v>
      </c>
      <c r="D444" s="24" t="s">
        <v>937</v>
      </c>
      <c r="E444" s="57" t="s">
        <v>13</v>
      </c>
      <c r="F444" s="26">
        <v>20</v>
      </c>
      <c r="G444" s="26">
        <v>10</v>
      </c>
      <c r="H444" s="41"/>
      <c r="I444" s="103">
        <v>1301.1099999999999</v>
      </c>
      <c r="J444" s="144"/>
      <c r="K444" s="132">
        <v>1930.4</v>
      </c>
      <c r="L444" s="53"/>
      <c r="M444" s="152"/>
      <c r="N444" s="38" t="s">
        <v>1180</v>
      </c>
      <c r="O444" s="68"/>
      <c r="P444" s="193">
        <v>46082</v>
      </c>
    </row>
    <row r="445" spans="1:16" ht="12.75" customHeight="1">
      <c r="A445" s="13">
        <f t="shared" si="12"/>
        <v>426</v>
      </c>
      <c r="B445" s="155" t="s">
        <v>339</v>
      </c>
      <c r="C445" s="14" t="s">
        <v>80</v>
      </c>
      <c r="D445" s="24" t="s">
        <v>937</v>
      </c>
      <c r="E445" s="57" t="s">
        <v>13</v>
      </c>
      <c r="F445" s="27">
        <v>16</v>
      </c>
      <c r="G445" s="27">
        <v>14</v>
      </c>
      <c r="H445" s="41"/>
      <c r="I445" s="103">
        <v>1458.44</v>
      </c>
      <c r="J445" s="144"/>
      <c r="K445" s="132">
        <v>1570.8</v>
      </c>
      <c r="L445" s="53"/>
      <c r="M445" s="152"/>
      <c r="N445" s="38" t="s">
        <v>1180</v>
      </c>
      <c r="O445" s="68"/>
      <c r="P445" s="193">
        <v>46082</v>
      </c>
    </row>
    <row r="446" spans="1:16" ht="12.75" customHeight="1">
      <c r="A446" s="13">
        <f t="shared" si="12"/>
        <v>427</v>
      </c>
      <c r="B446" s="120" t="s">
        <v>340</v>
      </c>
      <c r="C446" s="14" t="s">
        <v>80</v>
      </c>
      <c r="D446" s="15" t="s">
        <v>82</v>
      </c>
      <c r="E446" s="57" t="s">
        <v>13</v>
      </c>
      <c r="F446" s="26">
        <v>20</v>
      </c>
      <c r="G446" s="26">
        <v>10</v>
      </c>
      <c r="H446" s="44">
        <v>762.2</v>
      </c>
      <c r="I446" s="103">
        <v>765.22</v>
      </c>
      <c r="J446" s="131">
        <v>1094.3499999999999</v>
      </c>
      <c r="K446" s="132">
        <v>1100.4000000000001</v>
      </c>
      <c r="L446" s="47">
        <v>0</v>
      </c>
      <c r="M446" s="165" t="s">
        <v>1072</v>
      </c>
      <c r="N446" s="38" t="s">
        <v>641</v>
      </c>
      <c r="O446" s="68" t="s">
        <v>692</v>
      </c>
      <c r="P446" s="66">
        <v>43617</v>
      </c>
    </row>
    <row r="447" spans="1:16" ht="12.75" customHeight="1">
      <c r="A447" s="13">
        <f t="shared" si="12"/>
        <v>428</v>
      </c>
      <c r="B447" s="32" t="s">
        <v>340</v>
      </c>
      <c r="C447" s="14" t="s">
        <v>80</v>
      </c>
      <c r="D447" s="24" t="s">
        <v>887</v>
      </c>
      <c r="E447" s="57" t="s">
        <v>13</v>
      </c>
      <c r="F447" s="26">
        <v>20</v>
      </c>
      <c r="G447" s="26">
        <v>10</v>
      </c>
      <c r="H447" s="44"/>
      <c r="I447" s="103">
        <v>898.55</v>
      </c>
      <c r="J447" s="131"/>
      <c r="K447" s="132">
        <v>1285.6199999999999</v>
      </c>
      <c r="L447" s="47"/>
      <c r="M447" s="103"/>
      <c r="N447" s="38" t="s">
        <v>641</v>
      </c>
      <c r="O447" s="68"/>
      <c r="P447" s="66">
        <v>44562</v>
      </c>
    </row>
    <row r="448" spans="1:16" ht="12.75" customHeight="1">
      <c r="A448" s="13">
        <f t="shared" si="12"/>
        <v>429</v>
      </c>
      <c r="B448" s="32" t="s">
        <v>340</v>
      </c>
      <c r="C448" s="14" t="s">
        <v>80</v>
      </c>
      <c r="D448" s="24" t="s">
        <v>887</v>
      </c>
      <c r="E448" s="57" t="s">
        <v>13</v>
      </c>
      <c r="F448" s="26">
        <v>20</v>
      </c>
      <c r="G448" s="26">
        <v>10</v>
      </c>
      <c r="H448" s="44"/>
      <c r="I448" s="103">
        <v>956.2</v>
      </c>
      <c r="J448" s="131"/>
      <c r="K448" s="132">
        <v>1375.44</v>
      </c>
      <c r="L448" s="47"/>
      <c r="M448" s="103"/>
      <c r="N448" s="38"/>
      <c r="O448" s="68"/>
      <c r="P448" s="66">
        <v>45170</v>
      </c>
    </row>
    <row r="449" spans="1:16" ht="12.75" customHeight="1">
      <c r="A449" s="13">
        <f t="shared" si="12"/>
        <v>430</v>
      </c>
      <c r="B449" s="52" t="s">
        <v>340</v>
      </c>
      <c r="C449" s="23" t="s">
        <v>80</v>
      </c>
      <c r="D449" s="24" t="s">
        <v>887</v>
      </c>
      <c r="E449" s="57" t="s">
        <v>13</v>
      </c>
      <c r="F449" s="26">
        <v>20</v>
      </c>
      <c r="G449" s="26">
        <v>10</v>
      </c>
      <c r="H449" s="44"/>
      <c r="I449" s="103">
        <v>1093.99</v>
      </c>
      <c r="J449" s="131"/>
      <c r="K449" s="132">
        <v>1570.48</v>
      </c>
      <c r="L449" s="47"/>
      <c r="M449" s="103"/>
      <c r="N449" s="38" t="s">
        <v>1162</v>
      </c>
      <c r="O449" s="68"/>
      <c r="P449" s="66">
        <v>45352</v>
      </c>
    </row>
    <row r="450" spans="1:16" ht="12.75" customHeight="1">
      <c r="A450" s="13">
        <f t="shared" si="12"/>
        <v>431</v>
      </c>
      <c r="B450" s="52" t="s">
        <v>340</v>
      </c>
      <c r="C450" s="23" t="s">
        <v>80</v>
      </c>
      <c r="D450" s="24" t="s">
        <v>887</v>
      </c>
      <c r="E450" s="57" t="s">
        <v>13</v>
      </c>
      <c r="F450" s="27">
        <v>16</v>
      </c>
      <c r="G450" s="27">
        <v>14</v>
      </c>
      <c r="H450" s="41"/>
      <c r="I450" s="179">
        <v>1213.1099999999999</v>
      </c>
      <c r="J450" s="144"/>
      <c r="K450" s="151">
        <v>1298.21</v>
      </c>
      <c r="L450" s="53"/>
      <c r="M450" s="152"/>
      <c r="N450" s="38" t="s">
        <v>1162</v>
      </c>
      <c r="O450" s="39"/>
      <c r="P450" s="66">
        <v>45352</v>
      </c>
    </row>
    <row r="451" spans="1:16" ht="12.75" customHeight="1">
      <c r="A451" s="13">
        <f t="shared" si="12"/>
        <v>432</v>
      </c>
      <c r="B451" s="52" t="s">
        <v>340</v>
      </c>
      <c r="C451" s="23" t="s">
        <v>80</v>
      </c>
      <c r="D451" s="24" t="s">
        <v>887</v>
      </c>
      <c r="E451" s="57" t="s">
        <v>13</v>
      </c>
      <c r="F451" s="27">
        <v>12</v>
      </c>
      <c r="G451" s="27">
        <v>10</v>
      </c>
      <c r="H451" s="41"/>
      <c r="I451" s="179">
        <v>1411.6</v>
      </c>
      <c r="J451" s="144"/>
      <c r="K451" s="151">
        <v>1570.48</v>
      </c>
      <c r="L451" s="53"/>
      <c r="M451" s="152"/>
      <c r="N451" s="38" t="s">
        <v>1162</v>
      </c>
      <c r="O451" s="39"/>
      <c r="P451" s="66">
        <v>45474</v>
      </c>
    </row>
    <row r="452" spans="1:16" ht="12.75" customHeight="1">
      <c r="A452" s="13">
        <f t="shared" si="12"/>
        <v>433</v>
      </c>
      <c r="B452" s="52" t="s">
        <v>340</v>
      </c>
      <c r="C452" s="23" t="s">
        <v>80</v>
      </c>
      <c r="D452" s="24" t="s">
        <v>887</v>
      </c>
      <c r="E452" s="57" t="s">
        <v>13</v>
      </c>
      <c r="F452" s="27">
        <v>6</v>
      </c>
      <c r="G452" s="27">
        <v>4</v>
      </c>
      <c r="H452" s="41"/>
      <c r="I452" s="179">
        <v>2205.79</v>
      </c>
      <c r="J452" s="144"/>
      <c r="K452" s="151">
        <v>2999.89</v>
      </c>
      <c r="L452" s="53"/>
      <c r="M452" s="152"/>
      <c r="N452" s="38" t="s">
        <v>1162</v>
      </c>
      <c r="O452" s="39"/>
      <c r="P452" s="66">
        <v>45474</v>
      </c>
    </row>
    <row r="453" spans="1:16" ht="12.75" customHeight="1">
      <c r="A453" s="13">
        <f t="shared" si="12"/>
        <v>434</v>
      </c>
      <c r="B453" s="52" t="s">
        <v>340</v>
      </c>
      <c r="C453" s="23" t="s">
        <v>80</v>
      </c>
      <c r="D453" s="24" t="s">
        <v>887</v>
      </c>
      <c r="E453" s="57" t="s">
        <v>13</v>
      </c>
      <c r="F453" s="27">
        <v>20</v>
      </c>
      <c r="G453" s="27">
        <v>14</v>
      </c>
      <c r="H453" s="41"/>
      <c r="I453" s="179">
        <v>1296.0899999999999</v>
      </c>
      <c r="J453" s="144"/>
      <c r="K453" s="151">
        <v>1536.92</v>
      </c>
      <c r="L453" s="53"/>
      <c r="M453" s="152"/>
      <c r="N453" s="38" t="s">
        <v>1180</v>
      </c>
      <c r="O453" s="39"/>
      <c r="P453" s="66">
        <v>45689</v>
      </c>
    </row>
    <row r="454" spans="1:16" ht="12.75" customHeight="1">
      <c r="A454" s="13">
        <f t="shared" si="12"/>
        <v>435</v>
      </c>
      <c r="B454" s="52" t="s">
        <v>340</v>
      </c>
      <c r="C454" s="23" t="s">
        <v>80</v>
      </c>
      <c r="D454" s="24" t="s">
        <v>887</v>
      </c>
      <c r="E454" s="57" t="s">
        <v>13</v>
      </c>
      <c r="F454" s="27">
        <v>16</v>
      </c>
      <c r="G454" s="27">
        <v>10</v>
      </c>
      <c r="H454" s="41"/>
      <c r="I454" s="179">
        <v>1436.57</v>
      </c>
      <c r="J454" s="144"/>
      <c r="K454" s="151">
        <v>1858.03</v>
      </c>
      <c r="L454" s="53"/>
      <c r="M454" s="152"/>
      <c r="N454" s="38" t="s">
        <v>1180</v>
      </c>
      <c r="O454" s="39"/>
      <c r="P454" s="66">
        <v>45689</v>
      </c>
    </row>
    <row r="455" spans="1:16" ht="12.75" customHeight="1">
      <c r="A455" s="13">
        <f t="shared" si="12"/>
        <v>436</v>
      </c>
      <c r="B455" s="155" t="s">
        <v>340</v>
      </c>
      <c r="C455" s="23" t="s">
        <v>80</v>
      </c>
      <c r="D455" s="24" t="s">
        <v>887</v>
      </c>
      <c r="E455" s="57" t="s">
        <v>13</v>
      </c>
      <c r="F455" s="27">
        <v>20</v>
      </c>
      <c r="G455" s="27">
        <v>14</v>
      </c>
      <c r="H455" s="41"/>
      <c r="I455" s="179">
        <v>1498.18</v>
      </c>
      <c r="J455" s="144"/>
      <c r="K455" s="151">
        <v>2127.46</v>
      </c>
      <c r="L455" s="53"/>
      <c r="M455" s="152"/>
      <c r="N455" s="38" t="s">
        <v>1180</v>
      </c>
      <c r="O455" s="39"/>
      <c r="P455" s="193">
        <v>46082</v>
      </c>
    </row>
    <row r="456" spans="1:16" ht="12.75" customHeight="1">
      <c r="A456" s="13">
        <f t="shared" si="12"/>
        <v>437</v>
      </c>
      <c r="B456" s="155" t="s">
        <v>340</v>
      </c>
      <c r="C456" s="23" t="s">
        <v>80</v>
      </c>
      <c r="D456" s="24" t="s">
        <v>887</v>
      </c>
      <c r="E456" s="57" t="s">
        <v>13</v>
      </c>
      <c r="F456" s="27">
        <v>16</v>
      </c>
      <c r="G456" s="27">
        <v>10</v>
      </c>
      <c r="H456" s="41"/>
      <c r="I456" s="179">
        <v>1655.5</v>
      </c>
      <c r="J456" s="144"/>
      <c r="K456" s="151">
        <v>1767.85</v>
      </c>
      <c r="L456" s="53"/>
      <c r="M456" s="152"/>
      <c r="N456" s="38" t="s">
        <v>1180</v>
      </c>
      <c r="O456" s="39"/>
      <c r="P456" s="193">
        <v>46082</v>
      </c>
    </row>
    <row r="457" spans="1:16" ht="12.75" customHeight="1">
      <c r="A457" s="13">
        <f t="shared" si="12"/>
        <v>438</v>
      </c>
      <c r="B457" s="120" t="s">
        <v>341</v>
      </c>
      <c r="C457" s="14" t="s">
        <v>80</v>
      </c>
      <c r="D457" s="15" t="s">
        <v>83</v>
      </c>
      <c r="E457" s="57" t="s">
        <v>13</v>
      </c>
      <c r="F457" s="26">
        <v>20</v>
      </c>
      <c r="G457" s="26">
        <v>10</v>
      </c>
      <c r="H457" s="44">
        <v>714.87</v>
      </c>
      <c r="I457" s="103">
        <v>717.89</v>
      </c>
      <c r="J457" s="131">
        <v>1047.02</v>
      </c>
      <c r="K457" s="132">
        <v>1053.06</v>
      </c>
      <c r="L457" s="47">
        <v>0</v>
      </c>
      <c r="M457" s="103"/>
      <c r="N457" s="38" t="s">
        <v>641</v>
      </c>
      <c r="O457" s="68" t="s">
        <v>692</v>
      </c>
      <c r="P457" s="66">
        <v>43617</v>
      </c>
    </row>
    <row r="458" spans="1:16" ht="12.75" customHeight="1">
      <c r="A458" s="13">
        <f t="shared" si="12"/>
        <v>439</v>
      </c>
      <c r="B458" s="54" t="s">
        <v>341</v>
      </c>
      <c r="C458" s="14" t="s">
        <v>80</v>
      </c>
      <c r="D458" s="24" t="s">
        <v>83</v>
      </c>
      <c r="E458" s="57" t="s">
        <v>13</v>
      </c>
      <c r="F458" s="26">
        <v>20</v>
      </c>
      <c r="G458" s="26">
        <v>10</v>
      </c>
      <c r="H458" s="44"/>
      <c r="I458" s="103">
        <v>849.84</v>
      </c>
      <c r="J458" s="131"/>
      <c r="K458" s="132">
        <v>1236.9100000000001</v>
      </c>
      <c r="L458" s="47"/>
      <c r="M458" s="103"/>
      <c r="N458" s="38" t="s">
        <v>641</v>
      </c>
      <c r="O458" s="68"/>
      <c r="P458" s="66">
        <v>44562</v>
      </c>
    </row>
    <row r="459" spans="1:16" ht="12.75" customHeight="1">
      <c r="A459" s="13">
        <f t="shared" si="12"/>
        <v>440</v>
      </c>
      <c r="B459" s="32" t="s">
        <v>341</v>
      </c>
      <c r="C459" s="14" t="s">
        <v>80</v>
      </c>
      <c r="D459" s="24" t="s">
        <v>83</v>
      </c>
      <c r="E459" s="57" t="s">
        <v>13</v>
      </c>
      <c r="F459" s="26">
        <v>20</v>
      </c>
      <c r="G459" s="26">
        <v>10</v>
      </c>
      <c r="H459" s="44"/>
      <c r="I459" s="103">
        <v>905.06</v>
      </c>
      <c r="J459" s="131"/>
      <c r="K459" s="132">
        <v>1324.29</v>
      </c>
      <c r="L459" s="47"/>
      <c r="M459" s="103"/>
      <c r="N459" s="38"/>
      <c r="O459" s="68"/>
      <c r="P459" s="66">
        <v>45170</v>
      </c>
    </row>
    <row r="460" spans="1:16" ht="12.75" customHeight="1">
      <c r="A460" s="13">
        <f t="shared" si="12"/>
        <v>441</v>
      </c>
      <c r="B460" s="52" t="s">
        <v>341</v>
      </c>
      <c r="C460" s="23" t="s">
        <v>80</v>
      </c>
      <c r="D460" s="24" t="s">
        <v>83</v>
      </c>
      <c r="E460" s="57" t="s">
        <v>13</v>
      </c>
      <c r="F460" s="26">
        <v>20</v>
      </c>
      <c r="G460" s="26">
        <v>10</v>
      </c>
      <c r="H460" s="44"/>
      <c r="I460" s="103">
        <v>1035.1600000000001</v>
      </c>
      <c r="J460" s="131"/>
      <c r="K460" s="132">
        <v>1511.67</v>
      </c>
      <c r="L460" s="47"/>
      <c r="M460" s="103"/>
      <c r="N460" s="38" t="s">
        <v>1162</v>
      </c>
      <c r="O460" s="68"/>
      <c r="P460" s="66">
        <v>45352</v>
      </c>
    </row>
    <row r="461" spans="1:16" ht="12.75" customHeight="1">
      <c r="A461" s="13">
        <f t="shared" si="12"/>
        <v>442</v>
      </c>
      <c r="B461" s="52" t="s">
        <v>341</v>
      </c>
      <c r="C461" s="23" t="s">
        <v>80</v>
      </c>
      <c r="D461" s="24" t="s">
        <v>83</v>
      </c>
      <c r="E461" s="57" t="s">
        <v>13</v>
      </c>
      <c r="F461" s="27">
        <v>18</v>
      </c>
      <c r="G461" s="27">
        <v>16</v>
      </c>
      <c r="H461" s="41"/>
      <c r="I461" s="103">
        <v>1088.0999999999999</v>
      </c>
      <c r="J461" s="144"/>
      <c r="K461" s="132">
        <v>1154.29</v>
      </c>
      <c r="L461" s="53"/>
      <c r="M461" s="152"/>
      <c r="N461" s="38" t="s">
        <v>1162</v>
      </c>
      <c r="O461" s="68"/>
      <c r="P461" s="66">
        <v>45352</v>
      </c>
    </row>
    <row r="462" spans="1:16" ht="12.75" customHeight="1">
      <c r="A462" s="13">
        <f t="shared" si="12"/>
        <v>443</v>
      </c>
      <c r="B462" s="52" t="s">
        <v>341</v>
      </c>
      <c r="C462" s="23" t="s">
        <v>80</v>
      </c>
      <c r="D462" s="24" t="s">
        <v>83</v>
      </c>
      <c r="E462" s="57" t="s">
        <v>13</v>
      </c>
      <c r="F462" s="27">
        <v>20</v>
      </c>
      <c r="G462" s="27">
        <v>10</v>
      </c>
      <c r="H462" s="41"/>
      <c r="I462" s="103">
        <v>1232.82</v>
      </c>
      <c r="J462" s="144"/>
      <c r="K462" s="132">
        <v>1794.77</v>
      </c>
      <c r="L462" s="53"/>
      <c r="M462" s="152"/>
      <c r="N462" s="38" t="s">
        <v>1180</v>
      </c>
      <c r="O462" s="39"/>
      <c r="P462" s="66">
        <v>45689</v>
      </c>
    </row>
    <row r="463" spans="1:16" ht="12.75" customHeight="1">
      <c r="A463" s="13">
        <f t="shared" si="12"/>
        <v>444</v>
      </c>
      <c r="B463" s="52" t="s">
        <v>341</v>
      </c>
      <c r="C463" s="23" t="s">
        <v>80</v>
      </c>
      <c r="D463" s="24" t="s">
        <v>83</v>
      </c>
      <c r="E463" s="57" t="s">
        <v>13</v>
      </c>
      <c r="F463" s="27">
        <v>18</v>
      </c>
      <c r="G463" s="27">
        <v>16</v>
      </c>
      <c r="H463" s="41"/>
      <c r="I463" s="103">
        <v>1295.23</v>
      </c>
      <c r="J463" s="144"/>
      <c r="K463" s="132">
        <v>1373.31</v>
      </c>
      <c r="L463" s="53"/>
      <c r="M463" s="152"/>
      <c r="N463" s="38" t="s">
        <v>1180</v>
      </c>
      <c r="O463" s="39"/>
      <c r="P463" s="66">
        <v>45689</v>
      </c>
    </row>
    <row r="464" spans="1:16" ht="12.75" customHeight="1">
      <c r="A464" s="13">
        <f t="shared" si="12"/>
        <v>445</v>
      </c>
      <c r="B464" s="155" t="s">
        <v>341</v>
      </c>
      <c r="C464" s="23" t="s">
        <v>80</v>
      </c>
      <c r="D464" s="24" t="s">
        <v>83</v>
      </c>
      <c r="E464" s="57" t="s">
        <v>13</v>
      </c>
      <c r="F464" s="27">
        <v>20</v>
      </c>
      <c r="G464" s="27">
        <v>10</v>
      </c>
      <c r="H464" s="41"/>
      <c r="I464" s="103">
        <v>1423.75</v>
      </c>
      <c r="J464" s="144"/>
      <c r="K464" s="132">
        <v>2053.0500000000002</v>
      </c>
      <c r="L464" s="53"/>
      <c r="M464" s="152"/>
      <c r="N464" s="38" t="s">
        <v>1180</v>
      </c>
      <c r="O464" s="39"/>
      <c r="P464" s="193">
        <v>46082</v>
      </c>
    </row>
    <row r="465" spans="1:16" ht="12.75" customHeight="1">
      <c r="A465" s="13">
        <f t="shared" si="12"/>
        <v>446</v>
      </c>
      <c r="B465" s="155" t="s">
        <v>341</v>
      </c>
      <c r="C465" s="23" t="s">
        <v>80</v>
      </c>
      <c r="D465" s="24" t="s">
        <v>83</v>
      </c>
      <c r="E465" s="57" t="s">
        <v>13</v>
      </c>
      <c r="F465" s="27">
        <v>18</v>
      </c>
      <c r="G465" s="27">
        <v>16</v>
      </c>
      <c r="H465" s="41"/>
      <c r="I465" s="103">
        <v>1493.68</v>
      </c>
      <c r="J465" s="144"/>
      <c r="K465" s="132">
        <v>1581.08</v>
      </c>
      <c r="L465" s="53"/>
      <c r="M465" s="152"/>
      <c r="N465" s="38" t="s">
        <v>1180</v>
      </c>
      <c r="O465" s="39"/>
      <c r="P465" s="193">
        <v>46082</v>
      </c>
    </row>
    <row r="466" spans="1:16" ht="12.75" customHeight="1">
      <c r="A466" s="13">
        <f t="shared" si="12"/>
        <v>447</v>
      </c>
      <c r="B466" s="52" t="s">
        <v>342</v>
      </c>
      <c r="C466" s="14" t="s">
        <v>80</v>
      </c>
      <c r="D466" s="24" t="s">
        <v>534</v>
      </c>
      <c r="E466" s="57" t="s">
        <v>13</v>
      </c>
      <c r="F466" s="26">
        <v>20</v>
      </c>
      <c r="G466" s="26">
        <v>10</v>
      </c>
      <c r="H466" s="44">
        <v>738.55</v>
      </c>
      <c r="I466" s="103">
        <v>741.56</v>
      </c>
      <c r="J466" s="131">
        <v>1070.69</v>
      </c>
      <c r="K466" s="132">
        <v>1076.74</v>
      </c>
      <c r="L466" s="47">
        <v>0</v>
      </c>
      <c r="M466" s="103"/>
      <c r="N466" s="38" t="s">
        <v>641</v>
      </c>
      <c r="O466" s="68" t="s">
        <v>692</v>
      </c>
      <c r="P466" s="66">
        <v>43617</v>
      </c>
    </row>
    <row r="467" spans="1:16" ht="12.75" customHeight="1">
      <c r="A467" s="13">
        <f t="shared" si="12"/>
        <v>448</v>
      </c>
      <c r="B467" s="32" t="s">
        <v>342</v>
      </c>
      <c r="C467" s="14" t="s">
        <v>80</v>
      </c>
      <c r="D467" s="24" t="s">
        <v>936</v>
      </c>
      <c r="E467" s="57" t="s">
        <v>13</v>
      </c>
      <c r="F467" s="26">
        <v>20</v>
      </c>
      <c r="G467" s="26">
        <v>10</v>
      </c>
      <c r="H467" s="44"/>
      <c r="I467" s="103">
        <v>849.43</v>
      </c>
      <c r="J467" s="131"/>
      <c r="K467" s="132">
        <v>1236.5</v>
      </c>
      <c r="L467" s="47"/>
      <c r="M467" s="103"/>
      <c r="N467" s="38" t="s">
        <v>641</v>
      </c>
      <c r="O467" s="68"/>
      <c r="P467" s="66">
        <v>44562</v>
      </c>
    </row>
    <row r="468" spans="1:16" ht="12.75" customHeight="1">
      <c r="A468" s="13">
        <f t="shared" si="12"/>
        <v>449</v>
      </c>
      <c r="B468" s="32" t="s">
        <v>342</v>
      </c>
      <c r="C468" s="14" t="s">
        <v>80</v>
      </c>
      <c r="D468" s="24" t="s">
        <v>936</v>
      </c>
      <c r="E468" s="57" t="s">
        <v>13</v>
      </c>
      <c r="F468" s="26">
        <v>20</v>
      </c>
      <c r="G468" s="26">
        <v>10</v>
      </c>
      <c r="H468" s="44"/>
      <c r="I468" s="103">
        <v>904.62</v>
      </c>
      <c r="J468" s="131"/>
      <c r="K468" s="132">
        <v>1323.86</v>
      </c>
      <c r="L468" s="47"/>
      <c r="M468" s="103"/>
      <c r="N468" s="38"/>
      <c r="O468" s="68"/>
      <c r="P468" s="66">
        <v>45170</v>
      </c>
    </row>
    <row r="469" spans="1:16" ht="12.75" customHeight="1">
      <c r="A469" s="13">
        <f t="shared" si="12"/>
        <v>450</v>
      </c>
      <c r="B469" s="52" t="s">
        <v>342</v>
      </c>
      <c r="C469" s="23" t="s">
        <v>80</v>
      </c>
      <c r="D469" s="24" t="s">
        <v>936</v>
      </c>
      <c r="E469" s="57" t="s">
        <v>13</v>
      </c>
      <c r="F469" s="26">
        <v>20</v>
      </c>
      <c r="G469" s="26">
        <v>10</v>
      </c>
      <c r="H469" s="44"/>
      <c r="I469" s="103">
        <v>1034.6600000000001</v>
      </c>
      <c r="J469" s="131"/>
      <c r="K469" s="132">
        <v>1511.17</v>
      </c>
      <c r="L469" s="47"/>
      <c r="M469" s="103"/>
      <c r="N469" s="38" t="s">
        <v>1136</v>
      </c>
      <c r="O469" s="68"/>
      <c r="P469" s="66">
        <v>45352</v>
      </c>
    </row>
    <row r="470" spans="1:16" ht="12.75" customHeight="1">
      <c r="A470" s="13">
        <f t="shared" si="12"/>
        <v>451</v>
      </c>
      <c r="B470" s="52" t="s">
        <v>342</v>
      </c>
      <c r="C470" s="23" t="s">
        <v>80</v>
      </c>
      <c r="D470" s="24" t="s">
        <v>936</v>
      </c>
      <c r="E470" s="57" t="s">
        <v>13</v>
      </c>
      <c r="F470" s="27">
        <v>16</v>
      </c>
      <c r="G470" s="27">
        <v>14</v>
      </c>
      <c r="H470" s="41"/>
      <c r="I470" s="179">
        <v>1153.79</v>
      </c>
      <c r="J470" s="144"/>
      <c r="K470" s="151">
        <v>1238.8800000000001</v>
      </c>
      <c r="L470" s="53"/>
      <c r="M470" s="152"/>
      <c r="N470" s="38" t="s">
        <v>1136</v>
      </c>
      <c r="O470" s="68"/>
      <c r="P470" s="66">
        <v>45352</v>
      </c>
    </row>
    <row r="471" spans="1:16" ht="12.75" customHeight="1">
      <c r="A471" s="13">
        <f t="shared" si="12"/>
        <v>452</v>
      </c>
      <c r="B471" s="52" t="s">
        <v>342</v>
      </c>
      <c r="C471" s="23" t="s">
        <v>80</v>
      </c>
      <c r="D471" s="24" t="s">
        <v>936</v>
      </c>
      <c r="E471" s="57" t="s">
        <v>13</v>
      </c>
      <c r="F471" s="26">
        <v>20</v>
      </c>
      <c r="G471" s="26">
        <v>10</v>
      </c>
      <c r="H471" s="41"/>
      <c r="I471" s="179">
        <v>1221.72</v>
      </c>
      <c r="J471" s="144"/>
      <c r="K471" s="151">
        <v>1783.66</v>
      </c>
      <c r="L471" s="53"/>
      <c r="M471" s="152"/>
      <c r="N471" s="38" t="s">
        <v>1136</v>
      </c>
      <c r="O471" s="68"/>
      <c r="P471" s="66">
        <v>45689</v>
      </c>
    </row>
    <row r="472" spans="1:16" ht="12.75" customHeight="1">
      <c r="A472" s="13">
        <f t="shared" si="12"/>
        <v>453</v>
      </c>
      <c r="B472" s="52" t="s">
        <v>342</v>
      </c>
      <c r="C472" s="23" t="s">
        <v>80</v>
      </c>
      <c r="D472" s="24" t="s">
        <v>936</v>
      </c>
      <c r="E472" s="57" t="s">
        <v>13</v>
      </c>
      <c r="F472" s="27">
        <v>16</v>
      </c>
      <c r="G472" s="27">
        <v>14</v>
      </c>
      <c r="H472" s="41"/>
      <c r="I472" s="179">
        <v>1362.2</v>
      </c>
      <c r="J472" s="144"/>
      <c r="K472" s="151">
        <v>1462.53</v>
      </c>
      <c r="L472" s="53"/>
      <c r="M472" s="152"/>
      <c r="N472" s="38" t="s">
        <v>1136</v>
      </c>
      <c r="O472" s="68"/>
      <c r="P472" s="66">
        <v>45689</v>
      </c>
    </row>
    <row r="473" spans="1:16" ht="12.75" customHeight="1">
      <c r="A473" s="13">
        <f t="shared" si="12"/>
        <v>454</v>
      </c>
      <c r="B473" s="155" t="s">
        <v>342</v>
      </c>
      <c r="C473" s="23" t="s">
        <v>80</v>
      </c>
      <c r="D473" s="24" t="s">
        <v>936</v>
      </c>
      <c r="E473" s="57" t="s">
        <v>13</v>
      </c>
      <c r="F473" s="26">
        <v>20</v>
      </c>
      <c r="G473" s="26">
        <v>10</v>
      </c>
      <c r="H473" s="41"/>
      <c r="I473" s="179">
        <v>1399.65</v>
      </c>
      <c r="J473" s="144"/>
      <c r="K473" s="151">
        <v>2028.94</v>
      </c>
      <c r="L473" s="53"/>
      <c r="M473" s="152"/>
      <c r="N473" s="38" t="s">
        <v>1136</v>
      </c>
      <c r="O473" s="68"/>
      <c r="P473" s="193">
        <v>46082</v>
      </c>
    </row>
    <row r="474" spans="1:16" ht="12.75" customHeight="1">
      <c r="A474" s="13">
        <f t="shared" si="12"/>
        <v>455</v>
      </c>
      <c r="B474" s="155" t="s">
        <v>342</v>
      </c>
      <c r="C474" s="23" t="s">
        <v>80</v>
      </c>
      <c r="D474" s="24" t="s">
        <v>936</v>
      </c>
      <c r="E474" s="57" t="s">
        <v>13</v>
      </c>
      <c r="F474" s="27">
        <v>16</v>
      </c>
      <c r="G474" s="27">
        <v>14</v>
      </c>
      <c r="H474" s="41"/>
      <c r="I474" s="179">
        <v>1556.98</v>
      </c>
      <c r="J474" s="144"/>
      <c r="K474" s="151">
        <v>1669.33</v>
      </c>
      <c r="L474" s="53"/>
      <c r="M474" s="152"/>
      <c r="N474" s="38" t="s">
        <v>1136</v>
      </c>
      <c r="O474" s="68"/>
      <c r="P474" s="193">
        <v>46082</v>
      </c>
    </row>
    <row r="475" spans="1:16" ht="12.75" customHeight="1">
      <c r="A475" s="13">
        <f t="shared" si="12"/>
        <v>456</v>
      </c>
      <c r="B475" s="120" t="s">
        <v>343</v>
      </c>
      <c r="C475" s="14" t="s">
        <v>84</v>
      </c>
      <c r="D475" s="24" t="s">
        <v>105</v>
      </c>
      <c r="E475" s="57" t="s">
        <v>13</v>
      </c>
      <c r="F475" s="26">
        <v>20</v>
      </c>
      <c r="G475" s="26">
        <v>10</v>
      </c>
      <c r="H475" s="44">
        <v>813.69</v>
      </c>
      <c r="I475" s="103">
        <v>804.48</v>
      </c>
      <c r="J475" s="131">
        <v>1219.42</v>
      </c>
      <c r="K475" s="132">
        <v>1208.1300000000001</v>
      </c>
      <c r="L475" s="47">
        <v>0</v>
      </c>
      <c r="M475" s="103"/>
      <c r="N475" s="38" t="s">
        <v>643</v>
      </c>
      <c r="O475" s="68">
        <v>609</v>
      </c>
      <c r="P475" s="66">
        <v>43617</v>
      </c>
    </row>
    <row r="476" spans="1:16" ht="12.75" customHeight="1">
      <c r="A476" s="13">
        <f t="shared" si="12"/>
        <v>457</v>
      </c>
      <c r="B476" s="54" t="s">
        <v>343</v>
      </c>
      <c r="C476" s="14" t="s">
        <v>84</v>
      </c>
      <c r="D476" s="24" t="s">
        <v>105</v>
      </c>
      <c r="E476" s="57" t="s">
        <v>13</v>
      </c>
      <c r="F476" s="26">
        <v>20</v>
      </c>
      <c r="G476" s="26">
        <v>10</v>
      </c>
      <c r="H476" s="44"/>
      <c r="I476" s="103">
        <v>810.01</v>
      </c>
      <c r="J476" s="131"/>
      <c r="K476" s="132">
        <v>1219.2</v>
      </c>
      <c r="L476" s="47"/>
      <c r="M476" s="103"/>
      <c r="N476" s="38" t="s">
        <v>643</v>
      </c>
      <c r="O476" s="68"/>
      <c r="P476" s="66">
        <v>44562</v>
      </c>
    </row>
    <row r="477" spans="1:16" ht="12.75" customHeight="1">
      <c r="A477" s="13">
        <f t="shared" si="12"/>
        <v>458</v>
      </c>
      <c r="B477" s="54" t="s">
        <v>344</v>
      </c>
      <c r="C477" s="14" t="s">
        <v>85</v>
      </c>
      <c r="D477" s="15" t="s">
        <v>86</v>
      </c>
      <c r="E477" s="57" t="s">
        <v>13</v>
      </c>
      <c r="F477" s="26">
        <v>20</v>
      </c>
      <c r="G477" s="26">
        <v>10</v>
      </c>
      <c r="H477" s="44">
        <v>763.91</v>
      </c>
      <c r="I477" s="103"/>
      <c r="J477" s="131">
        <v>1155.33</v>
      </c>
      <c r="K477" s="132"/>
      <c r="L477" s="47">
        <v>0</v>
      </c>
      <c r="M477" s="103"/>
      <c r="N477" s="38" t="s">
        <v>796</v>
      </c>
      <c r="O477" s="69">
        <v>604</v>
      </c>
      <c r="P477" s="66">
        <v>41275</v>
      </c>
    </row>
    <row r="478" spans="1:16" ht="12.75" customHeight="1">
      <c r="A478" s="13">
        <f t="shared" si="12"/>
        <v>459</v>
      </c>
      <c r="B478" s="32" t="s">
        <v>345</v>
      </c>
      <c r="C478" s="14" t="s">
        <v>87</v>
      </c>
      <c r="D478" s="24" t="s">
        <v>535</v>
      </c>
      <c r="E478" s="57" t="s">
        <v>13</v>
      </c>
      <c r="F478" s="26">
        <v>20</v>
      </c>
      <c r="G478" s="26">
        <v>10</v>
      </c>
      <c r="H478" s="44"/>
      <c r="I478" s="103">
        <v>810.1</v>
      </c>
      <c r="J478" s="131"/>
      <c r="K478" s="132">
        <v>1220.99</v>
      </c>
      <c r="L478" s="47"/>
      <c r="M478" s="103"/>
      <c r="N478" s="99" t="s">
        <v>642</v>
      </c>
      <c r="O478" s="69"/>
      <c r="P478" s="66">
        <v>44562</v>
      </c>
    </row>
    <row r="479" spans="1:16" ht="12.75" customHeight="1">
      <c r="A479" s="13">
        <f t="shared" si="12"/>
        <v>460</v>
      </c>
      <c r="B479" s="14" t="s">
        <v>345</v>
      </c>
      <c r="C479" s="14" t="s">
        <v>87</v>
      </c>
      <c r="D479" s="24" t="s">
        <v>535</v>
      </c>
      <c r="E479" s="57" t="s">
        <v>13</v>
      </c>
      <c r="F479" s="26">
        <v>18</v>
      </c>
      <c r="G479" s="26">
        <v>12</v>
      </c>
      <c r="H479" s="44"/>
      <c r="I479" s="103">
        <v>856.8</v>
      </c>
      <c r="J479" s="131"/>
      <c r="K479" s="132">
        <v>1085.1199999999999</v>
      </c>
      <c r="L479" s="47"/>
      <c r="M479" s="103"/>
      <c r="N479" s="99" t="s">
        <v>642</v>
      </c>
      <c r="O479" s="69"/>
      <c r="P479" s="66">
        <v>44562</v>
      </c>
    </row>
    <row r="480" spans="1:16" ht="12.75" customHeight="1">
      <c r="A480" s="13">
        <f t="shared" si="12"/>
        <v>461</v>
      </c>
      <c r="B480" s="14" t="s">
        <v>345</v>
      </c>
      <c r="C480" s="14" t="s">
        <v>87</v>
      </c>
      <c r="D480" s="24" t="s">
        <v>535</v>
      </c>
      <c r="E480" s="57" t="s">
        <v>13</v>
      </c>
      <c r="F480" s="26">
        <v>20</v>
      </c>
      <c r="G480" s="26">
        <v>10</v>
      </c>
      <c r="H480" s="44"/>
      <c r="I480" s="103">
        <v>919.68</v>
      </c>
      <c r="J480" s="131"/>
      <c r="K480" s="132">
        <v>1399.29</v>
      </c>
      <c r="L480" s="47"/>
      <c r="M480" s="103"/>
      <c r="N480" s="99" t="s">
        <v>642</v>
      </c>
      <c r="O480" s="69"/>
      <c r="P480" s="66">
        <v>44713</v>
      </c>
    </row>
    <row r="481" spans="1:16" ht="12.75" customHeight="1">
      <c r="A481" s="13">
        <f t="shared" si="12"/>
        <v>462</v>
      </c>
      <c r="B481" s="14" t="s">
        <v>345</v>
      </c>
      <c r="C481" s="14" t="s">
        <v>87</v>
      </c>
      <c r="D481" s="24" t="s">
        <v>535</v>
      </c>
      <c r="E481" s="57" t="s">
        <v>13</v>
      </c>
      <c r="F481" s="26">
        <v>16</v>
      </c>
      <c r="G481" s="26"/>
      <c r="H481" s="44"/>
      <c r="I481" s="103">
        <v>1039.6199999999999</v>
      </c>
      <c r="J481" s="131"/>
      <c r="K481" s="132"/>
      <c r="L481" s="47"/>
      <c r="M481" s="103"/>
      <c r="N481" s="99" t="s">
        <v>642</v>
      </c>
      <c r="O481" s="69"/>
      <c r="P481" s="66">
        <v>44713</v>
      </c>
    </row>
    <row r="482" spans="1:16" ht="12.75" customHeight="1">
      <c r="A482" s="13">
        <f t="shared" si="12"/>
        <v>463</v>
      </c>
      <c r="B482" s="14" t="s">
        <v>345</v>
      </c>
      <c r="C482" s="14" t="s">
        <v>87</v>
      </c>
      <c r="D482" s="24" t="s">
        <v>535</v>
      </c>
      <c r="E482" s="57" t="s">
        <v>13</v>
      </c>
      <c r="F482" s="26">
        <v>14</v>
      </c>
      <c r="G482" s="26"/>
      <c r="H482" s="44"/>
      <c r="I482" s="103">
        <v>1125.24</v>
      </c>
      <c r="J482" s="131"/>
      <c r="K482" s="132"/>
      <c r="L482" s="47"/>
      <c r="M482" s="103"/>
      <c r="N482" s="99" t="s">
        <v>642</v>
      </c>
      <c r="O482" s="69"/>
      <c r="P482" s="66">
        <v>44713</v>
      </c>
    </row>
    <row r="483" spans="1:16" ht="12.75" customHeight="1">
      <c r="A483" s="13">
        <f t="shared" si="12"/>
        <v>464</v>
      </c>
      <c r="B483" s="14" t="s">
        <v>345</v>
      </c>
      <c r="C483" s="14" t="s">
        <v>87</v>
      </c>
      <c r="D483" s="24" t="s">
        <v>535</v>
      </c>
      <c r="E483" s="57" t="s">
        <v>13</v>
      </c>
      <c r="F483" s="26">
        <v>20</v>
      </c>
      <c r="G483" s="26">
        <v>10</v>
      </c>
      <c r="H483" s="44">
        <v>837.86</v>
      </c>
      <c r="I483" s="103">
        <v>784.94</v>
      </c>
      <c r="J483" s="131">
        <v>1275.21</v>
      </c>
      <c r="K483" s="132">
        <v>1169.6199999999999</v>
      </c>
      <c r="L483" s="47">
        <v>0</v>
      </c>
      <c r="M483" s="165" t="s">
        <v>262</v>
      </c>
      <c r="N483" s="99" t="s">
        <v>642</v>
      </c>
      <c r="O483" s="68">
        <v>600</v>
      </c>
      <c r="P483" s="66">
        <v>43617</v>
      </c>
    </row>
    <row r="484" spans="1:16" ht="12.75" customHeight="1">
      <c r="A484" s="13">
        <f t="shared" si="12"/>
        <v>465</v>
      </c>
      <c r="B484" s="14" t="s">
        <v>345</v>
      </c>
      <c r="C484" s="14" t="s">
        <v>87</v>
      </c>
      <c r="D484" s="24" t="s">
        <v>535</v>
      </c>
      <c r="E484" s="57" t="s">
        <v>13</v>
      </c>
      <c r="F484" s="26">
        <v>20</v>
      </c>
      <c r="G484" s="26">
        <v>10</v>
      </c>
      <c r="H484" s="44"/>
      <c r="I484" s="103">
        <v>957.96</v>
      </c>
      <c r="J484" s="131"/>
      <c r="K484" s="132">
        <v>1449.22</v>
      </c>
      <c r="L484" s="47"/>
      <c r="M484" s="165"/>
      <c r="N484" s="99" t="s">
        <v>642</v>
      </c>
      <c r="O484" s="68"/>
      <c r="P484" s="66">
        <v>45047</v>
      </c>
    </row>
    <row r="485" spans="1:16" ht="12.75" customHeight="1">
      <c r="A485" s="13">
        <f t="shared" si="12"/>
        <v>466</v>
      </c>
      <c r="B485" s="14" t="s">
        <v>345</v>
      </c>
      <c r="C485" s="14" t="s">
        <v>87</v>
      </c>
      <c r="D485" s="24" t="s">
        <v>535</v>
      </c>
      <c r="E485" s="57" t="s">
        <v>13</v>
      </c>
      <c r="F485" s="26">
        <v>20</v>
      </c>
      <c r="G485" s="26">
        <v>10</v>
      </c>
      <c r="H485" s="44"/>
      <c r="I485" s="103">
        <v>957.96</v>
      </c>
      <c r="J485" s="131"/>
      <c r="K485" s="132">
        <v>1449.22</v>
      </c>
      <c r="L485" s="47"/>
      <c r="M485" s="165"/>
      <c r="N485" s="99" t="s">
        <v>642</v>
      </c>
      <c r="O485" s="68"/>
      <c r="P485" s="66">
        <v>45170</v>
      </c>
    </row>
    <row r="486" spans="1:16" ht="12.75" customHeight="1">
      <c r="A486" s="13">
        <f t="shared" si="12"/>
        <v>467</v>
      </c>
      <c r="B486" s="155" t="s">
        <v>345</v>
      </c>
      <c r="C486" s="14" t="s">
        <v>87</v>
      </c>
      <c r="D486" s="24" t="s">
        <v>535</v>
      </c>
      <c r="E486" s="57" t="s">
        <v>13</v>
      </c>
      <c r="F486" s="26">
        <v>20</v>
      </c>
      <c r="G486" s="26">
        <v>10</v>
      </c>
      <c r="H486" s="44"/>
      <c r="I486" s="103">
        <v>975.88</v>
      </c>
      <c r="J486" s="131"/>
      <c r="K486" s="132">
        <v>1484.79</v>
      </c>
      <c r="L486" s="47"/>
      <c r="M486" s="165"/>
      <c r="N486" s="157" t="s">
        <v>1163</v>
      </c>
      <c r="O486" s="68"/>
      <c r="P486" s="66">
        <v>45352</v>
      </c>
    </row>
    <row r="487" spans="1:16" ht="12.75" customHeight="1">
      <c r="A487" s="13">
        <f t="shared" si="12"/>
        <v>468</v>
      </c>
      <c r="B487" s="155" t="s">
        <v>345</v>
      </c>
      <c r="C487" s="14" t="s">
        <v>87</v>
      </c>
      <c r="D487" s="24" t="s">
        <v>535</v>
      </c>
      <c r="E487" s="57" t="s">
        <v>13</v>
      </c>
      <c r="F487" s="27">
        <v>16</v>
      </c>
      <c r="G487" s="27">
        <v>14</v>
      </c>
      <c r="H487" s="41"/>
      <c r="I487" s="103">
        <v>1103.1199999999999</v>
      </c>
      <c r="J487" s="144"/>
      <c r="K487" s="132">
        <v>1194.03</v>
      </c>
      <c r="L487" s="53"/>
      <c r="M487" s="152"/>
      <c r="N487" s="157" t="s">
        <v>1163</v>
      </c>
      <c r="O487" s="68"/>
      <c r="P487" s="66">
        <v>45352</v>
      </c>
    </row>
    <row r="488" spans="1:16" ht="12.75" customHeight="1">
      <c r="A488" s="13">
        <f t="shared" si="12"/>
        <v>469</v>
      </c>
      <c r="B488" s="155" t="s">
        <v>345</v>
      </c>
      <c r="C488" s="14" t="s">
        <v>87</v>
      </c>
      <c r="D488" s="24" t="s">
        <v>535</v>
      </c>
      <c r="E488" s="57" t="s">
        <v>13</v>
      </c>
      <c r="F488" s="26">
        <v>20</v>
      </c>
      <c r="G488" s="26">
        <v>10</v>
      </c>
      <c r="H488" s="41"/>
      <c r="I488" s="103">
        <v>1060.93</v>
      </c>
      <c r="J488" s="144"/>
      <c r="K488" s="132">
        <v>1604.15</v>
      </c>
      <c r="L488" s="53"/>
      <c r="M488" s="152"/>
      <c r="N488" s="157" t="s">
        <v>1163</v>
      </c>
      <c r="O488" s="68"/>
      <c r="P488" s="66">
        <v>45689</v>
      </c>
    </row>
    <row r="489" spans="1:16" ht="12.75" customHeight="1">
      <c r="A489" s="13">
        <f t="shared" si="12"/>
        <v>470</v>
      </c>
      <c r="B489" s="155" t="s">
        <v>345</v>
      </c>
      <c r="C489" s="14" t="s">
        <v>87</v>
      </c>
      <c r="D489" s="24" t="s">
        <v>535</v>
      </c>
      <c r="E489" s="57" t="s">
        <v>13</v>
      </c>
      <c r="F489" s="27">
        <v>16</v>
      </c>
      <c r="G489" s="27">
        <v>14</v>
      </c>
      <c r="H489" s="41"/>
      <c r="I489" s="103">
        <v>1196.73</v>
      </c>
      <c r="J489" s="144"/>
      <c r="K489" s="132">
        <v>1293.75</v>
      </c>
      <c r="L489" s="53"/>
      <c r="M489" s="152"/>
      <c r="N489" s="157" t="s">
        <v>1163</v>
      </c>
      <c r="O489" s="68"/>
      <c r="P489" s="66">
        <v>45689</v>
      </c>
    </row>
    <row r="490" spans="1:16" ht="12.75" customHeight="1">
      <c r="A490" s="13">
        <f t="shared" si="12"/>
        <v>471</v>
      </c>
      <c r="B490" s="54" t="s">
        <v>346</v>
      </c>
      <c r="C490" s="23" t="s">
        <v>536</v>
      </c>
      <c r="D490" s="24" t="s">
        <v>266</v>
      </c>
      <c r="E490" s="57" t="s">
        <v>13</v>
      </c>
      <c r="F490" s="26">
        <v>20</v>
      </c>
      <c r="G490" s="26">
        <v>10</v>
      </c>
      <c r="H490" s="44">
        <v>731.76</v>
      </c>
      <c r="I490" s="103"/>
      <c r="J490" s="131">
        <v>1070.03</v>
      </c>
      <c r="K490" s="132"/>
      <c r="L490" s="70" t="s">
        <v>262</v>
      </c>
      <c r="M490" s="165"/>
      <c r="N490" s="38" t="s">
        <v>796</v>
      </c>
      <c r="O490" s="69">
        <v>604</v>
      </c>
      <c r="P490" s="51"/>
    </row>
    <row r="491" spans="1:16" ht="12.75" customHeight="1">
      <c r="A491" s="13">
        <f t="shared" si="12"/>
        <v>472</v>
      </c>
      <c r="B491" s="54" t="s">
        <v>347</v>
      </c>
      <c r="C491" s="14" t="s">
        <v>84</v>
      </c>
      <c r="D491" s="15" t="s">
        <v>88</v>
      </c>
      <c r="E491" s="57" t="s">
        <v>13</v>
      </c>
      <c r="F491" s="26">
        <v>20</v>
      </c>
      <c r="G491" s="26">
        <v>10</v>
      </c>
      <c r="H491" s="44">
        <v>788.61</v>
      </c>
      <c r="I491" s="103">
        <v>795.96</v>
      </c>
      <c r="J491" s="131">
        <v>1152.54</v>
      </c>
      <c r="K491" s="132">
        <v>1167.26</v>
      </c>
      <c r="L491" s="47">
        <v>0</v>
      </c>
      <c r="M491" s="103"/>
      <c r="N491" s="38" t="s">
        <v>643</v>
      </c>
      <c r="O491" s="68">
        <v>609</v>
      </c>
      <c r="P491" s="66">
        <v>43617</v>
      </c>
    </row>
    <row r="492" spans="1:16" ht="12.75" customHeight="1">
      <c r="A492" s="13">
        <f t="shared" ref="A492:A555" si="13">A491+1</f>
        <v>473</v>
      </c>
      <c r="B492" s="54" t="s">
        <v>348</v>
      </c>
      <c r="C492" s="14" t="s">
        <v>89</v>
      </c>
      <c r="D492" s="15" t="s">
        <v>90</v>
      </c>
      <c r="E492" s="57" t="s">
        <v>13</v>
      </c>
      <c r="F492" s="26">
        <v>20</v>
      </c>
      <c r="G492" s="26">
        <v>10</v>
      </c>
      <c r="H492" s="44">
        <v>1189.1400000000001</v>
      </c>
      <c r="I492" s="103"/>
      <c r="J492" s="131">
        <v>1643.7</v>
      </c>
      <c r="K492" s="132"/>
      <c r="L492" s="47">
        <v>0</v>
      </c>
      <c r="M492" s="103"/>
      <c r="N492" s="39" t="s">
        <v>644</v>
      </c>
      <c r="O492" s="69">
        <v>606</v>
      </c>
      <c r="P492" s="66">
        <v>41216</v>
      </c>
    </row>
    <row r="493" spans="1:16" ht="12.75" customHeight="1">
      <c r="A493" s="13">
        <f t="shared" si="13"/>
        <v>474</v>
      </c>
      <c r="B493" s="54" t="s">
        <v>349</v>
      </c>
      <c r="C493" s="14" t="s">
        <v>89</v>
      </c>
      <c r="D493" s="14" t="s">
        <v>91</v>
      </c>
      <c r="E493" s="57" t="s">
        <v>13</v>
      </c>
      <c r="F493" s="26">
        <v>20</v>
      </c>
      <c r="G493" s="26">
        <v>10</v>
      </c>
      <c r="H493" s="44">
        <v>954.14</v>
      </c>
      <c r="I493" s="103"/>
      <c r="J493" s="131">
        <v>1408.7</v>
      </c>
      <c r="K493" s="132"/>
      <c r="L493" s="70" t="s">
        <v>262</v>
      </c>
      <c r="M493" s="165"/>
      <c r="N493" s="39" t="s">
        <v>644</v>
      </c>
      <c r="O493" s="69">
        <v>606</v>
      </c>
      <c r="P493" s="66">
        <v>41730</v>
      </c>
    </row>
    <row r="494" spans="1:16" ht="12.75" customHeight="1">
      <c r="A494" s="13">
        <f t="shared" si="13"/>
        <v>475</v>
      </c>
      <c r="B494" s="32" t="s">
        <v>350</v>
      </c>
      <c r="C494" s="14" t="s">
        <v>92</v>
      </c>
      <c r="D494" s="24" t="s">
        <v>537</v>
      </c>
      <c r="E494" s="14" t="s">
        <v>19</v>
      </c>
      <c r="F494" s="26">
        <v>200</v>
      </c>
      <c r="G494" s="26">
        <v>10</v>
      </c>
      <c r="H494" s="34">
        <v>3007.63</v>
      </c>
      <c r="I494" s="84"/>
      <c r="J494" s="136">
        <v>6636.23</v>
      </c>
      <c r="K494" s="118"/>
      <c r="L494" s="34">
        <v>24414.97</v>
      </c>
      <c r="M494" s="84"/>
      <c r="N494" s="99" t="s">
        <v>642</v>
      </c>
      <c r="O494" s="68">
        <v>580</v>
      </c>
      <c r="P494" s="66">
        <v>43257</v>
      </c>
    </row>
    <row r="495" spans="1:16" ht="12.75" customHeight="1">
      <c r="A495" s="13">
        <f t="shared" si="13"/>
        <v>476</v>
      </c>
      <c r="B495" s="32" t="s">
        <v>730</v>
      </c>
      <c r="C495" s="14" t="s">
        <v>92</v>
      </c>
      <c r="D495" s="24" t="s">
        <v>306</v>
      </c>
      <c r="E495" s="23" t="s">
        <v>19</v>
      </c>
      <c r="F495" s="31" t="s">
        <v>976</v>
      </c>
      <c r="G495" s="26"/>
      <c r="H495" s="34"/>
      <c r="I495" s="84">
        <v>28145.61</v>
      </c>
      <c r="J495" s="136"/>
      <c r="K495" s="118"/>
      <c r="L495" s="34"/>
      <c r="M495" s="84">
        <v>18311.98</v>
      </c>
      <c r="N495" s="99" t="s">
        <v>642</v>
      </c>
      <c r="O495" s="68"/>
      <c r="P495" s="66">
        <v>44562</v>
      </c>
    </row>
    <row r="496" spans="1:16" ht="12.75" customHeight="1">
      <c r="A496" s="13">
        <f t="shared" si="13"/>
        <v>477</v>
      </c>
      <c r="B496" s="32" t="s">
        <v>1040</v>
      </c>
      <c r="C496" s="14" t="s">
        <v>92</v>
      </c>
      <c r="D496" s="24" t="s">
        <v>306</v>
      </c>
      <c r="E496" s="23" t="s">
        <v>19</v>
      </c>
      <c r="F496" s="148" t="s">
        <v>977</v>
      </c>
      <c r="G496" s="26"/>
      <c r="H496" s="34"/>
      <c r="I496" s="179">
        <v>50749.95</v>
      </c>
      <c r="J496" s="136"/>
      <c r="K496" s="118"/>
      <c r="L496" s="34"/>
      <c r="M496" s="84"/>
      <c r="N496" s="99" t="s">
        <v>642</v>
      </c>
      <c r="O496" s="68"/>
      <c r="P496" s="66">
        <v>44562</v>
      </c>
    </row>
    <row r="497" spans="1:16" ht="12.75" customHeight="1">
      <c r="A497" s="13">
        <f t="shared" si="13"/>
        <v>478</v>
      </c>
      <c r="B497" s="32" t="s">
        <v>730</v>
      </c>
      <c r="C497" s="14" t="s">
        <v>92</v>
      </c>
      <c r="D497" s="24" t="s">
        <v>306</v>
      </c>
      <c r="E497" s="23" t="s">
        <v>19</v>
      </c>
      <c r="F497" s="31" t="s">
        <v>976</v>
      </c>
      <c r="G497" s="26"/>
      <c r="H497" s="34"/>
      <c r="I497" s="84">
        <v>28145.61</v>
      </c>
      <c r="J497" s="136"/>
      <c r="K497" s="118"/>
      <c r="L497" s="34"/>
      <c r="M497" s="84"/>
      <c r="N497" s="99" t="s">
        <v>642</v>
      </c>
      <c r="O497" s="68"/>
      <c r="P497" s="66">
        <v>44713</v>
      </c>
    </row>
    <row r="498" spans="1:16" ht="12.75" customHeight="1">
      <c r="A498" s="13">
        <f t="shared" si="13"/>
        <v>479</v>
      </c>
      <c r="B498" s="32" t="s">
        <v>1040</v>
      </c>
      <c r="C498" s="14" t="s">
        <v>92</v>
      </c>
      <c r="D498" s="24" t="s">
        <v>306</v>
      </c>
      <c r="E498" s="23" t="s">
        <v>19</v>
      </c>
      <c r="F498" s="148" t="s">
        <v>977</v>
      </c>
      <c r="G498" s="26"/>
      <c r="H498" s="34"/>
      <c r="I498" s="179">
        <v>51635.15</v>
      </c>
      <c r="J498" s="136"/>
      <c r="K498" s="118"/>
      <c r="L498" s="34"/>
      <c r="M498" s="84"/>
      <c r="N498" s="99" t="s">
        <v>642</v>
      </c>
      <c r="O498" s="68"/>
      <c r="P498" s="66">
        <v>44713</v>
      </c>
    </row>
    <row r="499" spans="1:16" ht="12.75" customHeight="1">
      <c r="A499" s="13">
        <f t="shared" si="13"/>
        <v>480</v>
      </c>
      <c r="B499" s="32" t="s">
        <v>730</v>
      </c>
      <c r="C499" s="14" t="s">
        <v>92</v>
      </c>
      <c r="D499" s="24" t="s">
        <v>306</v>
      </c>
      <c r="E499" s="23" t="s">
        <v>19</v>
      </c>
      <c r="F499" s="31" t="s">
        <v>976</v>
      </c>
      <c r="G499" s="26"/>
      <c r="H499" s="34"/>
      <c r="I499" s="179">
        <v>28145.61</v>
      </c>
      <c r="J499" s="136"/>
      <c r="K499" s="118"/>
      <c r="L499" s="34"/>
      <c r="M499" s="84">
        <v>25516.21</v>
      </c>
      <c r="N499" s="99" t="s">
        <v>642</v>
      </c>
      <c r="O499" s="68"/>
      <c r="P499" s="66">
        <v>45017</v>
      </c>
    </row>
    <row r="500" spans="1:16" ht="12.75" customHeight="1">
      <c r="A500" s="13">
        <f t="shared" si="13"/>
        <v>481</v>
      </c>
      <c r="B500" s="32" t="s">
        <v>1040</v>
      </c>
      <c r="C500" s="14" t="s">
        <v>92</v>
      </c>
      <c r="D500" s="24" t="s">
        <v>306</v>
      </c>
      <c r="E500" s="23" t="s">
        <v>19</v>
      </c>
      <c r="F500" s="148" t="s">
        <v>977</v>
      </c>
      <c r="G500" s="26"/>
      <c r="H500" s="34"/>
      <c r="I500" s="179">
        <v>53081.43</v>
      </c>
      <c r="J500" s="136"/>
      <c r="K500" s="118"/>
      <c r="L500" s="34"/>
      <c r="M500" s="84"/>
      <c r="N500" s="99" t="s">
        <v>642</v>
      </c>
      <c r="O500" s="68"/>
      <c r="P500" s="66">
        <v>45017</v>
      </c>
    </row>
    <row r="501" spans="1:16" ht="12.75" customHeight="1">
      <c r="A501" s="13">
        <f t="shared" si="13"/>
        <v>482</v>
      </c>
      <c r="B501" s="32" t="s">
        <v>730</v>
      </c>
      <c r="C501" s="14" t="s">
        <v>92</v>
      </c>
      <c r="D501" s="24" t="s">
        <v>537</v>
      </c>
      <c r="E501" s="14" t="s">
        <v>19</v>
      </c>
      <c r="F501" s="31" t="s">
        <v>863</v>
      </c>
      <c r="G501" s="31" t="s">
        <v>731</v>
      </c>
      <c r="H501" s="35" t="s">
        <v>732</v>
      </c>
      <c r="I501" s="85" t="s">
        <v>845</v>
      </c>
      <c r="J501" s="140" t="s">
        <v>733</v>
      </c>
      <c r="K501" s="137" t="s">
        <v>846</v>
      </c>
      <c r="L501" s="34">
        <v>24414.97</v>
      </c>
      <c r="M501" s="84">
        <v>24414.97</v>
      </c>
      <c r="N501" s="99" t="s">
        <v>642</v>
      </c>
      <c r="O501" s="69">
        <v>580</v>
      </c>
      <c r="P501" s="66">
        <v>43617</v>
      </c>
    </row>
    <row r="502" spans="1:16" ht="12.75" customHeight="1">
      <c r="A502" s="13">
        <f t="shared" si="13"/>
        <v>483</v>
      </c>
      <c r="B502" s="180" t="s">
        <v>730</v>
      </c>
      <c r="C502" s="14" t="s">
        <v>92</v>
      </c>
      <c r="D502" s="24" t="s">
        <v>306</v>
      </c>
      <c r="E502" s="23" t="s">
        <v>19</v>
      </c>
      <c r="F502" s="31" t="s">
        <v>976</v>
      </c>
      <c r="G502" s="26"/>
      <c r="H502" s="34"/>
      <c r="I502" s="84">
        <v>28257.5</v>
      </c>
      <c r="J502" s="136"/>
      <c r="K502" s="118"/>
      <c r="L502" s="34"/>
      <c r="M502" s="84">
        <v>25628.1</v>
      </c>
      <c r="N502" s="157" t="s">
        <v>1163</v>
      </c>
      <c r="O502" s="68"/>
      <c r="P502" s="66">
        <v>45323</v>
      </c>
    </row>
    <row r="503" spans="1:16" ht="12.75" customHeight="1">
      <c r="A503" s="13">
        <f t="shared" si="13"/>
        <v>484</v>
      </c>
      <c r="B503" s="175" t="s">
        <v>730</v>
      </c>
      <c r="C503" s="14" t="s">
        <v>92</v>
      </c>
      <c r="D503" s="24" t="s">
        <v>306</v>
      </c>
      <c r="E503" s="23" t="s">
        <v>19</v>
      </c>
      <c r="F503" s="31" t="s">
        <v>976</v>
      </c>
      <c r="G503" s="26"/>
      <c r="H503" s="34"/>
      <c r="I503" s="84">
        <v>28155.040000000001</v>
      </c>
      <c r="J503" s="136"/>
      <c r="K503" s="118"/>
      <c r="L503" s="34"/>
      <c r="M503" s="84"/>
      <c r="N503" s="157" t="s">
        <v>1163</v>
      </c>
      <c r="O503" s="68"/>
      <c r="P503" s="66">
        <v>45689</v>
      </c>
    </row>
    <row r="504" spans="1:16" ht="12.75" customHeight="1">
      <c r="A504" s="13">
        <f t="shared" si="13"/>
        <v>485</v>
      </c>
      <c r="B504" s="180" t="s">
        <v>1040</v>
      </c>
      <c r="C504" s="14" t="s">
        <v>92</v>
      </c>
      <c r="D504" s="24" t="s">
        <v>306</v>
      </c>
      <c r="E504" s="23" t="s">
        <v>19</v>
      </c>
      <c r="F504" s="148" t="s">
        <v>977</v>
      </c>
      <c r="G504" s="26"/>
      <c r="H504" s="34"/>
      <c r="I504" s="84">
        <v>75925.87</v>
      </c>
      <c r="J504" s="136"/>
      <c r="K504" s="118"/>
      <c r="L504" s="34"/>
      <c r="M504" s="84"/>
      <c r="N504" s="157" t="s">
        <v>1163</v>
      </c>
      <c r="O504" s="68"/>
      <c r="P504" s="66">
        <v>45323</v>
      </c>
    </row>
    <row r="505" spans="1:16" ht="12.75" customHeight="1">
      <c r="A505" s="13">
        <f t="shared" si="13"/>
        <v>486</v>
      </c>
      <c r="B505" s="156" t="s">
        <v>1040</v>
      </c>
      <c r="C505" s="14" t="s">
        <v>92</v>
      </c>
      <c r="D505" s="24" t="s">
        <v>306</v>
      </c>
      <c r="E505" s="23" t="s">
        <v>19</v>
      </c>
      <c r="F505" s="148" t="s">
        <v>977</v>
      </c>
      <c r="G505" s="26"/>
      <c r="H505" s="34"/>
      <c r="I505" s="84">
        <v>82695.850000000006</v>
      </c>
      <c r="J505" s="136"/>
      <c r="K505" s="118"/>
      <c r="L505" s="34"/>
      <c r="M505" s="84"/>
      <c r="N505" s="157" t="s">
        <v>1163</v>
      </c>
      <c r="O505" s="68"/>
      <c r="P505" s="66">
        <v>45689</v>
      </c>
    </row>
    <row r="506" spans="1:16" ht="12.75" customHeight="1">
      <c r="A506" s="13">
        <f t="shared" si="13"/>
        <v>487</v>
      </c>
      <c r="B506" s="32" t="s">
        <v>1006</v>
      </c>
      <c r="C506" s="14" t="s">
        <v>92</v>
      </c>
      <c r="D506" s="24" t="s">
        <v>306</v>
      </c>
      <c r="E506" s="14" t="s">
        <v>19</v>
      </c>
      <c r="F506" s="31" t="s">
        <v>1003</v>
      </c>
      <c r="G506" s="31"/>
      <c r="H506" s="35"/>
      <c r="I506" s="85">
        <v>26903.360000000001</v>
      </c>
      <c r="J506" s="140"/>
      <c r="K506" s="137"/>
      <c r="L506" s="34"/>
      <c r="M506" s="84">
        <v>18311.98</v>
      </c>
      <c r="N506" s="99" t="s">
        <v>642</v>
      </c>
      <c r="O506" s="69"/>
      <c r="P506" s="66">
        <v>44562</v>
      </c>
    </row>
    <row r="507" spans="1:16" ht="12.75" customHeight="1">
      <c r="A507" s="13">
        <f t="shared" si="13"/>
        <v>488</v>
      </c>
      <c r="B507" s="32" t="s">
        <v>1006</v>
      </c>
      <c r="C507" s="14" t="s">
        <v>92</v>
      </c>
      <c r="D507" s="24" t="s">
        <v>306</v>
      </c>
      <c r="E507" s="14" t="s">
        <v>19</v>
      </c>
      <c r="F507" s="31" t="s">
        <v>1003</v>
      </c>
      <c r="G507" s="31"/>
      <c r="H507" s="35"/>
      <c r="I507" s="85">
        <v>26903.360000000001</v>
      </c>
      <c r="J507" s="140"/>
      <c r="K507" s="137"/>
      <c r="L507" s="34"/>
      <c r="M507" s="84"/>
      <c r="N507" s="99" t="s">
        <v>642</v>
      </c>
      <c r="O507" s="69"/>
      <c r="P507" s="66">
        <v>44713</v>
      </c>
    </row>
    <row r="508" spans="1:16" ht="12.75" customHeight="1">
      <c r="A508" s="13">
        <f t="shared" si="13"/>
        <v>489</v>
      </c>
      <c r="B508" s="32" t="s">
        <v>1007</v>
      </c>
      <c r="C508" s="14" t="s">
        <v>92</v>
      </c>
      <c r="D508" s="24" t="s">
        <v>306</v>
      </c>
      <c r="E508" s="14" t="s">
        <v>19</v>
      </c>
      <c r="F508" s="46" t="s">
        <v>977</v>
      </c>
      <c r="G508" s="31"/>
      <c r="H508" s="35"/>
      <c r="I508" s="85">
        <v>50749.95</v>
      </c>
      <c r="J508" s="140"/>
      <c r="K508" s="137"/>
      <c r="L508" s="34"/>
      <c r="M508" s="84"/>
      <c r="N508" s="99" t="s">
        <v>642</v>
      </c>
      <c r="O508" s="69"/>
      <c r="P508" s="66">
        <v>44562</v>
      </c>
    </row>
    <row r="509" spans="1:16" ht="12.75" customHeight="1">
      <c r="A509" s="13">
        <f t="shared" si="13"/>
        <v>490</v>
      </c>
      <c r="B509" s="32" t="s">
        <v>1007</v>
      </c>
      <c r="C509" s="14" t="s">
        <v>92</v>
      </c>
      <c r="D509" s="52" t="s">
        <v>306</v>
      </c>
      <c r="E509" s="14" t="s">
        <v>19</v>
      </c>
      <c r="F509" s="46" t="s">
        <v>977</v>
      </c>
      <c r="G509" s="31"/>
      <c r="H509" s="35"/>
      <c r="I509" s="85">
        <v>51635.15</v>
      </c>
      <c r="J509" s="140"/>
      <c r="K509" s="137"/>
      <c r="L509" s="34"/>
      <c r="M509" s="84"/>
      <c r="N509" s="99" t="s">
        <v>642</v>
      </c>
      <c r="O509" s="69"/>
      <c r="P509" s="66">
        <v>44713</v>
      </c>
    </row>
    <row r="510" spans="1:16" ht="12.75" customHeight="1">
      <c r="A510" s="13">
        <f t="shared" si="13"/>
        <v>491</v>
      </c>
      <c r="B510" s="32" t="s">
        <v>1006</v>
      </c>
      <c r="C510" s="14" t="s">
        <v>92</v>
      </c>
      <c r="D510" s="52" t="s">
        <v>306</v>
      </c>
      <c r="E510" s="14" t="s">
        <v>19</v>
      </c>
      <c r="F510" s="31" t="s">
        <v>1003</v>
      </c>
      <c r="G510" s="31"/>
      <c r="H510" s="35"/>
      <c r="I510" s="85">
        <v>26903.360000000001</v>
      </c>
      <c r="J510" s="140"/>
      <c r="K510" s="137">
        <v>25516.21</v>
      </c>
      <c r="L510" s="34"/>
      <c r="M510" s="84"/>
      <c r="N510" s="99" t="s">
        <v>642</v>
      </c>
      <c r="O510" s="69"/>
      <c r="P510" s="66">
        <v>45047</v>
      </c>
    </row>
    <row r="511" spans="1:16" ht="12.75" customHeight="1">
      <c r="A511" s="13">
        <f t="shared" si="13"/>
        <v>492</v>
      </c>
      <c r="B511" s="32" t="s">
        <v>1007</v>
      </c>
      <c r="C511" s="14" t="s">
        <v>92</v>
      </c>
      <c r="D511" s="52" t="s">
        <v>306</v>
      </c>
      <c r="E511" s="14" t="s">
        <v>19</v>
      </c>
      <c r="F511" s="46" t="s">
        <v>977</v>
      </c>
      <c r="G511" s="31"/>
      <c r="H511" s="35"/>
      <c r="I511" s="85">
        <v>53081.43</v>
      </c>
      <c r="J511" s="140"/>
      <c r="K511" s="137"/>
      <c r="L511" s="34"/>
      <c r="M511" s="84"/>
      <c r="N511" s="99" t="s">
        <v>642</v>
      </c>
      <c r="O511" s="69"/>
      <c r="P511" s="66">
        <v>45047</v>
      </c>
    </row>
    <row r="512" spans="1:16" ht="12.75" customHeight="1">
      <c r="A512" s="13">
        <f t="shared" si="13"/>
        <v>493</v>
      </c>
      <c r="B512" s="32" t="s">
        <v>1006</v>
      </c>
      <c r="C512" s="14" t="s">
        <v>92</v>
      </c>
      <c r="D512" s="52" t="s">
        <v>306</v>
      </c>
      <c r="E512" s="14" t="s">
        <v>19</v>
      </c>
      <c r="F512" s="46" t="s">
        <v>1003</v>
      </c>
      <c r="G512" s="31"/>
      <c r="H512" s="35"/>
      <c r="I512" s="85">
        <v>28256.880000000001</v>
      </c>
      <c r="J512" s="140"/>
      <c r="K512" s="137">
        <v>25628.1</v>
      </c>
      <c r="L512" s="34"/>
      <c r="M512" s="84"/>
      <c r="N512" s="157" t="s">
        <v>1163</v>
      </c>
      <c r="O512" s="69"/>
      <c r="P512" s="66">
        <v>45352</v>
      </c>
    </row>
    <row r="513" spans="1:16" ht="12.75" customHeight="1">
      <c r="A513" s="13">
        <f t="shared" si="13"/>
        <v>494</v>
      </c>
      <c r="B513" s="156" t="s">
        <v>1006</v>
      </c>
      <c r="C513" s="14" t="s">
        <v>92</v>
      </c>
      <c r="D513" s="52" t="s">
        <v>306</v>
      </c>
      <c r="E513" s="14" t="s">
        <v>19</v>
      </c>
      <c r="F513" s="46" t="s">
        <v>1003</v>
      </c>
      <c r="G513" s="31"/>
      <c r="H513" s="35"/>
      <c r="I513" s="85">
        <v>28155.040000000001</v>
      </c>
      <c r="J513" s="140"/>
      <c r="K513" s="137"/>
      <c r="L513" s="34"/>
      <c r="M513" s="84"/>
      <c r="N513" s="157" t="s">
        <v>1163</v>
      </c>
      <c r="O513" s="69"/>
      <c r="P513" s="66">
        <v>45689</v>
      </c>
    </row>
    <row r="514" spans="1:16" ht="12.75" customHeight="1">
      <c r="A514" s="13">
        <f t="shared" si="13"/>
        <v>495</v>
      </c>
      <c r="B514" s="32" t="s">
        <v>1007</v>
      </c>
      <c r="C514" s="14" t="s">
        <v>92</v>
      </c>
      <c r="D514" s="52" t="s">
        <v>306</v>
      </c>
      <c r="E514" s="14" t="s">
        <v>19</v>
      </c>
      <c r="F514" s="46" t="s">
        <v>977</v>
      </c>
      <c r="G514" s="31"/>
      <c r="H514" s="35"/>
      <c r="I514" s="85">
        <v>75925.87</v>
      </c>
      <c r="J514" s="140"/>
      <c r="K514" s="137"/>
      <c r="L514" s="34"/>
      <c r="M514" s="84"/>
      <c r="N514" s="157" t="s">
        <v>1163</v>
      </c>
      <c r="O514" s="69"/>
      <c r="P514" s="66">
        <v>45352</v>
      </c>
    </row>
    <row r="515" spans="1:16" ht="12.75" customHeight="1">
      <c r="A515" s="13">
        <f t="shared" si="13"/>
        <v>496</v>
      </c>
      <c r="B515" s="156" t="s">
        <v>1007</v>
      </c>
      <c r="C515" s="14" t="s">
        <v>92</v>
      </c>
      <c r="D515" s="52" t="s">
        <v>306</v>
      </c>
      <c r="E515" s="14" t="s">
        <v>19</v>
      </c>
      <c r="F515" s="46" t="s">
        <v>977</v>
      </c>
      <c r="G515" s="31"/>
      <c r="H515" s="35"/>
      <c r="I515" s="85">
        <v>82695.850000000006</v>
      </c>
      <c r="J515" s="140"/>
      <c r="K515" s="137"/>
      <c r="L515" s="34"/>
      <c r="M515" s="84"/>
      <c r="N515" s="157" t="s">
        <v>1163</v>
      </c>
      <c r="O515" s="69"/>
      <c r="P515" s="66">
        <v>45689</v>
      </c>
    </row>
    <row r="516" spans="1:16" ht="12.75" customHeight="1">
      <c r="A516" s="13">
        <f t="shared" si="13"/>
        <v>497</v>
      </c>
      <c r="B516" s="52" t="s">
        <v>656</v>
      </c>
      <c r="C516" s="14" t="s">
        <v>93</v>
      </c>
      <c r="D516" s="15" t="s">
        <v>94</v>
      </c>
      <c r="E516" s="14" t="s">
        <v>19</v>
      </c>
      <c r="F516" s="31" t="s">
        <v>861</v>
      </c>
      <c r="G516" s="26" t="s">
        <v>22</v>
      </c>
      <c r="H516" s="35" t="s">
        <v>862</v>
      </c>
      <c r="I516" s="85" t="s">
        <v>862</v>
      </c>
      <c r="J516" s="140" t="s">
        <v>737</v>
      </c>
      <c r="K516" s="141" t="s">
        <v>866</v>
      </c>
      <c r="L516" s="34">
        <v>24414.97</v>
      </c>
      <c r="M516" s="84">
        <v>24414.97</v>
      </c>
      <c r="N516" s="99" t="s">
        <v>642</v>
      </c>
      <c r="O516" s="68">
        <v>580</v>
      </c>
      <c r="P516" s="66">
        <v>43617</v>
      </c>
    </row>
    <row r="517" spans="1:16" ht="12.75" customHeight="1">
      <c r="A517" s="13">
        <f t="shared" si="13"/>
        <v>498</v>
      </c>
      <c r="B517" s="52" t="s">
        <v>656</v>
      </c>
      <c r="C517" s="14" t="s">
        <v>93</v>
      </c>
      <c r="D517" s="15" t="s">
        <v>94</v>
      </c>
      <c r="E517" s="14" t="s">
        <v>19</v>
      </c>
      <c r="F517" s="31" t="s">
        <v>872</v>
      </c>
      <c r="G517" s="26" t="s">
        <v>22</v>
      </c>
      <c r="H517" s="35" t="s">
        <v>873</v>
      </c>
      <c r="I517" s="85"/>
      <c r="J517" s="140" t="s">
        <v>737</v>
      </c>
      <c r="K517" s="137"/>
      <c r="L517" s="34">
        <v>24414.97</v>
      </c>
      <c r="M517" s="84"/>
      <c r="N517" s="99" t="s">
        <v>642</v>
      </c>
      <c r="O517" s="68">
        <v>580</v>
      </c>
      <c r="P517" s="66">
        <v>43709</v>
      </c>
    </row>
    <row r="518" spans="1:16" ht="12.75" customHeight="1">
      <c r="A518" s="13">
        <f t="shared" si="13"/>
        <v>499</v>
      </c>
      <c r="B518" s="52" t="s">
        <v>656</v>
      </c>
      <c r="C518" s="14" t="s">
        <v>93</v>
      </c>
      <c r="D518" s="24" t="s">
        <v>1001</v>
      </c>
      <c r="E518" s="23" t="s">
        <v>19</v>
      </c>
      <c r="F518" s="31" t="s">
        <v>1003</v>
      </c>
      <c r="G518" s="26"/>
      <c r="H518" s="35"/>
      <c r="I518" s="85">
        <v>28707.919999999998</v>
      </c>
      <c r="J518" s="140"/>
      <c r="K518" s="137"/>
      <c r="L518" s="34"/>
      <c r="M518" s="84">
        <v>18311.98</v>
      </c>
      <c r="N518" s="99" t="s">
        <v>642</v>
      </c>
      <c r="O518" s="68"/>
      <c r="P518" s="66">
        <v>44562</v>
      </c>
    </row>
    <row r="519" spans="1:16" ht="12.75" customHeight="1">
      <c r="A519" s="13">
        <f t="shared" si="13"/>
        <v>500</v>
      </c>
      <c r="B519" s="52" t="s">
        <v>1002</v>
      </c>
      <c r="C519" s="14" t="s">
        <v>93</v>
      </c>
      <c r="D519" s="24" t="s">
        <v>1001</v>
      </c>
      <c r="E519" s="23" t="s">
        <v>19</v>
      </c>
      <c r="F519" s="46" t="s">
        <v>977</v>
      </c>
      <c r="G519" s="26"/>
      <c r="H519" s="35"/>
      <c r="I519" s="85">
        <v>50749.95</v>
      </c>
      <c r="J519" s="140"/>
      <c r="K519" s="137"/>
      <c r="L519" s="34"/>
      <c r="M519" s="84"/>
      <c r="N519" s="99" t="s">
        <v>642</v>
      </c>
      <c r="O519" s="68"/>
      <c r="P519" s="66">
        <v>44562</v>
      </c>
    </row>
    <row r="520" spans="1:16" ht="12.75" customHeight="1">
      <c r="A520" s="13">
        <f t="shared" si="13"/>
        <v>501</v>
      </c>
      <c r="B520" s="52" t="s">
        <v>656</v>
      </c>
      <c r="C520" s="14" t="s">
        <v>93</v>
      </c>
      <c r="D520" s="15" t="s">
        <v>94</v>
      </c>
      <c r="E520" s="14" t="s">
        <v>19</v>
      </c>
      <c r="F520" s="31" t="s">
        <v>891</v>
      </c>
      <c r="G520" s="26" t="s">
        <v>22</v>
      </c>
      <c r="H520" s="35"/>
      <c r="I520" s="85">
        <v>1680.24</v>
      </c>
      <c r="J520" s="140"/>
      <c r="K520" s="137">
        <v>4170.3100000000004</v>
      </c>
      <c r="L520" s="34"/>
      <c r="M520" s="84"/>
      <c r="N520" s="99" t="s">
        <v>642</v>
      </c>
      <c r="O520" s="68"/>
      <c r="P520" s="66">
        <v>43891</v>
      </c>
    </row>
    <row r="521" spans="1:16" ht="12.75" customHeight="1">
      <c r="A521" s="13">
        <f t="shared" si="13"/>
        <v>502</v>
      </c>
      <c r="B521" s="52" t="s">
        <v>656</v>
      </c>
      <c r="C521" s="14" t="s">
        <v>895</v>
      </c>
      <c r="D521" s="15" t="s">
        <v>94</v>
      </c>
      <c r="E521" s="14" t="s">
        <v>19</v>
      </c>
      <c r="F521" s="31" t="s">
        <v>896</v>
      </c>
      <c r="G521" s="26" t="s">
        <v>22</v>
      </c>
      <c r="H521" s="35"/>
      <c r="I521" s="85">
        <v>1622.56</v>
      </c>
      <c r="J521" s="140"/>
      <c r="K521" s="137">
        <v>4170.3100000000004</v>
      </c>
      <c r="L521" s="34"/>
      <c r="M521" s="84"/>
      <c r="N521" s="99" t="s">
        <v>642</v>
      </c>
      <c r="O521" s="68"/>
      <c r="P521" s="66">
        <v>43770</v>
      </c>
    </row>
    <row r="522" spans="1:16" ht="12.75" customHeight="1">
      <c r="A522" s="13">
        <f t="shared" si="13"/>
        <v>503</v>
      </c>
      <c r="B522" s="52" t="s">
        <v>656</v>
      </c>
      <c r="C522" s="14" t="s">
        <v>895</v>
      </c>
      <c r="D522" s="15" t="s">
        <v>94</v>
      </c>
      <c r="E522" s="14" t="s">
        <v>19</v>
      </c>
      <c r="F522" s="31" t="s">
        <v>897</v>
      </c>
      <c r="G522" s="26" t="s">
        <v>22</v>
      </c>
      <c r="H522" s="35"/>
      <c r="I522" s="85">
        <v>2051.15</v>
      </c>
      <c r="J522" s="140"/>
      <c r="K522" s="137">
        <v>4170.3100000000004</v>
      </c>
      <c r="L522" s="34"/>
      <c r="M522" s="84"/>
      <c r="N522" s="99" t="s">
        <v>642</v>
      </c>
      <c r="O522" s="68"/>
      <c r="P522" s="66">
        <v>43770</v>
      </c>
    </row>
    <row r="523" spans="1:16" ht="12.75" customHeight="1">
      <c r="A523" s="13">
        <f t="shared" si="13"/>
        <v>504</v>
      </c>
      <c r="B523" s="52" t="s">
        <v>656</v>
      </c>
      <c r="C523" s="14" t="s">
        <v>895</v>
      </c>
      <c r="D523" s="15" t="s">
        <v>94</v>
      </c>
      <c r="E523" s="14" t="s">
        <v>19</v>
      </c>
      <c r="F523" s="31" t="s">
        <v>898</v>
      </c>
      <c r="G523" s="26" t="s">
        <v>22</v>
      </c>
      <c r="H523" s="35"/>
      <c r="I523" s="85">
        <v>1872.54</v>
      </c>
      <c r="J523" s="140"/>
      <c r="K523" s="137">
        <v>4170.3100000000004</v>
      </c>
      <c r="L523" s="34"/>
      <c r="M523" s="84"/>
      <c r="N523" s="99" t="s">
        <v>642</v>
      </c>
      <c r="O523" s="68"/>
      <c r="P523" s="66">
        <v>43770</v>
      </c>
    </row>
    <row r="524" spans="1:16" ht="12.75" customHeight="1">
      <c r="A524" s="13">
        <f t="shared" si="13"/>
        <v>505</v>
      </c>
      <c r="B524" s="52" t="s">
        <v>1002</v>
      </c>
      <c r="C524" s="14" t="s">
        <v>93</v>
      </c>
      <c r="D524" s="24" t="s">
        <v>1001</v>
      </c>
      <c r="E524" s="23" t="s">
        <v>19</v>
      </c>
      <c r="F524" s="46" t="s">
        <v>977</v>
      </c>
      <c r="G524" s="26"/>
      <c r="H524" s="35"/>
      <c r="I524" s="85">
        <v>51635.15</v>
      </c>
      <c r="J524" s="140"/>
      <c r="K524" s="137"/>
      <c r="L524" s="34"/>
      <c r="M524" s="84"/>
      <c r="N524" s="99" t="s">
        <v>642</v>
      </c>
      <c r="O524" s="68"/>
      <c r="P524" s="66">
        <v>44713</v>
      </c>
    </row>
    <row r="525" spans="1:16" ht="12.75" customHeight="1">
      <c r="A525" s="13">
        <f t="shared" si="13"/>
        <v>506</v>
      </c>
      <c r="B525" s="52" t="s">
        <v>656</v>
      </c>
      <c r="C525" s="14" t="s">
        <v>895</v>
      </c>
      <c r="D525" s="15" t="s">
        <v>94</v>
      </c>
      <c r="E525" s="14" t="s">
        <v>19</v>
      </c>
      <c r="F525" s="31"/>
      <c r="G525" s="26"/>
      <c r="H525" s="35"/>
      <c r="I525" s="85">
        <v>28707.919999999998</v>
      </c>
      <c r="J525" s="140"/>
      <c r="K525" s="137"/>
      <c r="L525" s="34"/>
      <c r="M525" s="84"/>
      <c r="N525" s="99" t="s">
        <v>642</v>
      </c>
      <c r="O525" s="68"/>
      <c r="P525" s="66">
        <v>44713</v>
      </c>
    </row>
    <row r="526" spans="1:16" ht="12.75" customHeight="1">
      <c r="A526" s="13">
        <f t="shared" si="13"/>
        <v>507</v>
      </c>
      <c r="B526" s="52" t="s">
        <v>656</v>
      </c>
      <c r="C526" s="14" t="s">
        <v>895</v>
      </c>
      <c r="D526" s="15" t="s">
        <v>94</v>
      </c>
      <c r="E526" s="14" t="s">
        <v>19</v>
      </c>
      <c r="F526" s="31"/>
      <c r="G526" s="26"/>
      <c r="H526" s="35"/>
      <c r="I526" s="85">
        <v>43023.81</v>
      </c>
      <c r="J526" s="140"/>
      <c r="K526" s="137"/>
      <c r="L526" s="34">
        <v>25516.21</v>
      </c>
      <c r="M526" s="84"/>
      <c r="N526" s="99" t="s">
        <v>642</v>
      </c>
      <c r="O526" s="68"/>
      <c r="P526" s="66">
        <v>45017</v>
      </c>
    </row>
    <row r="527" spans="1:16" ht="12.75" customHeight="1">
      <c r="A527" s="13">
        <f t="shared" si="13"/>
        <v>508</v>
      </c>
      <c r="B527" s="52" t="s">
        <v>1002</v>
      </c>
      <c r="C527" s="14" t="s">
        <v>93</v>
      </c>
      <c r="D527" s="24" t="s">
        <v>1001</v>
      </c>
      <c r="E527" s="14" t="s">
        <v>19</v>
      </c>
      <c r="F527" s="46" t="s">
        <v>977</v>
      </c>
      <c r="G527" s="26"/>
      <c r="H527" s="35"/>
      <c r="I527" s="85">
        <v>53081.43</v>
      </c>
      <c r="J527" s="140"/>
      <c r="K527" s="137"/>
      <c r="L527" s="34"/>
      <c r="M527" s="84"/>
      <c r="N527" s="99" t="s">
        <v>642</v>
      </c>
      <c r="O527" s="68"/>
      <c r="P527" s="66">
        <v>45017</v>
      </c>
    </row>
    <row r="528" spans="1:16" ht="12.75" customHeight="1">
      <c r="A528" s="13">
        <f t="shared" si="13"/>
        <v>509</v>
      </c>
      <c r="B528" s="180" t="s">
        <v>656</v>
      </c>
      <c r="C528" s="14" t="s">
        <v>895</v>
      </c>
      <c r="D528" s="24" t="s">
        <v>94</v>
      </c>
      <c r="E528" s="14" t="s">
        <v>19</v>
      </c>
      <c r="F528" s="46"/>
      <c r="G528" s="26"/>
      <c r="H528" s="35"/>
      <c r="I528" s="85">
        <v>43135.71</v>
      </c>
      <c r="J528" s="140"/>
      <c r="K528" s="137"/>
      <c r="L528" s="34">
        <v>25628.1</v>
      </c>
      <c r="M528" s="84"/>
      <c r="N528" s="157" t="s">
        <v>1163</v>
      </c>
      <c r="O528" s="68"/>
      <c r="P528" s="66">
        <v>45352</v>
      </c>
    </row>
    <row r="529" spans="1:16" ht="12.75" customHeight="1">
      <c r="A529" s="13">
        <f t="shared" si="13"/>
        <v>510</v>
      </c>
      <c r="B529" s="156" t="s">
        <v>656</v>
      </c>
      <c r="C529" s="14" t="s">
        <v>895</v>
      </c>
      <c r="D529" s="24" t="s">
        <v>94</v>
      </c>
      <c r="E529" s="14" t="s">
        <v>19</v>
      </c>
      <c r="F529" s="46"/>
      <c r="G529" s="26"/>
      <c r="H529" s="35"/>
      <c r="I529" s="85">
        <v>47413.38</v>
      </c>
      <c r="J529" s="140"/>
      <c r="K529" s="137"/>
      <c r="L529" s="34"/>
      <c r="M529" s="84"/>
      <c r="N529" s="157" t="s">
        <v>1163</v>
      </c>
      <c r="O529" s="68"/>
      <c r="P529" s="66">
        <v>45689</v>
      </c>
    </row>
    <row r="530" spans="1:16" ht="12.75" customHeight="1">
      <c r="A530" s="13">
        <f t="shared" si="13"/>
        <v>511</v>
      </c>
      <c r="B530" s="180" t="s">
        <v>1002</v>
      </c>
      <c r="C530" s="14" t="s">
        <v>93</v>
      </c>
      <c r="D530" s="24" t="s">
        <v>1001</v>
      </c>
      <c r="E530" s="14" t="s">
        <v>19</v>
      </c>
      <c r="F530" s="46" t="s">
        <v>977</v>
      </c>
      <c r="G530" s="26"/>
      <c r="H530" s="35"/>
      <c r="I530" s="85">
        <v>75925.87</v>
      </c>
      <c r="J530" s="140"/>
      <c r="K530" s="137"/>
      <c r="L530" s="34"/>
      <c r="M530" s="84"/>
      <c r="N530" s="157" t="s">
        <v>1163</v>
      </c>
      <c r="O530" s="68"/>
      <c r="P530" s="66">
        <v>45352</v>
      </c>
    </row>
    <row r="531" spans="1:16" ht="12.75" customHeight="1">
      <c r="A531" s="13">
        <f t="shared" si="13"/>
        <v>512</v>
      </c>
      <c r="B531" s="156" t="s">
        <v>1002</v>
      </c>
      <c r="C531" s="14" t="s">
        <v>93</v>
      </c>
      <c r="D531" s="24" t="s">
        <v>1001</v>
      </c>
      <c r="E531" s="14" t="s">
        <v>19</v>
      </c>
      <c r="F531" s="46" t="s">
        <v>977</v>
      </c>
      <c r="G531" s="26"/>
      <c r="H531" s="35"/>
      <c r="I531" s="85">
        <v>82695.850000000006</v>
      </c>
      <c r="J531" s="140"/>
      <c r="K531" s="137"/>
      <c r="L531" s="34"/>
      <c r="M531" s="84"/>
      <c r="N531" s="157" t="s">
        <v>1163</v>
      </c>
      <c r="O531" s="68"/>
      <c r="P531" s="66">
        <v>45689</v>
      </c>
    </row>
    <row r="532" spans="1:16" ht="12.75" customHeight="1">
      <c r="A532" s="13">
        <f t="shared" si="13"/>
        <v>513</v>
      </c>
      <c r="B532" s="52" t="s">
        <v>657</v>
      </c>
      <c r="C532" s="14" t="s">
        <v>95</v>
      </c>
      <c r="D532" s="15" t="s">
        <v>76</v>
      </c>
      <c r="E532" s="14" t="s">
        <v>19</v>
      </c>
      <c r="F532" s="31" t="s">
        <v>691</v>
      </c>
      <c r="G532" s="26" t="s">
        <v>22</v>
      </c>
      <c r="H532" s="35" t="s">
        <v>739</v>
      </c>
      <c r="I532" s="85"/>
      <c r="J532" s="140" t="s">
        <v>740</v>
      </c>
      <c r="K532" s="137"/>
      <c r="L532" s="34">
        <v>24414.97</v>
      </c>
      <c r="M532" s="84"/>
      <c r="N532" s="99" t="s">
        <v>642</v>
      </c>
      <c r="O532" s="68">
        <v>580</v>
      </c>
      <c r="P532" s="66">
        <v>43228</v>
      </c>
    </row>
    <row r="533" spans="1:16" ht="12.75" customHeight="1">
      <c r="A533" s="13">
        <f t="shared" si="13"/>
        <v>514</v>
      </c>
      <c r="B533" s="32" t="s">
        <v>657</v>
      </c>
      <c r="C533" s="23" t="s">
        <v>895</v>
      </c>
      <c r="D533" s="24" t="s">
        <v>974</v>
      </c>
      <c r="E533" s="23" t="s">
        <v>19</v>
      </c>
      <c r="F533" s="31" t="s">
        <v>1003</v>
      </c>
      <c r="G533" s="26"/>
      <c r="H533" s="35"/>
      <c r="I533" s="85">
        <v>28083.7</v>
      </c>
      <c r="J533" s="140"/>
      <c r="K533" s="137"/>
      <c r="L533" s="34"/>
      <c r="M533" s="84">
        <v>18311.98</v>
      </c>
      <c r="N533" s="99" t="s">
        <v>642</v>
      </c>
      <c r="O533" s="68"/>
      <c r="P533" s="66">
        <v>44562</v>
      </c>
    </row>
    <row r="534" spans="1:16" ht="12.75" customHeight="1">
      <c r="A534" s="13">
        <f t="shared" si="13"/>
        <v>515</v>
      </c>
      <c r="B534" s="32" t="s">
        <v>1005</v>
      </c>
      <c r="C534" s="23" t="s">
        <v>895</v>
      </c>
      <c r="D534" s="24" t="s">
        <v>974</v>
      </c>
      <c r="E534" s="23" t="s">
        <v>19</v>
      </c>
      <c r="F534" s="46" t="s">
        <v>977</v>
      </c>
      <c r="G534" s="26"/>
      <c r="H534" s="35"/>
      <c r="I534" s="85">
        <v>50749.95</v>
      </c>
      <c r="J534" s="140"/>
      <c r="K534" s="137"/>
      <c r="L534" s="34"/>
      <c r="M534" s="84"/>
      <c r="N534" s="99" t="s">
        <v>642</v>
      </c>
      <c r="O534" s="68"/>
      <c r="P534" s="66">
        <v>44562</v>
      </c>
    </row>
    <row r="535" spans="1:16" ht="12.75" customHeight="1">
      <c r="A535" s="13">
        <f t="shared" si="13"/>
        <v>516</v>
      </c>
      <c r="B535" s="32" t="s">
        <v>657</v>
      </c>
      <c r="C535" s="23" t="s">
        <v>895</v>
      </c>
      <c r="D535" s="24" t="s">
        <v>974</v>
      </c>
      <c r="E535" s="23" t="s">
        <v>19</v>
      </c>
      <c r="F535" s="31" t="s">
        <v>1003</v>
      </c>
      <c r="G535" s="26"/>
      <c r="H535" s="35"/>
      <c r="I535" s="85">
        <v>28083.7</v>
      </c>
      <c r="J535" s="140"/>
      <c r="K535" s="137"/>
      <c r="L535" s="34"/>
      <c r="M535" s="84"/>
      <c r="N535" s="99" t="s">
        <v>642</v>
      </c>
      <c r="O535" s="68"/>
      <c r="P535" s="66">
        <v>44713</v>
      </c>
    </row>
    <row r="536" spans="1:16" ht="12.75" customHeight="1">
      <c r="A536" s="13">
        <f t="shared" si="13"/>
        <v>517</v>
      </c>
      <c r="B536" s="32" t="s">
        <v>1005</v>
      </c>
      <c r="C536" s="23" t="s">
        <v>895</v>
      </c>
      <c r="D536" s="24" t="s">
        <v>974</v>
      </c>
      <c r="E536" s="23" t="s">
        <v>19</v>
      </c>
      <c r="F536" s="46" t="s">
        <v>977</v>
      </c>
      <c r="G536" s="26"/>
      <c r="H536" s="35"/>
      <c r="I536" s="85">
        <v>51635.15</v>
      </c>
      <c r="J536" s="140"/>
      <c r="K536" s="137"/>
      <c r="L536" s="34"/>
      <c r="M536" s="84"/>
      <c r="N536" s="99" t="s">
        <v>642</v>
      </c>
      <c r="O536" s="68"/>
      <c r="P536" s="66">
        <v>44713</v>
      </c>
    </row>
    <row r="537" spans="1:16" ht="12.75" customHeight="1">
      <c r="A537" s="13">
        <f t="shared" si="13"/>
        <v>518</v>
      </c>
      <c r="B537" s="32" t="s">
        <v>657</v>
      </c>
      <c r="C537" s="23" t="s">
        <v>895</v>
      </c>
      <c r="D537" s="24" t="s">
        <v>974</v>
      </c>
      <c r="E537" s="23" t="s">
        <v>19</v>
      </c>
      <c r="F537" s="31" t="s">
        <v>1003</v>
      </c>
      <c r="G537" s="26"/>
      <c r="H537" s="35"/>
      <c r="I537" s="85">
        <v>28083.7</v>
      </c>
      <c r="J537" s="140"/>
      <c r="K537" s="137"/>
      <c r="L537" s="34"/>
      <c r="M537" s="84">
        <v>25516.21</v>
      </c>
      <c r="N537" s="99" t="s">
        <v>642</v>
      </c>
      <c r="O537" s="68"/>
      <c r="P537" s="66">
        <v>45017</v>
      </c>
    </row>
    <row r="538" spans="1:16" ht="12.75" customHeight="1">
      <c r="A538" s="13">
        <f t="shared" si="13"/>
        <v>519</v>
      </c>
      <c r="B538" s="32" t="s">
        <v>1005</v>
      </c>
      <c r="C538" s="23" t="s">
        <v>895</v>
      </c>
      <c r="D538" s="24" t="s">
        <v>974</v>
      </c>
      <c r="E538" s="23" t="s">
        <v>19</v>
      </c>
      <c r="F538" s="46" t="s">
        <v>977</v>
      </c>
      <c r="G538" s="26"/>
      <c r="H538" s="35"/>
      <c r="I538" s="85">
        <v>53081.43</v>
      </c>
      <c r="J538" s="140"/>
      <c r="K538" s="137"/>
      <c r="L538" s="34"/>
      <c r="M538" s="84"/>
      <c r="N538" s="99" t="s">
        <v>642</v>
      </c>
      <c r="O538" s="68"/>
      <c r="P538" s="66">
        <v>45017</v>
      </c>
    </row>
    <row r="539" spans="1:16" ht="12.75" customHeight="1">
      <c r="A539" s="13">
        <f t="shared" si="13"/>
        <v>520</v>
      </c>
      <c r="B539" s="180" t="s">
        <v>657</v>
      </c>
      <c r="C539" s="23" t="s">
        <v>895</v>
      </c>
      <c r="D539" s="24" t="s">
        <v>974</v>
      </c>
      <c r="E539" s="23" t="s">
        <v>19</v>
      </c>
      <c r="F539" s="31" t="s">
        <v>1003</v>
      </c>
      <c r="G539" s="26"/>
      <c r="H539" s="35"/>
      <c r="I539" s="85">
        <v>28195.599999999999</v>
      </c>
      <c r="J539" s="140"/>
      <c r="K539" s="137"/>
      <c r="L539" s="34"/>
      <c r="M539" s="84">
        <v>25628.1</v>
      </c>
      <c r="N539" s="157" t="s">
        <v>1163</v>
      </c>
      <c r="O539" s="68"/>
      <c r="P539" s="66">
        <v>45352</v>
      </c>
    </row>
    <row r="540" spans="1:16" ht="12.75" customHeight="1">
      <c r="A540" s="13">
        <f t="shared" si="13"/>
        <v>521</v>
      </c>
      <c r="B540" s="156" t="s">
        <v>657</v>
      </c>
      <c r="C540" s="23" t="s">
        <v>895</v>
      </c>
      <c r="D540" s="24" t="s">
        <v>974</v>
      </c>
      <c r="E540" s="23" t="s">
        <v>19</v>
      </c>
      <c r="F540" s="31" t="s">
        <v>1003</v>
      </c>
      <c r="G540" s="26"/>
      <c r="H540" s="35"/>
      <c r="I540" s="85">
        <v>28155.040000000001</v>
      </c>
      <c r="J540" s="140"/>
      <c r="K540" s="137"/>
      <c r="L540" s="34"/>
      <c r="M540" s="84"/>
      <c r="N540" s="157" t="s">
        <v>1163</v>
      </c>
      <c r="O540" s="68"/>
      <c r="P540" s="66">
        <v>45689</v>
      </c>
    </row>
    <row r="541" spans="1:16" ht="12.75" customHeight="1">
      <c r="A541" s="13">
        <f t="shared" si="13"/>
        <v>522</v>
      </c>
      <c r="B541" s="156" t="s">
        <v>1005</v>
      </c>
      <c r="C541" s="23" t="s">
        <v>895</v>
      </c>
      <c r="D541" s="24" t="s">
        <v>974</v>
      </c>
      <c r="E541" s="23" t="s">
        <v>19</v>
      </c>
      <c r="F541" s="46" t="s">
        <v>977</v>
      </c>
      <c r="G541" s="26"/>
      <c r="H541" s="35"/>
      <c r="I541" s="85">
        <v>75925.87</v>
      </c>
      <c r="J541" s="140"/>
      <c r="K541" s="137"/>
      <c r="L541" s="34"/>
      <c r="M541" s="84"/>
      <c r="N541" s="157" t="s">
        <v>1163</v>
      </c>
      <c r="O541" s="68"/>
      <c r="P541" s="66">
        <v>45352</v>
      </c>
    </row>
    <row r="542" spans="1:16" ht="12.75" customHeight="1">
      <c r="A542" s="13">
        <f t="shared" si="13"/>
        <v>523</v>
      </c>
      <c r="B542" s="156" t="s">
        <v>1005</v>
      </c>
      <c r="C542" s="23" t="s">
        <v>895</v>
      </c>
      <c r="D542" s="24" t="s">
        <v>974</v>
      </c>
      <c r="E542" s="23" t="s">
        <v>19</v>
      </c>
      <c r="F542" s="46" t="s">
        <v>977</v>
      </c>
      <c r="G542" s="26"/>
      <c r="H542" s="35"/>
      <c r="I542" s="85">
        <v>82695.850000000006</v>
      </c>
      <c r="J542" s="140"/>
      <c r="K542" s="137"/>
      <c r="L542" s="34"/>
      <c r="M542" s="84"/>
      <c r="N542" s="157" t="s">
        <v>1163</v>
      </c>
      <c r="O542" s="68"/>
      <c r="P542" s="66">
        <v>45689</v>
      </c>
    </row>
    <row r="543" spans="1:16" ht="12.75" customHeight="1">
      <c r="A543" s="13">
        <f t="shared" si="13"/>
        <v>524</v>
      </c>
      <c r="B543" s="32" t="s">
        <v>1086</v>
      </c>
      <c r="C543" s="23" t="s">
        <v>1088</v>
      </c>
      <c r="D543" s="24" t="s">
        <v>1089</v>
      </c>
      <c r="E543" s="23" t="s">
        <v>19</v>
      </c>
      <c r="F543" s="46">
        <v>20</v>
      </c>
      <c r="G543" s="26">
        <v>10</v>
      </c>
      <c r="H543" s="35"/>
      <c r="I543" s="85">
        <v>1403.92</v>
      </c>
      <c r="J543" s="140"/>
      <c r="K543" s="137">
        <v>2234.38</v>
      </c>
      <c r="L543" s="34"/>
      <c r="M543" s="84"/>
      <c r="N543" s="157" t="s">
        <v>643</v>
      </c>
      <c r="O543" s="68"/>
      <c r="P543" s="66">
        <v>44562</v>
      </c>
    </row>
    <row r="544" spans="1:16" ht="12.75" customHeight="1">
      <c r="A544" s="13">
        <f t="shared" si="13"/>
        <v>525</v>
      </c>
      <c r="B544" s="32" t="s">
        <v>1087</v>
      </c>
      <c r="C544" s="23" t="s">
        <v>1089</v>
      </c>
      <c r="D544" s="24" t="s">
        <v>1089</v>
      </c>
      <c r="E544" s="23" t="s">
        <v>19</v>
      </c>
      <c r="F544" s="46" t="s">
        <v>977</v>
      </c>
      <c r="G544" s="26"/>
      <c r="H544" s="35"/>
      <c r="I544" s="85">
        <v>51811.67</v>
      </c>
      <c r="J544" s="140"/>
      <c r="K544" s="137"/>
      <c r="L544" s="34"/>
      <c r="M544" s="84"/>
      <c r="N544" s="157" t="s">
        <v>643</v>
      </c>
      <c r="O544" s="68"/>
      <c r="P544" s="66">
        <v>44562</v>
      </c>
    </row>
    <row r="545" spans="1:16" ht="12.75" customHeight="1">
      <c r="A545" s="13">
        <f t="shared" si="13"/>
        <v>526</v>
      </c>
      <c r="B545" s="32" t="s">
        <v>1086</v>
      </c>
      <c r="C545" s="32" t="s">
        <v>1088</v>
      </c>
      <c r="D545" s="24" t="s">
        <v>1089</v>
      </c>
      <c r="E545" s="23" t="s">
        <v>19</v>
      </c>
      <c r="F545" s="46">
        <v>20</v>
      </c>
      <c r="G545" s="26">
        <v>10</v>
      </c>
      <c r="H545" s="35"/>
      <c r="I545" s="85">
        <v>1549.4</v>
      </c>
      <c r="J545" s="140"/>
      <c r="K545" s="137">
        <v>2469.17</v>
      </c>
      <c r="L545" s="34"/>
      <c r="M545" s="84"/>
      <c r="N545" s="157" t="s">
        <v>643</v>
      </c>
      <c r="O545" s="68"/>
      <c r="P545" s="66">
        <v>45078</v>
      </c>
    </row>
    <row r="546" spans="1:16" ht="12.75" customHeight="1">
      <c r="A546" s="13">
        <f t="shared" si="13"/>
        <v>527</v>
      </c>
      <c r="B546" s="32" t="s">
        <v>1087</v>
      </c>
      <c r="C546" s="32" t="s">
        <v>1089</v>
      </c>
      <c r="D546" s="24" t="s">
        <v>1089</v>
      </c>
      <c r="E546" s="23" t="s">
        <v>19</v>
      </c>
      <c r="F546" s="46" t="s">
        <v>977</v>
      </c>
      <c r="G546" s="26"/>
      <c r="H546" s="35"/>
      <c r="I546" s="85">
        <v>52380.37</v>
      </c>
      <c r="J546" s="140"/>
      <c r="K546" s="137"/>
      <c r="L546" s="34"/>
      <c r="M546" s="84"/>
      <c r="N546" s="157" t="s">
        <v>643</v>
      </c>
      <c r="O546" s="68"/>
      <c r="P546" s="66">
        <v>45078</v>
      </c>
    </row>
    <row r="547" spans="1:16" ht="12.75" customHeight="1">
      <c r="A547" s="13">
        <f t="shared" si="13"/>
        <v>528</v>
      </c>
      <c r="B547" s="32" t="s">
        <v>1086</v>
      </c>
      <c r="C547" s="32" t="s">
        <v>1088</v>
      </c>
      <c r="D547" s="24" t="s">
        <v>1089</v>
      </c>
      <c r="E547" s="23" t="s">
        <v>19</v>
      </c>
      <c r="F547" s="46">
        <v>20</v>
      </c>
      <c r="G547" s="26">
        <v>10</v>
      </c>
      <c r="H547" s="35"/>
      <c r="I547" s="85">
        <v>1782.4</v>
      </c>
      <c r="J547" s="140"/>
      <c r="K547" s="137">
        <v>2840.58</v>
      </c>
      <c r="L547" s="34"/>
      <c r="M547" s="84">
        <v>21163.65</v>
      </c>
      <c r="N547" s="157" t="s">
        <v>643</v>
      </c>
      <c r="O547" s="68"/>
      <c r="P547" s="66">
        <v>45352</v>
      </c>
    </row>
    <row r="548" spans="1:16" ht="12.75" customHeight="1">
      <c r="A548" s="13">
        <f t="shared" si="13"/>
        <v>529</v>
      </c>
      <c r="B548" s="32" t="s">
        <v>1086</v>
      </c>
      <c r="C548" s="32" t="s">
        <v>1088</v>
      </c>
      <c r="D548" s="24" t="s">
        <v>1089</v>
      </c>
      <c r="E548" s="23" t="s">
        <v>19</v>
      </c>
      <c r="F548" s="46">
        <v>19</v>
      </c>
      <c r="G548" s="26">
        <v>11</v>
      </c>
      <c r="H548" s="35"/>
      <c r="I548" s="85">
        <v>1838.08</v>
      </c>
      <c r="J548" s="140"/>
      <c r="K548" s="137">
        <v>2648.17</v>
      </c>
      <c r="L548" s="34"/>
      <c r="M548" s="84"/>
      <c r="N548" s="157" t="s">
        <v>643</v>
      </c>
      <c r="O548" s="68"/>
      <c r="P548" s="66">
        <v>45352</v>
      </c>
    </row>
    <row r="549" spans="1:16" ht="12.75" customHeight="1">
      <c r="A549" s="13">
        <f t="shared" si="13"/>
        <v>530</v>
      </c>
      <c r="B549" s="32" t="s">
        <v>1086</v>
      </c>
      <c r="C549" s="32" t="s">
        <v>1088</v>
      </c>
      <c r="D549" s="24" t="s">
        <v>1089</v>
      </c>
      <c r="E549" s="23" t="s">
        <v>19</v>
      </c>
      <c r="F549" s="46">
        <v>18</v>
      </c>
      <c r="G549" s="26">
        <v>12</v>
      </c>
      <c r="H549" s="35"/>
      <c r="I549" s="85">
        <v>1899.98</v>
      </c>
      <c r="J549" s="140"/>
      <c r="K549" s="137">
        <v>2487.83</v>
      </c>
      <c r="L549" s="34"/>
      <c r="M549" s="84"/>
      <c r="N549" s="157" t="s">
        <v>643</v>
      </c>
      <c r="O549" s="68"/>
      <c r="P549" s="66">
        <v>45352</v>
      </c>
    </row>
    <row r="550" spans="1:16" ht="12.75" customHeight="1">
      <c r="A550" s="13">
        <f t="shared" si="13"/>
        <v>531</v>
      </c>
      <c r="B550" s="32" t="s">
        <v>1086</v>
      </c>
      <c r="C550" s="32" t="s">
        <v>1088</v>
      </c>
      <c r="D550" s="24" t="s">
        <v>1089</v>
      </c>
      <c r="E550" s="23" t="s">
        <v>19</v>
      </c>
      <c r="F550" s="46">
        <v>17</v>
      </c>
      <c r="G550" s="26">
        <v>13</v>
      </c>
      <c r="H550" s="35"/>
      <c r="I550" s="85">
        <v>1969.14</v>
      </c>
      <c r="J550" s="140"/>
      <c r="K550" s="137">
        <v>2352.19</v>
      </c>
      <c r="L550" s="34"/>
      <c r="M550" s="84"/>
      <c r="N550" s="157" t="s">
        <v>643</v>
      </c>
      <c r="O550" s="68"/>
      <c r="P550" s="66">
        <v>45352</v>
      </c>
    </row>
    <row r="551" spans="1:16" ht="12.75" customHeight="1">
      <c r="A551" s="13">
        <f t="shared" si="13"/>
        <v>532</v>
      </c>
      <c r="B551" s="32" t="s">
        <v>1086</v>
      </c>
      <c r="C551" s="32" t="s">
        <v>1088</v>
      </c>
      <c r="D551" s="24" t="s">
        <v>1089</v>
      </c>
      <c r="E551" s="23" t="s">
        <v>19</v>
      </c>
      <c r="F551" s="46">
        <v>16</v>
      </c>
      <c r="G551" s="26">
        <v>14</v>
      </c>
      <c r="H551" s="35"/>
      <c r="I551" s="85">
        <v>2046.96</v>
      </c>
      <c r="J551" s="140"/>
      <c r="K551" s="137">
        <v>2235.88</v>
      </c>
      <c r="L551" s="34"/>
      <c r="M551" s="84"/>
      <c r="N551" s="157" t="s">
        <v>643</v>
      </c>
      <c r="O551" s="68"/>
      <c r="P551" s="66">
        <v>45352</v>
      </c>
    </row>
    <row r="552" spans="1:16" ht="12.75" customHeight="1">
      <c r="A552" s="13">
        <f t="shared" si="13"/>
        <v>533</v>
      </c>
      <c r="B552" s="32" t="s">
        <v>1086</v>
      </c>
      <c r="C552" s="32" t="s">
        <v>1088</v>
      </c>
      <c r="D552" s="24" t="s">
        <v>1089</v>
      </c>
      <c r="E552" s="23" t="s">
        <v>19</v>
      </c>
      <c r="F552" s="46">
        <v>15</v>
      </c>
      <c r="G552" s="26"/>
      <c r="H552" s="35"/>
      <c r="I552" s="85">
        <v>2135.14</v>
      </c>
      <c r="J552" s="140"/>
      <c r="K552" s="137"/>
      <c r="L552" s="34"/>
      <c r="M552" s="84"/>
      <c r="N552" s="157" t="s">
        <v>643</v>
      </c>
      <c r="O552" s="68"/>
      <c r="P552" s="66">
        <v>45352</v>
      </c>
    </row>
    <row r="553" spans="1:16" ht="12.75" customHeight="1">
      <c r="A553" s="13">
        <f t="shared" si="13"/>
        <v>534</v>
      </c>
      <c r="B553" s="32" t="s">
        <v>1086</v>
      </c>
      <c r="C553" s="32" t="s">
        <v>1088</v>
      </c>
      <c r="D553" s="24" t="s">
        <v>1089</v>
      </c>
      <c r="E553" s="23" t="s">
        <v>19</v>
      </c>
      <c r="F553" s="46">
        <v>20</v>
      </c>
      <c r="G553" s="26">
        <v>10</v>
      </c>
      <c r="H553" s="35"/>
      <c r="I553" s="85">
        <v>2050.98</v>
      </c>
      <c r="J553" s="140"/>
      <c r="K553" s="137">
        <v>3268.41</v>
      </c>
      <c r="L553" s="34"/>
      <c r="M553" s="84">
        <v>24348.240000000002</v>
      </c>
      <c r="N553" s="157" t="s">
        <v>643</v>
      </c>
      <c r="O553" s="68"/>
      <c r="P553" s="66">
        <v>45689</v>
      </c>
    </row>
    <row r="554" spans="1:16" ht="12.75" customHeight="1">
      <c r="A554" s="13">
        <f t="shared" si="13"/>
        <v>535</v>
      </c>
      <c r="B554" s="32" t="s">
        <v>1086</v>
      </c>
      <c r="C554" s="32" t="s">
        <v>1088</v>
      </c>
      <c r="D554" s="24" t="s">
        <v>1089</v>
      </c>
      <c r="E554" s="23" t="s">
        <v>19</v>
      </c>
      <c r="F554" s="46">
        <v>19</v>
      </c>
      <c r="G554" s="26">
        <v>11</v>
      </c>
      <c r="H554" s="35"/>
      <c r="I554" s="85">
        <v>2115.09</v>
      </c>
      <c r="J554" s="140"/>
      <c r="K554" s="137">
        <v>3047.07</v>
      </c>
      <c r="L554" s="34"/>
      <c r="M554" s="84"/>
      <c r="N554" s="157" t="s">
        <v>643</v>
      </c>
      <c r="O554" s="68"/>
      <c r="P554" s="66">
        <v>45689</v>
      </c>
    </row>
    <row r="555" spans="1:16" ht="12.75" customHeight="1">
      <c r="A555" s="13">
        <f t="shared" si="13"/>
        <v>536</v>
      </c>
      <c r="B555" s="32" t="s">
        <v>1086</v>
      </c>
      <c r="C555" s="32" t="s">
        <v>1088</v>
      </c>
      <c r="D555" s="24" t="s">
        <v>1089</v>
      </c>
      <c r="E555" s="23" t="s">
        <v>19</v>
      </c>
      <c r="F555" s="46">
        <v>18</v>
      </c>
      <c r="G555" s="26">
        <v>12</v>
      </c>
      <c r="H555" s="35"/>
      <c r="I555" s="85">
        <v>2186.25</v>
      </c>
      <c r="J555" s="140"/>
      <c r="K555" s="137">
        <v>2862.59</v>
      </c>
      <c r="L555" s="34"/>
      <c r="M555" s="84"/>
      <c r="N555" s="157" t="s">
        <v>643</v>
      </c>
      <c r="O555" s="68"/>
      <c r="P555" s="66">
        <v>45689</v>
      </c>
    </row>
    <row r="556" spans="1:16" ht="12.75" customHeight="1">
      <c r="A556" s="13">
        <f t="shared" ref="A556:A619" si="14">A555+1</f>
        <v>537</v>
      </c>
      <c r="B556" s="32" t="s">
        <v>1086</v>
      </c>
      <c r="C556" s="32" t="s">
        <v>1088</v>
      </c>
      <c r="D556" s="24" t="s">
        <v>1089</v>
      </c>
      <c r="E556" s="23" t="s">
        <v>19</v>
      </c>
      <c r="F556" s="46">
        <v>17</v>
      </c>
      <c r="G556" s="26">
        <v>13</v>
      </c>
      <c r="H556" s="35"/>
      <c r="I556" s="85">
        <v>2265.83</v>
      </c>
      <c r="J556" s="140"/>
      <c r="K556" s="137">
        <v>2706.54</v>
      </c>
      <c r="L556" s="34"/>
      <c r="M556" s="84"/>
      <c r="N556" s="157" t="s">
        <v>643</v>
      </c>
      <c r="O556" s="68"/>
      <c r="P556" s="66">
        <v>45689</v>
      </c>
    </row>
    <row r="557" spans="1:16" ht="12.75" customHeight="1">
      <c r="A557" s="13">
        <f t="shared" si="14"/>
        <v>538</v>
      </c>
      <c r="B557" s="32" t="s">
        <v>1086</v>
      </c>
      <c r="C557" s="32" t="s">
        <v>1088</v>
      </c>
      <c r="D557" s="24" t="s">
        <v>1089</v>
      </c>
      <c r="E557" s="23" t="s">
        <v>19</v>
      </c>
      <c r="F557" s="46">
        <v>16</v>
      </c>
      <c r="G557" s="26">
        <v>14</v>
      </c>
      <c r="H557" s="35"/>
      <c r="I557" s="85">
        <v>2355.36</v>
      </c>
      <c r="J557" s="140"/>
      <c r="K557" s="137">
        <v>2572.75</v>
      </c>
      <c r="L557" s="34"/>
      <c r="M557" s="84"/>
      <c r="N557" s="157" t="s">
        <v>643</v>
      </c>
      <c r="O557" s="68"/>
      <c r="P557" s="66">
        <v>45689</v>
      </c>
    </row>
    <row r="558" spans="1:16" ht="12.75" customHeight="1">
      <c r="A558" s="13">
        <f t="shared" si="14"/>
        <v>539</v>
      </c>
      <c r="B558" s="32" t="s">
        <v>1086</v>
      </c>
      <c r="C558" s="32" t="s">
        <v>1088</v>
      </c>
      <c r="D558" s="24" t="s">
        <v>1089</v>
      </c>
      <c r="E558" s="23" t="s">
        <v>19</v>
      </c>
      <c r="F558" s="46">
        <v>15</v>
      </c>
      <c r="G558" s="26"/>
      <c r="H558" s="35"/>
      <c r="I558" s="85">
        <v>2456.81</v>
      </c>
      <c r="J558" s="140"/>
      <c r="K558" s="137"/>
      <c r="L558" s="34"/>
      <c r="M558" s="84"/>
      <c r="N558" s="157" t="s">
        <v>643</v>
      </c>
      <c r="O558" s="68"/>
      <c r="P558" s="66">
        <v>45689</v>
      </c>
    </row>
    <row r="559" spans="1:16" ht="12.75" customHeight="1">
      <c r="A559" s="13">
        <f t="shared" si="14"/>
        <v>540</v>
      </c>
      <c r="B559" s="32" t="s">
        <v>1087</v>
      </c>
      <c r="C559" s="32" t="s">
        <v>1089</v>
      </c>
      <c r="D559" s="24" t="s">
        <v>1089</v>
      </c>
      <c r="E559" s="23" t="s">
        <v>19</v>
      </c>
      <c r="F559" s="46" t="s">
        <v>977</v>
      </c>
      <c r="G559" s="26"/>
      <c r="H559" s="35"/>
      <c r="I559" s="85">
        <v>73835.16</v>
      </c>
      <c r="J559" s="140"/>
      <c r="K559" s="137"/>
      <c r="L559" s="34"/>
      <c r="M559" s="84"/>
      <c r="N559" s="157" t="s">
        <v>643</v>
      </c>
      <c r="O559" s="68"/>
      <c r="P559" s="66">
        <v>45352</v>
      </c>
    </row>
    <row r="560" spans="1:16" ht="12.75" customHeight="1">
      <c r="A560" s="13">
        <f t="shared" si="14"/>
        <v>541</v>
      </c>
      <c r="B560" s="32" t="s">
        <v>1087</v>
      </c>
      <c r="C560" s="32" t="s">
        <v>1089</v>
      </c>
      <c r="D560" s="24" t="s">
        <v>1089</v>
      </c>
      <c r="E560" s="23" t="s">
        <v>19</v>
      </c>
      <c r="F560" s="46" t="s">
        <v>977</v>
      </c>
      <c r="G560" s="26"/>
      <c r="H560" s="35"/>
      <c r="I560" s="85">
        <v>84913.13</v>
      </c>
      <c r="J560" s="140"/>
      <c r="K560" s="137"/>
      <c r="L560" s="34"/>
      <c r="M560" s="84"/>
      <c r="N560" s="157" t="s">
        <v>643</v>
      </c>
      <c r="O560" s="68"/>
      <c r="P560" s="66">
        <v>45689</v>
      </c>
    </row>
    <row r="561" spans="1:16" ht="12.75" customHeight="1">
      <c r="A561" s="13">
        <f t="shared" si="14"/>
        <v>542</v>
      </c>
      <c r="B561" s="156" t="s">
        <v>1086</v>
      </c>
      <c r="C561" s="32" t="s">
        <v>1088</v>
      </c>
      <c r="D561" s="24" t="s">
        <v>1089</v>
      </c>
      <c r="E561" s="23" t="s">
        <v>19</v>
      </c>
      <c r="F561" s="46">
        <v>20</v>
      </c>
      <c r="G561" s="26">
        <v>10</v>
      </c>
      <c r="H561" s="35"/>
      <c r="I561" s="85">
        <v>2250.27</v>
      </c>
      <c r="J561" s="140"/>
      <c r="K561" s="137">
        <v>3587.12</v>
      </c>
      <c r="L561" s="34"/>
      <c r="M561" s="84">
        <v>26737.26</v>
      </c>
      <c r="N561" s="157" t="s">
        <v>643</v>
      </c>
      <c r="O561" s="68"/>
      <c r="P561" s="193">
        <v>46082</v>
      </c>
    </row>
    <row r="562" spans="1:16" ht="12.75" customHeight="1">
      <c r="A562" s="13">
        <f t="shared" si="14"/>
        <v>543</v>
      </c>
      <c r="B562" s="156" t="s">
        <v>1086</v>
      </c>
      <c r="C562" s="32" t="s">
        <v>1088</v>
      </c>
      <c r="D562" s="24" t="s">
        <v>1089</v>
      </c>
      <c r="E562" s="23" t="s">
        <v>19</v>
      </c>
      <c r="F562" s="46">
        <v>19</v>
      </c>
      <c r="G562" s="26">
        <v>11</v>
      </c>
      <c r="H562" s="35"/>
      <c r="I562" s="85">
        <v>2320.59</v>
      </c>
      <c r="J562" s="140"/>
      <c r="K562" s="137">
        <v>3344.06</v>
      </c>
      <c r="L562" s="34"/>
      <c r="M562" s="84"/>
      <c r="N562" s="157" t="s">
        <v>643</v>
      </c>
      <c r="O562" s="68"/>
      <c r="P562" s="193">
        <v>46082</v>
      </c>
    </row>
    <row r="563" spans="1:16" ht="12.75" customHeight="1">
      <c r="A563" s="13">
        <f t="shared" si="14"/>
        <v>544</v>
      </c>
      <c r="B563" s="156" t="s">
        <v>1086</v>
      </c>
      <c r="C563" s="32" t="s">
        <v>1088</v>
      </c>
      <c r="D563" s="24" t="s">
        <v>1089</v>
      </c>
      <c r="E563" s="23" t="s">
        <v>19</v>
      </c>
      <c r="F563" s="46">
        <v>18</v>
      </c>
      <c r="G563" s="26">
        <v>12</v>
      </c>
      <c r="H563" s="35"/>
      <c r="I563" s="85">
        <v>2398.7800000000002</v>
      </c>
      <c r="J563" s="140"/>
      <c r="K563" s="137">
        <v>3141.5</v>
      </c>
      <c r="L563" s="34"/>
      <c r="M563" s="84"/>
      <c r="N563" s="157" t="s">
        <v>643</v>
      </c>
      <c r="O563" s="68"/>
      <c r="P563" s="193">
        <v>46082</v>
      </c>
    </row>
    <row r="564" spans="1:16" ht="12.75" customHeight="1">
      <c r="A564" s="13">
        <f t="shared" si="14"/>
        <v>545</v>
      </c>
      <c r="B564" s="156" t="s">
        <v>1086</v>
      </c>
      <c r="C564" s="32" t="s">
        <v>1088</v>
      </c>
      <c r="D564" s="24" t="s">
        <v>1089</v>
      </c>
      <c r="E564" s="23" t="s">
        <v>19</v>
      </c>
      <c r="F564" s="46">
        <v>17</v>
      </c>
      <c r="G564" s="26">
        <v>13</v>
      </c>
      <c r="H564" s="35"/>
      <c r="I564" s="85">
        <v>2486.17</v>
      </c>
      <c r="J564" s="140"/>
      <c r="K564" s="137">
        <v>2970.12</v>
      </c>
      <c r="L564" s="34"/>
      <c r="M564" s="84"/>
      <c r="N564" s="157" t="s">
        <v>643</v>
      </c>
      <c r="O564" s="68"/>
      <c r="P564" s="193">
        <v>46082</v>
      </c>
    </row>
    <row r="565" spans="1:16" ht="12.75" customHeight="1">
      <c r="A565" s="13">
        <f t="shared" si="14"/>
        <v>546</v>
      </c>
      <c r="B565" s="156" t="s">
        <v>1086</v>
      </c>
      <c r="C565" s="32" t="s">
        <v>1088</v>
      </c>
      <c r="D565" s="24" t="s">
        <v>1089</v>
      </c>
      <c r="E565" s="23" t="s">
        <v>19</v>
      </c>
      <c r="F565" s="46">
        <v>16</v>
      </c>
      <c r="G565" s="26">
        <v>14</v>
      </c>
      <c r="H565" s="35"/>
      <c r="I565" s="85">
        <v>2584.46</v>
      </c>
      <c r="J565" s="140"/>
      <c r="K565" s="137">
        <v>2823.2</v>
      </c>
      <c r="L565" s="34"/>
      <c r="M565" s="84"/>
      <c r="N565" s="157" t="s">
        <v>643</v>
      </c>
      <c r="O565" s="68"/>
      <c r="P565" s="193">
        <v>46082</v>
      </c>
    </row>
    <row r="566" spans="1:16" ht="12.75" customHeight="1">
      <c r="A566" s="13">
        <f t="shared" si="14"/>
        <v>547</v>
      </c>
      <c r="B566" s="156" t="s">
        <v>1086</v>
      </c>
      <c r="C566" s="32" t="s">
        <v>1088</v>
      </c>
      <c r="D566" s="24" t="s">
        <v>1089</v>
      </c>
      <c r="E566" s="23" t="s">
        <v>19</v>
      </c>
      <c r="F566" s="46">
        <v>15</v>
      </c>
      <c r="G566" s="26"/>
      <c r="H566" s="35"/>
      <c r="I566" s="85">
        <v>2695.89</v>
      </c>
      <c r="J566" s="140"/>
      <c r="K566" s="137"/>
      <c r="L566" s="34"/>
      <c r="M566" s="84"/>
      <c r="N566" s="157" t="s">
        <v>643</v>
      </c>
      <c r="O566" s="68"/>
      <c r="P566" s="193">
        <v>46082</v>
      </c>
    </row>
    <row r="567" spans="1:16" ht="12.75" customHeight="1">
      <c r="A567" s="13">
        <f t="shared" si="14"/>
        <v>548</v>
      </c>
      <c r="B567" s="156" t="s">
        <v>1087</v>
      </c>
      <c r="C567" s="32" t="s">
        <v>1088</v>
      </c>
      <c r="D567" s="24" t="s">
        <v>1089</v>
      </c>
      <c r="E567" s="23" t="s">
        <v>19</v>
      </c>
      <c r="F567" s="46" t="s">
        <v>977</v>
      </c>
      <c r="G567" s="26"/>
      <c r="H567" s="35"/>
      <c r="I567" s="85">
        <v>107577.32</v>
      </c>
      <c r="J567" s="140"/>
      <c r="K567" s="137"/>
      <c r="L567" s="34"/>
      <c r="M567" s="84"/>
      <c r="N567" s="157" t="s">
        <v>643</v>
      </c>
      <c r="O567" s="68"/>
      <c r="P567" s="193">
        <v>46082</v>
      </c>
    </row>
    <row r="568" spans="1:16" ht="12.75" customHeight="1">
      <c r="A568" s="13">
        <f t="shared" si="14"/>
        <v>549</v>
      </c>
      <c r="B568" s="54" t="s">
        <v>353</v>
      </c>
      <c r="C568" s="14" t="s">
        <v>96</v>
      </c>
      <c r="D568" s="15" t="s">
        <v>97</v>
      </c>
      <c r="E568" s="23" t="s">
        <v>19</v>
      </c>
      <c r="F568" s="31" t="s">
        <v>741</v>
      </c>
      <c r="G568" s="26" t="s">
        <v>15</v>
      </c>
      <c r="H568" s="34">
        <v>4703.37</v>
      </c>
      <c r="I568" s="84"/>
      <c r="J568" s="136">
        <v>7410.28</v>
      </c>
      <c r="K568" s="118"/>
      <c r="L568" s="34">
        <v>24414.97</v>
      </c>
      <c r="M568" s="84"/>
      <c r="N568" s="99" t="s">
        <v>642</v>
      </c>
      <c r="O568" s="68">
        <v>580</v>
      </c>
      <c r="P568" s="66">
        <v>43257</v>
      </c>
    </row>
    <row r="569" spans="1:16" s="8" customFormat="1">
      <c r="A569" s="13">
        <f t="shared" si="14"/>
        <v>550</v>
      </c>
      <c r="B569" s="54" t="s">
        <v>354</v>
      </c>
      <c r="C569" s="14" t="s">
        <v>98</v>
      </c>
      <c r="D569" s="15" t="s">
        <v>99</v>
      </c>
      <c r="E569" s="14" t="s">
        <v>19</v>
      </c>
      <c r="F569" s="31" t="s">
        <v>741</v>
      </c>
      <c r="G569" s="26" t="s">
        <v>15</v>
      </c>
      <c r="H569" s="34">
        <v>2670.18</v>
      </c>
      <c r="I569" s="84"/>
      <c r="J569" s="136">
        <v>5196.99</v>
      </c>
      <c r="K569" s="118"/>
      <c r="L569" s="34">
        <v>14306.85</v>
      </c>
      <c r="M569" s="84"/>
      <c r="N569" s="99" t="s">
        <v>642</v>
      </c>
      <c r="O569" s="68">
        <v>580</v>
      </c>
      <c r="P569" s="66">
        <v>41306</v>
      </c>
    </row>
    <row r="570" spans="1:16" s="8" customFormat="1" ht="12.75" customHeight="1">
      <c r="A570" s="13">
        <f t="shared" si="14"/>
        <v>551</v>
      </c>
      <c r="B570" s="54" t="s">
        <v>355</v>
      </c>
      <c r="C570" s="16" t="s">
        <v>100</v>
      </c>
      <c r="D570" s="15" t="s">
        <v>101</v>
      </c>
      <c r="E570" s="14" t="s">
        <v>19</v>
      </c>
      <c r="F570" s="26">
        <v>20</v>
      </c>
      <c r="G570" s="26">
        <v>10</v>
      </c>
      <c r="H570" s="34">
        <v>2757.02</v>
      </c>
      <c r="I570" s="84"/>
      <c r="J570" s="136">
        <v>3129.82</v>
      </c>
      <c r="K570" s="118"/>
      <c r="L570" s="34">
        <v>10073.25</v>
      </c>
      <c r="M570" s="84"/>
      <c r="N570" s="38" t="s">
        <v>796</v>
      </c>
      <c r="O570" s="40">
        <v>604</v>
      </c>
      <c r="P570" s="66">
        <v>41306</v>
      </c>
    </row>
    <row r="571" spans="1:16" s="8" customFormat="1" ht="12.75" customHeight="1">
      <c r="A571" s="13">
        <f t="shared" si="14"/>
        <v>552</v>
      </c>
      <c r="B571" s="54" t="s">
        <v>356</v>
      </c>
      <c r="C571" s="14" t="s">
        <v>85</v>
      </c>
      <c r="D571" s="15" t="s">
        <v>102</v>
      </c>
      <c r="E571" s="14" t="s">
        <v>19</v>
      </c>
      <c r="F571" s="26">
        <v>20</v>
      </c>
      <c r="G571" s="26">
        <v>10</v>
      </c>
      <c r="H571" s="34">
        <v>1734.81</v>
      </c>
      <c r="I571" s="84"/>
      <c r="J571" s="136">
        <v>2165.6799999999998</v>
      </c>
      <c r="K571" s="118"/>
      <c r="L571" s="34">
        <v>10378.08</v>
      </c>
      <c r="M571" s="84"/>
      <c r="N571" s="38" t="s">
        <v>796</v>
      </c>
      <c r="O571" s="69">
        <v>604</v>
      </c>
      <c r="P571" s="66">
        <v>41306</v>
      </c>
    </row>
    <row r="572" spans="1:16" s="8" customFormat="1" ht="12.75" customHeight="1">
      <c r="A572" s="13">
        <f t="shared" si="14"/>
        <v>553</v>
      </c>
      <c r="B572" s="52" t="s">
        <v>658</v>
      </c>
      <c r="C572" s="14" t="s">
        <v>103</v>
      </c>
      <c r="D572" s="24" t="s">
        <v>538</v>
      </c>
      <c r="E572" s="14" t="s">
        <v>19</v>
      </c>
      <c r="F572" s="26">
        <v>20</v>
      </c>
      <c r="G572" s="26">
        <v>10</v>
      </c>
      <c r="H572" s="34">
        <v>1198.81</v>
      </c>
      <c r="I572" s="84">
        <v>1221.97</v>
      </c>
      <c r="J572" s="136">
        <v>1985.87</v>
      </c>
      <c r="K572" s="118">
        <v>2032.17</v>
      </c>
      <c r="L572" s="34">
        <v>10236.64</v>
      </c>
      <c r="M572" s="84">
        <v>10931.22</v>
      </c>
      <c r="N572" s="99" t="s">
        <v>642</v>
      </c>
      <c r="O572" s="68">
        <v>600</v>
      </c>
      <c r="P572" s="66">
        <v>43617</v>
      </c>
    </row>
    <row r="573" spans="1:16" s="8" customFormat="1" ht="12.75" customHeight="1">
      <c r="A573" s="13">
        <f t="shared" si="14"/>
        <v>554</v>
      </c>
      <c r="B573" s="32" t="s">
        <v>658</v>
      </c>
      <c r="C573" s="14" t="s">
        <v>103</v>
      </c>
      <c r="D573" s="24" t="s">
        <v>538</v>
      </c>
      <c r="E573" s="23" t="s">
        <v>19</v>
      </c>
      <c r="F573" s="26">
        <v>20</v>
      </c>
      <c r="G573" s="26">
        <v>10</v>
      </c>
      <c r="H573" s="34"/>
      <c r="I573" s="84">
        <v>952.43</v>
      </c>
      <c r="J573" s="136"/>
      <c r="K573" s="118">
        <v>1505.78</v>
      </c>
      <c r="L573" s="34"/>
      <c r="M573" s="84">
        <v>11067.21</v>
      </c>
      <c r="N573" s="99" t="s">
        <v>642</v>
      </c>
      <c r="O573" s="68"/>
      <c r="P573" s="66">
        <v>44562</v>
      </c>
    </row>
    <row r="574" spans="1:16" s="8" customFormat="1" ht="12.75" customHeight="1">
      <c r="A574" s="13">
        <f t="shared" si="14"/>
        <v>555</v>
      </c>
      <c r="B574" s="32" t="s">
        <v>1009</v>
      </c>
      <c r="C574" s="14" t="s">
        <v>103</v>
      </c>
      <c r="D574" s="24" t="s">
        <v>538</v>
      </c>
      <c r="E574" s="23" t="s">
        <v>19</v>
      </c>
      <c r="F574" s="46" t="s">
        <v>977</v>
      </c>
      <c r="G574" s="26"/>
      <c r="H574" s="34"/>
      <c r="I574" s="84">
        <v>43844.73</v>
      </c>
      <c r="J574" s="136"/>
      <c r="K574" s="118"/>
      <c r="L574" s="34"/>
      <c r="M574" s="84"/>
      <c r="N574" s="99" t="s">
        <v>642</v>
      </c>
      <c r="O574" s="68"/>
      <c r="P574" s="66">
        <v>44562</v>
      </c>
    </row>
    <row r="575" spans="1:16" s="8" customFormat="1" ht="12.75" customHeight="1">
      <c r="A575" s="13">
        <f t="shared" si="14"/>
        <v>556</v>
      </c>
      <c r="B575" s="32" t="s">
        <v>658</v>
      </c>
      <c r="C575" s="14" t="s">
        <v>103</v>
      </c>
      <c r="D575" s="24" t="s">
        <v>538</v>
      </c>
      <c r="E575" s="23" t="s">
        <v>19</v>
      </c>
      <c r="F575" s="26">
        <v>20</v>
      </c>
      <c r="G575" s="26">
        <v>10</v>
      </c>
      <c r="H575" s="34"/>
      <c r="I575" s="84">
        <v>1093.77</v>
      </c>
      <c r="J575" s="136"/>
      <c r="K575" s="118">
        <v>1748.58</v>
      </c>
      <c r="L575" s="34"/>
      <c r="M575" s="84">
        <v>13096.23</v>
      </c>
      <c r="N575" s="99" t="s">
        <v>642</v>
      </c>
      <c r="O575" s="68"/>
      <c r="P575" s="66">
        <v>44713</v>
      </c>
    </row>
    <row r="576" spans="1:16" s="8" customFormat="1" ht="12.75" customHeight="1">
      <c r="A576" s="13">
        <f t="shared" si="14"/>
        <v>557</v>
      </c>
      <c r="B576" s="32" t="s">
        <v>1009</v>
      </c>
      <c r="C576" s="14" t="s">
        <v>103</v>
      </c>
      <c r="D576" s="24" t="s">
        <v>538</v>
      </c>
      <c r="E576" s="23" t="s">
        <v>19</v>
      </c>
      <c r="F576" s="46" t="s">
        <v>977</v>
      </c>
      <c r="G576" s="26"/>
      <c r="H576" s="34"/>
      <c r="I576" s="84">
        <v>46435.18</v>
      </c>
      <c r="J576" s="136"/>
      <c r="K576" s="118"/>
      <c r="L576" s="34"/>
      <c r="M576" s="84"/>
      <c r="N576" s="99" t="s">
        <v>642</v>
      </c>
      <c r="O576" s="68"/>
      <c r="P576" s="66">
        <v>44713</v>
      </c>
    </row>
    <row r="577" spans="1:16" s="8" customFormat="1" ht="12.75" customHeight="1">
      <c r="A577" s="13">
        <f t="shared" si="14"/>
        <v>558</v>
      </c>
      <c r="B577" s="32" t="s">
        <v>658</v>
      </c>
      <c r="C577" s="14" t="s">
        <v>103</v>
      </c>
      <c r="D577" s="24" t="s">
        <v>538</v>
      </c>
      <c r="E577" s="23" t="s">
        <v>19</v>
      </c>
      <c r="F577" s="46">
        <v>20</v>
      </c>
      <c r="G577" s="26">
        <v>10</v>
      </c>
      <c r="H577" s="34"/>
      <c r="I577" s="84">
        <v>1126.06</v>
      </c>
      <c r="J577" s="136"/>
      <c r="K577" s="118">
        <v>1786.57</v>
      </c>
      <c r="L577" s="34"/>
      <c r="M577" s="84"/>
      <c r="N577" s="99" t="s">
        <v>642</v>
      </c>
      <c r="O577" s="68"/>
      <c r="P577" s="66">
        <v>45047</v>
      </c>
    </row>
    <row r="578" spans="1:16" s="8" customFormat="1" ht="12.75" customHeight="1">
      <c r="A578" s="13">
        <f t="shared" si="14"/>
        <v>559</v>
      </c>
      <c r="B578" s="32" t="s">
        <v>1009</v>
      </c>
      <c r="C578" s="14" t="s">
        <v>103</v>
      </c>
      <c r="D578" s="24" t="s">
        <v>538</v>
      </c>
      <c r="E578" s="23" t="s">
        <v>19</v>
      </c>
      <c r="F578" s="46" t="s">
        <v>977</v>
      </c>
      <c r="G578" s="26"/>
      <c r="H578" s="34"/>
      <c r="I578" s="84">
        <v>46435.18</v>
      </c>
      <c r="J578" s="136"/>
      <c r="K578" s="118"/>
      <c r="L578" s="34"/>
      <c r="M578" s="84"/>
      <c r="N578" s="99" t="s">
        <v>642</v>
      </c>
      <c r="O578" s="68"/>
      <c r="P578" s="66">
        <v>45047</v>
      </c>
    </row>
    <row r="579" spans="1:16" s="8" customFormat="1" ht="12.75" customHeight="1">
      <c r="A579" s="13">
        <f t="shared" si="14"/>
        <v>560</v>
      </c>
      <c r="B579" s="32" t="s">
        <v>658</v>
      </c>
      <c r="C579" s="14" t="s">
        <v>103</v>
      </c>
      <c r="D579" s="24" t="s">
        <v>538</v>
      </c>
      <c r="E579" s="23" t="s">
        <v>19</v>
      </c>
      <c r="F579" s="46">
        <v>20</v>
      </c>
      <c r="G579" s="26">
        <v>10</v>
      </c>
      <c r="H579" s="34"/>
      <c r="I579" s="84">
        <v>1157.2</v>
      </c>
      <c r="J579" s="136"/>
      <c r="K579" s="118">
        <v>1848.85</v>
      </c>
      <c r="L579" s="34"/>
      <c r="M579" s="84">
        <v>13832.73</v>
      </c>
      <c r="N579" s="157" t="s">
        <v>1163</v>
      </c>
      <c r="O579" s="68"/>
      <c r="P579" s="66">
        <v>45352</v>
      </c>
    </row>
    <row r="580" spans="1:16" s="8" customFormat="1" ht="12.75" customHeight="1">
      <c r="A580" s="13">
        <f t="shared" si="14"/>
        <v>561</v>
      </c>
      <c r="B580" s="32" t="s">
        <v>658</v>
      </c>
      <c r="C580" s="14" t="s">
        <v>103</v>
      </c>
      <c r="D580" s="24" t="s">
        <v>538</v>
      </c>
      <c r="E580" s="23" t="s">
        <v>19</v>
      </c>
      <c r="F580" s="46">
        <v>19</v>
      </c>
      <c r="G580" s="26">
        <v>11</v>
      </c>
      <c r="H580" s="34"/>
      <c r="I580" s="84">
        <v>1193.5899999999999</v>
      </c>
      <c r="J580" s="136"/>
      <c r="K580" s="118">
        <v>1723.08</v>
      </c>
      <c r="L580" s="34"/>
      <c r="M580" s="84"/>
      <c r="N580" s="157" t="s">
        <v>1163</v>
      </c>
      <c r="O580" s="68"/>
      <c r="P580" s="66">
        <v>45352</v>
      </c>
    </row>
    <row r="581" spans="1:16" s="8" customFormat="1" ht="12.75" customHeight="1">
      <c r="A581" s="13">
        <f t="shared" si="14"/>
        <v>562</v>
      </c>
      <c r="B581" s="32" t="s">
        <v>658</v>
      </c>
      <c r="C581" s="14" t="s">
        <v>103</v>
      </c>
      <c r="D581" s="24" t="s">
        <v>538</v>
      </c>
      <c r="E581" s="23" t="s">
        <v>19</v>
      </c>
      <c r="F581" s="46">
        <v>18</v>
      </c>
      <c r="G581" s="26">
        <v>12</v>
      </c>
      <c r="H581" s="34"/>
      <c r="I581" s="84">
        <v>1234.04</v>
      </c>
      <c r="J581" s="136"/>
      <c r="K581" s="118">
        <v>1618.29</v>
      </c>
      <c r="L581" s="34"/>
      <c r="M581" s="84"/>
      <c r="N581" s="157" t="s">
        <v>1163</v>
      </c>
      <c r="O581" s="68"/>
      <c r="P581" s="66">
        <v>45352</v>
      </c>
    </row>
    <row r="582" spans="1:16" s="8" customFormat="1" ht="12.75" customHeight="1">
      <c r="A582" s="13">
        <f t="shared" si="14"/>
        <v>563</v>
      </c>
      <c r="B582" s="32" t="s">
        <v>658</v>
      </c>
      <c r="C582" s="14" t="s">
        <v>103</v>
      </c>
      <c r="D582" s="24" t="s">
        <v>538</v>
      </c>
      <c r="E582" s="23" t="s">
        <v>19</v>
      </c>
      <c r="F582" s="46">
        <v>17</v>
      </c>
      <c r="G582" s="26">
        <v>13</v>
      </c>
      <c r="H582" s="34"/>
      <c r="I582" s="84">
        <v>1279.25</v>
      </c>
      <c r="J582" s="136"/>
      <c r="K582" s="118">
        <v>1529.63</v>
      </c>
      <c r="L582" s="34"/>
      <c r="M582" s="84"/>
      <c r="N582" s="157" t="s">
        <v>1163</v>
      </c>
      <c r="O582" s="68"/>
      <c r="P582" s="66">
        <v>45352</v>
      </c>
    </row>
    <row r="583" spans="1:16" s="8" customFormat="1" ht="12.75" customHeight="1">
      <c r="A583" s="13">
        <f t="shared" si="14"/>
        <v>564</v>
      </c>
      <c r="B583" s="32" t="s">
        <v>658</v>
      </c>
      <c r="C583" s="14" t="s">
        <v>103</v>
      </c>
      <c r="D583" s="24" t="s">
        <v>538</v>
      </c>
      <c r="E583" s="23" t="s">
        <v>19</v>
      </c>
      <c r="F583" s="46">
        <v>16</v>
      </c>
      <c r="G583" s="26">
        <v>14</v>
      </c>
      <c r="H583" s="34"/>
      <c r="I583" s="84">
        <v>1330.12</v>
      </c>
      <c r="J583" s="136"/>
      <c r="K583" s="118">
        <v>1453.63</v>
      </c>
      <c r="L583" s="34"/>
      <c r="M583" s="84"/>
      <c r="N583" s="157" t="s">
        <v>1163</v>
      </c>
      <c r="O583" s="68"/>
      <c r="P583" s="66">
        <v>45352</v>
      </c>
    </row>
    <row r="584" spans="1:16" s="8" customFormat="1" ht="12.75" customHeight="1">
      <c r="A584" s="13">
        <f t="shared" si="14"/>
        <v>565</v>
      </c>
      <c r="B584" s="32" t="s">
        <v>658</v>
      </c>
      <c r="C584" s="14" t="s">
        <v>103</v>
      </c>
      <c r="D584" s="24" t="s">
        <v>538</v>
      </c>
      <c r="E584" s="23" t="s">
        <v>19</v>
      </c>
      <c r="F584" s="46">
        <v>15</v>
      </c>
      <c r="G584" s="26"/>
      <c r="H584" s="34"/>
      <c r="I584" s="84">
        <v>1387.74</v>
      </c>
      <c r="J584" s="136"/>
      <c r="K584" s="118"/>
      <c r="L584" s="34"/>
      <c r="M584" s="84"/>
      <c r="N584" s="157" t="s">
        <v>1163</v>
      </c>
      <c r="O584" s="68"/>
      <c r="P584" s="66">
        <v>45352</v>
      </c>
    </row>
    <row r="585" spans="1:16" s="8" customFormat="1" ht="12.75" customHeight="1">
      <c r="A585" s="13">
        <f t="shared" si="14"/>
        <v>566</v>
      </c>
      <c r="B585" s="156" t="s">
        <v>658</v>
      </c>
      <c r="C585" s="14" t="s">
        <v>103</v>
      </c>
      <c r="D585" s="24" t="s">
        <v>538</v>
      </c>
      <c r="E585" s="23" t="s">
        <v>19</v>
      </c>
      <c r="F585" s="46">
        <v>20</v>
      </c>
      <c r="G585" s="26">
        <v>10</v>
      </c>
      <c r="H585" s="34"/>
      <c r="I585" s="84">
        <v>1244.25</v>
      </c>
      <c r="J585" s="136"/>
      <c r="K585" s="118">
        <v>1976.42</v>
      </c>
      <c r="L585" s="34"/>
      <c r="M585" s="84">
        <v>14642.82</v>
      </c>
      <c r="N585" s="157" t="s">
        <v>1163</v>
      </c>
      <c r="O585" s="68"/>
      <c r="P585" s="66">
        <v>45689</v>
      </c>
    </row>
    <row r="586" spans="1:16" s="8" customFormat="1" ht="12.75" customHeight="1">
      <c r="A586" s="13">
        <f t="shared" si="14"/>
        <v>567</v>
      </c>
      <c r="B586" s="156" t="s">
        <v>658</v>
      </c>
      <c r="C586" s="14" t="s">
        <v>103</v>
      </c>
      <c r="D586" s="24" t="s">
        <v>538</v>
      </c>
      <c r="E586" s="23" t="s">
        <v>19</v>
      </c>
      <c r="F586" s="46">
        <v>19</v>
      </c>
      <c r="G586" s="26">
        <v>11</v>
      </c>
      <c r="H586" s="34"/>
      <c r="I586" s="84">
        <v>1282.8</v>
      </c>
      <c r="J586" s="136"/>
      <c r="K586" s="118">
        <v>1843.29</v>
      </c>
      <c r="L586" s="34"/>
      <c r="M586" s="84"/>
      <c r="N586" s="157" t="s">
        <v>1163</v>
      </c>
      <c r="O586" s="68"/>
      <c r="P586" s="66">
        <v>45689</v>
      </c>
    </row>
    <row r="587" spans="1:16" s="8" customFormat="1" ht="12.75" customHeight="1">
      <c r="A587" s="13">
        <f t="shared" si="14"/>
        <v>568</v>
      </c>
      <c r="B587" s="156" t="s">
        <v>658</v>
      </c>
      <c r="C587" s="14" t="s">
        <v>103</v>
      </c>
      <c r="D587" s="24" t="s">
        <v>538</v>
      </c>
      <c r="E587" s="23" t="s">
        <v>19</v>
      </c>
      <c r="F587" s="46">
        <v>18</v>
      </c>
      <c r="G587" s="26">
        <v>12</v>
      </c>
      <c r="H587" s="34"/>
      <c r="I587" s="84">
        <v>1325.61</v>
      </c>
      <c r="J587" s="136"/>
      <c r="K587" s="118">
        <v>1732.35</v>
      </c>
      <c r="L587" s="34"/>
      <c r="M587" s="84"/>
      <c r="N587" s="157" t="s">
        <v>1163</v>
      </c>
      <c r="O587" s="68"/>
      <c r="P587" s="66">
        <v>45689</v>
      </c>
    </row>
    <row r="588" spans="1:16" s="8" customFormat="1" ht="12.75" customHeight="1">
      <c r="A588" s="13">
        <f t="shared" si="14"/>
        <v>569</v>
      </c>
      <c r="B588" s="156" t="s">
        <v>658</v>
      </c>
      <c r="C588" s="14" t="s">
        <v>103</v>
      </c>
      <c r="D588" s="24" t="s">
        <v>538</v>
      </c>
      <c r="E588" s="23" t="s">
        <v>19</v>
      </c>
      <c r="F588" s="46">
        <v>17</v>
      </c>
      <c r="G588" s="26">
        <v>13</v>
      </c>
      <c r="H588" s="34"/>
      <c r="I588" s="84">
        <v>1373.46</v>
      </c>
      <c r="J588" s="136"/>
      <c r="K588" s="118">
        <v>1638.48</v>
      </c>
      <c r="L588" s="34"/>
      <c r="M588" s="84"/>
      <c r="N588" s="157" t="s">
        <v>1163</v>
      </c>
      <c r="O588" s="68"/>
      <c r="P588" s="66">
        <v>45689</v>
      </c>
    </row>
    <row r="589" spans="1:16" s="8" customFormat="1" ht="12.75" customHeight="1">
      <c r="A589" s="13">
        <f t="shared" si="14"/>
        <v>570</v>
      </c>
      <c r="B589" s="156" t="s">
        <v>658</v>
      </c>
      <c r="C589" s="14" t="s">
        <v>103</v>
      </c>
      <c r="D589" s="24" t="s">
        <v>538</v>
      </c>
      <c r="E589" s="23" t="s">
        <v>19</v>
      </c>
      <c r="F589" s="46">
        <v>16</v>
      </c>
      <c r="G589" s="26">
        <v>14</v>
      </c>
      <c r="H589" s="34"/>
      <c r="I589" s="84">
        <v>1427.3</v>
      </c>
      <c r="J589" s="136"/>
      <c r="K589" s="118">
        <v>1558.04</v>
      </c>
      <c r="L589" s="34"/>
      <c r="M589" s="84"/>
      <c r="N589" s="157" t="s">
        <v>1163</v>
      </c>
      <c r="O589" s="68"/>
      <c r="P589" s="66">
        <v>45689</v>
      </c>
    </row>
    <row r="590" spans="1:16" s="8" customFormat="1" ht="12.75" customHeight="1">
      <c r="A590" s="13">
        <f t="shared" si="14"/>
        <v>571</v>
      </c>
      <c r="B590" s="156" t="s">
        <v>658</v>
      </c>
      <c r="C590" s="14" t="s">
        <v>103</v>
      </c>
      <c r="D590" s="24" t="s">
        <v>538</v>
      </c>
      <c r="E590" s="23" t="s">
        <v>19</v>
      </c>
      <c r="F590" s="46">
        <v>15</v>
      </c>
      <c r="G590" s="26"/>
      <c r="H590" s="34"/>
      <c r="I590" s="84">
        <v>1488.32</v>
      </c>
      <c r="J590" s="136"/>
      <c r="K590" s="118"/>
      <c r="L590" s="34"/>
      <c r="M590" s="84"/>
      <c r="N590" s="157" t="s">
        <v>1163</v>
      </c>
      <c r="O590" s="68"/>
      <c r="P590" s="66">
        <v>45689</v>
      </c>
    </row>
    <row r="591" spans="1:16" s="8" customFormat="1" ht="12.75" customHeight="1">
      <c r="A591" s="13">
        <f t="shared" si="14"/>
        <v>572</v>
      </c>
      <c r="B591" s="32" t="s">
        <v>1009</v>
      </c>
      <c r="C591" s="14" t="s">
        <v>103</v>
      </c>
      <c r="D591" s="24" t="s">
        <v>538</v>
      </c>
      <c r="E591" s="23" t="s">
        <v>19</v>
      </c>
      <c r="F591" s="46" t="s">
        <v>977</v>
      </c>
      <c r="G591" s="26"/>
      <c r="H591" s="34"/>
      <c r="I591" s="84">
        <v>78088.62</v>
      </c>
      <c r="J591" s="136"/>
      <c r="K591" s="118"/>
      <c r="L591" s="34"/>
      <c r="M591" s="84"/>
      <c r="N591" s="157" t="s">
        <v>1163</v>
      </c>
      <c r="O591" s="68"/>
      <c r="P591" s="66">
        <v>45352</v>
      </c>
    </row>
    <row r="592" spans="1:16" s="8" customFormat="1" ht="12.75" customHeight="1">
      <c r="A592" s="13">
        <f t="shared" si="14"/>
        <v>573</v>
      </c>
      <c r="B592" s="156" t="s">
        <v>1009</v>
      </c>
      <c r="C592" s="14" t="s">
        <v>103</v>
      </c>
      <c r="D592" s="24" t="s">
        <v>538</v>
      </c>
      <c r="E592" s="23" t="s">
        <v>19</v>
      </c>
      <c r="F592" s="46" t="s">
        <v>977</v>
      </c>
      <c r="G592" s="26"/>
      <c r="H592" s="34"/>
      <c r="I592" s="84">
        <v>85149.09</v>
      </c>
      <c r="J592" s="136"/>
      <c r="K592" s="118"/>
      <c r="L592" s="34"/>
      <c r="M592" s="84"/>
      <c r="N592" s="157" t="s">
        <v>1163</v>
      </c>
      <c r="O592" s="68"/>
      <c r="P592" s="66">
        <v>45689</v>
      </c>
    </row>
    <row r="593" spans="1:16" s="8" customFormat="1" ht="12.75" customHeight="1">
      <c r="A593" s="13">
        <f t="shared" si="14"/>
        <v>574</v>
      </c>
      <c r="B593" s="52" t="s">
        <v>810</v>
      </c>
      <c r="C593" s="14" t="s">
        <v>104</v>
      </c>
      <c r="D593" s="15" t="s">
        <v>105</v>
      </c>
      <c r="E593" s="14" t="s">
        <v>19</v>
      </c>
      <c r="F593" s="26">
        <v>20</v>
      </c>
      <c r="G593" s="26">
        <v>10</v>
      </c>
      <c r="H593" s="34"/>
      <c r="I593" s="84">
        <v>1677.61</v>
      </c>
      <c r="J593" s="136"/>
      <c r="K593" s="118">
        <v>2025.55</v>
      </c>
      <c r="L593" s="34"/>
      <c r="M593" s="84">
        <v>11259.11</v>
      </c>
      <c r="N593" s="38" t="s">
        <v>643</v>
      </c>
      <c r="O593" s="68" t="s">
        <v>858</v>
      </c>
      <c r="P593" s="66">
        <v>43617</v>
      </c>
    </row>
    <row r="594" spans="1:16" s="8" customFormat="1" ht="12.75" customHeight="1">
      <c r="A594" s="13">
        <f t="shared" si="14"/>
        <v>575</v>
      </c>
      <c r="B594" s="54" t="s">
        <v>810</v>
      </c>
      <c r="C594" s="14" t="s">
        <v>104</v>
      </c>
      <c r="D594" s="15" t="s">
        <v>105</v>
      </c>
      <c r="E594" s="14" t="s">
        <v>19</v>
      </c>
      <c r="F594" s="26">
        <v>20</v>
      </c>
      <c r="G594" s="26">
        <v>5</v>
      </c>
      <c r="H594" s="34"/>
      <c r="I594" s="84">
        <v>1677.61</v>
      </c>
      <c r="J594" s="136"/>
      <c r="K594" s="118">
        <v>2776.17</v>
      </c>
      <c r="L594" s="34"/>
      <c r="M594" s="84"/>
      <c r="N594" s="38" t="s">
        <v>643</v>
      </c>
      <c r="O594" s="68"/>
      <c r="P594" s="66">
        <v>43617</v>
      </c>
    </row>
    <row r="595" spans="1:16" s="8" customFormat="1" ht="12.75" customHeight="1">
      <c r="A595" s="13">
        <f t="shared" si="14"/>
        <v>576</v>
      </c>
      <c r="B595" s="54" t="s">
        <v>810</v>
      </c>
      <c r="C595" s="14" t="s">
        <v>104</v>
      </c>
      <c r="D595" s="15" t="s">
        <v>105</v>
      </c>
      <c r="E595" s="14" t="s">
        <v>19</v>
      </c>
      <c r="F595" s="26">
        <v>20</v>
      </c>
      <c r="G595" s="26">
        <v>10</v>
      </c>
      <c r="H595" s="34"/>
      <c r="I595" s="84">
        <v>1677.61</v>
      </c>
      <c r="J595" s="136"/>
      <c r="K595" s="118">
        <v>2025.55</v>
      </c>
      <c r="L595" s="34"/>
      <c r="M595" s="84">
        <v>11259.11</v>
      </c>
      <c r="N595" s="38" t="s">
        <v>643</v>
      </c>
      <c r="O595" s="68"/>
      <c r="P595" s="66">
        <v>44562</v>
      </c>
    </row>
    <row r="596" spans="1:16" s="8" customFormat="1" ht="12.75" customHeight="1">
      <c r="A596" s="13">
        <f t="shared" si="14"/>
        <v>577</v>
      </c>
      <c r="B596" s="52" t="s">
        <v>358</v>
      </c>
      <c r="C596" s="14" t="s">
        <v>104</v>
      </c>
      <c r="D596" s="15" t="s">
        <v>105</v>
      </c>
      <c r="E596" s="14" t="s">
        <v>19</v>
      </c>
      <c r="F596" s="26">
        <v>20</v>
      </c>
      <c r="G596" s="26">
        <v>10</v>
      </c>
      <c r="H596" s="34">
        <v>1976.46</v>
      </c>
      <c r="I596" s="84"/>
      <c r="J596" s="136">
        <v>2348.77</v>
      </c>
      <c r="K596" s="118"/>
      <c r="L596" s="34">
        <v>11168.87</v>
      </c>
      <c r="M596" s="84"/>
      <c r="N596" s="38" t="s">
        <v>643</v>
      </c>
      <c r="O596" s="68">
        <v>609</v>
      </c>
      <c r="P596" s="66">
        <v>43242</v>
      </c>
    </row>
    <row r="597" spans="1:16" s="8" customFormat="1" ht="12.75" customHeight="1">
      <c r="A597" s="13">
        <f t="shared" si="14"/>
        <v>578</v>
      </c>
      <c r="B597" s="54" t="s">
        <v>360</v>
      </c>
      <c r="C597" s="14" t="s">
        <v>104</v>
      </c>
      <c r="D597" s="15" t="s">
        <v>88</v>
      </c>
      <c r="E597" s="14" t="s">
        <v>19</v>
      </c>
      <c r="F597" s="26">
        <v>20</v>
      </c>
      <c r="G597" s="26">
        <v>10</v>
      </c>
      <c r="H597" s="34">
        <v>1980.27</v>
      </c>
      <c r="I597" s="84"/>
      <c r="J597" s="136">
        <v>2352.5700000000002</v>
      </c>
      <c r="K597" s="118"/>
      <c r="L597" s="34">
        <v>11168.87</v>
      </c>
      <c r="M597" s="84"/>
      <c r="N597" s="38" t="s">
        <v>643</v>
      </c>
      <c r="O597" s="68">
        <v>609</v>
      </c>
      <c r="P597" s="66">
        <v>43242</v>
      </c>
    </row>
    <row r="598" spans="1:16" ht="12.75" customHeight="1">
      <c r="A598" s="13">
        <f t="shared" si="14"/>
        <v>579</v>
      </c>
      <c r="B598" s="54" t="s">
        <v>812</v>
      </c>
      <c r="C598" s="23" t="s">
        <v>811</v>
      </c>
      <c r="D598" s="15" t="s">
        <v>88</v>
      </c>
      <c r="E598" s="25" t="s">
        <v>19</v>
      </c>
      <c r="F598" s="26">
        <v>20</v>
      </c>
      <c r="G598" s="26">
        <v>10</v>
      </c>
      <c r="H598" s="44"/>
      <c r="I598" s="103">
        <v>1681.41</v>
      </c>
      <c r="J598" s="131"/>
      <c r="K598" s="132">
        <v>2029.35</v>
      </c>
      <c r="L598" s="70"/>
      <c r="M598" s="165"/>
      <c r="N598" s="38" t="s">
        <v>643</v>
      </c>
      <c r="O598" s="69">
        <v>609</v>
      </c>
      <c r="P598" s="66">
        <v>43617</v>
      </c>
    </row>
    <row r="599" spans="1:16" s="8" customFormat="1" ht="12.75" customHeight="1">
      <c r="A599" s="13">
        <f t="shared" si="14"/>
        <v>580</v>
      </c>
      <c r="B599" s="52" t="s">
        <v>659</v>
      </c>
      <c r="C599" s="23" t="s">
        <v>539</v>
      </c>
      <c r="D599" s="15" t="s">
        <v>81</v>
      </c>
      <c r="E599" s="14" t="s">
        <v>19</v>
      </c>
      <c r="F599" s="26">
        <v>20</v>
      </c>
      <c r="G599" s="26">
        <v>10</v>
      </c>
      <c r="H599" s="34">
        <v>1453</v>
      </c>
      <c r="I599" s="84">
        <v>1489.48</v>
      </c>
      <c r="J599" s="136">
        <v>2493.17</v>
      </c>
      <c r="K599" s="118">
        <v>2566.13</v>
      </c>
      <c r="L599" s="34">
        <v>9094.4500000000007</v>
      </c>
      <c r="M599" s="84">
        <v>9184.17</v>
      </c>
      <c r="N599" s="38" t="s">
        <v>641</v>
      </c>
      <c r="O599" s="68" t="s">
        <v>692</v>
      </c>
      <c r="P599" s="66">
        <v>43617</v>
      </c>
    </row>
    <row r="600" spans="1:16" s="8" customFormat="1" ht="12.75" customHeight="1">
      <c r="A600" s="13">
        <f t="shared" si="14"/>
        <v>581</v>
      </c>
      <c r="B600" s="32" t="s">
        <v>659</v>
      </c>
      <c r="C600" s="23" t="s">
        <v>539</v>
      </c>
      <c r="D600" s="15" t="s">
        <v>82</v>
      </c>
      <c r="E600" s="14" t="s">
        <v>19</v>
      </c>
      <c r="F600" s="26">
        <v>20</v>
      </c>
      <c r="G600" s="26">
        <v>10</v>
      </c>
      <c r="H600" s="34"/>
      <c r="I600" s="84">
        <v>1137.1199999999999</v>
      </c>
      <c r="J600" s="136"/>
      <c r="K600" s="118">
        <v>1862.74</v>
      </c>
      <c r="L600" s="34"/>
      <c r="M600" s="84"/>
      <c r="N600" s="38" t="s">
        <v>641</v>
      </c>
      <c r="O600" s="68"/>
      <c r="P600" s="66">
        <v>44562</v>
      </c>
    </row>
    <row r="601" spans="1:16" s="8" customFormat="1" ht="12.75" customHeight="1">
      <c r="A601" s="13">
        <f t="shared" si="14"/>
        <v>582</v>
      </c>
      <c r="B601" s="32" t="s">
        <v>1081</v>
      </c>
      <c r="C601" s="23" t="s">
        <v>539</v>
      </c>
      <c r="D601" s="15" t="s">
        <v>82</v>
      </c>
      <c r="E601" s="14" t="s">
        <v>19</v>
      </c>
      <c r="F601" s="31" t="s">
        <v>977</v>
      </c>
      <c r="G601" s="26"/>
      <c r="H601" s="34"/>
      <c r="I601" s="84">
        <v>56679.63</v>
      </c>
      <c r="J601" s="136"/>
      <c r="K601" s="118"/>
      <c r="L601" s="34"/>
      <c r="M601" s="84"/>
      <c r="N601" s="38" t="s">
        <v>641</v>
      </c>
      <c r="O601" s="68"/>
      <c r="P601" s="66">
        <v>44562</v>
      </c>
    </row>
    <row r="602" spans="1:16" s="8" customFormat="1" ht="12.75" customHeight="1">
      <c r="A602" s="13">
        <f t="shared" si="14"/>
        <v>583</v>
      </c>
      <c r="B602" s="32" t="s">
        <v>659</v>
      </c>
      <c r="C602" s="23" t="s">
        <v>539</v>
      </c>
      <c r="D602" s="15" t="s">
        <v>82</v>
      </c>
      <c r="E602" s="14" t="s">
        <v>19</v>
      </c>
      <c r="F602" s="26">
        <v>20</v>
      </c>
      <c r="G602" s="26">
        <v>10</v>
      </c>
      <c r="H602" s="34"/>
      <c r="I602" s="84">
        <v>1208.94</v>
      </c>
      <c r="J602" s="136"/>
      <c r="K602" s="118">
        <v>1985.86</v>
      </c>
      <c r="L602" s="34"/>
      <c r="M602" s="84"/>
      <c r="N602" s="38" t="s">
        <v>641</v>
      </c>
      <c r="O602" s="68"/>
      <c r="P602" s="66">
        <v>45170</v>
      </c>
    </row>
    <row r="603" spans="1:16" s="8" customFormat="1" ht="12.75" customHeight="1">
      <c r="A603" s="13">
        <f t="shared" si="14"/>
        <v>584</v>
      </c>
      <c r="B603" s="32" t="s">
        <v>1081</v>
      </c>
      <c r="C603" s="23" t="s">
        <v>539</v>
      </c>
      <c r="D603" s="15" t="s">
        <v>82</v>
      </c>
      <c r="E603" s="14" t="s">
        <v>19</v>
      </c>
      <c r="F603" s="31" t="s">
        <v>977</v>
      </c>
      <c r="G603" s="26"/>
      <c r="H603" s="34"/>
      <c r="I603" s="84">
        <v>58736.18</v>
      </c>
      <c r="J603" s="136"/>
      <c r="K603" s="118"/>
      <c r="L603" s="34"/>
      <c r="M603" s="84"/>
      <c r="N603" s="38" t="s">
        <v>641</v>
      </c>
      <c r="O603" s="68"/>
      <c r="P603" s="66">
        <v>45170</v>
      </c>
    </row>
    <row r="604" spans="1:16" s="8" customFormat="1" ht="12.75" customHeight="1">
      <c r="A604" s="13">
        <f t="shared" si="14"/>
        <v>585</v>
      </c>
      <c r="B604" s="32" t="s">
        <v>659</v>
      </c>
      <c r="C604" s="23" t="s">
        <v>539</v>
      </c>
      <c r="D604" s="15" t="s">
        <v>82</v>
      </c>
      <c r="E604" s="14" t="s">
        <v>19</v>
      </c>
      <c r="F604" s="31">
        <v>20</v>
      </c>
      <c r="G604" s="26">
        <v>10</v>
      </c>
      <c r="H604" s="34"/>
      <c r="I604" s="84">
        <v>1379.1</v>
      </c>
      <c r="J604" s="136"/>
      <c r="K604" s="118">
        <v>2261.31</v>
      </c>
      <c r="L604" s="34"/>
      <c r="M604" s="84">
        <v>17644.099999999999</v>
      </c>
      <c r="N604" s="38" t="s">
        <v>1162</v>
      </c>
      <c r="O604" s="68"/>
      <c r="P604" s="66">
        <v>45352</v>
      </c>
    </row>
    <row r="605" spans="1:16" s="8" customFormat="1" ht="12.75" customHeight="1">
      <c r="A605" s="13">
        <f t="shared" si="14"/>
        <v>586</v>
      </c>
      <c r="B605" s="32" t="s">
        <v>659</v>
      </c>
      <c r="C605" s="23" t="s">
        <v>539</v>
      </c>
      <c r="D605" s="15" t="s">
        <v>82</v>
      </c>
      <c r="E605" s="14" t="s">
        <v>19</v>
      </c>
      <c r="F605" s="31">
        <v>19</v>
      </c>
      <c r="G605" s="26">
        <v>11</v>
      </c>
      <c r="H605" s="34"/>
      <c r="I605" s="84">
        <v>1425.55</v>
      </c>
      <c r="J605" s="136"/>
      <c r="K605" s="118">
        <v>2100.9</v>
      </c>
      <c r="L605" s="34"/>
      <c r="M605" s="84"/>
      <c r="N605" s="38" t="s">
        <v>1162</v>
      </c>
      <c r="O605" s="68"/>
      <c r="P605" s="66">
        <v>45352</v>
      </c>
    </row>
    <row r="606" spans="1:16" s="8" customFormat="1" ht="12.75" customHeight="1">
      <c r="A606" s="13">
        <f t="shared" si="14"/>
        <v>587</v>
      </c>
      <c r="B606" s="32" t="s">
        <v>659</v>
      </c>
      <c r="C606" s="23" t="s">
        <v>539</v>
      </c>
      <c r="D606" s="15" t="s">
        <v>82</v>
      </c>
      <c r="E606" s="14" t="s">
        <v>19</v>
      </c>
      <c r="F606" s="31">
        <v>18</v>
      </c>
      <c r="G606" s="26">
        <v>12</v>
      </c>
      <c r="H606" s="34"/>
      <c r="I606" s="84">
        <v>1477.13</v>
      </c>
      <c r="J606" s="136"/>
      <c r="K606" s="118">
        <v>1967.24</v>
      </c>
      <c r="L606" s="34"/>
      <c r="M606" s="84"/>
      <c r="N606" s="38" t="s">
        <v>1162</v>
      </c>
      <c r="O606" s="68"/>
      <c r="P606" s="66">
        <v>45352</v>
      </c>
    </row>
    <row r="607" spans="1:16" s="8" customFormat="1" ht="12.75" customHeight="1">
      <c r="A607" s="13">
        <f t="shared" si="14"/>
        <v>588</v>
      </c>
      <c r="B607" s="32" t="s">
        <v>659</v>
      </c>
      <c r="C607" s="23" t="s">
        <v>539</v>
      </c>
      <c r="D607" s="15" t="s">
        <v>82</v>
      </c>
      <c r="E607" s="14" t="s">
        <v>19</v>
      </c>
      <c r="F607" s="31">
        <v>17</v>
      </c>
      <c r="G607" s="26">
        <v>13</v>
      </c>
      <c r="H607" s="34"/>
      <c r="I607" s="84">
        <v>1534.79</v>
      </c>
      <c r="J607" s="136"/>
      <c r="K607" s="118">
        <v>1854.13</v>
      </c>
      <c r="L607" s="34"/>
      <c r="M607" s="84"/>
      <c r="N607" s="38" t="s">
        <v>1162</v>
      </c>
      <c r="O607" s="68"/>
      <c r="P607" s="66">
        <v>45352</v>
      </c>
    </row>
    <row r="608" spans="1:16" s="8" customFormat="1" ht="12.75" customHeight="1">
      <c r="A608" s="13">
        <f t="shared" si="14"/>
        <v>589</v>
      </c>
      <c r="B608" s="32" t="s">
        <v>659</v>
      </c>
      <c r="C608" s="23" t="s">
        <v>539</v>
      </c>
      <c r="D608" s="15" t="s">
        <v>82</v>
      </c>
      <c r="E608" s="14" t="s">
        <v>19</v>
      </c>
      <c r="F608" s="31">
        <v>16</v>
      </c>
      <c r="G608" s="26">
        <v>14</v>
      </c>
      <c r="H608" s="34"/>
      <c r="I608" s="84">
        <v>1599.64</v>
      </c>
      <c r="J608" s="136"/>
      <c r="K608" s="118">
        <v>1757.18</v>
      </c>
      <c r="L608" s="34"/>
      <c r="M608" s="84"/>
      <c r="N608" s="38" t="s">
        <v>1162</v>
      </c>
      <c r="O608" s="68"/>
      <c r="P608" s="66">
        <v>45352</v>
      </c>
    </row>
    <row r="609" spans="1:16" s="8" customFormat="1" ht="12.75" customHeight="1">
      <c r="A609" s="13">
        <f t="shared" si="14"/>
        <v>590</v>
      </c>
      <c r="B609" s="32" t="s">
        <v>659</v>
      </c>
      <c r="C609" s="23" t="s">
        <v>539</v>
      </c>
      <c r="D609" s="15" t="s">
        <v>82</v>
      </c>
      <c r="E609" s="14" t="s">
        <v>19</v>
      </c>
      <c r="F609" s="31">
        <v>15</v>
      </c>
      <c r="G609" s="26"/>
      <c r="H609" s="34"/>
      <c r="I609" s="84">
        <v>1673.15</v>
      </c>
      <c r="J609" s="136"/>
      <c r="K609" s="118"/>
      <c r="L609" s="34"/>
      <c r="M609" s="84"/>
      <c r="N609" s="38" t="s">
        <v>1162</v>
      </c>
      <c r="O609" s="68"/>
      <c r="P609" s="66">
        <v>45352</v>
      </c>
    </row>
    <row r="610" spans="1:16" s="8" customFormat="1" ht="12.75" customHeight="1">
      <c r="A610" s="13">
        <f t="shared" si="14"/>
        <v>591</v>
      </c>
      <c r="B610" s="32" t="s">
        <v>659</v>
      </c>
      <c r="C610" s="23" t="s">
        <v>539</v>
      </c>
      <c r="D610" s="15" t="s">
        <v>82</v>
      </c>
      <c r="E610" s="14" t="s">
        <v>19</v>
      </c>
      <c r="F610" s="31">
        <v>20</v>
      </c>
      <c r="G610" s="26">
        <v>10</v>
      </c>
      <c r="H610" s="34"/>
      <c r="I610" s="84">
        <v>1595.22</v>
      </c>
      <c r="J610" s="136"/>
      <c r="K610" s="118">
        <v>2619.04</v>
      </c>
      <c r="L610" s="34"/>
      <c r="M610" s="84">
        <v>20476.27</v>
      </c>
      <c r="N610" s="38" t="s">
        <v>1162</v>
      </c>
      <c r="O610" s="68"/>
      <c r="P610" s="66">
        <v>45689</v>
      </c>
    </row>
    <row r="611" spans="1:16" s="8" customFormat="1" ht="12.75" customHeight="1">
      <c r="A611" s="13">
        <f t="shared" si="14"/>
        <v>592</v>
      </c>
      <c r="B611" s="32" t="s">
        <v>659</v>
      </c>
      <c r="C611" s="23" t="s">
        <v>539</v>
      </c>
      <c r="D611" s="15" t="s">
        <v>82</v>
      </c>
      <c r="E611" s="14" t="s">
        <v>19</v>
      </c>
      <c r="F611" s="31">
        <v>19</v>
      </c>
      <c r="G611" s="26">
        <v>11</v>
      </c>
      <c r="H611" s="34"/>
      <c r="I611" s="84">
        <v>1649.12</v>
      </c>
      <c r="J611" s="136"/>
      <c r="K611" s="118">
        <v>2432.89</v>
      </c>
      <c r="L611" s="34"/>
      <c r="M611" s="84"/>
      <c r="N611" s="38" t="s">
        <v>1162</v>
      </c>
      <c r="O611" s="68"/>
      <c r="P611" s="66">
        <v>45689</v>
      </c>
    </row>
    <row r="612" spans="1:16" s="8" customFormat="1" ht="12.75" customHeight="1">
      <c r="A612" s="13">
        <f t="shared" si="14"/>
        <v>593</v>
      </c>
      <c r="B612" s="32" t="s">
        <v>659</v>
      </c>
      <c r="C612" s="23" t="s">
        <v>539</v>
      </c>
      <c r="D612" s="15" t="s">
        <v>82</v>
      </c>
      <c r="E612" s="14" t="s">
        <v>19</v>
      </c>
      <c r="F612" s="31">
        <v>18</v>
      </c>
      <c r="G612" s="26">
        <v>12</v>
      </c>
      <c r="H612" s="34"/>
      <c r="I612" s="84">
        <v>1708.99</v>
      </c>
      <c r="J612" s="136"/>
      <c r="K612" s="118">
        <v>2277.77</v>
      </c>
      <c r="L612" s="34"/>
      <c r="M612" s="84"/>
      <c r="N612" s="38" t="s">
        <v>1162</v>
      </c>
      <c r="O612" s="68"/>
      <c r="P612" s="66">
        <v>45689</v>
      </c>
    </row>
    <row r="613" spans="1:16" s="8" customFormat="1" ht="12.75" customHeight="1">
      <c r="A613" s="13">
        <f t="shared" si="14"/>
        <v>594</v>
      </c>
      <c r="B613" s="32" t="s">
        <v>659</v>
      </c>
      <c r="C613" s="23" t="s">
        <v>539</v>
      </c>
      <c r="D613" s="15" t="s">
        <v>82</v>
      </c>
      <c r="E613" s="14" t="s">
        <v>19</v>
      </c>
      <c r="F613" s="31">
        <v>17</v>
      </c>
      <c r="G613" s="26">
        <v>13</v>
      </c>
      <c r="H613" s="34"/>
      <c r="I613" s="84">
        <v>1775.9</v>
      </c>
      <c r="J613" s="136"/>
      <c r="K613" s="118">
        <v>2146.5100000000002</v>
      </c>
      <c r="L613" s="34"/>
      <c r="M613" s="84"/>
      <c r="N613" s="38" t="s">
        <v>1162</v>
      </c>
      <c r="O613" s="68"/>
      <c r="P613" s="66">
        <v>45689</v>
      </c>
    </row>
    <row r="614" spans="1:16" s="8" customFormat="1" ht="12.75" customHeight="1">
      <c r="A614" s="13">
        <f t="shared" si="14"/>
        <v>595</v>
      </c>
      <c r="B614" s="32" t="s">
        <v>659</v>
      </c>
      <c r="C614" s="23" t="s">
        <v>539</v>
      </c>
      <c r="D614" s="15" t="s">
        <v>82</v>
      </c>
      <c r="E614" s="14" t="s">
        <v>19</v>
      </c>
      <c r="F614" s="31">
        <v>16</v>
      </c>
      <c r="G614" s="26">
        <v>14</v>
      </c>
      <c r="H614" s="34"/>
      <c r="I614" s="84">
        <v>1851.1</v>
      </c>
      <c r="J614" s="136"/>
      <c r="K614" s="118">
        <v>2034.03</v>
      </c>
      <c r="L614" s="34"/>
      <c r="M614" s="84"/>
      <c r="N614" s="38" t="s">
        <v>1162</v>
      </c>
      <c r="O614" s="68"/>
      <c r="P614" s="66">
        <v>45689</v>
      </c>
    </row>
    <row r="615" spans="1:16" s="8" customFormat="1" ht="12.75" customHeight="1">
      <c r="A615" s="13">
        <f t="shared" si="14"/>
        <v>596</v>
      </c>
      <c r="B615" s="32" t="s">
        <v>659</v>
      </c>
      <c r="C615" s="23" t="s">
        <v>539</v>
      </c>
      <c r="D615" s="15" t="s">
        <v>82</v>
      </c>
      <c r="E615" s="14" t="s">
        <v>19</v>
      </c>
      <c r="F615" s="31">
        <v>15</v>
      </c>
      <c r="G615" s="26"/>
      <c r="H615" s="34"/>
      <c r="I615" s="84">
        <v>1936.52</v>
      </c>
      <c r="J615" s="136"/>
      <c r="K615" s="118"/>
      <c r="L615" s="34"/>
      <c r="M615" s="84"/>
      <c r="N615" s="38" t="s">
        <v>1162</v>
      </c>
      <c r="O615" s="68"/>
      <c r="P615" s="66">
        <v>45689</v>
      </c>
    </row>
    <row r="616" spans="1:16" s="8" customFormat="1" ht="12.75" customHeight="1">
      <c r="A616" s="13">
        <f t="shared" si="14"/>
        <v>597</v>
      </c>
      <c r="B616" s="32" t="s">
        <v>1081</v>
      </c>
      <c r="C616" s="23" t="s">
        <v>539</v>
      </c>
      <c r="D616" s="15" t="s">
        <v>82</v>
      </c>
      <c r="E616" s="14" t="s">
        <v>19</v>
      </c>
      <c r="F616" s="31" t="s">
        <v>977</v>
      </c>
      <c r="G616" s="26"/>
      <c r="H616" s="34"/>
      <c r="I616" s="84">
        <v>67257.5</v>
      </c>
      <c r="J616" s="136"/>
      <c r="K616" s="118"/>
      <c r="L616" s="34"/>
      <c r="M616" s="84"/>
      <c r="N616" s="38" t="s">
        <v>1162</v>
      </c>
      <c r="O616" s="68"/>
      <c r="P616" s="66">
        <v>45352</v>
      </c>
    </row>
    <row r="617" spans="1:16" s="8" customFormat="1" ht="12.75" customHeight="1">
      <c r="A617" s="13">
        <f t="shared" si="14"/>
        <v>598</v>
      </c>
      <c r="B617" s="32" t="s">
        <v>1081</v>
      </c>
      <c r="C617" s="23" t="s">
        <v>539</v>
      </c>
      <c r="D617" s="15" t="s">
        <v>82</v>
      </c>
      <c r="E617" s="14" t="s">
        <v>19</v>
      </c>
      <c r="F617" s="31" t="s">
        <v>977</v>
      </c>
      <c r="G617" s="26"/>
      <c r="H617" s="34"/>
      <c r="I617" s="84">
        <v>81002.73</v>
      </c>
      <c r="J617" s="136"/>
      <c r="K617" s="118"/>
      <c r="L617" s="34"/>
      <c r="M617" s="84"/>
      <c r="N617" s="38" t="s">
        <v>1162</v>
      </c>
      <c r="O617" s="68"/>
      <c r="P617" s="66">
        <v>45689</v>
      </c>
    </row>
    <row r="618" spans="1:16" s="8" customFormat="1" ht="12.75" customHeight="1">
      <c r="A618" s="13">
        <f t="shared" si="14"/>
        <v>599</v>
      </c>
      <c r="B618" s="156" t="s">
        <v>659</v>
      </c>
      <c r="C618" s="23" t="s">
        <v>539</v>
      </c>
      <c r="D618" s="15" t="s">
        <v>81</v>
      </c>
      <c r="E618" s="14" t="s">
        <v>19</v>
      </c>
      <c r="F618" s="31">
        <v>20</v>
      </c>
      <c r="G618" s="26">
        <v>10</v>
      </c>
      <c r="H618" s="34"/>
      <c r="I618" s="84">
        <v>1771.25</v>
      </c>
      <c r="J618" s="136"/>
      <c r="K618" s="118">
        <v>2885.63</v>
      </c>
      <c r="L618" s="34"/>
      <c r="M618" s="84">
        <v>22287.200000000001</v>
      </c>
      <c r="N618" s="38" t="s">
        <v>1162</v>
      </c>
      <c r="O618" s="68"/>
      <c r="P618" s="193">
        <v>46082</v>
      </c>
    </row>
    <row r="619" spans="1:16" s="8" customFormat="1" ht="12.75" customHeight="1">
      <c r="A619" s="13">
        <f t="shared" si="14"/>
        <v>600</v>
      </c>
      <c r="B619" s="156" t="s">
        <v>659</v>
      </c>
      <c r="C619" s="23" t="s">
        <v>539</v>
      </c>
      <c r="D619" s="15" t="s">
        <v>81</v>
      </c>
      <c r="E619" s="14" t="s">
        <v>19</v>
      </c>
      <c r="F619" s="31">
        <v>19</v>
      </c>
      <c r="G619" s="26">
        <v>11</v>
      </c>
      <c r="H619" s="34"/>
      <c r="I619" s="84">
        <v>1829.89</v>
      </c>
      <c r="J619" s="136"/>
      <c r="K619" s="118">
        <v>2682.99</v>
      </c>
      <c r="L619" s="34"/>
      <c r="M619" s="84"/>
      <c r="N619" s="38" t="s">
        <v>1162</v>
      </c>
      <c r="O619" s="68"/>
      <c r="P619" s="193">
        <v>46082</v>
      </c>
    </row>
    <row r="620" spans="1:16" s="8" customFormat="1" ht="12.75" customHeight="1">
      <c r="A620" s="13">
        <f t="shared" ref="A620:A683" si="15">A619+1</f>
        <v>601</v>
      </c>
      <c r="B620" s="156" t="s">
        <v>659</v>
      </c>
      <c r="C620" s="23" t="s">
        <v>539</v>
      </c>
      <c r="D620" s="15" t="s">
        <v>81</v>
      </c>
      <c r="E620" s="14" t="s">
        <v>19</v>
      </c>
      <c r="F620" s="31">
        <v>18</v>
      </c>
      <c r="G620" s="26">
        <v>12</v>
      </c>
      <c r="H620" s="34"/>
      <c r="I620" s="84">
        <v>1895.07</v>
      </c>
      <c r="J620" s="136"/>
      <c r="K620" s="118">
        <v>2514.19</v>
      </c>
      <c r="L620" s="34"/>
      <c r="M620" s="84"/>
      <c r="N620" s="38" t="s">
        <v>1162</v>
      </c>
      <c r="O620" s="68"/>
      <c r="P620" s="193">
        <v>46082</v>
      </c>
    </row>
    <row r="621" spans="1:16" s="8" customFormat="1" ht="12.75" customHeight="1">
      <c r="A621" s="13">
        <f t="shared" si="15"/>
        <v>602</v>
      </c>
      <c r="B621" s="156" t="s">
        <v>659</v>
      </c>
      <c r="C621" s="23" t="s">
        <v>539</v>
      </c>
      <c r="D621" s="15" t="s">
        <v>81</v>
      </c>
      <c r="E621" s="14" t="s">
        <v>19</v>
      </c>
      <c r="F621" s="31">
        <v>17</v>
      </c>
      <c r="G621" s="26">
        <v>13</v>
      </c>
      <c r="H621" s="34"/>
      <c r="I621" s="84">
        <v>1967.91</v>
      </c>
      <c r="J621" s="136"/>
      <c r="K621" s="118">
        <v>2371.29</v>
      </c>
      <c r="L621" s="34"/>
      <c r="M621" s="84"/>
      <c r="N621" s="38" t="s">
        <v>1162</v>
      </c>
      <c r="O621" s="68"/>
      <c r="P621" s="193">
        <v>46082</v>
      </c>
    </row>
    <row r="622" spans="1:16" s="8" customFormat="1" ht="12.75" customHeight="1">
      <c r="A622" s="13">
        <f t="shared" si="15"/>
        <v>603</v>
      </c>
      <c r="B622" s="156" t="s">
        <v>659</v>
      </c>
      <c r="C622" s="23" t="s">
        <v>539</v>
      </c>
      <c r="D622" s="15" t="s">
        <v>81</v>
      </c>
      <c r="E622" s="14" t="s">
        <v>19</v>
      </c>
      <c r="F622" s="31">
        <v>16</v>
      </c>
      <c r="G622" s="26">
        <v>14</v>
      </c>
      <c r="H622" s="34"/>
      <c r="I622" s="84">
        <v>2049.86</v>
      </c>
      <c r="J622" s="136"/>
      <c r="K622" s="118">
        <v>2248.84</v>
      </c>
      <c r="L622" s="34"/>
      <c r="M622" s="84"/>
      <c r="N622" s="38" t="s">
        <v>1162</v>
      </c>
      <c r="O622" s="68"/>
      <c r="P622" s="193">
        <v>46082</v>
      </c>
    </row>
    <row r="623" spans="1:16" s="8" customFormat="1" ht="12.75" customHeight="1">
      <c r="A623" s="13">
        <f t="shared" si="15"/>
        <v>604</v>
      </c>
      <c r="B623" s="156" t="s">
        <v>659</v>
      </c>
      <c r="C623" s="23" t="s">
        <v>539</v>
      </c>
      <c r="D623" s="15" t="s">
        <v>81</v>
      </c>
      <c r="E623" s="14" t="s">
        <v>19</v>
      </c>
      <c r="F623" s="31">
        <v>15</v>
      </c>
      <c r="G623" s="26"/>
      <c r="H623" s="34"/>
      <c r="I623" s="84">
        <v>2142.6999999999998</v>
      </c>
      <c r="J623" s="136"/>
      <c r="K623" s="118"/>
      <c r="L623" s="34"/>
      <c r="M623" s="84"/>
      <c r="N623" s="38" t="s">
        <v>1162</v>
      </c>
      <c r="O623" s="68"/>
      <c r="P623" s="193">
        <v>46082</v>
      </c>
    </row>
    <row r="624" spans="1:16" s="8" customFormat="1" ht="12.75" customHeight="1">
      <c r="A624" s="13">
        <f t="shared" si="15"/>
        <v>605</v>
      </c>
      <c r="B624" s="156" t="s">
        <v>1081</v>
      </c>
      <c r="C624" s="23" t="s">
        <v>539</v>
      </c>
      <c r="D624" s="15" t="s">
        <v>81</v>
      </c>
      <c r="E624" s="14" t="s">
        <v>19</v>
      </c>
      <c r="F624" s="31" t="s">
        <v>977</v>
      </c>
      <c r="G624" s="26"/>
      <c r="H624" s="34"/>
      <c r="I624" s="84">
        <v>88688.92</v>
      </c>
      <c r="J624" s="136"/>
      <c r="K624" s="118"/>
      <c r="L624" s="34"/>
      <c r="M624" s="84"/>
      <c r="N624" s="38" t="s">
        <v>1162</v>
      </c>
      <c r="O624" s="68"/>
      <c r="P624" s="193">
        <v>46082</v>
      </c>
    </row>
    <row r="625" spans="1:16" s="8" customFormat="1" ht="12.75" customHeight="1">
      <c r="A625" s="13">
        <f t="shared" si="15"/>
        <v>606</v>
      </c>
      <c r="B625" s="52" t="s">
        <v>660</v>
      </c>
      <c r="C625" s="23" t="s">
        <v>539</v>
      </c>
      <c r="D625" s="15" t="s">
        <v>82</v>
      </c>
      <c r="E625" s="14" t="s">
        <v>19</v>
      </c>
      <c r="F625" s="26">
        <v>20</v>
      </c>
      <c r="G625" s="26">
        <v>10</v>
      </c>
      <c r="H625" s="34">
        <v>1500.34</v>
      </c>
      <c r="I625" s="84">
        <v>1536.82</v>
      </c>
      <c r="J625" s="136">
        <v>2540.4899999999998</v>
      </c>
      <c r="K625" s="118">
        <v>2613.4699999999998</v>
      </c>
      <c r="L625" s="34">
        <v>9094.4500000000007</v>
      </c>
      <c r="M625" s="84">
        <v>9184.17</v>
      </c>
      <c r="N625" s="38" t="s">
        <v>641</v>
      </c>
      <c r="O625" s="68" t="s">
        <v>692</v>
      </c>
      <c r="P625" s="66">
        <v>43617</v>
      </c>
    </row>
    <row r="626" spans="1:16" s="8" customFormat="1" ht="12.75" customHeight="1">
      <c r="A626" s="13">
        <f t="shared" si="15"/>
        <v>607</v>
      </c>
      <c r="B626" s="32" t="s">
        <v>660</v>
      </c>
      <c r="C626" s="23" t="s">
        <v>539</v>
      </c>
      <c r="D626" s="15" t="s">
        <v>82</v>
      </c>
      <c r="E626" s="14" t="s">
        <v>19</v>
      </c>
      <c r="F626" s="26">
        <v>20</v>
      </c>
      <c r="G626" s="26">
        <v>10</v>
      </c>
      <c r="H626" s="34"/>
      <c r="I626" s="84">
        <v>1235.3800000000001</v>
      </c>
      <c r="J626" s="136"/>
      <c r="K626" s="118">
        <v>1961</v>
      </c>
      <c r="L626" s="34"/>
      <c r="M626" s="84"/>
      <c r="N626" s="38" t="s">
        <v>641</v>
      </c>
      <c r="O626" s="68"/>
      <c r="P626" s="66">
        <v>44562</v>
      </c>
    </row>
    <row r="627" spans="1:16" s="8" customFormat="1" ht="12.75" customHeight="1">
      <c r="A627" s="13">
        <f t="shared" si="15"/>
        <v>608</v>
      </c>
      <c r="B627" s="32" t="s">
        <v>660</v>
      </c>
      <c r="C627" s="23" t="s">
        <v>539</v>
      </c>
      <c r="D627" s="24" t="s">
        <v>887</v>
      </c>
      <c r="E627" s="14" t="s">
        <v>19</v>
      </c>
      <c r="F627" s="26">
        <v>20</v>
      </c>
      <c r="G627" s="26">
        <v>5</v>
      </c>
      <c r="H627" s="34"/>
      <c r="I627" s="84">
        <v>1536.82</v>
      </c>
      <c r="J627" s="136"/>
      <c r="K627" s="118">
        <v>4766.82</v>
      </c>
      <c r="L627" s="34"/>
      <c r="M627" s="84"/>
      <c r="N627" s="38" t="s">
        <v>641</v>
      </c>
      <c r="O627" s="68"/>
      <c r="P627" s="66">
        <v>43617</v>
      </c>
    </row>
    <row r="628" spans="1:16" s="8" customFormat="1" ht="12.75" customHeight="1">
      <c r="A628" s="13">
        <f t="shared" si="15"/>
        <v>609</v>
      </c>
      <c r="B628" s="32" t="s">
        <v>660</v>
      </c>
      <c r="C628" s="23" t="s">
        <v>539</v>
      </c>
      <c r="D628" s="24" t="s">
        <v>887</v>
      </c>
      <c r="E628" s="14" t="s">
        <v>19</v>
      </c>
      <c r="F628" s="31" t="s">
        <v>977</v>
      </c>
      <c r="G628" s="26"/>
      <c r="H628" s="34"/>
      <c r="I628" s="84">
        <v>56679.63</v>
      </c>
      <c r="J628" s="136"/>
      <c r="K628" s="118"/>
      <c r="L628" s="34"/>
      <c r="M628" s="84"/>
      <c r="N628" s="38" t="s">
        <v>641</v>
      </c>
      <c r="O628" s="68"/>
      <c r="P628" s="66">
        <v>44562</v>
      </c>
    </row>
    <row r="629" spans="1:16" s="8" customFormat="1" ht="12.75" customHeight="1">
      <c r="A629" s="13">
        <f t="shared" si="15"/>
        <v>610</v>
      </c>
      <c r="B629" s="32" t="s">
        <v>660</v>
      </c>
      <c r="C629" s="23" t="s">
        <v>539</v>
      </c>
      <c r="D629" s="24" t="s">
        <v>887</v>
      </c>
      <c r="E629" s="14" t="s">
        <v>19</v>
      </c>
      <c r="F629" s="26">
        <v>20</v>
      </c>
      <c r="G629" s="26">
        <v>10</v>
      </c>
      <c r="H629" s="34"/>
      <c r="I629" s="84">
        <v>1312.12</v>
      </c>
      <c r="J629" s="136"/>
      <c r="K629" s="118">
        <v>2089.0300000000002</v>
      </c>
      <c r="L629" s="34"/>
      <c r="M629" s="84"/>
      <c r="N629" s="38" t="s">
        <v>641</v>
      </c>
      <c r="O629" s="68"/>
      <c r="P629" s="66">
        <v>45170</v>
      </c>
    </row>
    <row r="630" spans="1:16" s="8" customFormat="1" ht="12.75" customHeight="1">
      <c r="A630" s="13">
        <f t="shared" si="15"/>
        <v>611</v>
      </c>
      <c r="B630" s="32" t="s">
        <v>1115</v>
      </c>
      <c r="C630" s="23" t="s">
        <v>539</v>
      </c>
      <c r="D630" s="24" t="s">
        <v>887</v>
      </c>
      <c r="E630" s="14" t="s">
        <v>19</v>
      </c>
      <c r="F630" s="31" t="s">
        <v>977</v>
      </c>
      <c r="G630" s="26"/>
      <c r="H630" s="34"/>
      <c r="I630" s="84">
        <v>58736.18</v>
      </c>
      <c r="J630" s="136"/>
      <c r="K630" s="118"/>
      <c r="L630" s="34"/>
      <c r="M630" s="84"/>
      <c r="N630" s="38" t="s">
        <v>641</v>
      </c>
      <c r="O630" s="68"/>
      <c r="P630" s="66">
        <v>45170</v>
      </c>
    </row>
    <row r="631" spans="1:16" s="8" customFormat="1" ht="12.75" customHeight="1">
      <c r="A631" s="13">
        <f t="shared" si="15"/>
        <v>612</v>
      </c>
      <c r="B631" s="32" t="s">
        <v>660</v>
      </c>
      <c r="C631" s="23" t="s">
        <v>539</v>
      </c>
      <c r="D631" s="24" t="s">
        <v>887</v>
      </c>
      <c r="E631" s="23" t="s">
        <v>19</v>
      </c>
      <c r="F631" s="31">
        <v>11</v>
      </c>
      <c r="G631" s="31">
        <v>1</v>
      </c>
      <c r="H631" s="34"/>
      <c r="I631" s="84">
        <v>1947.76</v>
      </c>
      <c r="J631" s="140"/>
      <c r="K631" s="137">
        <v>16072.94</v>
      </c>
      <c r="L631" s="35"/>
      <c r="M631" s="85">
        <v>15537.68</v>
      </c>
      <c r="N631" s="38" t="s">
        <v>641</v>
      </c>
      <c r="O631" s="69"/>
      <c r="P631" s="66">
        <v>45200</v>
      </c>
    </row>
    <row r="632" spans="1:16" s="8" customFormat="1" ht="12.75" customHeight="1">
      <c r="A632" s="13">
        <f t="shared" si="15"/>
        <v>613</v>
      </c>
      <c r="B632" s="32" t="s">
        <v>1115</v>
      </c>
      <c r="C632" s="23" t="s">
        <v>539</v>
      </c>
      <c r="D632" s="24" t="s">
        <v>887</v>
      </c>
      <c r="E632" s="23" t="s">
        <v>19</v>
      </c>
      <c r="F632" s="31" t="s">
        <v>977</v>
      </c>
      <c r="G632" s="31"/>
      <c r="H632" s="34"/>
      <c r="I632" s="84">
        <v>58736.18</v>
      </c>
      <c r="J632" s="140"/>
      <c r="K632" s="137"/>
      <c r="L632" s="35"/>
      <c r="M632" s="85"/>
      <c r="N632" s="38" t="s">
        <v>641</v>
      </c>
      <c r="O632" s="69"/>
      <c r="P632" s="66">
        <v>45200</v>
      </c>
    </row>
    <row r="633" spans="1:16" s="8" customFormat="1" ht="12.75" customHeight="1">
      <c r="A633" s="13">
        <f t="shared" si="15"/>
        <v>614</v>
      </c>
      <c r="B633" s="32" t="s">
        <v>660</v>
      </c>
      <c r="C633" s="23" t="s">
        <v>539</v>
      </c>
      <c r="D633" s="24" t="s">
        <v>887</v>
      </c>
      <c r="E633" s="14" t="s">
        <v>19</v>
      </c>
      <c r="F633" s="31">
        <v>20</v>
      </c>
      <c r="G633" s="26">
        <v>1</v>
      </c>
      <c r="H633" s="34"/>
      <c r="I633" s="84">
        <v>1275.5899999999999</v>
      </c>
      <c r="J633" s="136"/>
      <c r="K633" s="118">
        <v>15935.73</v>
      </c>
      <c r="L633" s="34"/>
      <c r="M633" s="84">
        <v>15431.74</v>
      </c>
      <c r="N633" s="38" t="s">
        <v>641</v>
      </c>
      <c r="O633" s="68"/>
      <c r="P633" s="66">
        <v>45292</v>
      </c>
    </row>
    <row r="634" spans="1:16" s="8" customFormat="1" ht="12.75" customHeight="1">
      <c r="A634" s="13">
        <f t="shared" si="15"/>
        <v>615</v>
      </c>
      <c r="B634" s="32" t="s">
        <v>1115</v>
      </c>
      <c r="C634" s="23" t="s">
        <v>539</v>
      </c>
      <c r="D634" s="24" t="s">
        <v>887</v>
      </c>
      <c r="E634" s="14" t="s">
        <v>19</v>
      </c>
      <c r="F634" s="31" t="s">
        <v>977</v>
      </c>
      <c r="G634" s="26"/>
      <c r="H634" s="34"/>
      <c r="I634" s="84">
        <v>52025.2</v>
      </c>
      <c r="J634" s="136"/>
      <c r="K634" s="118"/>
      <c r="L634" s="34"/>
      <c r="M634" s="84"/>
      <c r="N634" s="38" t="s">
        <v>641</v>
      </c>
      <c r="O634" s="68"/>
      <c r="P634" s="66">
        <v>45292</v>
      </c>
    </row>
    <row r="635" spans="1:16" s="8" customFormat="1" ht="12.75" customHeight="1">
      <c r="A635" s="13">
        <f t="shared" si="15"/>
        <v>616</v>
      </c>
      <c r="B635" s="32" t="s">
        <v>660</v>
      </c>
      <c r="C635" s="23" t="s">
        <v>539</v>
      </c>
      <c r="D635" s="24" t="s">
        <v>887</v>
      </c>
      <c r="E635" s="14" t="s">
        <v>19</v>
      </c>
      <c r="F635" s="31">
        <v>11</v>
      </c>
      <c r="G635" s="26">
        <v>1</v>
      </c>
      <c r="H635" s="34"/>
      <c r="I635" s="84">
        <v>1947.76</v>
      </c>
      <c r="J635" s="136"/>
      <c r="K635" s="118">
        <v>16072.94</v>
      </c>
      <c r="L635" s="34"/>
      <c r="M635" s="84">
        <v>15537.68</v>
      </c>
      <c r="N635" s="38" t="s">
        <v>1162</v>
      </c>
      <c r="O635" s="68"/>
      <c r="P635" s="66">
        <v>45352</v>
      </c>
    </row>
    <row r="636" spans="1:16" s="8" customFormat="1" ht="12.75" customHeight="1">
      <c r="A636" s="13">
        <f t="shared" si="15"/>
        <v>617</v>
      </c>
      <c r="B636" s="32" t="s">
        <v>660</v>
      </c>
      <c r="C636" s="23" t="s">
        <v>539</v>
      </c>
      <c r="D636" s="24" t="s">
        <v>887</v>
      </c>
      <c r="E636" s="14" t="s">
        <v>19</v>
      </c>
      <c r="F636" s="31">
        <v>10</v>
      </c>
      <c r="G636" s="26">
        <v>2</v>
      </c>
      <c r="H636" s="34"/>
      <c r="I636" s="84">
        <v>2089.0300000000002</v>
      </c>
      <c r="J636" s="136"/>
      <c r="K636" s="118">
        <v>8304.1</v>
      </c>
      <c r="L636" s="34"/>
      <c r="M636" s="84"/>
      <c r="N636" s="38" t="s">
        <v>1162</v>
      </c>
      <c r="O636" s="68"/>
      <c r="P636" s="66">
        <v>45352</v>
      </c>
    </row>
    <row r="637" spans="1:16" s="8" customFormat="1" ht="12.75" customHeight="1">
      <c r="A637" s="13">
        <f t="shared" si="15"/>
        <v>618</v>
      </c>
      <c r="B637" s="32" t="s">
        <v>660</v>
      </c>
      <c r="C637" s="23" t="s">
        <v>539</v>
      </c>
      <c r="D637" s="24" t="s">
        <v>887</v>
      </c>
      <c r="E637" s="14" t="s">
        <v>19</v>
      </c>
      <c r="F637" s="31">
        <v>9</v>
      </c>
      <c r="G637" s="26">
        <v>3</v>
      </c>
      <c r="H637" s="34"/>
      <c r="I637" s="84">
        <v>2261.6799999999998</v>
      </c>
      <c r="J637" s="136"/>
      <c r="K637" s="118">
        <v>5714.46</v>
      </c>
      <c r="L637" s="34"/>
      <c r="M637" s="84"/>
      <c r="N637" s="38" t="s">
        <v>1162</v>
      </c>
      <c r="O637" s="68"/>
      <c r="P637" s="66">
        <v>45352</v>
      </c>
    </row>
    <row r="638" spans="1:16" s="8" customFormat="1" ht="12.75" customHeight="1">
      <c r="A638" s="13">
        <f t="shared" si="15"/>
        <v>619</v>
      </c>
      <c r="B638" s="32" t="s">
        <v>660</v>
      </c>
      <c r="C638" s="23" t="s">
        <v>539</v>
      </c>
      <c r="D638" s="24" t="s">
        <v>887</v>
      </c>
      <c r="E638" s="14" t="s">
        <v>19</v>
      </c>
      <c r="F638" s="31">
        <v>8</v>
      </c>
      <c r="G638" s="26">
        <v>4</v>
      </c>
      <c r="H638" s="34"/>
      <c r="I638" s="84">
        <v>2477.46</v>
      </c>
      <c r="J638" s="136"/>
      <c r="K638" s="118">
        <v>4419.68</v>
      </c>
      <c r="L638" s="34"/>
      <c r="M638" s="84"/>
      <c r="N638" s="38" t="s">
        <v>1162</v>
      </c>
      <c r="O638" s="68"/>
      <c r="P638" s="66">
        <v>45352</v>
      </c>
    </row>
    <row r="639" spans="1:16" s="8" customFormat="1" ht="12.75" customHeight="1">
      <c r="A639" s="13">
        <f t="shared" si="15"/>
        <v>620</v>
      </c>
      <c r="B639" s="32" t="s">
        <v>660</v>
      </c>
      <c r="C639" s="23" t="s">
        <v>539</v>
      </c>
      <c r="D639" s="24" t="s">
        <v>887</v>
      </c>
      <c r="E639" s="14" t="s">
        <v>19</v>
      </c>
      <c r="F639" s="31">
        <v>7</v>
      </c>
      <c r="G639" s="26">
        <v>5</v>
      </c>
      <c r="H639" s="34"/>
      <c r="I639" s="84">
        <v>2754.93</v>
      </c>
      <c r="J639" s="136"/>
      <c r="K639" s="118">
        <v>3642.79</v>
      </c>
      <c r="L639" s="34"/>
      <c r="M639" s="84"/>
      <c r="N639" s="38" t="s">
        <v>1162</v>
      </c>
      <c r="O639" s="68"/>
      <c r="P639" s="66">
        <v>45352</v>
      </c>
    </row>
    <row r="640" spans="1:16" s="8" customFormat="1" ht="12.75" customHeight="1">
      <c r="A640" s="13">
        <f t="shared" si="15"/>
        <v>621</v>
      </c>
      <c r="B640" s="32" t="s">
        <v>660</v>
      </c>
      <c r="C640" s="23" t="s">
        <v>539</v>
      </c>
      <c r="D640" s="24" t="s">
        <v>887</v>
      </c>
      <c r="E640" s="14" t="s">
        <v>19</v>
      </c>
      <c r="F640" s="31">
        <v>6</v>
      </c>
      <c r="G640" s="26"/>
      <c r="H640" s="34"/>
      <c r="I640" s="84">
        <v>3124.88</v>
      </c>
      <c r="J640" s="136"/>
      <c r="K640" s="118"/>
      <c r="L640" s="34"/>
      <c r="M640" s="84"/>
      <c r="N640" s="38" t="s">
        <v>1162</v>
      </c>
      <c r="O640" s="68"/>
      <c r="P640" s="66">
        <v>45352</v>
      </c>
    </row>
    <row r="641" spans="1:16" s="8" customFormat="1" ht="12.75" customHeight="1">
      <c r="A641" s="13">
        <f t="shared" si="15"/>
        <v>622</v>
      </c>
      <c r="B641" s="32" t="s">
        <v>660</v>
      </c>
      <c r="C641" s="23" t="s">
        <v>539</v>
      </c>
      <c r="D641" s="24" t="s">
        <v>887</v>
      </c>
      <c r="E641" s="14" t="s">
        <v>19</v>
      </c>
      <c r="F641" s="31">
        <v>20</v>
      </c>
      <c r="G641" s="26">
        <v>10</v>
      </c>
      <c r="H641" s="34"/>
      <c r="I641" s="84">
        <v>1743.99</v>
      </c>
      <c r="J641" s="136"/>
      <c r="K641" s="118">
        <v>2767.8</v>
      </c>
      <c r="L641" s="34"/>
      <c r="M641" s="84">
        <v>20476.27</v>
      </c>
      <c r="N641" s="38" t="s">
        <v>1162</v>
      </c>
      <c r="O641" s="68"/>
      <c r="P641" s="66">
        <v>45689</v>
      </c>
    </row>
    <row r="642" spans="1:16" s="8" customFormat="1" ht="12.75" customHeight="1">
      <c r="A642" s="13">
        <f t="shared" si="15"/>
        <v>623</v>
      </c>
      <c r="B642" s="32" t="s">
        <v>660</v>
      </c>
      <c r="C642" s="23" t="s">
        <v>539</v>
      </c>
      <c r="D642" s="24" t="s">
        <v>887</v>
      </c>
      <c r="E642" s="14" t="s">
        <v>19</v>
      </c>
      <c r="F642" s="31">
        <v>19</v>
      </c>
      <c r="G642" s="26">
        <v>11</v>
      </c>
      <c r="H642" s="34"/>
      <c r="I642" s="84">
        <v>1797.87</v>
      </c>
      <c r="J642" s="136"/>
      <c r="K642" s="118">
        <v>2581.64</v>
      </c>
      <c r="L642" s="34"/>
      <c r="M642" s="84"/>
      <c r="N642" s="38" t="s">
        <v>1162</v>
      </c>
      <c r="O642" s="68"/>
      <c r="P642" s="66">
        <v>45689</v>
      </c>
    </row>
    <row r="643" spans="1:16" s="8" customFormat="1" ht="12.75" customHeight="1">
      <c r="A643" s="13">
        <f t="shared" si="15"/>
        <v>624</v>
      </c>
      <c r="B643" s="32" t="s">
        <v>660</v>
      </c>
      <c r="C643" s="23" t="s">
        <v>539</v>
      </c>
      <c r="D643" s="24" t="s">
        <v>887</v>
      </c>
      <c r="E643" s="14" t="s">
        <v>19</v>
      </c>
      <c r="F643" s="31">
        <v>18</v>
      </c>
      <c r="G643" s="26">
        <v>12</v>
      </c>
      <c r="H643" s="34"/>
      <c r="I643" s="84">
        <v>1857.75</v>
      </c>
      <c r="J643" s="136"/>
      <c r="K643" s="118">
        <v>2426.5300000000002</v>
      </c>
      <c r="L643" s="34"/>
      <c r="M643" s="84"/>
      <c r="N643" s="38" t="s">
        <v>1162</v>
      </c>
      <c r="O643" s="68"/>
      <c r="P643" s="66">
        <v>45689</v>
      </c>
    </row>
    <row r="644" spans="1:16" s="8" customFormat="1" ht="12.75" customHeight="1">
      <c r="A644" s="13">
        <f t="shared" si="15"/>
        <v>625</v>
      </c>
      <c r="B644" s="32" t="s">
        <v>660</v>
      </c>
      <c r="C644" s="23" t="s">
        <v>539</v>
      </c>
      <c r="D644" s="24" t="s">
        <v>887</v>
      </c>
      <c r="E644" s="14" t="s">
        <v>19</v>
      </c>
      <c r="F644" s="31">
        <v>17</v>
      </c>
      <c r="G644" s="26">
        <v>13</v>
      </c>
      <c r="H644" s="34"/>
      <c r="I644" s="84">
        <v>1924.66</v>
      </c>
      <c r="J644" s="136"/>
      <c r="K644" s="118">
        <v>2295.2800000000002</v>
      </c>
      <c r="L644" s="34"/>
      <c r="M644" s="84"/>
      <c r="N644" s="38" t="s">
        <v>1162</v>
      </c>
      <c r="O644" s="68"/>
      <c r="P644" s="66">
        <v>45689</v>
      </c>
    </row>
    <row r="645" spans="1:16" s="8" customFormat="1" ht="12.75" customHeight="1">
      <c r="A645" s="13">
        <f t="shared" si="15"/>
        <v>626</v>
      </c>
      <c r="B645" s="32" t="s">
        <v>660</v>
      </c>
      <c r="C645" s="23" t="s">
        <v>539</v>
      </c>
      <c r="D645" s="24" t="s">
        <v>887</v>
      </c>
      <c r="E645" s="14" t="s">
        <v>19</v>
      </c>
      <c r="F645" s="31">
        <v>16</v>
      </c>
      <c r="G645" s="26">
        <v>14</v>
      </c>
      <c r="H645" s="34"/>
      <c r="I645" s="84">
        <v>1999.95</v>
      </c>
      <c r="J645" s="136"/>
      <c r="K645" s="118">
        <v>2182.79</v>
      </c>
      <c r="L645" s="34"/>
      <c r="M645" s="84"/>
      <c r="N645" s="38" t="s">
        <v>1162</v>
      </c>
      <c r="O645" s="68"/>
      <c r="P645" s="66">
        <v>45689</v>
      </c>
    </row>
    <row r="646" spans="1:16" s="8" customFormat="1" ht="12.75" customHeight="1">
      <c r="A646" s="13">
        <f t="shared" si="15"/>
        <v>627</v>
      </c>
      <c r="B646" s="32" t="s">
        <v>660</v>
      </c>
      <c r="C646" s="23" t="s">
        <v>539</v>
      </c>
      <c r="D646" s="24" t="s">
        <v>887</v>
      </c>
      <c r="E646" s="14" t="s">
        <v>19</v>
      </c>
      <c r="F646" s="31">
        <v>15</v>
      </c>
      <c r="G646" s="26"/>
      <c r="H646" s="34"/>
      <c r="I646" s="84">
        <v>2085.2600000000002</v>
      </c>
      <c r="J646" s="136"/>
      <c r="K646" s="118"/>
      <c r="L646" s="34"/>
      <c r="M646" s="84"/>
      <c r="N646" s="38" t="s">
        <v>1162</v>
      </c>
      <c r="O646" s="68"/>
      <c r="P646" s="66">
        <v>45689</v>
      </c>
    </row>
    <row r="647" spans="1:16" s="8" customFormat="1" ht="12.75" customHeight="1">
      <c r="A647" s="13">
        <f t="shared" si="15"/>
        <v>628</v>
      </c>
      <c r="B647" s="32" t="s">
        <v>1115</v>
      </c>
      <c r="C647" s="23" t="s">
        <v>539</v>
      </c>
      <c r="D647" s="24" t="s">
        <v>887</v>
      </c>
      <c r="E647" s="14" t="s">
        <v>19</v>
      </c>
      <c r="F647" s="31" t="s">
        <v>977</v>
      </c>
      <c r="G647" s="26"/>
      <c r="H647" s="34"/>
      <c r="I647" s="84">
        <v>58736.18</v>
      </c>
      <c r="J647" s="136"/>
      <c r="K647" s="118"/>
      <c r="L647" s="34"/>
      <c r="M647" s="84"/>
      <c r="N647" s="38" t="s">
        <v>1162</v>
      </c>
      <c r="O647" s="68"/>
      <c r="P647" s="66">
        <v>45352</v>
      </c>
    </row>
    <row r="648" spans="1:16" s="8" customFormat="1" ht="12.75" customHeight="1">
      <c r="A648" s="13">
        <f t="shared" si="15"/>
        <v>629</v>
      </c>
      <c r="B648" s="32" t="s">
        <v>1115</v>
      </c>
      <c r="C648" s="23" t="s">
        <v>539</v>
      </c>
      <c r="D648" s="24" t="s">
        <v>887</v>
      </c>
      <c r="E648" s="14" t="s">
        <v>19</v>
      </c>
      <c r="F648" s="31" t="s">
        <v>977</v>
      </c>
      <c r="G648" s="26"/>
      <c r="H648" s="34"/>
      <c r="I648" s="84">
        <v>81002.73</v>
      </c>
      <c r="J648" s="136"/>
      <c r="K648" s="118"/>
      <c r="L648" s="34"/>
      <c r="M648" s="84"/>
      <c r="N648" s="38" t="s">
        <v>1162</v>
      </c>
      <c r="O648" s="68"/>
      <c r="P648" s="66">
        <v>45689</v>
      </c>
    </row>
    <row r="649" spans="1:16" s="8" customFormat="1" ht="12.75" customHeight="1">
      <c r="A649" s="13">
        <f t="shared" si="15"/>
        <v>630</v>
      </c>
      <c r="B649" s="156" t="s">
        <v>660</v>
      </c>
      <c r="C649" s="23" t="s">
        <v>539</v>
      </c>
      <c r="D649" s="24" t="s">
        <v>82</v>
      </c>
      <c r="E649" s="14" t="s">
        <v>19</v>
      </c>
      <c r="F649" s="31">
        <v>20</v>
      </c>
      <c r="G649" s="26">
        <v>10</v>
      </c>
      <c r="H649" s="34"/>
      <c r="I649" s="84">
        <v>1968.31</v>
      </c>
      <c r="J649" s="136"/>
      <c r="K649" s="118">
        <v>3082.68</v>
      </c>
      <c r="L649" s="34"/>
      <c r="M649" s="84">
        <v>22287.200000000001</v>
      </c>
      <c r="N649" s="38" t="s">
        <v>1162</v>
      </c>
      <c r="O649" s="68"/>
      <c r="P649" s="193">
        <v>46082</v>
      </c>
    </row>
    <row r="650" spans="1:16" s="8" customFormat="1" ht="12.75" customHeight="1">
      <c r="A650" s="13">
        <f t="shared" si="15"/>
        <v>631</v>
      </c>
      <c r="B650" s="156" t="s">
        <v>660</v>
      </c>
      <c r="C650" s="23" t="s">
        <v>539</v>
      </c>
      <c r="D650" s="24" t="s">
        <v>82</v>
      </c>
      <c r="E650" s="14" t="s">
        <v>19</v>
      </c>
      <c r="F650" s="31">
        <v>19</v>
      </c>
      <c r="G650" s="26">
        <v>11</v>
      </c>
      <c r="H650" s="34"/>
      <c r="I650" s="84">
        <v>2026.94</v>
      </c>
      <c r="J650" s="136"/>
      <c r="K650" s="118">
        <v>2880.05</v>
      </c>
      <c r="L650" s="34"/>
      <c r="M650" s="84"/>
      <c r="N650" s="38" t="s">
        <v>1162</v>
      </c>
      <c r="O650" s="68"/>
      <c r="P650" s="193">
        <v>46082</v>
      </c>
    </row>
    <row r="651" spans="1:16" s="8" customFormat="1" ht="12.75" customHeight="1">
      <c r="A651" s="13">
        <f t="shared" si="15"/>
        <v>632</v>
      </c>
      <c r="B651" s="156" t="s">
        <v>660</v>
      </c>
      <c r="C651" s="23" t="s">
        <v>539</v>
      </c>
      <c r="D651" s="24" t="s">
        <v>82</v>
      </c>
      <c r="E651" s="14" t="s">
        <v>19</v>
      </c>
      <c r="F651" s="31">
        <v>18</v>
      </c>
      <c r="G651" s="26">
        <v>12</v>
      </c>
      <c r="H651" s="34"/>
      <c r="I651" s="84">
        <v>2092.12</v>
      </c>
      <c r="J651" s="136"/>
      <c r="K651" s="118">
        <v>2711.23</v>
      </c>
      <c r="L651" s="34"/>
      <c r="M651" s="84"/>
      <c r="N651" s="38" t="s">
        <v>1162</v>
      </c>
      <c r="O651" s="68"/>
      <c r="P651" s="193">
        <v>46082</v>
      </c>
    </row>
    <row r="652" spans="1:16" s="8" customFormat="1" ht="12.75" customHeight="1">
      <c r="A652" s="13">
        <f t="shared" si="15"/>
        <v>633</v>
      </c>
      <c r="B652" s="156" t="s">
        <v>660</v>
      </c>
      <c r="C652" s="23" t="s">
        <v>539</v>
      </c>
      <c r="D652" s="24" t="s">
        <v>82</v>
      </c>
      <c r="E652" s="14" t="s">
        <v>19</v>
      </c>
      <c r="F652" s="31">
        <v>17</v>
      </c>
      <c r="G652" s="26">
        <v>13</v>
      </c>
      <c r="H652" s="34"/>
      <c r="I652" s="84">
        <v>2164.98</v>
      </c>
      <c r="J652" s="136"/>
      <c r="K652" s="118">
        <v>2568.35</v>
      </c>
      <c r="L652" s="34"/>
      <c r="M652" s="84"/>
      <c r="N652" s="38" t="s">
        <v>1162</v>
      </c>
      <c r="O652" s="68"/>
      <c r="P652" s="193">
        <v>46082</v>
      </c>
    </row>
    <row r="653" spans="1:16" s="8" customFormat="1" ht="12.75" customHeight="1">
      <c r="A653" s="13">
        <f t="shared" si="15"/>
        <v>634</v>
      </c>
      <c r="B653" s="156" t="s">
        <v>660</v>
      </c>
      <c r="C653" s="23" t="s">
        <v>539</v>
      </c>
      <c r="D653" s="24" t="s">
        <v>82</v>
      </c>
      <c r="E653" s="14" t="s">
        <v>19</v>
      </c>
      <c r="F653" s="31">
        <v>16</v>
      </c>
      <c r="G653" s="26">
        <v>14</v>
      </c>
      <c r="H653" s="34"/>
      <c r="I653" s="84">
        <v>2246.92</v>
      </c>
      <c r="J653" s="136"/>
      <c r="K653" s="118">
        <v>2445.9</v>
      </c>
      <c r="L653" s="34"/>
      <c r="M653" s="84"/>
      <c r="N653" s="38" t="s">
        <v>1162</v>
      </c>
      <c r="O653" s="68"/>
      <c r="P653" s="193">
        <v>46082</v>
      </c>
    </row>
    <row r="654" spans="1:16" s="8" customFormat="1" ht="12.75" customHeight="1">
      <c r="A654" s="13">
        <f t="shared" si="15"/>
        <v>635</v>
      </c>
      <c r="B654" s="156" t="s">
        <v>660</v>
      </c>
      <c r="C654" s="23" t="s">
        <v>539</v>
      </c>
      <c r="D654" s="24" t="s">
        <v>82</v>
      </c>
      <c r="E654" s="14" t="s">
        <v>19</v>
      </c>
      <c r="F654" s="31">
        <v>15</v>
      </c>
      <c r="G654" s="26"/>
      <c r="H654" s="34"/>
      <c r="I654" s="84">
        <v>2339.77</v>
      </c>
      <c r="J654" s="136"/>
      <c r="K654" s="118"/>
      <c r="L654" s="34"/>
      <c r="M654" s="84"/>
      <c r="N654" s="38" t="s">
        <v>1162</v>
      </c>
      <c r="O654" s="68"/>
      <c r="P654" s="193">
        <v>46082</v>
      </c>
    </row>
    <row r="655" spans="1:16" s="8" customFormat="1" ht="12.75" customHeight="1">
      <c r="A655" s="13">
        <f t="shared" si="15"/>
        <v>636</v>
      </c>
      <c r="B655" s="156" t="s">
        <v>1115</v>
      </c>
      <c r="C655" s="23" t="s">
        <v>539</v>
      </c>
      <c r="D655" s="24" t="s">
        <v>82</v>
      </c>
      <c r="E655" s="14" t="s">
        <v>19</v>
      </c>
      <c r="F655" s="31" t="s">
        <v>977</v>
      </c>
      <c r="G655" s="26"/>
      <c r="H655" s="34"/>
      <c r="I655" s="84">
        <v>88688.92</v>
      </c>
      <c r="J655" s="136"/>
      <c r="K655" s="118"/>
      <c r="L655" s="34"/>
      <c r="M655" s="84"/>
      <c r="N655" s="38" t="s">
        <v>1162</v>
      </c>
      <c r="O655" s="68"/>
      <c r="P655" s="193">
        <v>46082</v>
      </c>
    </row>
    <row r="656" spans="1:16" s="8" customFormat="1" ht="12.75" customHeight="1">
      <c r="A656" s="13">
        <f t="shared" si="15"/>
        <v>637</v>
      </c>
      <c r="B656" s="52" t="s">
        <v>363</v>
      </c>
      <c r="C656" s="14" t="s">
        <v>106</v>
      </c>
      <c r="D656" s="15" t="s">
        <v>83</v>
      </c>
      <c r="E656" s="14" t="s">
        <v>19</v>
      </c>
      <c r="F656" s="26">
        <v>20</v>
      </c>
      <c r="G656" s="26">
        <v>10</v>
      </c>
      <c r="H656" s="34">
        <v>1485.53</v>
      </c>
      <c r="I656" s="84"/>
      <c r="J656" s="136">
        <v>2558.2199999999998</v>
      </c>
      <c r="K656" s="118"/>
      <c r="L656" s="34">
        <v>9745.07</v>
      </c>
      <c r="M656" s="84"/>
      <c r="N656" s="38" t="s">
        <v>641</v>
      </c>
      <c r="O656" s="68" t="s">
        <v>692</v>
      </c>
      <c r="P656" s="66">
        <v>43101</v>
      </c>
    </row>
    <row r="657" spans="1:16" s="8" customFormat="1" ht="12.75" customHeight="1">
      <c r="A657" s="13">
        <f t="shared" si="15"/>
        <v>638</v>
      </c>
      <c r="B657" s="52" t="s">
        <v>1069</v>
      </c>
      <c r="C657" s="23" t="s">
        <v>539</v>
      </c>
      <c r="D657" s="24" t="s">
        <v>83</v>
      </c>
      <c r="E657" s="14" t="s">
        <v>19</v>
      </c>
      <c r="F657" s="31" t="s">
        <v>977</v>
      </c>
      <c r="G657" s="26"/>
      <c r="H657" s="34"/>
      <c r="I657" s="84">
        <v>56679.63</v>
      </c>
      <c r="J657" s="136"/>
      <c r="K657" s="118"/>
      <c r="L657" s="34"/>
      <c r="M657" s="84"/>
      <c r="N657" s="38" t="s">
        <v>641</v>
      </c>
      <c r="O657" s="68"/>
      <c r="P657" s="66">
        <v>44562</v>
      </c>
    </row>
    <row r="658" spans="1:16" s="8" customFormat="1" ht="12.75" customHeight="1">
      <c r="A658" s="13">
        <f t="shared" si="15"/>
        <v>639</v>
      </c>
      <c r="B658" s="32" t="s">
        <v>363</v>
      </c>
      <c r="C658" s="23" t="s">
        <v>539</v>
      </c>
      <c r="D658" s="24" t="s">
        <v>83</v>
      </c>
      <c r="E658" s="14" t="s">
        <v>19</v>
      </c>
      <c r="F658" s="26">
        <v>20</v>
      </c>
      <c r="G658" s="26">
        <v>10</v>
      </c>
      <c r="H658" s="34"/>
      <c r="I658" s="84">
        <v>1186.67</v>
      </c>
      <c r="J658" s="136"/>
      <c r="K658" s="118">
        <v>1912.28</v>
      </c>
      <c r="L658" s="34"/>
      <c r="M658" s="84"/>
      <c r="N658" s="38" t="s">
        <v>641</v>
      </c>
      <c r="O658" s="68"/>
      <c r="P658" s="66">
        <v>44562</v>
      </c>
    </row>
    <row r="659" spans="1:16" s="8" customFormat="1" ht="12.75" customHeight="1">
      <c r="A659" s="13">
        <f t="shared" si="15"/>
        <v>640</v>
      </c>
      <c r="B659" s="52" t="s">
        <v>1116</v>
      </c>
      <c r="C659" s="14" t="s">
        <v>106</v>
      </c>
      <c r="D659" s="15" t="s">
        <v>83</v>
      </c>
      <c r="E659" s="14" t="s">
        <v>19</v>
      </c>
      <c r="F659" s="26">
        <v>20</v>
      </c>
      <c r="G659" s="26">
        <v>10</v>
      </c>
      <c r="H659" s="34"/>
      <c r="I659" s="84">
        <v>1260.96</v>
      </c>
      <c r="J659" s="136"/>
      <c r="K659" s="118">
        <v>2037.88</v>
      </c>
      <c r="L659" s="34"/>
      <c r="M659" s="84"/>
      <c r="N659" s="38" t="s">
        <v>641</v>
      </c>
      <c r="O659" s="68"/>
      <c r="P659" s="66">
        <v>45170</v>
      </c>
    </row>
    <row r="660" spans="1:16" s="8" customFormat="1" ht="12.75" customHeight="1">
      <c r="A660" s="13">
        <f t="shared" si="15"/>
        <v>641</v>
      </c>
      <c r="B660" s="52" t="s">
        <v>1117</v>
      </c>
      <c r="C660" s="23" t="s">
        <v>539</v>
      </c>
      <c r="D660" s="24" t="s">
        <v>83</v>
      </c>
      <c r="E660" s="14" t="s">
        <v>19</v>
      </c>
      <c r="F660" s="31" t="s">
        <v>977</v>
      </c>
      <c r="G660" s="26"/>
      <c r="H660" s="34"/>
      <c r="I660" s="84">
        <v>58736.18</v>
      </c>
      <c r="J660" s="136"/>
      <c r="K660" s="118"/>
      <c r="L660" s="34"/>
      <c r="M660" s="84"/>
      <c r="N660" s="38" t="s">
        <v>641</v>
      </c>
      <c r="O660" s="68"/>
      <c r="P660" s="66">
        <v>45170</v>
      </c>
    </row>
    <row r="661" spans="1:16" s="8" customFormat="1" ht="12.75" customHeight="1">
      <c r="A661" s="13">
        <f t="shared" si="15"/>
        <v>642</v>
      </c>
      <c r="B661" s="52" t="s">
        <v>1116</v>
      </c>
      <c r="C661" s="14" t="s">
        <v>106</v>
      </c>
      <c r="D661" s="15" t="s">
        <v>83</v>
      </c>
      <c r="E661" s="14" t="s">
        <v>19</v>
      </c>
      <c r="F661" s="26">
        <v>20</v>
      </c>
      <c r="G661" s="26">
        <v>10</v>
      </c>
      <c r="H661" s="34"/>
      <c r="I661" s="84">
        <v>1438.92</v>
      </c>
      <c r="J661" s="136"/>
      <c r="K661" s="118">
        <v>2321.14</v>
      </c>
      <c r="L661" s="34"/>
      <c r="M661" s="84" t="s">
        <v>1146</v>
      </c>
      <c r="N661" s="38" t="s">
        <v>1162</v>
      </c>
      <c r="O661" s="68"/>
      <c r="P661" s="66">
        <v>45352</v>
      </c>
    </row>
    <row r="662" spans="1:16" s="8" customFormat="1" ht="12.75" customHeight="1">
      <c r="A662" s="13">
        <f t="shared" si="15"/>
        <v>643</v>
      </c>
      <c r="B662" s="52" t="s">
        <v>1116</v>
      </c>
      <c r="C662" s="14" t="s">
        <v>106</v>
      </c>
      <c r="D662" s="15" t="s">
        <v>83</v>
      </c>
      <c r="E662" s="14" t="s">
        <v>19</v>
      </c>
      <c r="F662" s="26">
        <v>19</v>
      </c>
      <c r="G662" s="26">
        <v>11</v>
      </c>
      <c r="H662" s="34"/>
      <c r="I662" s="84">
        <v>1485.37</v>
      </c>
      <c r="J662" s="136"/>
      <c r="K662" s="118">
        <v>2160.73</v>
      </c>
      <c r="L662" s="34"/>
      <c r="M662" s="84"/>
      <c r="N662" s="38" t="s">
        <v>1162</v>
      </c>
      <c r="O662" s="68"/>
      <c r="P662" s="66">
        <v>45352</v>
      </c>
    </row>
    <row r="663" spans="1:16" s="8" customFormat="1" ht="12.75" customHeight="1">
      <c r="A663" s="13">
        <f t="shared" si="15"/>
        <v>644</v>
      </c>
      <c r="B663" s="52" t="s">
        <v>1116</v>
      </c>
      <c r="C663" s="14" t="s">
        <v>106</v>
      </c>
      <c r="D663" s="15" t="s">
        <v>83</v>
      </c>
      <c r="E663" s="14" t="s">
        <v>19</v>
      </c>
      <c r="F663" s="26">
        <v>18</v>
      </c>
      <c r="G663" s="26">
        <v>12</v>
      </c>
      <c r="H663" s="34"/>
      <c r="I663" s="84">
        <v>1536.95</v>
      </c>
      <c r="J663" s="136"/>
      <c r="K663" s="118">
        <v>2027.07</v>
      </c>
      <c r="L663" s="34"/>
      <c r="M663" s="84"/>
      <c r="N663" s="38" t="s">
        <v>1162</v>
      </c>
      <c r="O663" s="68"/>
      <c r="P663" s="66">
        <v>45352</v>
      </c>
    </row>
    <row r="664" spans="1:16" s="8" customFormat="1" ht="12.75" customHeight="1">
      <c r="A664" s="13">
        <f t="shared" si="15"/>
        <v>645</v>
      </c>
      <c r="B664" s="52" t="s">
        <v>1116</v>
      </c>
      <c r="C664" s="14" t="s">
        <v>106</v>
      </c>
      <c r="D664" s="15" t="s">
        <v>83</v>
      </c>
      <c r="E664" s="14" t="s">
        <v>19</v>
      </c>
      <c r="F664" s="26">
        <v>17</v>
      </c>
      <c r="G664" s="26">
        <v>13</v>
      </c>
      <c r="H664" s="34"/>
      <c r="I664" s="84">
        <v>1594.62</v>
      </c>
      <c r="J664" s="136"/>
      <c r="K664" s="118">
        <v>1913.95</v>
      </c>
      <c r="L664" s="34"/>
      <c r="M664" s="84"/>
      <c r="N664" s="38" t="s">
        <v>1162</v>
      </c>
      <c r="O664" s="68"/>
      <c r="P664" s="66">
        <v>45352</v>
      </c>
    </row>
    <row r="665" spans="1:16" s="8" customFormat="1" ht="12.75" customHeight="1">
      <c r="A665" s="13">
        <f t="shared" si="15"/>
        <v>646</v>
      </c>
      <c r="B665" s="52" t="s">
        <v>1116</v>
      </c>
      <c r="C665" s="14" t="s">
        <v>106</v>
      </c>
      <c r="D665" s="15" t="s">
        <v>83</v>
      </c>
      <c r="E665" s="14" t="s">
        <v>19</v>
      </c>
      <c r="F665" s="26">
        <v>16</v>
      </c>
      <c r="G665" s="26">
        <v>14</v>
      </c>
      <c r="H665" s="34"/>
      <c r="I665" s="84">
        <v>1659.47</v>
      </c>
      <c r="J665" s="136"/>
      <c r="K665" s="118">
        <v>1817.01</v>
      </c>
      <c r="L665" s="34"/>
      <c r="M665" s="84"/>
      <c r="N665" s="38" t="s">
        <v>1162</v>
      </c>
      <c r="O665" s="68"/>
      <c r="P665" s="66">
        <v>45352</v>
      </c>
    </row>
    <row r="666" spans="1:16" s="8" customFormat="1" ht="12.75" customHeight="1">
      <c r="A666" s="13">
        <f t="shared" si="15"/>
        <v>647</v>
      </c>
      <c r="B666" s="52" t="s">
        <v>1116</v>
      </c>
      <c r="C666" s="14" t="s">
        <v>106</v>
      </c>
      <c r="D666" s="15" t="s">
        <v>83</v>
      </c>
      <c r="E666" s="14" t="s">
        <v>19</v>
      </c>
      <c r="F666" s="26">
        <v>15</v>
      </c>
      <c r="G666" s="26"/>
      <c r="H666" s="34"/>
      <c r="I666" s="84">
        <v>1732.98</v>
      </c>
      <c r="J666" s="136"/>
      <c r="K666" s="118"/>
      <c r="L666" s="34"/>
      <c r="M666" s="84"/>
      <c r="N666" s="38" t="s">
        <v>1162</v>
      </c>
      <c r="O666" s="68"/>
      <c r="P666" s="66">
        <v>45352</v>
      </c>
    </row>
    <row r="667" spans="1:16" s="8" customFormat="1" ht="12.75" customHeight="1">
      <c r="A667" s="13">
        <f t="shared" si="15"/>
        <v>648</v>
      </c>
      <c r="B667" s="52" t="s">
        <v>1117</v>
      </c>
      <c r="C667" s="23" t="s">
        <v>539</v>
      </c>
      <c r="D667" s="24" t="s">
        <v>83</v>
      </c>
      <c r="E667" s="14" t="s">
        <v>19</v>
      </c>
      <c r="F667" s="31" t="s">
        <v>977</v>
      </c>
      <c r="G667" s="26"/>
      <c r="H667" s="34"/>
      <c r="I667" s="84">
        <v>67257.5</v>
      </c>
      <c r="J667" s="136"/>
      <c r="K667" s="118"/>
      <c r="L667" s="34"/>
      <c r="M667" s="84"/>
      <c r="N667" s="38" t="s">
        <v>1162</v>
      </c>
      <c r="O667" s="68"/>
      <c r="P667" s="66">
        <v>45352</v>
      </c>
    </row>
    <row r="668" spans="1:16" s="8" customFormat="1" ht="12.75" customHeight="1">
      <c r="A668" s="13">
        <f t="shared" si="15"/>
        <v>649</v>
      </c>
      <c r="B668" s="155" t="s">
        <v>363</v>
      </c>
      <c r="C668" s="23" t="s">
        <v>539</v>
      </c>
      <c r="D668" s="24" t="s">
        <v>83</v>
      </c>
      <c r="E668" s="14" t="s">
        <v>19</v>
      </c>
      <c r="F668" s="31">
        <v>20</v>
      </c>
      <c r="G668" s="26">
        <v>10</v>
      </c>
      <c r="H668" s="34"/>
      <c r="I668" s="84">
        <v>1893.9</v>
      </c>
      <c r="J668" s="136"/>
      <c r="K668" s="118">
        <v>3008.26</v>
      </c>
      <c r="L668" s="34"/>
      <c r="M668" s="84">
        <v>22287.200000000001</v>
      </c>
      <c r="N668" s="38" t="s">
        <v>1162</v>
      </c>
      <c r="O668" s="68"/>
      <c r="P668" s="193">
        <v>46082</v>
      </c>
    </row>
    <row r="669" spans="1:16" s="8" customFormat="1" ht="12.75" customHeight="1">
      <c r="A669" s="13">
        <f t="shared" si="15"/>
        <v>650</v>
      </c>
      <c r="B669" s="155" t="s">
        <v>363</v>
      </c>
      <c r="C669" s="23" t="s">
        <v>539</v>
      </c>
      <c r="D669" s="24" t="s">
        <v>83</v>
      </c>
      <c r="E669" s="14" t="s">
        <v>19</v>
      </c>
      <c r="F669" s="31">
        <v>19</v>
      </c>
      <c r="G669" s="26">
        <v>11</v>
      </c>
      <c r="H669" s="34"/>
      <c r="I669" s="84">
        <v>1952.53</v>
      </c>
      <c r="J669" s="136"/>
      <c r="K669" s="118">
        <v>2805.65</v>
      </c>
      <c r="L669" s="34"/>
      <c r="M669" s="84"/>
      <c r="N669" s="38" t="s">
        <v>1162</v>
      </c>
      <c r="O669" s="68"/>
      <c r="P669" s="193">
        <v>46082</v>
      </c>
    </row>
    <row r="670" spans="1:16" s="8" customFormat="1" ht="12.75" customHeight="1">
      <c r="A670" s="13">
        <f t="shared" si="15"/>
        <v>651</v>
      </c>
      <c r="B670" s="155" t="s">
        <v>363</v>
      </c>
      <c r="C670" s="23" t="s">
        <v>539</v>
      </c>
      <c r="D670" s="24" t="s">
        <v>83</v>
      </c>
      <c r="E670" s="14" t="s">
        <v>19</v>
      </c>
      <c r="F670" s="31">
        <v>18</v>
      </c>
      <c r="G670" s="26">
        <v>12</v>
      </c>
      <c r="H670" s="34"/>
      <c r="I670" s="84">
        <v>2017.7</v>
      </c>
      <c r="J670" s="136"/>
      <c r="K670" s="118">
        <v>2636.82</v>
      </c>
      <c r="L670" s="34"/>
      <c r="M670" s="84"/>
      <c r="N670" s="38" t="s">
        <v>1162</v>
      </c>
      <c r="O670" s="68"/>
      <c r="P670" s="193">
        <v>46082</v>
      </c>
    </row>
    <row r="671" spans="1:16" s="8" customFormat="1" ht="12.75" customHeight="1">
      <c r="A671" s="13">
        <f t="shared" si="15"/>
        <v>652</v>
      </c>
      <c r="B671" s="155" t="s">
        <v>363</v>
      </c>
      <c r="C671" s="23" t="s">
        <v>539</v>
      </c>
      <c r="D671" s="24" t="s">
        <v>83</v>
      </c>
      <c r="E671" s="14" t="s">
        <v>19</v>
      </c>
      <c r="F671" s="31">
        <v>17</v>
      </c>
      <c r="G671" s="26">
        <v>13</v>
      </c>
      <c r="H671" s="34"/>
      <c r="I671" s="84">
        <v>2090.56</v>
      </c>
      <c r="J671" s="136"/>
      <c r="K671" s="118">
        <v>2493.9299999999998</v>
      </c>
      <c r="L671" s="34"/>
      <c r="M671" s="84"/>
      <c r="N671" s="38" t="s">
        <v>1162</v>
      </c>
      <c r="O671" s="68"/>
      <c r="P671" s="193">
        <v>46082</v>
      </c>
    </row>
    <row r="672" spans="1:16" s="8" customFormat="1" ht="12.75" customHeight="1">
      <c r="A672" s="13">
        <f t="shared" si="15"/>
        <v>653</v>
      </c>
      <c r="B672" s="155" t="s">
        <v>363</v>
      </c>
      <c r="C672" s="23" t="s">
        <v>539</v>
      </c>
      <c r="D672" s="24" t="s">
        <v>83</v>
      </c>
      <c r="E672" s="14" t="s">
        <v>19</v>
      </c>
      <c r="F672" s="31">
        <v>16</v>
      </c>
      <c r="G672" s="26">
        <v>14</v>
      </c>
      <c r="H672" s="34"/>
      <c r="I672" s="84">
        <v>2172.5</v>
      </c>
      <c r="J672" s="136"/>
      <c r="K672" s="118">
        <v>2371.4699999999998</v>
      </c>
      <c r="L672" s="34"/>
      <c r="M672" s="84"/>
      <c r="N672" s="38" t="s">
        <v>1162</v>
      </c>
      <c r="O672" s="68"/>
      <c r="P672" s="193">
        <v>46082</v>
      </c>
    </row>
    <row r="673" spans="1:16" s="8" customFormat="1" ht="12.75" customHeight="1">
      <c r="A673" s="13">
        <f t="shared" si="15"/>
        <v>654</v>
      </c>
      <c r="B673" s="155" t="s">
        <v>363</v>
      </c>
      <c r="C673" s="23" t="s">
        <v>539</v>
      </c>
      <c r="D673" s="24" t="s">
        <v>83</v>
      </c>
      <c r="E673" s="14" t="s">
        <v>19</v>
      </c>
      <c r="F673" s="31">
        <v>15</v>
      </c>
      <c r="G673" s="26"/>
      <c r="H673" s="34"/>
      <c r="I673" s="84">
        <v>2265.34</v>
      </c>
      <c r="J673" s="136"/>
      <c r="K673" s="118"/>
      <c r="L673" s="34"/>
      <c r="M673" s="84"/>
      <c r="N673" s="38" t="s">
        <v>1162</v>
      </c>
      <c r="O673" s="68"/>
      <c r="P673" s="193">
        <v>46082</v>
      </c>
    </row>
    <row r="674" spans="1:16" s="8" customFormat="1" ht="12.75" customHeight="1">
      <c r="A674" s="13">
        <f t="shared" si="15"/>
        <v>655</v>
      </c>
      <c r="B674" s="155" t="s">
        <v>1069</v>
      </c>
      <c r="C674" s="23" t="s">
        <v>539</v>
      </c>
      <c r="D674" s="24" t="s">
        <v>83</v>
      </c>
      <c r="E674" s="14" t="s">
        <v>19</v>
      </c>
      <c r="F674" s="31" t="s">
        <v>977</v>
      </c>
      <c r="G674" s="26"/>
      <c r="H674" s="34"/>
      <c r="I674" s="84">
        <v>88688.92</v>
      </c>
      <c r="J674" s="136"/>
      <c r="K674" s="118"/>
      <c r="L674" s="34"/>
      <c r="M674" s="84"/>
      <c r="N674" s="38" t="s">
        <v>1162</v>
      </c>
      <c r="O674" s="68"/>
      <c r="P674" s="193">
        <v>46082</v>
      </c>
    </row>
    <row r="675" spans="1:16" s="8" customFormat="1" ht="12.75" customHeight="1">
      <c r="A675" s="13">
        <f t="shared" si="15"/>
        <v>656</v>
      </c>
      <c r="B675" s="52" t="s">
        <v>661</v>
      </c>
      <c r="C675" s="23" t="s">
        <v>539</v>
      </c>
      <c r="D675" s="24" t="s">
        <v>540</v>
      </c>
      <c r="E675" s="14" t="s">
        <v>19</v>
      </c>
      <c r="F675" s="26">
        <v>20</v>
      </c>
      <c r="G675" s="26">
        <v>10</v>
      </c>
      <c r="H675" s="34">
        <v>1476.67</v>
      </c>
      <c r="I675" s="84">
        <v>1513.16</v>
      </c>
      <c r="J675" s="136">
        <v>2516.84</v>
      </c>
      <c r="K675" s="118">
        <v>2589.81</v>
      </c>
      <c r="L675" s="34">
        <v>9094.4500000000007</v>
      </c>
      <c r="M675" s="84">
        <v>9184.17</v>
      </c>
      <c r="N675" s="38" t="s">
        <v>641</v>
      </c>
      <c r="O675" s="68" t="s">
        <v>692</v>
      </c>
      <c r="P675" s="66">
        <v>43617</v>
      </c>
    </row>
    <row r="676" spans="1:16" s="8" customFormat="1" ht="12.75" customHeight="1">
      <c r="A676" s="13">
        <f t="shared" si="15"/>
        <v>657</v>
      </c>
      <c r="B676" s="32" t="s">
        <v>1045</v>
      </c>
      <c r="C676" s="23" t="s">
        <v>539</v>
      </c>
      <c r="D676" s="24" t="s">
        <v>82</v>
      </c>
      <c r="E676" s="23" t="s">
        <v>19</v>
      </c>
      <c r="F676" s="31" t="s">
        <v>977</v>
      </c>
      <c r="G676" s="26"/>
      <c r="H676" s="34"/>
      <c r="I676" s="84">
        <v>56679.63</v>
      </c>
      <c r="J676" s="136"/>
      <c r="K676" s="118"/>
      <c r="L676" s="34"/>
      <c r="M676" s="84"/>
      <c r="N676" s="38" t="s">
        <v>641</v>
      </c>
      <c r="O676" s="68"/>
      <c r="P676" s="66">
        <v>44562</v>
      </c>
    </row>
    <row r="677" spans="1:16" s="8" customFormat="1" ht="12.75" customHeight="1">
      <c r="A677" s="13">
        <f t="shared" si="15"/>
        <v>658</v>
      </c>
      <c r="B677" s="32" t="s">
        <v>661</v>
      </c>
      <c r="C677" s="23" t="s">
        <v>539</v>
      </c>
      <c r="D677" s="24" t="s">
        <v>82</v>
      </c>
      <c r="E677" s="14" t="s">
        <v>19</v>
      </c>
      <c r="F677" s="26">
        <v>20</v>
      </c>
      <c r="G677" s="26">
        <v>10</v>
      </c>
      <c r="H677" s="34"/>
      <c r="I677" s="84">
        <v>1186.26</v>
      </c>
      <c r="J677" s="136"/>
      <c r="K677" s="118">
        <v>1911.87</v>
      </c>
      <c r="L677" s="34"/>
      <c r="M677" s="84">
        <v>14512.47</v>
      </c>
      <c r="N677" s="38" t="s">
        <v>641</v>
      </c>
      <c r="O677" s="68"/>
      <c r="P677" s="66">
        <v>44562</v>
      </c>
    </row>
    <row r="678" spans="1:16" s="8" customFormat="1" ht="12.75" customHeight="1">
      <c r="A678" s="13">
        <f t="shared" si="15"/>
        <v>659</v>
      </c>
      <c r="B678" s="32" t="s">
        <v>1045</v>
      </c>
      <c r="C678" s="23" t="s">
        <v>539</v>
      </c>
      <c r="D678" s="24" t="s">
        <v>82</v>
      </c>
      <c r="E678" s="23" t="s">
        <v>19</v>
      </c>
      <c r="F678" s="31" t="s">
        <v>977</v>
      </c>
      <c r="G678" s="26"/>
      <c r="H678" s="34"/>
      <c r="I678" s="84">
        <v>61299.73</v>
      </c>
      <c r="J678" s="136"/>
      <c r="K678" s="118"/>
      <c r="L678" s="34"/>
      <c r="M678" s="84"/>
      <c r="N678" s="38" t="s">
        <v>641</v>
      </c>
      <c r="O678" s="68"/>
      <c r="P678" s="66">
        <v>44562</v>
      </c>
    </row>
    <row r="679" spans="1:16" s="8" customFormat="1" ht="12.75" customHeight="1">
      <c r="A679" s="13">
        <f t="shared" si="15"/>
        <v>660</v>
      </c>
      <c r="B679" s="32" t="s">
        <v>661</v>
      </c>
      <c r="C679" s="23" t="s">
        <v>539</v>
      </c>
      <c r="D679" s="24" t="s">
        <v>82</v>
      </c>
      <c r="E679" s="14" t="s">
        <v>19</v>
      </c>
      <c r="F679" s="26">
        <v>20</v>
      </c>
      <c r="G679" s="26">
        <v>10</v>
      </c>
      <c r="H679" s="34"/>
      <c r="I679" s="84">
        <v>1282.95</v>
      </c>
      <c r="J679" s="136"/>
      <c r="K679" s="118">
        <v>2067.6999999999998</v>
      </c>
      <c r="L679" s="34"/>
      <c r="M679" s="84">
        <v>15695.42</v>
      </c>
      <c r="N679" s="38" t="s">
        <v>641</v>
      </c>
      <c r="O679" s="68"/>
      <c r="P679" s="66">
        <v>44562</v>
      </c>
    </row>
    <row r="680" spans="1:16" s="8" customFormat="1" ht="12.75" customHeight="1">
      <c r="A680" s="13">
        <f t="shared" si="15"/>
        <v>661</v>
      </c>
      <c r="B680" s="32" t="s">
        <v>661</v>
      </c>
      <c r="C680" s="23" t="s">
        <v>539</v>
      </c>
      <c r="D680" s="24" t="s">
        <v>82</v>
      </c>
      <c r="E680" s="14" t="s">
        <v>19</v>
      </c>
      <c r="F680" s="26">
        <v>20</v>
      </c>
      <c r="G680" s="26">
        <v>10</v>
      </c>
      <c r="H680" s="34"/>
      <c r="I680" s="84">
        <v>1260.54</v>
      </c>
      <c r="J680" s="136"/>
      <c r="K680" s="118">
        <v>2037.45</v>
      </c>
      <c r="L680" s="34"/>
      <c r="M680" s="84"/>
      <c r="N680" s="38" t="s">
        <v>641</v>
      </c>
      <c r="O680" s="68"/>
      <c r="P680" s="66">
        <v>45170</v>
      </c>
    </row>
    <row r="681" spans="1:16" s="8" customFormat="1" ht="12.75" customHeight="1">
      <c r="A681" s="13">
        <f t="shared" si="15"/>
        <v>662</v>
      </c>
      <c r="B681" s="32" t="s">
        <v>1045</v>
      </c>
      <c r="C681" s="23" t="s">
        <v>539</v>
      </c>
      <c r="D681" s="24" t="s">
        <v>82</v>
      </c>
      <c r="E681" s="23" t="s">
        <v>19</v>
      </c>
      <c r="F681" s="31" t="s">
        <v>977</v>
      </c>
      <c r="G681" s="26"/>
      <c r="H681" s="34"/>
      <c r="I681" s="84">
        <v>58736.18</v>
      </c>
      <c r="J681" s="136"/>
      <c r="K681" s="118"/>
      <c r="L681" s="34"/>
      <c r="M681" s="84"/>
      <c r="N681" s="38" t="s">
        <v>641</v>
      </c>
      <c r="O681" s="68"/>
      <c r="P681" s="66">
        <v>45170</v>
      </c>
    </row>
    <row r="682" spans="1:16" s="8" customFormat="1" ht="12.75" customHeight="1">
      <c r="A682" s="13">
        <f t="shared" si="15"/>
        <v>663</v>
      </c>
      <c r="B682" s="32" t="s">
        <v>661</v>
      </c>
      <c r="C682" s="23" t="s">
        <v>539</v>
      </c>
      <c r="D682" s="24" t="s">
        <v>82</v>
      </c>
      <c r="E682" s="14" t="s">
        <v>19</v>
      </c>
      <c r="F682" s="26">
        <v>20</v>
      </c>
      <c r="G682" s="26">
        <v>10</v>
      </c>
      <c r="H682" s="34"/>
      <c r="I682" s="84">
        <v>1438.41</v>
      </c>
      <c r="J682" s="136"/>
      <c r="K682" s="118">
        <v>2320.64</v>
      </c>
      <c r="L682" s="34"/>
      <c r="M682" s="84" t="s">
        <v>1146</v>
      </c>
      <c r="N682" s="38" t="s">
        <v>1162</v>
      </c>
      <c r="O682" s="68"/>
      <c r="P682" s="66">
        <v>45352</v>
      </c>
    </row>
    <row r="683" spans="1:16" s="8" customFormat="1" ht="12.75" customHeight="1">
      <c r="A683" s="13">
        <f t="shared" si="15"/>
        <v>664</v>
      </c>
      <c r="B683" s="32" t="s">
        <v>661</v>
      </c>
      <c r="C683" s="23" t="s">
        <v>539</v>
      </c>
      <c r="D683" s="24" t="s">
        <v>82</v>
      </c>
      <c r="E683" s="14" t="s">
        <v>19</v>
      </c>
      <c r="F683" s="26">
        <v>19</v>
      </c>
      <c r="G683" s="26">
        <v>11</v>
      </c>
      <c r="H683" s="34"/>
      <c r="I683" s="84">
        <v>1484.87</v>
      </c>
      <c r="J683" s="136"/>
      <c r="K683" s="118">
        <v>2160.2399999999998</v>
      </c>
      <c r="L683" s="34"/>
      <c r="M683" s="84"/>
      <c r="N683" s="38" t="s">
        <v>1162</v>
      </c>
      <c r="O683" s="68"/>
      <c r="P683" s="66">
        <v>45352</v>
      </c>
    </row>
    <row r="684" spans="1:16" s="8" customFormat="1" ht="12.75" customHeight="1">
      <c r="A684" s="13">
        <f t="shared" ref="A684:A747" si="16">A683+1</f>
        <v>665</v>
      </c>
      <c r="B684" s="32" t="s">
        <v>661</v>
      </c>
      <c r="C684" s="23" t="s">
        <v>539</v>
      </c>
      <c r="D684" s="24" t="s">
        <v>82</v>
      </c>
      <c r="E684" s="14" t="s">
        <v>19</v>
      </c>
      <c r="F684" s="26">
        <v>18</v>
      </c>
      <c r="G684" s="26">
        <v>12</v>
      </c>
      <c r="H684" s="34"/>
      <c r="I684" s="84">
        <v>1536.45</v>
      </c>
      <c r="J684" s="136"/>
      <c r="K684" s="118">
        <v>2026.56</v>
      </c>
      <c r="L684" s="34"/>
      <c r="M684" s="84"/>
      <c r="N684" s="38" t="s">
        <v>1162</v>
      </c>
      <c r="O684" s="68"/>
      <c r="P684" s="66">
        <v>45352</v>
      </c>
    </row>
    <row r="685" spans="1:16" s="8" customFormat="1" ht="12.75" customHeight="1">
      <c r="A685" s="13">
        <f t="shared" si="16"/>
        <v>666</v>
      </c>
      <c r="B685" s="32" t="s">
        <v>661</v>
      </c>
      <c r="C685" s="23" t="s">
        <v>539</v>
      </c>
      <c r="D685" s="24" t="s">
        <v>82</v>
      </c>
      <c r="E685" s="14" t="s">
        <v>19</v>
      </c>
      <c r="F685" s="26">
        <v>17</v>
      </c>
      <c r="G685" s="26">
        <v>13</v>
      </c>
      <c r="H685" s="34"/>
      <c r="I685" s="84">
        <v>1594.12</v>
      </c>
      <c r="J685" s="136"/>
      <c r="K685" s="118">
        <v>1913.45</v>
      </c>
      <c r="L685" s="34"/>
      <c r="M685" s="84"/>
      <c r="N685" s="38" t="s">
        <v>1162</v>
      </c>
      <c r="O685" s="68"/>
      <c r="P685" s="66">
        <v>45352</v>
      </c>
    </row>
    <row r="686" spans="1:16" s="8" customFormat="1" ht="12.75" customHeight="1">
      <c r="A686" s="13">
        <f t="shared" si="16"/>
        <v>667</v>
      </c>
      <c r="B686" s="32" t="s">
        <v>661</v>
      </c>
      <c r="C686" s="23" t="s">
        <v>539</v>
      </c>
      <c r="D686" s="24" t="s">
        <v>82</v>
      </c>
      <c r="E686" s="14" t="s">
        <v>19</v>
      </c>
      <c r="F686" s="26">
        <v>16</v>
      </c>
      <c r="G686" s="26">
        <v>14</v>
      </c>
      <c r="H686" s="34"/>
      <c r="I686" s="84">
        <v>1658.98</v>
      </c>
      <c r="J686" s="136"/>
      <c r="K686" s="118">
        <v>1816.52</v>
      </c>
      <c r="L686" s="34"/>
      <c r="M686" s="84"/>
      <c r="N686" s="38" t="s">
        <v>1162</v>
      </c>
      <c r="O686" s="68"/>
      <c r="P686" s="66">
        <v>45352</v>
      </c>
    </row>
    <row r="687" spans="1:16" s="8" customFormat="1" ht="12.75" customHeight="1">
      <c r="A687" s="13">
        <f t="shared" si="16"/>
        <v>668</v>
      </c>
      <c r="B687" s="32" t="s">
        <v>661</v>
      </c>
      <c r="C687" s="23" t="s">
        <v>539</v>
      </c>
      <c r="D687" s="24" t="s">
        <v>82</v>
      </c>
      <c r="E687" s="14" t="s">
        <v>19</v>
      </c>
      <c r="F687" s="26">
        <v>15</v>
      </c>
      <c r="G687" s="26"/>
      <c r="H687" s="34"/>
      <c r="I687" s="84">
        <v>1732.48</v>
      </c>
      <c r="J687" s="136"/>
      <c r="K687" s="118"/>
      <c r="L687" s="34"/>
      <c r="M687" s="84"/>
      <c r="N687" s="38" t="s">
        <v>1162</v>
      </c>
      <c r="O687" s="68"/>
      <c r="P687" s="66">
        <v>45352</v>
      </c>
    </row>
    <row r="688" spans="1:16" s="8" customFormat="1" ht="12.75" customHeight="1">
      <c r="A688" s="13">
        <f t="shared" si="16"/>
        <v>669</v>
      </c>
      <c r="B688" s="32" t="s">
        <v>661</v>
      </c>
      <c r="C688" s="23" t="s">
        <v>539</v>
      </c>
      <c r="D688" s="24" t="s">
        <v>82</v>
      </c>
      <c r="E688" s="14" t="s">
        <v>19</v>
      </c>
      <c r="F688" s="26">
        <v>20</v>
      </c>
      <c r="G688" s="26">
        <v>10</v>
      </c>
      <c r="H688" s="34"/>
      <c r="I688" s="84">
        <v>1669.63</v>
      </c>
      <c r="J688" s="136"/>
      <c r="K688" s="118">
        <v>2693.42</v>
      </c>
      <c r="L688" s="34"/>
      <c r="M688" s="84">
        <v>20476.27</v>
      </c>
      <c r="N688" s="38" t="s">
        <v>1162</v>
      </c>
      <c r="O688" s="68"/>
      <c r="P688" s="66">
        <v>45689</v>
      </c>
    </row>
    <row r="689" spans="1:16" s="8" customFormat="1" ht="12.75" customHeight="1">
      <c r="A689" s="13">
        <f t="shared" si="16"/>
        <v>670</v>
      </c>
      <c r="B689" s="32" t="s">
        <v>661</v>
      </c>
      <c r="C689" s="23" t="s">
        <v>539</v>
      </c>
      <c r="D689" s="24" t="s">
        <v>82</v>
      </c>
      <c r="E689" s="14" t="s">
        <v>19</v>
      </c>
      <c r="F689" s="26">
        <v>19</v>
      </c>
      <c r="G689" s="26">
        <v>11</v>
      </c>
      <c r="H689" s="34"/>
      <c r="I689" s="84">
        <v>1723.5</v>
      </c>
      <c r="J689" s="136"/>
      <c r="K689" s="118">
        <v>2507.27</v>
      </c>
      <c r="L689" s="34"/>
      <c r="M689" s="84"/>
      <c r="N689" s="38" t="s">
        <v>1162</v>
      </c>
      <c r="O689" s="68"/>
      <c r="P689" s="66">
        <v>45689</v>
      </c>
    </row>
    <row r="690" spans="1:16" s="8" customFormat="1" ht="12.75" customHeight="1">
      <c r="A690" s="13">
        <f t="shared" si="16"/>
        <v>671</v>
      </c>
      <c r="B690" s="32" t="s">
        <v>661</v>
      </c>
      <c r="C690" s="23" t="s">
        <v>539</v>
      </c>
      <c r="D690" s="24" t="s">
        <v>82</v>
      </c>
      <c r="E690" s="14" t="s">
        <v>19</v>
      </c>
      <c r="F690" s="26">
        <v>18</v>
      </c>
      <c r="G690" s="26">
        <v>12</v>
      </c>
      <c r="H690" s="34"/>
      <c r="I690" s="84">
        <v>1783.37</v>
      </c>
      <c r="J690" s="136"/>
      <c r="K690" s="118">
        <v>2352.16</v>
      </c>
      <c r="L690" s="34"/>
      <c r="M690" s="84"/>
      <c r="N690" s="38" t="s">
        <v>1162</v>
      </c>
      <c r="O690" s="68"/>
      <c r="P690" s="66">
        <v>45689</v>
      </c>
    </row>
    <row r="691" spans="1:16" s="8" customFormat="1" ht="12.75" customHeight="1">
      <c r="A691" s="13">
        <f t="shared" si="16"/>
        <v>672</v>
      </c>
      <c r="B691" s="32" t="s">
        <v>661</v>
      </c>
      <c r="C691" s="23" t="s">
        <v>539</v>
      </c>
      <c r="D691" s="24" t="s">
        <v>82</v>
      </c>
      <c r="E691" s="14" t="s">
        <v>19</v>
      </c>
      <c r="F691" s="26">
        <v>17</v>
      </c>
      <c r="G691" s="26">
        <v>13</v>
      </c>
      <c r="H691" s="34"/>
      <c r="I691" s="84">
        <v>1850.28</v>
      </c>
      <c r="J691" s="136"/>
      <c r="K691" s="118">
        <v>2220.91</v>
      </c>
      <c r="L691" s="34"/>
      <c r="M691" s="84"/>
      <c r="N691" s="38" t="s">
        <v>1162</v>
      </c>
      <c r="O691" s="68"/>
      <c r="P691" s="66">
        <v>45689</v>
      </c>
    </row>
    <row r="692" spans="1:16" s="8" customFormat="1" ht="12.75" customHeight="1">
      <c r="A692" s="13">
        <f t="shared" si="16"/>
        <v>673</v>
      </c>
      <c r="B692" s="32" t="s">
        <v>661</v>
      </c>
      <c r="C692" s="23" t="s">
        <v>539</v>
      </c>
      <c r="D692" s="24" t="s">
        <v>82</v>
      </c>
      <c r="E692" s="14" t="s">
        <v>19</v>
      </c>
      <c r="F692" s="26">
        <v>16</v>
      </c>
      <c r="G692" s="26">
        <v>14</v>
      </c>
      <c r="H692" s="34"/>
      <c r="I692" s="84">
        <v>1925.59</v>
      </c>
      <c r="J692" s="136"/>
      <c r="K692" s="118">
        <v>2108.41</v>
      </c>
      <c r="L692" s="34"/>
      <c r="M692" s="84"/>
      <c r="N692" s="38" t="s">
        <v>1162</v>
      </c>
      <c r="O692" s="68"/>
      <c r="P692" s="66">
        <v>45689</v>
      </c>
    </row>
    <row r="693" spans="1:16" s="8" customFormat="1" ht="12.75" customHeight="1">
      <c r="A693" s="13">
        <f t="shared" si="16"/>
        <v>674</v>
      </c>
      <c r="B693" s="32" t="s">
        <v>661</v>
      </c>
      <c r="C693" s="23" t="s">
        <v>539</v>
      </c>
      <c r="D693" s="24" t="s">
        <v>82</v>
      </c>
      <c r="E693" s="14" t="s">
        <v>19</v>
      </c>
      <c r="F693" s="26">
        <v>15</v>
      </c>
      <c r="G693" s="26"/>
      <c r="H693" s="34"/>
      <c r="I693" s="84">
        <v>2010.9</v>
      </c>
      <c r="J693" s="136"/>
      <c r="K693" s="118"/>
      <c r="L693" s="34"/>
      <c r="M693" s="84"/>
      <c r="N693" s="38" t="s">
        <v>1162</v>
      </c>
      <c r="O693" s="68"/>
      <c r="P693" s="66">
        <v>45689</v>
      </c>
    </row>
    <row r="694" spans="1:16" s="8" customFormat="1" ht="12.75" customHeight="1">
      <c r="A694" s="13">
        <f t="shared" si="16"/>
        <v>675</v>
      </c>
      <c r="B694" s="32" t="s">
        <v>1045</v>
      </c>
      <c r="C694" s="23" t="s">
        <v>539</v>
      </c>
      <c r="D694" s="24" t="s">
        <v>82</v>
      </c>
      <c r="E694" s="23" t="s">
        <v>19</v>
      </c>
      <c r="F694" s="31" t="s">
        <v>977</v>
      </c>
      <c r="G694" s="26"/>
      <c r="H694" s="34"/>
      <c r="I694" s="84">
        <v>67257.5</v>
      </c>
      <c r="J694" s="136"/>
      <c r="K694" s="118"/>
      <c r="L694" s="34"/>
      <c r="M694" s="84"/>
      <c r="N694" s="38" t="s">
        <v>1162</v>
      </c>
      <c r="O694" s="68"/>
      <c r="P694" s="66">
        <v>45352</v>
      </c>
    </row>
    <row r="695" spans="1:16" s="8" customFormat="1" ht="12.75" customHeight="1">
      <c r="A695" s="13">
        <f t="shared" si="16"/>
        <v>676</v>
      </c>
      <c r="B695" s="32" t="s">
        <v>1045</v>
      </c>
      <c r="C695" s="23" t="s">
        <v>539</v>
      </c>
      <c r="D695" s="24" t="s">
        <v>82</v>
      </c>
      <c r="E695" s="23" t="s">
        <v>19</v>
      </c>
      <c r="F695" s="31" t="s">
        <v>977</v>
      </c>
      <c r="G695" s="26"/>
      <c r="H695" s="34"/>
      <c r="I695" s="84">
        <v>81002.73</v>
      </c>
      <c r="J695" s="136"/>
      <c r="K695" s="118"/>
      <c r="L695" s="34"/>
      <c r="M695" s="84"/>
      <c r="N695" s="38" t="s">
        <v>1162</v>
      </c>
      <c r="O695" s="68"/>
      <c r="P695" s="66">
        <v>45689</v>
      </c>
    </row>
    <row r="696" spans="1:16" s="8" customFormat="1" ht="12.75" customHeight="1">
      <c r="A696" s="13">
        <f t="shared" si="16"/>
        <v>677</v>
      </c>
      <c r="B696" s="156" t="s">
        <v>661</v>
      </c>
      <c r="C696" s="23" t="s">
        <v>539</v>
      </c>
      <c r="D696" s="24" t="s">
        <v>540</v>
      </c>
      <c r="E696" s="23" t="s">
        <v>19</v>
      </c>
      <c r="F696" s="31">
        <v>20</v>
      </c>
      <c r="G696" s="26">
        <v>10</v>
      </c>
      <c r="H696" s="34"/>
      <c r="I696" s="84">
        <v>1869.79</v>
      </c>
      <c r="J696" s="136"/>
      <c r="K696" s="118">
        <v>2984.17</v>
      </c>
      <c r="L696" s="34"/>
      <c r="M696" s="84">
        <v>22287.200000000001</v>
      </c>
      <c r="N696" s="38" t="s">
        <v>1162</v>
      </c>
      <c r="O696" s="68"/>
      <c r="P696" s="193">
        <v>46082</v>
      </c>
    </row>
    <row r="697" spans="1:16" s="8" customFormat="1" ht="12.75" customHeight="1">
      <c r="A697" s="13">
        <f t="shared" si="16"/>
        <v>678</v>
      </c>
      <c r="B697" s="156" t="s">
        <v>661</v>
      </c>
      <c r="C697" s="23" t="s">
        <v>539</v>
      </c>
      <c r="D697" s="24" t="s">
        <v>540</v>
      </c>
      <c r="E697" s="23" t="s">
        <v>19</v>
      </c>
      <c r="F697" s="31">
        <v>19</v>
      </c>
      <c r="G697" s="26">
        <v>11</v>
      </c>
      <c r="H697" s="34"/>
      <c r="I697" s="84">
        <v>1928.43</v>
      </c>
      <c r="J697" s="136"/>
      <c r="K697" s="118">
        <v>2781.53</v>
      </c>
      <c r="L697" s="34"/>
      <c r="M697" s="84"/>
      <c r="N697" s="38" t="s">
        <v>1162</v>
      </c>
      <c r="O697" s="68"/>
      <c r="P697" s="193">
        <v>46082</v>
      </c>
    </row>
    <row r="698" spans="1:16" s="8" customFormat="1" ht="12.75" customHeight="1">
      <c r="A698" s="13">
        <f t="shared" si="16"/>
        <v>679</v>
      </c>
      <c r="B698" s="156" t="s">
        <v>661</v>
      </c>
      <c r="C698" s="23" t="s">
        <v>539</v>
      </c>
      <c r="D698" s="24" t="s">
        <v>540</v>
      </c>
      <c r="E698" s="23" t="s">
        <v>19</v>
      </c>
      <c r="F698" s="31">
        <v>18</v>
      </c>
      <c r="G698" s="26">
        <v>12</v>
      </c>
      <c r="H698" s="34"/>
      <c r="I698" s="84">
        <v>1993.6</v>
      </c>
      <c r="J698" s="136"/>
      <c r="K698" s="118">
        <v>2612.6999999999998</v>
      </c>
      <c r="L698" s="34"/>
      <c r="M698" s="84"/>
      <c r="N698" s="38" t="s">
        <v>1162</v>
      </c>
      <c r="O698" s="68"/>
      <c r="P698" s="193">
        <v>46082</v>
      </c>
    </row>
    <row r="699" spans="1:16" s="8" customFormat="1" ht="12.75" customHeight="1">
      <c r="A699" s="13">
        <f t="shared" si="16"/>
        <v>680</v>
      </c>
      <c r="B699" s="156" t="s">
        <v>661</v>
      </c>
      <c r="C699" s="23" t="s">
        <v>539</v>
      </c>
      <c r="D699" s="24" t="s">
        <v>540</v>
      </c>
      <c r="E699" s="23" t="s">
        <v>19</v>
      </c>
      <c r="F699" s="31">
        <v>17</v>
      </c>
      <c r="G699" s="26">
        <v>13</v>
      </c>
      <c r="H699" s="34"/>
      <c r="I699" s="84">
        <v>2066.4499999999998</v>
      </c>
      <c r="J699" s="136"/>
      <c r="K699" s="118">
        <v>2469.83</v>
      </c>
      <c r="L699" s="34"/>
      <c r="M699" s="84"/>
      <c r="N699" s="38" t="s">
        <v>1162</v>
      </c>
      <c r="O699" s="68"/>
      <c r="P699" s="193">
        <v>46082</v>
      </c>
    </row>
    <row r="700" spans="1:16" s="8" customFormat="1" ht="12.75" customHeight="1">
      <c r="A700" s="13">
        <f t="shared" si="16"/>
        <v>681</v>
      </c>
      <c r="B700" s="156" t="s">
        <v>661</v>
      </c>
      <c r="C700" s="23" t="s">
        <v>539</v>
      </c>
      <c r="D700" s="24" t="s">
        <v>540</v>
      </c>
      <c r="E700" s="23" t="s">
        <v>19</v>
      </c>
      <c r="F700" s="31">
        <v>16</v>
      </c>
      <c r="G700" s="26">
        <v>14</v>
      </c>
      <c r="H700" s="34"/>
      <c r="I700" s="84">
        <v>2148.39</v>
      </c>
      <c r="J700" s="136"/>
      <c r="K700" s="118">
        <v>2347.37</v>
      </c>
      <c r="L700" s="34"/>
      <c r="M700" s="84"/>
      <c r="N700" s="38" t="s">
        <v>1162</v>
      </c>
      <c r="O700" s="68"/>
      <c r="P700" s="193">
        <v>46082</v>
      </c>
    </row>
    <row r="701" spans="1:16" s="8" customFormat="1" ht="12.75" customHeight="1">
      <c r="A701" s="13">
        <f t="shared" si="16"/>
        <v>682</v>
      </c>
      <c r="B701" s="156" t="s">
        <v>661</v>
      </c>
      <c r="C701" s="23" t="s">
        <v>539</v>
      </c>
      <c r="D701" s="24" t="s">
        <v>540</v>
      </c>
      <c r="E701" s="23" t="s">
        <v>19</v>
      </c>
      <c r="F701" s="31">
        <v>15</v>
      </c>
      <c r="G701" s="26"/>
      <c r="H701" s="34"/>
      <c r="I701" s="84">
        <v>2241.2399999999998</v>
      </c>
      <c r="J701" s="136"/>
      <c r="K701" s="118"/>
      <c r="L701" s="34"/>
      <c r="M701" s="84"/>
      <c r="N701" s="38" t="s">
        <v>1162</v>
      </c>
      <c r="O701" s="68"/>
      <c r="P701" s="193">
        <v>46082</v>
      </c>
    </row>
    <row r="702" spans="1:16" s="8" customFormat="1" ht="12.75" customHeight="1">
      <c r="A702" s="13">
        <f t="shared" si="16"/>
        <v>683</v>
      </c>
      <c r="B702" s="156" t="s">
        <v>1045</v>
      </c>
      <c r="C702" s="23" t="s">
        <v>539</v>
      </c>
      <c r="D702" s="24" t="s">
        <v>540</v>
      </c>
      <c r="E702" s="23" t="s">
        <v>19</v>
      </c>
      <c r="F702" s="31" t="s">
        <v>977</v>
      </c>
      <c r="G702" s="26"/>
      <c r="H702" s="34"/>
      <c r="I702" s="84">
        <v>88688.92</v>
      </c>
      <c r="J702" s="136"/>
      <c r="K702" s="118"/>
      <c r="L702" s="34"/>
      <c r="M702" s="84"/>
      <c r="N702" s="38" t="s">
        <v>1162</v>
      </c>
      <c r="O702" s="68"/>
      <c r="P702" s="193">
        <v>46082</v>
      </c>
    </row>
    <row r="703" spans="1:16" s="8" customFormat="1" ht="12.75" customHeight="1">
      <c r="A703" s="13">
        <f t="shared" si="16"/>
        <v>684</v>
      </c>
      <c r="B703" s="30" t="s">
        <v>365</v>
      </c>
      <c r="C703" s="14" t="s">
        <v>89</v>
      </c>
      <c r="D703" s="15" t="s">
        <v>90</v>
      </c>
      <c r="E703" s="14" t="s">
        <v>19</v>
      </c>
      <c r="F703" s="26">
        <v>20</v>
      </c>
      <c r="G703" s="26">
        <v>10</v>
      </c>
      <c r="H703" s="34">
        <v>1787.29</v>
      </c>
      <c r="I703" s="84"/>
      <c r="J703" s="136">
        <v>2268.6999999999998</v>
      </c>
      <c r="K703" s="118"/>
      <c r="L703" s="34">
        <v>10954.05</v>
      </c>
      <c r="M703" s="84"/>
      <c r="N703" s="39" t="s">
        <v>644</v>
      </c>
      <c r="O703" s="69">
        <v>606</v>
      </c>
      <c r="P703" s="51"/>
    </row>
    <row r="704" spans="1:16" s="8" customFormat="1" ht="12.75" customHeight="1">
      <c r="A704" s="13">
        <f t="shared" si="16"/>
        <v>685</v>
      </c>
      <c r="B704" s="54" t="s">
        <v>366</v>
      </c>
      <c r="C704" s="14" t="s">
        <v>89</v>
      </c>
      <c r="D704" s="15" t="s">
        <v>91</v>
      </c>
      <c r="E704" s="14" t="s">
        <v>19</v>
      </c>
      <c r="F704" s="26">
        <v>20</v>
      </c>
      <c r="G704" s="26">
        <v>10</v>
      </c>
      <c r="H704" s="34">
        <v>1552.28</v>
      </c>
      <c r="I704" s="84"/>
      <c r="J704" s="136">
        <v>2033.7</v>
      </c>
      <c r="K704" s="118"/>
      <c r="L704" s="34">
        <v>10954.05</v>
      </c>
      <c r="M704" s="84"/>
      <c r="N704" s="39" t="s">
        <v>644</v>
      </c>
      <c r="O704" s="69">
        <v>606</v>
      </c>
      <c r="P704" s="66">
        <v>41730</v>
      </c>
    </row>
    <row r="705" spans="1:16" s="8" customFormat="1" ht="12.75" customHeight="1">
      <c r="A705" s="13">
        <f t="shared" si="16"/>
        <v>686</v>
      </c>
      <c r="B705" s="52" t="s">
        <v>367</v>
      </c>
      <c r="C705" s="23" t="s">
        <v>264</v>
      </c>
      <c r="D705" s="24" t="s">
        <v>265</v>
      </c>
      <c r="E705" s="23" t="s">
        <v>13</v>
      </c>
      <c r="F705" s="26">
        <v>20</v>
      </c>
      <c r="G705" s="26">
        <v>10</v>
      </c>
      <c r="H705" s="34">
        <v>773</v>
      </c>
      <c r="I705" s="84">
        <v>757.45</v>
      </c>
      <c r="J705" s="136">
        <v>1158.72</v>
      </c>
      <c r="K705" s="118">
        <v>1127.6300000000001</v>
      </c>
      <c r="L705" s="35" t="s">
        <v>262</v>
      </c>
      <c r="M705" s="85"/>
      <c r="N705" s="107" t="s">
        <v>820</v>
      </c>
      <c r="O705" s="69" t="s">
        <v>692</v>
      </c>
      <c r="P705" s="66">
        <v>43617</v>
      </c>
    </row>
    <row r="706" spans="1:16" s="8" customFormat="1" ht="12.75" customHeight="1">
      <c r="A706" s="13">
        <f t="shared" si="16"/>
        <v>687</v>
      </c>
      <c r="B706" s="54" t="s">
        <v>367</v>
      </c>
      <c r="C706" s="23" t="s">
        <v>264</v>
      </c>
      <c r="D706" s="24" t="s">
        <v>265</v>
      </c>
      <c r="E706" s="23" t="s">
        <v>13</v>
      </c>
      <c r="F706" s="26">
        <v>20</v>
      </c>
      <c r="G706" s="26">
        <v>10</v>
      </c>
      <c r="H706" s="34"/>
      <c r="I706" s="84">
        <v>826.37</v>
      </c>
      <c r="J706" s="136"/>
      <c r="K706" s="118">
        <v>1213.82</v>
      </c>
      <c r="L706" s="35"/>
      <c r="M706" s="85"/>
      <c r="N706" s="107" t="s">
        <v>820</v>
      </c>
      <c r="O706" s="69"/>
      <c r="P706" s="66">
        <v>44562</v>
      </c>
    </row>
    <row r="707" spans="1:16" s="8" customFormat="1" ht="12.75" customHeight="1">
      <c r="A707" s="13">
        <f t="shared" si="16"/>
        <v>688</v>
      </c>
      <c r="B707" s="52" t="s">
        <v>368</v>
      </c>
      <c r="C707" s="23" t="s">
        <v>270</v>
      </c>
      <c r="D707" s="24" t="s">
        <v>541</v>
      </c>
      <c r="E707" s="23" t="s">
        <v>13</v>
      </c>
      <c r="F707" s="26">
        <v>20</v>
      </c>
      <c r="G707" s="26">
        <v>10</v>
      </c>
      <c r="H707" s="34">
        <v>740.11</v>
      </c>
      <c r="I707" s="84">
        <v>731.65</v>
      </c>
      <c r="J707" s="136">
        <v>1086.72</v>
      </c>
      <c r="K707" s="118">
        <v>1069.77</v>
      </c>
      <c r="L707" s="35"/>
      <c r="M707" s="85"/>
      <c r="N707" s="38" t="s">
        <v>796</v>
      </c>
      <c r="O707" s="40">
        <v>604</v>
      </c>
      <c r="P707" s="66">
        <v>43617</v>
      </c>
    </row>
    <row r="708" spans="1:16" s="8" customFormat="1" ht="12.75" customHeight="1">
      <c r="A708" s="13">
        <f t="shared" si="16"/>
        <v>689</v>
      </c>
      <c r="B708" s="32" t="s">
        <v>368</v>
      </c>
      <c r="C708" s="23" t="s">
        <v>947</v>
      </c>
      <c r="D708" s="24" t="s">
        <v>101</v>
      </c>
      <c r="E708" s="23" t="s">
        <v>13</v>
      </c>
      <c r="F708" s="26">
        <v>20</v>
      </c>
      <c r="G708" s="26">
        <v>10</v>
      </c>
      <c r="H708" s="34"/>
      <c r="I708" s="84">
        <v>825.58</v>
      </c>
      <c r="J708" s="136"/>
      <c r="K708" s="118">
        <v>1188.29</v>
      </c>
      <c r="L708" s="35"/>
      <c r="M708" s="85"/>
      <c r="N708" s="38" t="s">
        <v>796</v>
      </c>
      <c r="O708" s="40"/>
      <c r="P708" s="66">
        <v>44562</v>
      </c>
    </row>
    <row r="709" spans="1:16" s="8" customFormat="1" ht="12.75" customHeight="1">
      <c r="A709" s="13">
        <f t="shared" si="16"/>
        <v>690</v>
      </c>
      <c r="B709" s="23" t="s">
        <v>368</v>
      </c>
      <c r="C709" s="23" t="s">
        <v>947</v>
      </c>
      <c r="D709" s="24" t="s">
        <v>101</v>
      </c>
      <c r="E709" s="23" t="s">
        <v>13</v>
      </c>
      <c r="F709" s="26">
        <v>20</v>
      </c>
      <c r="G709" s="26">
        <v>10</v>
      </c>
      <c r="H709" s="34"/>
      <c r="I709" s="84">
        <v>920.56</v>
      </c>
      <c r="J709" s="136"/>
      <c r="K709" s="118">
        <v>1350.48</v>
      </c>
      <c r="L709" s="35"/>
      <c r="M709" s="85"/>
      <c r="N709" s="38" t="s">
        <v>796</v>
      </c>
      <c r="O709" s="40"/>
      <c r="P709" s="66">
        <v>45078</v>
      </c>
    </row>
    <row r="710" spans="1:16" s="8" customFormat="1" ht="12.75" customHeight="1">
      <c r="A710" s="13">
        <f t="shared" si="16"/>
        <v>691</v>
      </c>
      <c r="B710" s="32" t="s">
        <v>368</v>
      </c>
      <c r="C710" s="23" t="s">
        <v>947</v>
      </c>
      <c r="D710" s="24" t="s">
        <v>101</v>
      </c>
      <c r="E710" s="23" t="s">
        <v>13</v>
      </c>
      <c r="F710" s="26">
        <v>20</v>
      </c>
      <c r="G710" s="26">
        <v>10</v>
      </c>
      <c r="H710" s="34"/>
      <c r="I710" s="84">
        <v>1015.99</v>
      </c>
      <c r="J710" s="136"/>
      <c r="K710" s="118">
        <v>1467.72</v>
      </c>
      <c r="L710" s="35"/>
      <c r="M710" s="85"/>
      <c r="N710" s="38" t="s">
        <v>796</v>
      </c>
      <c r="O710" s="40"/>
      <c r="P710" s="66">
        <v>45352</v>
      </c>
    </row>
    <row r="711" spans="1:16" s="8" customFormat="1" ht="12.75" customHeight="1">
      <c r="A711" s="13">
        <f t="shared" si="16"/>
        <v>692</v>
      </c>
      <c r="B711" s="32" t="s">
        <v>368</v>
      </c>
      <c r="C711" s="23" t="s">
        <v>947</v>
      </c>
      <c r="D711" s="24" t="s">
        <v>101</v>
      </c>
      <c r="E711" s="23" t="s">
        <v>13</v>
      </c>
      <c r="F711" s="26">
        <v>16</v>
      </c>
      <c r="G711" s="26">
        <v>14</v>
      </c>
      <c r="H711" s="34"/>
      <c r="I711" s="84">
        <v>1128.92</v>
      </c>
      <c r="J711" s="136"/>
      <c r="K711" s="118">
        <v>1209.5999999999999</v>
      </c>
      <c r="L711" s="35"/>
      <c r="M711" s="85"/>
      <c r="N711" s="38" t="s">
        <v>796</v>
      </c>
      <c r="O711" s="40"/>
      <c r="P711" s="66">
        <v>45352</v>
      </c>
    </row>
    <row r="712" spans="1:16" s="8" customFormat="1" ht="12.75" customHeight="1">
      <c r="A712" s="13">
        <f t="shared" si="16"/>
        <v>693</v>
      </c>
      <c r="B712" s="32" t="s">
        <v>368</v>
      </c>
      <c r="C712" s="23" t="s">
        <v>978</v>
      </c>
      <c r="D712" s="24" t="s">
        <v>271</v>
      </c>
      <c r="E712" s="23" t="s">
        <v>13</v>
      </c>
      <c r="F712" s="26">
        <v>20</v>
      </c>
      <c r="G712" s="26">
        <v>10</v>
      </c>
      <c r="H712" s="34"/>
      <c r="I712" s="84">
        <v>1196.49</v>
      </c>
      <c r="J712" s="136"/>
      <c r="K712" s="118">
        <v>1727.22</v>
      </c>
      <c r="L712" s="35"/>
      <c r="M712" s="85"/>
      <c r="N712" s="38" t="s">
        <v>796</v>
      </c>
      <c r="O712" s="40"/>
      <c r="P712" s="66">
        <v>45689</v>
      </c>
    </row>
    <row r="713" spans="1:16" s="8" customFormat="1" ht="12.75" customHeight="1">
      <c r="A713" s="13">
        <f t="shared" si="16"/>
        <v>694</v>
      </c>
      <c r="B713" s="32" t="s">
        <v>368</v>
      </c>
      <c r="C713" s="23" t="s">
        <v>978</v>
      </c>
      <c r="D713" s="24" t="s">
        <v>271</v>
      </c>
      <c r="E713" s="23" t="s">
        <v>13</v>
      </c>
      <c r="F713" s="26">
        <v>16</v>
      </c>
      <c r="G713" s="26">
        <v>14</v>
      </c>
      <c r="H713" s="34"/>
      <c r="I713" s="85">
        <v>1329.18</v>
      </c>
      <c r="J713" s="136"/>
      <c r="K713" s="118">
        <v>1423.98</v>
      </c>
      <c r="L713" s="35"/>
      <c r="M713" s="85"/>
      <c r="N713" s="38" t="s">
        <v>796</v>
      </c>
      <c r="O713" s="40"/>
      <c r="P713" s="66">
        <v>45689</v>
      </c>
    </row>
    <row r="714" spans="1:16" s="8" customFormat="1" ht="12.75" customHeight="1">
      <c r="A714" s="13">
        <f t="shared" si="16"/>
        <v>695</v>
      </c>
      <c r="B714" s="156" t="s">
        <v>368</v>
      </c>
      <c r="C714" s="23" t="s">
        <v>978</v>
      </c>
      <c r="D714" s="24" t="s">
        <v>101</v>
      </c>
      <c r="E714" s="23" t="s">
        <v>13</v>
      </c>
      <c r="F714" s="26">
        <v>20</v>
      </c>
      <c r="G714" s="26">
        <v>10</v>
      </c>
      <c r="H714" s="34"/>
      <c r="I714" s="85">
        <v>1453.73</v>
      </c>
      <c r="J714" s="136"/>
      <c r="K714" s="118">
        <v>2089.63</v>
      </c>
      <c r="L714" s="35"/>
      <c r="M714" s="85"/>
      <c r="N714" s="38" t="s">
        <v>796</v>
      </c>
      <c r="O714" s="40"/>
      <c r="P714" s="193">
        <v>46082</v>
      </c>
    </row>
    <row r="715" spans="1:16" s="8" customFormat="1" ht="12.75" customHeight="1">
      <c r="A715" s="13">
        <f t="shared" si="16"/>
        <v>696</v>
      </c>
      <c r="B715" s="156" t="s">
        <v>368</v>
      </c>
      <c r="C715" s="23" t="s">
        <v>978</v>
      </c>
      <c r="D715" s="24" t="s">
        <v>101</v>
      </c>
      <c r="E715" s="23" t="s">
        <v>13</v>
      </c>
      <c r="F715" s="26">
        <v>16</v>
      </c>
      <c r="G715" s="26">
        <v>14</v>
      </c>
      <c r="H715" s="34"/>
      <c r="I715" s="85">
        <v>1612.7</v>
      </c>
      <c r="J715" s="136"/>
      <c r="K715" s="118">
        <v>1726.27</v>
      </c>
      <c r="L715" s="35"/>
      <c r="M715" s="85"/>
      <c r="N715" s="38" t="s">
        <v>796</v>
      </c>
      <c r="O715" s="40"/>
      <c r="P715" s="193">
        <v>46082</v>
      </c>
    </row>
    <row r="716" spans="1:16" s="8" customFormat="1" ht="12.75" customHeight="1">
      <c r="A716" s="13">
        <f t="shared" si="16"/>
        <v>697</v>
      </c>
      <c r="B716" s="52" t="s">
        <v>369</v>
      </c>
      <c r="C716" s="23" t="s">
        <v>270</v>
      </c>
      <c r="D716" s="24" t="s">
        <v>271</v>
      </c>
      <c r="E716" s="23" t="s">
        <v>13</v>
      </c>
      <c r="F716" s="26">
        <v>20</v>
      </c>
      <c r="G716" s="26">
        <v>10</v>
      </c>
      <c r="H716" s="34">
        <v>762.33</v>
      </c>
      <c r="I716" s="84">
        <v>731.65</v>
      </c>
      <c r="J716" s="136">
        <v>1131.1500000000001</v>
      </c>
      <c r="K716" s="118">
        <v>1069.77</v>
      </c>
      <c r="L716" s="35"/>
      <c r="M716" s="85"/>
      <c r="N716" s="38" t="s">
        <v>796</v>
      </c>
      <c r="O716" s="40">
        <v>604</v>
      </c>
      <c r="P716" s="66">
        <v>43617</v>
      </c>
    </row>
    <row r="717" spans="1:16" s="8" customFormat="1" ht="12.75" customHeight="1">
      <c r="A717" s="13">
        <f t="shared" si="16"/>
        <v>698</v>
      </c>
      <c r="B717" s="23" t="s">
        <v>369</v>
      </c>
      <c r="C717" s="23" t="s">
        <v>978</v>
      </c>
      <c r="D717" s="24" t="s">
        <v>271</v>
      </c>
      <c r="E717" s="23" t="s">
        <v>13</v>
      </c>
      <c r="F717" s="26">
        <v>20</v>
      </c>
      <c r="G717" s="26">
        <v>10</v>
      </c>
      <c r="H717" s="34"/>
      <c r="I717" s="84">
        <v>821.6</v>
      </c>
      <c r="J717" s="136"/>
      <c r="K717" s="118">
        <v>1184.31</v>
      </c>
      <c r="L717" s="35"/>
      <c r="M717" s="85"/>
      <c r="N717" s="38" t="s">
        <v>796</v>
      </c>
      <c r="O717" s="40"/>
      <c r="P717" s="66">
        <v>44562</v>
      </c>
    </row>
    <row r="718" spans="1:16" s="8" customFormat="1" ht="12.75" customHeight="1">
      <c r="A718" s="13">
        <f t="shared" si="16"/>
        <v>699</v>
      </c>
      <c r="B718" s="23" t="s">
        <v>369</v>
      </c>
      <c r="C718" s="23" t="s">
        <v>978</v>
      </c>
      <c r="D718" s="24" t="s">
        <v>271</v>
      </c>
      <c r="E718" s="23" t="s">
        <v>13</v>
      </c>
      <c r="F718" s="26">
        <v>20</v>
      </c>
      <c r="G718" s="26">
        <v>10</v>
      </c>
      <c r="H718" s="34"/>
      <c r="I718" s="84">
        <v>916.33</v>
      </c>
      <c r="J718" s="136"/>
      <c r="K718" s="118">
        <v>1346.23</v>
      </c>
      <c r="L718" s="35"/>
      <c r="M718" s="85"/>
      <c r="N718" s="38" t="s">
        <v>796</v>
      </c>
      <c r="O718" s="40"/>
      <c r="P718" s="66">
        <v>45078</v>
      </c>
    </row>
    <row r="719" spans="1:16" s="8" customFormat="1" ht="12.75" customHeight="1">
      <c r="A719" s="13">
        <f t="shared" si="16"/>
        <v>700</v>
      </c>
      <c r="B719" s="180" t="s">
        <v>369</v>
      </c>
      <c r="C719" s="23" t="s">
        <v>978</v>
      </c>
      <c r="D719" s="24" t="s">
        <v>271</v>
      </c>
      <c r="E719" s="23" t="s">
        <v>13</v>
      </c>
      <c r="F719" s="26">
        <v>20</v>
      </c>
      <c r="G719" s="26">
        <v>10</v>
      </c>
      <c r="H719" s="34"/>
      <c r="I719" s="84">
        <v>1011.12</v>
      </c>
      <c r="J719" s="136"/>
      <c r="K719" s="118">
        <v>1462.84</v>
      </c>
      <c r="L719" s="35"/>
      <c r="M719" s="85"/>
      <c r="N719" s="38" t="s">
        <v>796</v>
      </c>
      <c r="O719" s="40"/>
      <c r="P719" s="66">
        <v>45352</v>
      </c>
    </row>
    <row r="720" spans="1:16" s="8" customFormat="1" ht="12.75" customHeight="1">
      <c r="A720" s="13">
        <f t="shared" si="16"/>
        <v>701</v>
      </c>
      <c r="B720" s="180" t="s">
        <v>369</v>
      </c>
      <c r="C720" s="23" t="s">
        <v>978</v>
      </c>
      <c r="D720" s="24" t="s">
        <v>271</v>
      </c>
      <c r="E720" s="23" t="s">
        <v>13</v>
      </c>
      <c r="F720" s="26">
        <v>16</v>
      </c>
      <c r="G720" s="26">
        <v>14</v>
      </c>
      <c r="H720" s="34"/>
      <c r="I720" s="84">
        <v>1124.04</v>
      </c>
      <c r="J720" s="136"/>
      <c r="K720" s="118">
        <v>1204.72</v>
      </c>
      <c r="L720" s="35"/>
      <c r="M720" s="85"/>
      <c r="N720" s="38" t="s">
        <v>796</v>
      </c>
      <c r="O720" s="40"/>
      <c r="P720" s="66">
        <v>45352</v>
      </c>
    </row>
    <row r="721" spans="1:16" s="8" customFormat="1" ht="12.75" customHeight="1">
      <c r="A721" s="13">
        <f t="shared" si="16"/>
        <v>702</v>
      </c>
      <c r="B721" s="180" t="s">
        <v>369</v>
      </c>
      <c r="C721" s="23" t="s">
        <v>978</v>
      </c>
      <c r="D721" s="24" t="s">
        <v>271</v>
      </c>
      <c r="E721" s="23" t="s">
        <v>13</v>
      </c>
      <c r="F721" s="26">
        <v>20</v>
      </c>
      <c r="G721" s="26">
        <v>10</v>
      </c>
      <c r="H721" s="34"/>
      <c r="I721" s="84">
        <v>1190.75</v>
      </c>
      <c r="J721" s="136"/>
      <c r="K721" s="118">
        <v>1721.48</v>
      </c>
      <c r="L721" s="35"/>
      <c r="M721" s="85"/>
      <c r="N721" s="38" t="s">
        <v>796</v>
      </c>
      <c r="O721" s="40"/>
      <c r="P721" s="66">
        <v>45689</v>
      </c>
    </row>
    <row r="722" spans="1:16" s="8" customFormat="1" ht="12.75" customHeight="1">
      <c r="A722" s="13">
        <f t="shared" si="16"/>
        <v>703</v>
      </c>
      <c r="B722" s="180" t="s">
        <v>369</v>
      </c>
      <c r="C722" s="23" t="s">
        <v>978</v>
      </c>
      <c r="D722" s="24" t="s">
        <v>271</v>
      </c>
      <c r="E722" s="23" t="s">
        <v>13</v>
      </c>
      <c r="F722" s="26">
        <v>16</v>
      </c>
      <c r="G722" s="26">
        <v>14</v>
      </c>
      <c r="H722" s="34"/>
      <c r="I722" s="85">
        <v>1323.42</v>
      </c>
      <c r="J722" s="136"/>
      <c r="K722" s="118">
        <v>1418.22</v>
      </c>
      <c r="L722" s="35"/>
      <c r="M722" s="85"/>
      <c r="N722" s="38" t="s">
        <v>796</v>
      </c>
      <c r="O722" s="40"/>
      <c r="P722" s="66">
        <v>45689</v>
      </c>
    </row>
    <row r="723" spans="1:16" s="8" customFormat="1" ht="12.75" customHeight="1">
      <c r="A723" s="13">
        <f t="shared" si="16"/>
        <v>704</v>
      </c>
      <c r="B723" s="175" t="s">
        <v>369</v>
      </c>
      <c r="C723" s="23" t="s">
        <v>978</v>
      </c>
      <c r="D723" s="24" t="s">
        <v>271</v>
      </c>
      <c r="E723" s="23" t="s">
        <v>13</v>
      </c>
      <c r="F723" s="26">
        <v>20</v>
      </c>
      <c r="G723" s="26">
        <v>10</v>
      </c>
      <c r="H723" s="34"/>
      <c r="I723" s="85">
        <v>1469.69</v>
      </c>
      <c r="J723" s="136"/>
      <c r="K723" s="118">
        <v>2105.58</v>
      </c>
      <c r="L723" s="35"/>
      <c r="M723" s="85"/>
      <c r="N723" s="38" t="s">
        <v>796</v>
      </c>
      <c r="O723" s="40"/>
      <c r="P723" s="193">
        <v>46082</v>
      </c>
    </row>
    <row r="724" spans="1:16" s="8" customFormat="1" ht="12.75" customHeight="1">
      <c r="A724" s="13">
        <f t="shared" si="16"/>
        <v>705</v>
      </c>
      <c r="B724" s="175" t="s">
        <v>369</v>
      </c>
      <c r="C724" s="23" t="s">
        <v>978</v>
      </c>
      <c r="D724" s="24" t="s">
        <v>271</v>
      </c>
      <c r="E724" s="23" t="s">
        <v>13</v>
      </c>
      <c r="F724" s="26">
        <v>16</v>
      </c>
      <c r="G724" s="26">
        <v>14</v>
      </c>
      <c r="H724" s="34"/>
      <c r="I724" s="85">
        <v>1628.65</v>
      </c>
      <c r="J724" s="136"/>
      <c r="K724" s="118">
        <v>1742.21</v>
      </c>
      <c r="L724" s="35"/>
      <c r="M724" s="85"/>
      <c r="N724" s="38" t="s">
        <v>796</v>
      </c>
      <c r="O724" s="40"/>
      <c r="P724" s="193">
        <v>46082</v>
      </c>
    </row>
    <row r="725" spans="1:16" s="8" customFormat="1" ht="12.75" customHeight="1">
      <c r="A725" s="13">
        <f t="shared" si="16"/>
        <v>706</v>
      </c>
      <c r="B725" s="54" t="s">
        <v>370</v>
      </c>
      <c r="C725" s="23" t="s">
        <v>74</v>
      </c>
      <c r="D725" s="24" t="s">
        <v>288</v>
      </c>
      <c r="E725" s="23" t="s">
        <v>13</v>
      </c>
      <c r="F725" s="26">
        <v>20</v>
      </c>
      <c r="G725" s="26">
        <v>5</v>
      </c>
      <c r="H725" s="34">
        <v>2518.04</v>
      </c>
      <c r="I725" s="84"/>
      <c r="J725" s="136">
        <v>3362.17</v>
      </c>
      <c r="K725" s="118"/>
      <c r="L725" s="35" t="s">
        <v>262</v>
      </c>
      <c r="M725" s="85"/>
      <c r="N725" s="99" t="s">
        <v>642</v>
      </c>
      <c r="O725" s="68">
        <v>580</v>
      </c>
      <c r="P725" s="66">
        <v>41275</v>
      </c>
    </row>
    <row r="726" spans="1:16" s="8" customFormat="1" ht="12.75" customHeight="1">
      <c r="A726" s="13">
        <f t="shared" si="16"/>
        <v>707</v>
      </c>
      <c r="B726" s="54" t="s">
        <v>371</v>
      </c>
      <c r="C726" s="23" t="s">
        <v>74</v>
      </c>
      <c r="D726" s="24" t="s">
        <v>292</v>
      </c>
      <c r="E726" s="23" t="s">
        <v>13</v>
      </c>
      <c r="F726" s="31" t="s">
        <v>542</v>
      </c>
      <c r="G726" s="31" t="s">
        <v>635</v>
      </c>
      <c r="H726" s="34">
        <v>1134.95</v>
      </c>
      <c r="I726" s="84"/>
      <c r="J726" s="136">
        <v>1416.34</v>
      </c>
      <c r="K726" s="118"/>
      <c r="L726" s="35" t="s">
        <v>262</v>
      </c>
      <c r="M726" s="85"/>
      <c r="N726" s="99" t="s">
        <v>642</v>
      </c>
      <c r="O726" s="68">
        <v>580</v>
      </c>
      <c r="P726" s="66">
        <v>41275</v>
      </c>
    </row>
    <row r="727" spans="1:16" s="8" customFormat="1" ht="12.75" customHeight="1">
      <c r="A727" s="13">
        <f t="shared" si="16"/>
        <v>708</v>
      </c>
      <c r="B727" s="52" t="s">
        <v>372</v>
      </c>
      <c r="C727" s="23" t="s">
        <v>264</v>
      </c>
      <c r="D727" s="24" t="s">
        <v>299</v>
      </c>
      <c r="E727" s="23" t="s">
        <v>13</v>
      </c>
      <c r="F727" s="26">
        <v>20</v>
      </c>
      <c r="G727" s="26">
        <v>10</v>
      </c>
      <c r="H727" s="34">
        <v>835.07</v>
      </c>
      <c r="I727" s="84">
        <v>819.53</v>
      </c>
      <c r="J727" s="136">
        <v>1220.8</v>
      </c>
      <c r="K727" s="118">
        <v>1189.7</v>
      </c>
      <c r="L727" s="35" t="s">
        <v>262</v>
      </c>
      <c r="M727" s="85"/>
      <c r="N727" s="107" t="s">
        <v>820</v>
      </c>
      <c r="O727" s="69" t="s">
        <v>692</v>
      </c>
      <c r="P727" s="66">
        <v>43617</v>
      </c>
    </row>
    <row r="728" spans="1:16" s="8" customFormat="1" ht="12.75" customHeight="1">
      <c r="A728" s="13">
        <f t="shared" si="16"/>
        <v>709</v>
      </c>
      <c r="B728" s="54" t="s">
        <v>372</v>
      </c>
      <c r="C728" s="23" t="s">
        <v>264</v>
      </c>
      <c r="D728" s="24" t="s">
        <v>299</v>
      </c>
      <c r="E728" s="23" t="s">
        <v>13</v>
      </c>
      <c r="F728" s="26">
        <v>20</v>
      </c>
      <c r="G728" s="26">
        <v>10</v>
      </c>
      <c r="H728" s="34"/>
      <c r="I728" s="84">
        <v>884.02</v>
      </c>
      <c r="J728" s="136"/>
      <c r="K728" s="118">
        <v>1271.46</v>
      </c>
      <c r="L728" s="35"/>
      <c r="M728" s="85"/>
      <c r="N728" s="107" t="s">
        <v>820</v>
      </c>
      <c r="O728" s="69"/>
      <c r="P728" s="66">
        <v>44562</v>
      </c>
    </row>
    <row r="729" spans="1:16" s="170" customFormat="1" ht="12.75" customHeight="1">
      <c r="A729" s="13">
        <f t="shared" si="16"/>
        <v>710</v>
      </c>
      <c r="B729" s="52" t="s">
        <v>373</v>
      </c>
      <c r="C729" s="23" t="s">
        <v>264</v>
      </c>
      <c r="D729" s="52" t="s">
        <v>300</v>
      </c>
      <c r="E729" s="23" t="s">
        <v>13</v>
      </c>
      <c r="F729" s="27">
        <v>20</v>
      </c>
      <c r="G729" s="27">
        <v>10</v>
      </c>
      <c r="H729" s="34">
        <v>804.04</v>
      </c>
      <c r="I729" s="34">
        <v>788.49</v>
      </c>
      <c r="J729" s="136">
        <v>1189.76</v>
      </c>
      <c r="K729" s="136">
        <v>1158.67</v>
      </c>
      <c r="L729" s="35" t="s">
        <v>262</v>
      </c>
      <c r="M729" s="35"/>
      <c r="N729" s="169" t="s">
        <v>820</v>
      </c>
      <c r="O729" s="69" t="s">
        <v>692</v>
      </c>
      <c r="P729" s="67">
        <v>43617</v>
      </c>
    </row>
    <row r="730" spans="1:16" s="8" customFormat="1" ht="12.75" customHeight="1">
      <c r="A730" s="13">
        <f t="shared" si="16"/>
        <v>711</v>
      </c>
      <c r="B730" s="54" t="s">
        <v>373</v>
      </c>
      <c r="C730" s="23" t="s">
        <v>264</v>
      </c>
      <c r="D730" s="24" t="s">
        <v>300</v>
      </c>
      <c r="E730" s="23" t="s">
        <v>13</v>
      </c>
      <c r="F730" s="26">
        <v>20</v>
      </c>
      <c r="G730" s="26">
        <v>10</v>
      </c>
      <c r="H730" s="34"/>
      <c r="I730" s="84">
        <v>855.21</v>
      </c>
      <c r="J730" s="136"/>
      <c r="K730" s="118">
        <v>1242.6500000000001</v>
      </c>
      <c r="L730" s="35"/>
      <c r="M730" s="85"/>
      <c r="N730" s="107" t="s">
        <v>820</v>
      </c>
      <c r="O730" s="69"/>
      <c r="P730" s="66">
        <v>44562</v>
      </c>
    </row>
    <row r="731" spans="1:16" s="8" customFormat="1" ht="12.75" customHeight="1">
      <c r="A731" s="13">
        <f t="shared" si="16"/>
        <v>712</v>
      </c>
      <c r="B731" s="54" t="s">
        <v>374</v>
      </c>
      <c r="C731" s="23" t="s">
        <v>303</v>
      </c>
      <c r="D731" s="24" t="s">
        <v>304</v>
      </c>
      <c r="E731" s="23" t="s">
        <v>19</v>
      </c>
      <c r="F731" s="31" t="s">
        <v>543</v>
      </c>
      <c r="G731" s="31" t="s">
        <v>636</v>
      </c>
      <c r="H731" s="34">
        <v>1368.68</v>
      </c>
      <c r="I731" s="84"/>
      <c r="J731" s="136">
        <v>2744.64</v>
      </c>
      <c r="K731" s="118"/>
      <c r="L731" s="35">
        <v>14306.85</v>
      </c>
      <c r="M731" s="85"/>
      <c r="N731" s="99" t="s">
        <v>642</v>
      </c>
      <c r="O731" s="68">
        <v>580</v>
      </c>
      <c r="P731" s="66">
        <v>41306</v>
      </c>
    </row>
    <row r="732" spans="1:16" s="8" customFormat="1" ht="12.75" customHeight="1">
      <c r="A732" s="13">
        <f t="shared" si="16"/>
        <v>713</v>
      </c>
      <c r="B732" s="52" t="s">
        <v>544</v>
      </c>
      <c r="C732" s="23" t="s">
        <v>305</v>
      </c>
      <c r="D732" s="24" t="s">
        <v>306</v>
      </c>
      <c r="E732" s="23" t="s">
        <v>19</v>
      </c>
      <c r="F732" s="31" t="s">
        <v>545</v>
      </c>
      <c r="G732" s="31" t="s">
        <v>637</v>
      </c>
      <c r="H732" s="34">
        <v>1339.7</v>
      </c>
      <c r="I732" s="84">
        <v>1355.62</v>
      </c>
      <c r="J732" s="136">
        <v>2247.25</v>
      </c>
      <c r="K732" s="118"/>
      <c r="L732" s="35">
        <v>24414.97</v>
      </c>
      <c r="M732" s="85"/>
      <c r="N732" s="99" t="s">
        <v>642</v>
      </c>
      <c r="O732" s="68">
        <v>580</v>
      </c>
      <c r="P732" s="66">
        <v>43227</v>
      </c>
    </row>
    <row r="733" spans="1:16" s="8" customFormat="1" ht="12.75" customHeight="1">
      <c r="A733" s="13">
        <f t="shared" si="16"/>
        <v>714</v>
      </c>
      <c r="B733" s="45" t="s">
        <v>544</v>
      </c>
      <c r="C733" s="23" t="s">
        <v>305</v>
      </c>
      <c r="D733" s="24" t="s">
        <v>306</v>
      </c>
      <c r="E733" s="23" t="s">
        <v>19</v>
      </c>
      <c r="F733" s="31"/>
      <c r="G733" s="31"/>
      <c r="H733" s="34"/>
      <c r="I733" s="84">
        <v>1309.32</v>
      </c>
      <c r="J733" s="136"/>
      <c r="K733" s="118">
        <v>2247.25</v>
      </c>
      <c r="L733" s="35"/>
      <c r="M733" s="85"/>
      <c r="N733" s="99" t="s">
        <v>642</v>
      </c>
      <c r="O733" s="68"/>
      <c r="P733" s="66">
        <v>43862</v>
      </c>
    </row>
    <row r="734" spans="1:16" s="8" customFormat="1" ht="12.75" customHeight="1">
      <c r="A734" s="13">
        <f t="shared" si="16"/>
        <v>715</v>
      </c>
      <c r="B734" s="45" t="s">
        <v>544</v>
      </c>
      <c r="C734" s="23" t="s">
        <v>305</v>
      </c>
      <c r="D734" s="24" t="s">
        <v>306</v>
      </c>
      <c r="E734" s="23" t="s">
        <v>19</v>
      </c>
      <c r="F734" s="31" t="s">
        <v>1003</v>
      </c>
      <c r="G734" s="31"/>
      <c r="H734" s="34"/>
      <c r="I734" s="84">
        <v>51293.98</v>
      </c>
      <c r="J734" s="136"/>
      <c r="K734" s="118"/>
      <c r="L734" s="35"/>
      <c r="M734" s="85">
        <v>18311.98</v>
      </c>
      <c r="N734" s="99" t="s">
        <v>642</v>
      </c>
      <c r="O734" s="68"/>
      <c r="P734" s="66">
        <v>44562</v>
      </c>
    </row>
    <row r="735" spans="1:16" s="8" customFormat="1" ht="12.75" customHeight="1">
      <c r="A735" s="13">
        <f t="shared" si="16"/>
        <v>716</v>
      </c>
      <c r="B735" s="45" t="s">
        <v>544</v>
      </c>
      <c r="C735" s="23" t="s">
        <v>305</v>
      </c>
      <c r="D735" s="24" t="s">
        <v>306</v>
      </c>
      <c r="E735" s="23" t="s">
        <v>19</v>
      </c>
      <c r="F735" s="31"/>
      <c r="G735" s="31"/>
      <c r="H735" s="34"/>
      <c r="I735" s="84">
        <v>51293.98</v>
      </c>
      <c r="J735" s="136"/>
      <c r="K735" s="118"/>
      <c r="L735" s="35"/>
      <c r="M735" s="85"/>
      <c r="N735" s="99" t="s">
        <v>642</v>
      </c>
      <c r="O735" s="68"/>
      <c r="P735" s="66">
        <v>44713</v>
      </c>
    </row>
    <row r="736" spans="1:16" s="8" customFormat="1" ht="12.75" customHeight="1">
      <c r="A736" s="13">
        <f t="shared" si="16"/>
        <v>717</v>
      </c>
      <c r="B736" s="45" t="s">
        <v>1004</v>
      </c>
      <c r="C736" s="23" t="s">
        <v>305</v>
      </c>
      <c r="D736" s="24" t="s">
        <v>306</v>
      </c>
      <c r="E736" s="23" t="s">
        <v>19</v>
      </c>
      <c r="F736" s="46" t="s">
        <v>977</v>
      </c>
      <c r="G736" s="31"/>
      <c r="H736" s="34"/>
      <c r="I736" s="84">
        <v>50749.95</v>
      </c>
      <c r="J736" s="136"/>
      <c r="K736" s="118"/>
      <c r="L736" s="35"/>
      <c r="M736" s="85"/>
      <c r="N736" s="99" t="s">
        <v>642</v>
      </c>
      <c r="O736" s="68"/>
      <c r="P736" s="66">
        <v>44562</v>
      </c>
    </row>
    <row r="737" spans="1:17" s="8" customFormat="1" ht="12.75" customHeight="1">
      <c r="A737" s="13">
        <f t="shared" si="16"/>
        <v>718</v>
      </c>
      <c r="B737" s="45" t="s">
        <v>1004</v>
      </c>
      <c r="C737" s="23" t="s">
        <v>305</v>
      </c>
      <c r="D737" s="24" t="s">
        <v>306</v>
      </c>
      <c r="E737" s="23" t="s">
        <v>19</v>
      </c>
      <c r="F737" s="46" t="s">
        <v>977</v>
      </c>
      <c r="G737" s="31"/>
      <c r="H737" s="34"/>
      <c r="I737" s="84">
        <v>51635.15</v>
      </c>
      <c r="J737" s="136"/>
      <c r="K737" s="118"/>
      <c r="L737" s="35"/>
      <c r="M737" s="85"/>
      <c r="N737" s="99" t="s">
        <v>642</v>
      </c>
      <c r="O737" s="68"/>
      <c r="P737" s="66">
        <v>44713</v>
      </c>
    </row>
    <row r="738" spans="1:17" s="8" customFormat="1" ht="12.75" customHeight="1">
      <c r="A738" s="13">
        <f t="shared" si="16"/>
        <v>719</v>
      </c>
      <c r="B738" s="45" t="s">
        <v>544</v>
      </c>
      <c r="C738" s="23" t="s">
        <v>305</v>
      </c>
      <c r="D738" s="24" t="s">
        <v>306</v>
      </c>
      <c r="E738" s="23" t="s">
        <v>19</v>
      </c>
      <c r="F738" s="46"/>
      <c r="G738" s="31"/>
      <c r="H738" s="34"/>
      <c r="I738" s="84">
        <v>67114.880000000005</v>
      </c>
      <c r="J738" s="136"/>
      <c r="K738" s="118"/>
      <c r="L738" s="35"/>
      <c r="M738" s="85">
        <v>25516.21</v>
      </c>
      <c r="N738" s="99" t="s">
        <v>642</v>
      </c>
      <c r="O738" s="68"/>
      <c r="P738" s="66">
        <v>45017</v>
      </c>
    </row>
    <row r="739" spans="1:17" s="8" customFormat="1" ht="12.75" customHeight="1">
      <c r="A739" s="13">
        <f t="shared" si="16"/>
        <v>720</v>
      </c>
      <c r="B739" s="45" t="s">
        <v>1004</v>
      </c>
      <c r="C739" s="23" t="s">
        <v>305</v>
      </c>
      <c r="D739" s="24" t="s">
        <v>306</v>
      </c>
      <c r="E739" s="23" t="s">
        <v>19</v>
      </c>
      <c r="F739" s="46" t="s">
        <v>977</v>
      </c>
      <c r="G739" s="31"/>
      <c r="H739" s="34"/>
      <c r="I739" s="84">
        <v>53081.43</v>
      </c>
      <c r="J739" s="136"/>
      <c r="K739" s="118"/>
      <c r="L739" s="35"/>
      <c r="M739" s="85"/>
      <c r="N739" s="99" t="s">
        <v>642</v>
      </c>
      <c r="O739" s="68"/>
      <c r="P739" s="66">
        <v>45017</v>
      </c>
    </row>
    <row r="740" spans="1:17" s="8" customFormat="1" ht="12.75" customHeight="1">
      <c r="A740" s="13">
        <f t="shared" si="16"/>
        <v>721</v>
      </c>
      <c r="B740" s="156" t="s">
        <v>544</v>
      </c>
      <c r="C740" s="23" t="s">
        <v>305</v>
      </c>
      <c r="D740" s="24" t="s">
        <v>306</v>
      </c>
      <c r="E740" s="23" t="s">
        <v>19</v>
      </c>
      <c r="F740" s="46"/>
      <c r="G740" s="31"/>
      <c r="H740" s="34"/>
      <c r="I740" s="84">
        <v>67226.78</v>
      </c>
      <c r="J740" s="136"/>
      <c r="K740" s="118"/>
      <c r="L740" s="35"/>
      <c r="M740" s="85">
        <v>25628.1</v>
      </c>
      <c r="N740" s="157" t="s">
        <v>1163</v>
      </c>
      <c r="O740" s="68"/>
      <c r="P740" s="66">
        <v>45352</v>
      </c>
    </row>
    <row r="741" spans="1:17" s="8" customFormat="1" ht="12.75" customHeight="1">
      <c r="A741" s="13">
        <f t="shared" si="16"/>
        <v>722</v>
      </c>
      <c r="B741" s="156" t="s">
        <v>1004</v>
      </c>
      <c r="C741" s="23" t="s">
        <v>305</v>
      </c>
      <c r="D741" s="24" t="s">
        <v>306</v>
      </c>
      <c r="E741" s="23" t="s">
        <v>19</v>
      </c>
      <c r="F741" s="46" t="s">
        <v>977</v>
      </c>
      <c r="G741" s="31"/>
      <c r="H741" s="34"/>
      <c r="I741" s="84">
        <v>75925.87</v>
      </c>
      <c r="J741" s="136"/>
      <c r="K741" s="118"/>
      <c r="L741" s="35"/>
      <c r="M741" s="85"/>
      <c r="N741" s="157" t="s">
        <v>1163</v>
      </c>
      <c r="O741" s="68"/>
      <c r="P741" s="66">
        <v>45352</v>
      </c>
    </row>
    <row r="742" spans="1:17" s="8" customFormat="1" ht="12.75" customHeight="1">
      <c r="A742" s="13">
        <f t="shared" si="16"/>
        <v>723</v>
      </c>
      <c r="B742" s="54" t="s">
        <v>376</v>
      </c>
      <c r="C742" s="23" t="s">
        <v>307</v>
      </c>
      <c r="D742" s="24" t="s">
        <v>308</v>
      </c>
      <c r="E742" s="23" t="s">
        <v>19</v>
      </c>
      <c r="F742" s="31" t="s">
        <v>546</v>
      </c>
      <c r="G742" s="31" t="s">
        <v>738</v>
      </c>
      <c r="H742" s="34">
        <v>3002.58</v>
      </c>
      <c r="I742" s="84"/>
      <c r="J742" s="136">
        <v>7798.59</v>
      </c>
      <c r="K742" s="118"/>
      <c r="L742" s="35">
        <v>14306.85</v>
      </c>
      <c r="M742" s="85"/>
      <c r="N742" s="99" t="s">
        <v>642</v>
      </c>
      <c r="O742" s="68">
        <v>580</v>
      </c>
      <c r="P742" s="66">
        <v>41306</v>
      </c>
    </row>
    <row r="743" spans="1:17" s="8" customFormat="1" ht="12.75" customHeight="1">
      <c r="A743" s="13">
        <f t="shared" si="16"/>
        <v>724</v>
      </c>
      <c r="B743" s="54" t="s">
        <v>377</v>
      </c>
      <c r="C743" s="23" t="s">
        <v>309</v>
      </c>
      <c r="D743" s="24" t="s">
        <v>310</v>
      </c>
      <c r="E743" s="23" t="s">
        <v>19</v>
      </c>
      <c r="F743" s="31" t="s">
        <v>543</v>
      </c>
      <c r="G743" s="31" t="s">
        <v>636</v>
      </c>
      <c r="H743" s="34">
        <v>1368.68</v>
      </c>
      <c r="I743" s="84"/>
      <c r="J743" s="136">
        <v>2744.64</v>
      </c>
      <c r="K743" s="118"/>
      <c r="L743" s="35">
        <v>14306.85</v>
      </c>
      <c r="M743" s="85"/>
      <c r="N743" s="99" t="s">
        <v>642</v>
      </c>
      <c r="O743" s="68">
        <v>580</v>
      </c>
      <c r="P743" s="66">
        <v>41306</v>
      </c>
    </row>
    <row r="744" spans="1:17" s="8" customFormat="1" ht="12.75" customHeight="1">
      <c r="A744" s="13">
        <f t="shared" si="16"/>
        <v>725</v>
      </c>
      <c r="B744" s="54" t="s">
        <v>662</v>
      </c>
      <c r="C744" s="23" t="s">
        <v>547</v>
      </c>
      <c r="D744" s="24" t="s">
        <v>300</v>
      </c>
      <c r="E744" s="23" t="s">
        <v>19</v>
      </c>
      <c r="F744" s="26">
        <v>20</v>
      </c>
      <c r="G744" s="26">
        <v>10</v>
      </c>
      <c r="H744" s="34">
        <v>2142.35</v>
      </c>
      <c r="I744" s="84">
        <v>2170.4699999999998</v>
      </c>
      <c r="J744" s="136">
        <v>3866.41</v>
      </c>
      <c r="K744" s="118">
        <v>3899.04</v>
      </c>
      <c r="L744" s="35">
        <v>9610.7800000000007</v>
      </c>
      <c r="M744" s="85">
        <v>9745.36</v>
      </c>
      <c r="N744" s="107" t="s">
        <v>820</v>
      </c>
      <c r="O744" s="69" t="s">
        <v>692</v>
      </c>
      <c r="P744" s="66">
        <v>43617</v>
      </c>
    </row>
    <row r="745" spans="1:17" s="8" customFormat="1" ht="12.75" customHeight="1">
      <c r="A745" s="13">
        <f t="shared" si="16"/>
        <v>726</v>
      </c>
      <c r="B745" s="52" t="s">
        <v>548</v>
      </c>
      <c r="C745" s="23" t="s">
        <v>305</v>
      </c>
      <c r="D745" s="24" t="s">
        <v>312</v>
      </c>
      <c r="E745" s="23" t="s">
        <v>19</v>
      </c>
      <c r="F745" s="31" t="s">
        <v>549</v>
      </c>
      <c r="G745" s="31" t="s">
        <v>262</v>
      </c>
      <c r="H745" s="34">
        <v>1304.68</v>
      </c>
      <c r="I745" s="84">
        <v>1304.68</v>
      </c>
      <c r="J745" s="140" t="s">
        <v>262</v>
      </c>
      <c r="K745" s="137"/>
      <c r="L745" s="35">
        <v>24414.97</v>
      </c>
      <c r="M745" s="85">
        <v>24414.97</v>
      </c>
      <c r="N745" s="99" t="s">
        <v>642</v>
      </c>
      <c r="O745" s="68">
        <v>580</v>
      </c>
      <c r="P745" s="66">
        <v>43617</v>
      </c>
    </row>
    <row r="746" spans="1:17" s="8" customFormat="1" ht="12.75" customHeight="1">
      <c r="A746" s="13">
        <f t="shared" si="16"/>
        <v>727</v>
      </c>
      <c r="B746" s="55" t="s">
        <v>548</v>
      </c>
      <c r="C746" s="23" t="s">
        <v>305</v>
      </c>
      <c r="D746" s="24" t="s">
        <v>312</v>
      </c>
      <c r="E746" s="23" t="s">
        <v>19</v>
      </c>
      <c r="F746" s="31">
        <v>640</v>
      </c>
      <c r="G746" s="31">
        <v>40</v>
      </c>
      <c r="H746" s="34"/>
      <c r="I746" s="84">
        <v>27970</v>
      </c>
      <c r="J746" s="140"/>
      <c r="K746" s="137">
        <v>57003.199999999997</v>
      </c>
      <c r="L746" s="35"/>
      <c r="M746" s="85"/>
      <c r="N746" s="99" t="s">
        <v>642</v>
      </c>
      <c r="O746" s="68"/>
      <c r="P746" s="66">
        <v>43922</v>
      </c>
      <c r="Q746" s="8" t="s">
        <v>1000</v>
      </c>
    </row>
    <row r="747" spans="1:17" s="8" customFormat="1" ht="12.75" customHeight="1">
      <c r="A747" s="13">
        <f t="shared" si="16"/>
        <v>728</v>
      </c>
      <c r="B747" s="55" t="s">
        <v>548</v>
      </c>
      <c r="C747" s="23" t="s">
        <v>305</v>
      </c>
      <c r="D747" s="24" t="s">
        <v>306</v>
      </c>
      <c r="E747" s="23" t="s">
        <v>19</v>
      </c>
      <c r="F747" s="31" t="s">
        <v>976</v>
      </c>
      <c r="G747" s="31"/>
      <c r="H747" s="34"/>
      <c r="I747" s="84">
        <v>51293.98</v>
      </c>
      <c r="J747" s="140"/>
      <c r="K747" s="137"/>
      <c r="L747" s="35"/>
      <c r="M747" s="85">
        <v>18311.98</v>
      </c>
      <c r="N747" s="99" t="s">
        <v>642</v>
      </c>
      <c r="O747" s="68"/>
      <c r="P747" s="66">
        <v>44562</v>
      </c>
    </row>
    <row r="748" spans="1:17" s="8" customFormat="1" ht="12.75" customHeight="1">
      <c r="A748" s="13">
        <f t="shared" ref="A748:A811" si="17">A747+1</f>
        <v>729</v>
      </c>
      <c r="B748" s="55" t="s">
        <v>975</v>
      </c>
      <c r="C748" s="23" t="s">
        <v>305</v>
      </c>
      <c r="D748" s="24" t="s">
        <v>306</v>
      </c>
      <c r="E748" s="23" t="s">
        <v>19</v>
      </c>
      <c r="F748" s="31" t="s">
        <v>977</v>
      </c>
      <c r="G748" s="31"/>
      <c r="H748" s="34"/>
      <c r="I748" s="84">
        <v>50749.95</v>
      </c>
      <c r="J748" s="140"/>
      <c r="K748" s="137"/>
      <c r="L748" s="35"/>
      <c r="M748" s="85"/>
      <c r="N748" s="99" t="s">
        <v>642</v>
      </c>
      <c r="O748" s="68"/>
      <c r="P748" s="66">
        <v>44562</v>
      </c>
    </row>
    <row r="749" spans="1:17" s="8" customFormat="1" ht="12.75" customHeight="1">
      <c r="A749" s="13">
        <f t="shared" si="17"/>
        <v>730</v>
      </c>
      <c r="B749" s="55" t="s">
        <v>548</v>
      </c>
      <c r="C749" s="23" t="s">
        <v>305</v>
      </c>
      <c r="D749" s="24" t="s">
        <v>306</v>
      </c>
      <c r="E749" s="23" t="s">
        <v>19</v>
      </c>
      <c r="F749" s="31" t="s">
        <v>976</v>
      </c>
      <c r="G749" s="31"/>
      <c r="H749" s="34"/>
      <c r="I749" s="84">
        <v>67114.880000000005</v>
      </c>
      <c r="J749" s="140"/>
      <c r="K749" s="137"/>
      <c r="L749" s="35"/>
      <c r="M749" s="85">
        <v>25516.21</v>
      </c>
      <c r="N749" s="99" t="s">
        <v>642</v>
      </c>
      <c r="O749" s="68"/>
      <c r="P749" s="66">
        <v>45017</v>
      </c>
    </row>
    <row r="750" spans="1:17" s="8" customFormat="1" ht="13.5" customHeight="1">
      <c r="A750" s="13">
        <f t="shared" si="17"/>
        <v>731</v>
      </c>
      <c r="B750" s="55" t="s">
        <v>975</v>
      </c>
      <c r="C750" s="23" t="s">
        <v>305</v>
      </c>
      <c r="D750" s="24" t="s">
        <v>306</v>
      </c>
      <c r="E750" s="23" t="s">
        <v>19</v>
      </c>
      <c r="F750" s="31" t="s">
        <v>977</v>
      </c>
      <c r="G750" s="31"/>
      <c r="H750" s="34"/>
      <c r="I750" s="84">
        <v>53081.43</v>
      </c>
      <c r="J750" s="140"/>
      <c r="K750" s="137"/>
      <c r="L750" s="35"/>
      <c r="M750" s="85"/>
      <c r="N750" s="99" t="s">
        <v>642</v>
      </c>
      <c r="O750" s="68"/>
      <c r="P750" s="66">
        <v>45017</v>
      </c>
    </row>
    <row r="751" spans="1:17" s="8" customFormat="1" ht="12.75" customHeight="1">
      <c r="A751" s="13">
        <f t="shared" si="17"/>
        <v>732</v>
      </c>
      <c r="B751" s="52" t="s">
        <v>759</v>
      </c>
      <c r="C751" s="23" t="s">
        <v>760</v>
      </c>
      <c r="D751" s="24" t="s">
        <v>761</v>
      </c>
      <c r="E751" s="23" t="s">
        <v>13</v>
      </c>
      <c r="F751" s="31">
        <v>20</v>
      </c>
      <c r="G751" s="31">
        <v>10</v>
      </c>
      <c r="H751" s="34">
        <v>880.28</v>
      </c>
      <c r="I751" s="84">
        <v>857.62</v>
      </c>
      <c r="J751" s="140">
        <v>1254</v>
      </c>
      <c r="K751" s="137">
        <v>1208.6600000000001</v>
      </c>
      <c r="L751" s="35" t="s">
        <v>747</v>
      </c>
      <c r="M751" s="85"/>
      <c r="N751" s="38" t="s">
        <v>643</v>
      </c>
      <c r="O751" s="69">
        <v>610</v>
      </c>
      <c r="P751" s="66">
        <v>43617</v>
      </c>
    </row>
    <row r="752" spans="1:17" s="8" customFormat="1" ht="12.75" customHeight="1">
      <c r="A752" s="13">
        <f t="shared" si="17"/>
        <v>733</v>
      </c>
      <c r="B752" s="23" t="s">
        <v>759</v>
      </c>
      <c r="C752" s="23" t="s">
        <v>760</v>
      </c>
      <c r="D752" s="24" t="s">
        <v>761</v>
      </c>
      <c r="E752" s="23" t="s">
        <v>13</v>
      </c>
      <c r="F752" s="31">
        <v>20</v>
      </c>
      <c r="G752" s="31">
        <v>10</v>
      </c>
      <c r="H752" s="34"/>
      <c r="I752" s="84">
        <v>790.64</v>
      </c>
      <c r="J752" s="140"/>
      <c r="K752" s="137">
        <v>1121.96</v>
      </c>
      <c r="L752" s="35"/>
      <c r="M752" s="85"/>
      <c r="N752" s="38" t="s">
        <v>643</v>
      </c>
      <c r="O752" s="69"/>
      <c r="P752" s="66">
        <v>43922</v>
      </c>
    </row>
    <row r="753" spans="1:16" s="8" customFormat="1" ht="12.75" customHeight="1">
      <c r="A753" s="13">
        <f t="shared" si="17"/>
        <v>734</v>
      </c>
      <c r="B753" s="23" t="s">
        <v>759</v>
      </c>
      <c r="C753" s="23" t="s">
        <v>760</v>
      </c>
      <c r="D753" s="24" t="s">
        <v>761</v>
      </c>
      <c r="E753" s="23" t="s">
        <v>13</v>
      </c>
      <c r="F753" s="31">
        <v>20</v>
      </c>
      <c r="G753" s="31">
        <v>10</v>
      </c>
      <c r="H753" s="34"/>
      <c r="I753" s="84">
        <v>847.81</v>
      </c>
      <c r="J753" s="140"/>
      <c r="K753" s="137">
        <v>1203.3399999999999</v>
      </c>
      <c r="L753" s="35"/>
      <c r="M753" s="85"/>
      <c r="N753" s="38" t="s">
        <v>643</v>
      </c>
      <c r="O753" s="69"/>
      <c r="P753" s="66">
        <v>44562</v>
      </c>
    </row>
    <row r="754" spans="1:16" s="8" customFormat="1" ht="12.75" customHeight="1">
      <c r="A754" s="13">
        <f t="shared" si="17"/>
        <v>735</v>
      </c>
      <c r="B754" s="23" t="s">
        <v>759</v>
      </c>
      <c r="C754" s="23" t="s">
        <v>760</v>
      </c>
      <c r="D754" s="24" t="s">
        <v>761</v>
      </c>
      <c r="E754" s="23" t="s">
        <v>13</v>
      </c>
      <c r="F754" s="31">
        <v>20</v>
      </c>
      <c r="G754" s="31">
        <v>5</v>
      </c>
      <c r="H754" s="34"/>
      <c r="I754" s="84">
        <v>847.81</v>
      </c>
      <c r="J754" s="140"/>
      <c r="K754" s="137">
        <v>1914.36</v>
      </c>
      <c r="L754" s="35"/>
      <c r="M754" s="85"/>
      <c r="N754" s="38" t="s">
        <v>643</v>
      </c>
      <c r="O754" s="69"/>
      <c r="P754" s="66">
        <v>45108</v>
      </c>
    </row>
    <row r="755" spans="1:16" s="8" customFormat="1" ht="12.75" customHeight="1">
      <c r="A755" s="13">
        <f t="shared" si="17"/>
        <v>736</v>
      </c>
      <c r="B755" s="32" t="s">
        <v>759</v>
      </c>
      <c r="C755" s="23" t="s">
        <v>760</v>
      </c>
      <c r="D755" s="24" t="s">
        <v>761</v>
      </c>
      <c r="E755" s="23" t="s">
        <v>13</v>
      </c>
      <c r="F755" s="31">
        <v>20</v>
      </c>
      <c r="G755" s="31">
        <v>10</v>
      </c>
      <c r="H755" s="34"/>
      <c r="I755" s="84">
        <v>1078.95</v>
      </c>
      <c r="J755" s="140"/>
      <c r="K755" s="137">
        <v>1535.67</v>
      </c>
      <c r="L755" s="35"/>
      <c r="M755" s="85"/>
      <c r="N755" s="38" t="s">
        <v>643</v>
      </c>
      <c r="O755" s="69"/>
      <c r="P755" s="66">
        <v>45352</v>
      </c>
    </row>
    <row r="756" spans="1:16" s="8" customFormat="1" ht="12.75" customHeight="1">
      <c r="A756" s="13">
        <f t="shared" si="17"/>
        <v>737</v>
      </c>
      <c r="B756" s="23" t="s">
        <v>759</v>
      </c>
      <c r="C756" s="23" t="s">
        <v>760</v>
      </c>
      <c r="D756" s="24" t="s">
        <v>761</v>
      </c>
      <c r="E756" s="23" t="s">
        <v>13</v>
      </c>
      <c r="F756" s="31">
        <v>20</v>
      </c>
      <c r="G756" s="31">
        <v>10</v>
      </c>
      <c r="H756" s="34"/>
      <c r="I756" s="84">
        <v>1240.98</v>
      </c>
      <c r="J756" s="140"/>
      <c r="K756" s="137">
        <v>1766.34</v>
      </c>
      <c r="L756" s="35"/>
      <c r="M756" s="85"/>
      <c r="N756" s="38" t="s">
        <v>643</v>
      </c>
      <c r="O756" s="69"/>
      <c r="P756" s="66">
        <v>45689</v>
      </c>
    </row>
    <row r="757" spans="1:16" s="8" customFormat="1" ht="12.75" customHeight="1">
      <c r="A757" s="13">
        <f t="shared" si="17"/>
        <v>738</v>
      </c>
      <c r="B757" s="156" t="s">
        <v>759</v>
      </c>
      <c r="C757" s="23" t="s">
        <v>760</v>
      </c>
      <c r="D757" s="24" t="s">
        <v>761</v>
      </c>
      <c r="E757" s="23" t="s">
        <v>13</v>
      </c>
      <c r="F757" s="31">
        <v>20</v>
      </c>
      <c r="G757" s="31">
        <v>10</v>
      </c>
      <c r="H757" s="34"/>
      <c r="I757" s="84">
        <v>1379.2</v>
      </c>
      <c r="J757" s="140"/>
      <c r="K757" s="137">
        <v>1974.76</v>
      </c>
      <c r="L757" s="35"/>
      <c r="M757" s="85"/>
      <c r="N757" s="38" t="s">
        <v>643</v>
      </c>
      <c r="O757" s="69"/>
      <c r="P757" s="193">
        <v>46082</v>
      </c>
    </row>
    <row r="758" spans="1:16" s="8" customFormat="1" ht="12.75" customHeight="1">
      <c r="A758" s="13">
        <f t="shared" si="17"/>
        <v>739</v>
      </c>
      <c r="B758" s="156" t="s">
        <v>759</v>
      </c>
      <c r="C758" s="23" t="s">
        <v>760</v>
      </c>
      <c r="D758" s="24" t="s">
        <v>761</v>
      </c>
      <c r="E758" s="23" t="s">
        <v>13</v>
      </c>
      <c r="F758" s="31">
        <v>18</v>
      </c>
      <c r="G758" s="31">
        <v>12</v>
      </c>
      <c r="H758" s="34"/>
      <c r="I758" s="84">
        <v>1445.37</v>
      </c>
      <c r="J758" s="140"/>
      <c r="K758" s="137">
        <v>1776.28</v>
      </c>
      <c r="L758" s="35"/>
      <c r="M758" s="85"/>
      <c r="N758" s="38" t="s">
        <v>643</v>
      </c>
      <c r="O758" s="69"/>
      <c r="P758" s="193">
        <v>46082</v>
      </c>
    </row>
    <row r="759" spans="1:16" s="8" customFormat="1" ht="12.75" customHeight="1">
      <c r="A759" s="13">
        <f t="shared" si="17"/>
        <v>740</v>
      </c>
      <c r="B759" s="45" t="s">
        <v>841</v>
      </c>
      <c r="C759" s="23" t="s">
        <v>760</v>
      </c>
      <c r="D759" s="24" t="s">
        <v>842</v>
      </c>
      <c r="E759" s="23" t="s">
        <v>13</v>
      </c>
      <c r="F759" s="31">
        <v>20</v>
      </c>
      <c r="G759" s="31">
        <v>10</v>
      </c>
      <c r="H759" s="34"/>
      <c r="I759" s="84">
        <v>785.47</v>
      </c>
      <c r="J759" s="140"/>
      <c r="K759" s="137">
        <v>1136.52</v>
      </c>
      <c r="L759" s="35"/>
      <c r="M759" s="85"/>
      <c r="N759" s="38" t="s">
        <v>643</v>
      </c>
      <c r="O759" s="69">
        <v>610</v>
      </c>
      <c r="P759" s="66">
        <v>43617</v>
      </c>
    </row>
    <row r="760" spans="1:16" s="8" customFormat="1" ht="12.75" customHeight="1">
      <c r="A760" s="13">
        <f t="shared" si="17"/>
        <v>741</v>
      </c>
      <c r="B760" s="45" t="s">
        <v>841</v>
      </c>
      <c r="C760" s="23" t="s">
        <v>760</v>
      </c>
      <c r="D760" s="24" t="s">
        <v>842</v>
      </c>
      <c r="E760" s="23" t="s">
        <v>13</v>
      </c>
      <c r="F760" s="31">
        <v>20</v>
      </c>
      <c r="G760" s="31">
        <v>10</v>
      </c>
      <c r="H760" s="34"/>
      <c r="I760" s="84">
        <v>765.78</v>
      </c>
      <c r="J760" s="140"/>
      <c r="K760" s="137">
        <v>1097.1199999999999</v>
      </c>
      <c r="L760" s="35"/>
      <c r="M760" s="85"/>
      <c r="N760" s="38" t="s">
        <v>643</v>
      </c>
      <c r="O760" s="69"/>
      <c r="P760" s="66">
        <v>43922</v>
      </c>
    </row>
    <row r="761" spans="1:16" s="8" customFormat="1" ht="12.75" customHeight="1">
      <c r="A761" s="13">
        <f t="shared" si="17"/>
        <v>742</v>
      </c>
      <c r="B761" s="45" t="s">
        <v>841</v>
      </c>
      <c r="C761" s="23" t="s">
        <v>760</v>
      </c>
      <c r="D761" s="24" t="s">
        <v>842</v>
      </c>
      <c r="E761" s="23" t="s">
        <v>13</v>
      </c>
      <c r="F761" s="31">
        <v>20</v>
      </c>
      <c r="G761" s="31">
        <v>10</v>
      </c>
      <c r="H761" s="34"/>
      <c r="I761" s="84">
        <v>826.32</v>
      </c>
      <c r="J761" s="140"/>
      <c r="K761" s="137">
        <v>1181.83</v>
      </c>
      <c r="L761" s="35"/>
      <c r="M761" s="85"/>
      <c r="N761" s="38" t="s">
        <v>643</v>
      </c>
      <c r="O761" s="69"/>
      <c r="P761" s="66">
        <v>44562</v>
      </c>
    </row>
    <row r="762" spans="1:16" s="8" customFormat="1" ht="12.75" customHeight="1">
      <c r="A762" s="13">
        <f t="shared" si="17"/>
        <v>743</v>
      </c>
      <c r="B762" s="45" t="s">
        <v>841</v>
      </c>
      <c r="C762" s="23" t="s">
        <v>763</v>
      </c>
      <c r="D762" s="24" t="s">
        <v>842</v>
      </c>
      <c r="E762" s="23" t="s">
        <v>19</v>
      </c>
      <c r="F762" s="31">
        <v>20</v>
      </c>
      <c r="G762" s="31">
        <v>10</v>
      </c>
      <c r="H762" s="34"/>
      <c r="I762" s="84">
        <v>1616.36</v>
      </c>
      <c r="J762" s="140"/>
      <c r="K762" s="137">
        <v>2776.03</v>
      </c>
      <c r="L762" s="35"/>
      <c r="M762" s="85">
        <v>9683.1299999999992</v>
      </c>
      <c r="N762" s="38" t="s">
        <v>643</v>
      </c>
      <c r="O762" s="69">
        <v>610</v>
      </c>
      <c r="P762" s="66">
        <v>43617</v>
      </c>
    </row>
    <row r="763" spans="1:16" s="8" customFormat="1" ht="12.75" customHeight="1">
      <c r="A763" s="13">
        <f t="shared" si="17"/>
        <v>744</v>
      </c>
      <c r="B763" s="45" t="s">
        <v>841</v>
      </c>
      <c r="C763" s="23" t="s">
        <v>763</v>
      </c>
      <c r="D763" s="24" t="s">
        <v>842</v>
      </c>
      <c r="E763" s="23" t="s">
        <v>19</v>
      </c>
      <c r="F763" s="31">
        <v>20</v>
      </c>
      <c r="G763" s="31">
        <v>10</v>
      </c>
      <c r="H763" s="34"/>
      <c r="I763" s="84">
        <v>913.35</v>
      </c>
      <c r="J763" s="140"/>
      <c r="K763" s="137">
        <v>1310.33</v>
      </c>
      <c r="L763" s="35"/>
      <c r="M763" s="85"/>
      <c r="N763" s="38" t="s">
        <v>643</v>
      </c>
      <c r="O763" s="69"/>
      <c r="P763" s="66">
        <v>45078</v>
      </c>
    </row>
    <row r="764" spans="1:16" s="8" customFormat="1" ht="12.75" customHeight="1">
      <c r="A764" s="13">
        <f t="shared" si="17"/>
        <v>745</v>
      </c>
      <c r="B764" s="181" t="s">
        <v>841</v>
      </c>
      <c r="C764" s="23" t="s">
        <v>763</v>
      </c>
      <c r="D764" s="24" t="s">
        <v>842</v>
      </c>
      <c r="E764" s="23" t="s">
        <v>19</v>
      </c>
      <c r="F764" s="31">
        <v>20</v>
      </c>
      <c r="G764" s="31">
        <v>10</v>
      </c>
      <c r="H764" s="34"/>
      <c r="I764" s="84">
        <v>1050.8699999999999</v>
      </c>
      <c r="J764" s="140"/>
      <c r="K764" s="137">
        <v>1507.59</v>
      </c>
      <c r="L764" s="35"/>
      <c r="M764" s="85"/>
      <c r="N764" s="38" t="s">
        <v>643</v>
      </c>
      <c r="O764" s="69"/>
      <c r="P764" s="66">
        <v>45352</v>
      </c>
    </row>
    <row r="765" spans="1:16" s="8" customFormat="1" ht="12.75" customHeight="1">
      <c r="A765" s="13">
        <f t="shared" si="17"/>
        <v>746</v>
      </c>
      <c r="B765" s="181" t="s">
        <v>841</v>
      </c>
      <c r="C765" s="23" t="s">
        <v>763</v>
      </c>
      <c r="D765" s="24" t="s">
        <v>842</v>
      </c>
      <c r="E765" s="23" t="s">
        <v>19</v>
      </c>
      <c r="F765" s="31">
        <v>16</v>
      </c>
      <c r="G765" s="31">
        <v>14</v>
      </c>
      <c r="H765" s="34"/>
      <c r="I765" s="84">
        <v>1165.05</v>
      </c>
      <c r="J765" s="140"/>
      <c r="K765" s="137">
        <v>1246.58</v>
      </c>
      <c r="L765" s="35"/>
      <c r="M765" s="85"/>
      <c r="N765" s="38" t="s">
        <v>643</v>
      </c>
      <c r="O765" s="69"/>
      <c r="P765" s="66">
        <v>45352</v>
      </c>
    </row>
    <row r="766" spans="1:16" s="8" customFormat="1" ht="12.75" customHeight="1">
      <c r="A766" s="13">
        <f t="shared" si="17"/>
        <v>747</v>
      </c>
      <c r="B766" s="181" t="s">
        <v>841</v>
      </c>
      <c r="C766" s="23" t="s">
        <v>763</v>
      </c>
      <c r="D766" s="24" t="s">
        <v>842</v>
      </c>
      <c r="E766" s="23" t="s">
        <v>19</v>
      </c>
      <c r="F766" s="31">
        <v>20</v>
      </c>
      <c r="G766" s="31">
        <v>10</v>
      </c>
      <c r="H766" s="34"/>
      <c r="I766" s="84">
        <v>1209.95</v>
      </c>
      <c r="J766" s="140"/>
      <c r="K766" s="137">
        <v>1735.3</v>
      </c>
      <c r="L766" s="35"/>
      <c r="M766" s="85"/>
      <c r="N766" s="38" t="s">
        <v>643</v>
      </c>
      <c r="O766" s="69"/>
      <c r="P766" s="66">
        <v>45689</v>
      </c>
    </row>
    <row r="767" spans="1:16" s="8" customFormat="1" ht="12.75" customHeight="1">
      <c r="A767" s="13">
        <f t="shared" si="17"/>
        <v>748</v>
      </c>
      <c r="B767" s="181" t="s">
        <v>841</v>
      </c>
      <c r="C767" s="23" t="s">
        <v>763</v>
      </c>
      <c r="D767" s="24" t="s">
        <v>842</v>
      </c>
      <c r="E767" s="23" t="s">
        <v>19</v>
      </c>
      <c r="F767" s="31">
        <v>16</v>
      </c>
      <c r="G767" s="31">
        <v>14</v>
      </c>
      <c r="H767" s="34"/>
      <c r="I767" s="84">
        <v>1341.28</v>
      </c>
      <c r="J767" s="140"/>
      <c r="K767" s="137">
        <v>1435.11</v>
      </c>
      <c r="L767" s="35"/>
      <c r="M767" s="85"/>
      <c r="N767" s="38" t="s">
        <v>643</v>
      </c>
      <c r="O767" s="69"/>
      <c r="P767" s="66">
        <v>45689</v>
      </c>
    </row>
    <row r="768" spans="1:16" s="8" customFormat="1" ht="12.75" customHeight="1">
      <c r="A768" s="13">
        <f t="shared" si="17"/>
        <v>749</v>
      </c>
      <c r="B768" s="158" t="s">
        <v>841</v>
      </c>
      <c r="C768" s="23" t="s">
        <v>763</v>
      </c>
      <c r="D768" s="24" t="s">
        <v>842</v>
      </c>
      <c r="E768" s="23" t="s">
        <v>19</v>
      </c>
      <c r="F768" s="31">
        <v>20</v>
      </c>
      <c r="G768" s="31">
        <v>10</v>
      </c>
      <c r="H768" s="34"/>
      <c r="I768" s="84">
        <v>1345.22</v>
      </c>
      <c r="J768" s="140"/>
      <c r="K768" s="137">
        <v>1940.76</v>
      </c>
      <c r="L768" s="35"/>
      <c r="M768" s="85"/>
      <c r="N768" s="38" t="s">
        <v>643</v>
      </c>
      <c r="O768" s="69"/>
      <c r="P768" s="193">
        <v>46082</v>
      </c>
    </row>
    <row r="769" spans="1:16" s="8" customFormat="1" ht="12.75" customHeight="1">
      <c r="A769" s="13">
        <f t="shared" si="17"/>
        <v>750</v>
      </c>
      <c r="B769" s="158" t="s">
        <v>841</v>
      </c>
      <c r="C769" s="23" t="s">
        <v>763</v>
      </c>
      <c r="D769" s="24" t="s">
        <v>842</v>
      </c>
      <c r="E769" s="23" t="s">
        <v>19</v>
      </c>
      <c r="F769" s="31">
        <v>16</v>
      </c>
      <c r="G769" s="31">
        <v>14</v>
      </c>
      <c r="H769" s="34"/>
      <c r="I769" s="84">
        <v>1494.1</v>
      </c>
      <c r="J769" s="140"/>
      <c r="K769" s="137">
        <v>1600.46</v>
      </c>
      <c r="L769" s="35"/>
      <c r="M769" s="85"/>
      <c r="N769" s="38" t="s">
        <v>643</v>
      </c>
      <c r="O769" s="69"/>
      <c r="P769" s="193">
        <v>46082</v>
      </c>
    </row>
    <row r="770" spans="1:16" s="8" customFormat="1" ht="12.75" customHeight="1">
      <c r="A770" s="13">
        <f t="shared" si="17"/>
        <v>751</v>
      </c>
      <c r="B770" s="45" t="s">
        <v>843</v>
      </c>
      <c r="C770" s="23" t="s">
        <v>760</v>
      </c>
      <c r="D770" s="24" t="s">
        <v>844</v>
      </c>
      <c r="E770" s="23" t="s">
        <v>13</v>
      </c>
      <c r="F770" s="31">
        <v>20</v>
      </c>
      <c r="G770" s="31">
        <v>10</v>
      </c>
      <c r="H770" s="34"/>
      <c r="I770" s="84">
        <v>785.47</v>
      </c>
      <c r="J770" s="140"/>
      <c r="K770" s="137">
        <v>1136.52</v>
      </c>
      <c r="L770" s="35"/>
      <c r="M770" s="85"/>
      <c r="N770" s="38" t="s">
        <v>643</v>
      </c>
      <c r="O770" s="69">
        <v>610</v>
      </c>
      <c r="P770" s="66">
        <v>43617</v>
      </c>
    </row>
    <row r="771" spans="1:16" s="8" customFormat="1" ht="12.75" customHeight="1">
      <c r="A771" s="13">
        <f t="shared" si="17"/>
        <v>752</v>
      </c>
      <c r="B771" s="52" t="s">
        <v>843</v>
      </c>
      <c r="C771" s="23" t="s">
        <v>760</v>
      </c>
      <c r="D771" s="24" t="s">
        <v>844</v>
      </c>
      <c r="E771" s="23" t="s">
        <v>13</v>
      </c>
      <c r="F771" s="31">
        <v>20</v>
      </c>
      <c r="G771" s="31">
        <v>10</v>
      </c>
      <c r="H771" s="34"/>
      <c r="I771" s="84">
        <v>765.78</v>
      </c>
      <c r="J771" s="140"/>
      <c r="K771" s="137">
        <v>1097.1199999999999</v>
      </c>
      <c r="L771" s="35"/>
      <c r="M771" s="85"/>
      <c r="N771" s="38" t="s">
        <v>643</v>
      </c>
      <c r="O771" s="69"/>
      <c r="P771" s="66">
        <v>43922</v>
      </c>
    </row>
    <row r="772" spans="1:16" s="8" customFormat="1" ht="12.75" customHeight="1">
      <c r="A772" s="13">
        <f t="shared" si="17"/>
        <v>753</v>
      </c>
      <c r="B772" s="52" t="s">
        <v>843</v>
      </c>
      <c r="C772" s="23" t="s">
        <v>760</v>
      </c>
      <c r="D772" s="24" t="s">
        <v>844</v>
      </c>
      <c r="E772" s="23" t="s">
        <v>13</v>
      </c>
      <c r="F772" s="31">
        <v>20</v>
      </c>
      <c r="G772" s="31">
        <v>10</v>
      </c>
      <c r="H772" s="34"/>
      <c r="I772" s="84">
        <v>826.32</v>
      </c>
      <c r="J772" s="140"/>
      <c r="K772" s="137">
        <v>1181.83</v>
      </c>
      <c r="L772" s="35"/>
      <c r="M772" s="85"/>
      <c r="N772" s="38" t="s">
        <v>643</v>
      </c>
      <c r="O772" s="69"/>
      <c r="P772" s="66">
        <v>44562</v>
      </c>
    </row>
    <row r="773" spans="1:16" s="8" customFormat="1" ht="12.75" customHeight="1">
      <c r="A773" s="13">
        <f t="shared" si="17"/>
        <v>754</v>
      </c>
      <c r="B773" s="52" t="s">
        <v>843</v>
      </c>
      <c r="C773" s="23" t="s">
        <v>760</v>
      </c>
      <c r="D773" s="24" t="s">
        <v>844</v>
      </c>
      <c r="E773" s="23" t="s">
        <v>13</v>
      </c>
      <c r="F773" s="31">
        <v>20</v>
      </c>
      <c r="G773" s="31">
        <v>10</v>
      </c>
      <c r="H773" s="34"/>
      <c r="I773" s="84">
        <v>913.35</v>
      </c>
      <c r="J773" s="140"/>
      <c r="K773" s="137">
        <v>1310.33</v>
      </c>
      <c r="L773" s="35"/>
      <c r="M773" s="85"/>
      <c r="N773" s="38" t="s">
        <v>643</v>
      </c>
      <c r="O773" s="69"/>
      <c r="P773" s="66">
        <v>45078</v>
      </c>
    </row>
    <row r="774" spans="1:16" s="8" customFormat="1" ht="12.75" customHeight="1">
      <c r="A774" s="13">
        <f t="shared" si="17"/>
        <v>755</v>
      </c>
      <c r="B774" s="181" t="s">
        <v>843</v>
      </c>
      <c r="C774" s="23" t="s">
        <v>760</v>
      </c>
      <c r="D774" s="24" t="s">
        <v>844</v>
      </c>
      <c r="E774" s="23" t="s">
        <v>13</v>
      </c>
      <c r="F774" s="31">
        <v>20</v>
      </c>
      <c r="G774" s="31">
        <v>10</v>
      </c>
      <c r="H774" s="34"/>
      <c r="I774" s="84">
        <v>1050.8699999999999</v>
      </c>
      <c r="J774" s="140"/>
      <c r="K774" s="137">
        <v>1507.59</v>
      </c>
      <c r="L774" s="35"/>
      <c r="M774" s="85"/>
      <c r="N774" s="38" t="s">
        <v>643</v>
      </c>
      <c r="O774" s="69"/>
      <c r="P774" s="66">
        <v>45352</v>
      </c>
    </row>
    <row r="775" spans="1:16" s="8" customFormat="1" ht="12.75" customHeight="1">
      <c r="A775" s="13">
        <f t="shared" si="17"/>
        <v>756</v>
      </c>
      <c r="B775" s="181" t="s">
        <v>843</v>
      </c>
      <c r="C775" s="23" t="s">
        <v>760</v>
      </c>
      <c r="D775" s="24" t="s">
        <v>844</v>
      </c>
      <c r="E775" s="23" t="s">
        <v>13</v>
      </c>
      <c r="F775" s="31">
        <v>16</v>
      </c>
      <c r="G775" s="31">
        <v>14</v>
      </c>
      <c r="H775" s="34"/>
      <c r="I775" s="84">
        <v>1165.05</v>
      </c>
      <c r="J775" s="140"/>
      <c r="K775" s="137">
        <v>1246.58</v>
      </c>
      <c r="L775" s="35"/>
      <c r="M775" s="85"/>
      <c r="N775" s="38" t="s">
        <v>643</v>
      </c>
      <c r="O775" s="69"/>
      <c r="P775" s="66">
        <v>45352</v>
      </c>
    </row>
    <row r="776" spans="1:16" s="8" customFormat="1" ht="12.75" customHeight="1">
      <c r="A776" s="13">
        <f t="shared" si="17"/>
        <v>757</v>
      </c>
      <c r="B776" s="181" t="s">
        <v>843</v>
      </c>
      <c r="C776" s="23" t="s">
        <v>760</v>
      </c>
      <c r="D776" s="24" t="s">
        <v>844</v>
      </c>
      <c r="E776" s="23" t="s">
        <v>13</v>
      </c>
      <c r="F776" s="31">
        <v>20</v>
      </c>
      <c r="G776" s="31">
        <v>10</v>
      </c>
      <c r="H776" s="34"/>
      <c r="I776" s="84">
        <v>1209.95</v>
      </c>
      <c r="J776" s="140"/>
      <c r="K776" s="137">
        <v>1735.3</v>
      </c>
      <c r="L776" s="35"/>
      <c r="M776" s="85"/>
      <c r="N776" s="38" t="s">
        <v>643</v>
      </c>
      <c r="O776" s="69"/>
      <c r="P776" s="66">
        <v>45689</v>
      </c>
    </row>
    <row r="777" spans="1:16" s="8" customFormat="1" ht="12.75" customHeight="1">
      <c r="A777" s="13">
        <f t="shared" si="17"/>
        <v>758</v>
      </c>
      <c r="B777" s="181" t="s">
        <v>843</v>
      </c>
      <c r="C777" s="23" t="s">
        <v>760</v>
      </c>
      <c r="D777" s="24" t="s">
        <v>844</v>
      </c>
      <c r="E777" s="23" t="s">
        <v>13</v>
      </c>
      <c r="F777" s="31">
        <v>16</v>
      </c>
      <c r="G777" s="31">
        <v>14</v>
      </c>
      <c r="H777" s="34"/>
      <c r="I777" s="84">
        <v>1341.28</v>
      </c>
      <c r="J777" s="140"/>
      <c r="K777" s="137">
        <v>1435.11</v>
      </c>
      <c r="L777" s="35"/>
      <c r="M777" s="85"/>
      <c r="N777" s="38" t="s">
        <v>643</v>
      </c>
      <c r="O777" s="69"/>
      <c r="P777" s="66">
        <v>45689</v>
      </c>
    </row>
    <row r="778" spans="1:16" s="8" customFormat="1" ht="12.75" customHeight="1">
      <c r="A778" s="13">
        <f t="shared" si="17"/>
        <v>759</v>
      </c>
      <c r="B778" s="158" t="s">
        <v>843</v>
      </c>
      <c r="C778" s="23" t="s">
        <v>760</v>
      </c>
      <c r="D778" s="24" t="s">
        <v>844</v>
      </c>
      <c r="E778" s="23" t="s">
        <v>13</v>
      </c>
      <c r="F778" s="31">
        <v>20</v>
      </c>
      <c r="G778" s="31">
        <v>10</v>
      </c>
      <c r="H778" s="34"/>
      <c r="I778" s="84">
        <v>1345.22</v>
      </c>
      <c r="J778" s="140"/>
      <c r="K778" s="137">
        <v>1940.76</v>
      </c>
      <c r="L778" s="35"/>
      <c r="M778" s="85"/>
      <c r="N778" s="38" t="s">
        <v>643</v>
      </c>
      <c r="O778" s="69"/>
      <c r="P778" s="193">
        <v>46082</v>
      </c>
    </row>
    <row r="779" spans="1:16" s="8" customFormat="1" ht="12.75" customHeight="1">
      <c r="A779" s="13">
        <f t="shared" si="17"/>
        <v>760</v>
      </c>
      <c r="B779" s="158" t="s">
        <v>843</v>
      </c>
      <c r="C779" s="23" t="s">
        <v>760</v>
      </c>
      <c r="D779" s="24" t="s">
        <v>844</v>
      </c>
      <c r="E779" s="23" t="s">
        <v>13</v>
      </c>
      <c r="F779" s="31">
        <v>16</v>
      </c>
      <c r="G779" s="31">
        <v>14</v>
      </c>
      <c r="H779" s="34"/>
      <c r="I779" s="84">
        <v>1494.1</v>
      </c>
      <c r="J779" s="140"/>
      <c r="K779" s="137">
        <v>1600.46</v>
      </c>
      <c r="L779" s="35"/>
      <c r="M779" s="85"/>
      <c r="N779" s="38" t="s">
        <v>643</v>
      </c>
      <c r="O779" s="69"/>
      <c r="P779" s="193">
        <v>46082</v>
      </c>
    </row>
    <row r="780" spans="1:16" s="8" customFormat="1" ht="12.75" customHeight="1">
      <c r="A780" s="13">
        <f t="shared" si="17"/>
        <v>761</v>
      </c>
      <c r="B780" s="45" t="s">
        <v>892</v>
      </c>
      <c r="C780" s="23" t="s">
        <v>763</v>
      </c>
      <c r="D780" s="24" t="s">
        <v>844</v>
      </c>
      <c r="E780" s="23" t="s">
        <v>19</v>
      </c>
      <c r="F780" s="31">
        <v>20</v>
      </c>
      <c r="G780" s="31">
        <v>10</v>
      </c>
      <c r="H780" s="34"/>
      <c r="I780" s="84">
        <v>1616.36</v>
      </c>
      <c r="J780" s="140"/>
      <c r="K780" s="137">
        <v>2776.03</v>
      </c>
      <c r="L780" s="35"/>
      <c r="M780" s="85">
        <v>9683.1299999999992</v>
      </c>
      <c r="N780" s="38" t="s">
        <v>643</v>
      </c>
      <c r="O780" s="69">
        <v>610</v>
      </c>
      <c r="P780" s="66">
        <v>43617</v>
      </c>
    </row>
    <row r="781" spans="1:16" s="8" customFormat="1" ht="12.75" customHeight="1">
      <c r="A781" s="13">
        <f t="shared" si="17"/>
        <v>762</v>
      </c>
      <c r="B781" s="52" t="s">
        <v>892</v>
      </c>
      <c r="C781" s="23" t="s">
        <v>763</v>
      </c>
      <c r="D781" s="24" t="s">
        <v>844</v>
      </c>
      <c r="E781" s="23" t="s">
        <v>19</v>
      </c>
      <c r="F781" s="27">
        <v>20</v>
      </c>
      <c r="G781" s="27">
        <v>10</v>
      </c>
      <c r="H781" s="34"/>
      <c r="I781" s="84">
        <v>1597.22</v>
      </c>
      <c r="J781" s="136"/>
      <c r="K781" s="118">
        <v>2737.71</v>
      </c>
      <c r="L781" s="35"/>
      <c r="M781" s="85"/>
      <c r="N781" s="38" t="s">
        <v>643</v>
      </c>
      <c r="O781" s="69"/>
      <c r="P781" s="66">
        <v>43922</v>
      </c>
    </row>
    <row r="782" spans="1:16" s="8" customFormat="1" ht="12.75" customHeight="1">
      <c r="A782" s="13">
        <f t="shared" si="17"/>
        <v>763</v>
      </c>
      <c r="B782" s="45" t="s">
        <v>892</v>
      </c>
      <c r="C782" s="23" t="s">
        <v>763</v>
      </c>
      <c r="D782" s="24" t="s">
        <v>844</v>
      </c>
      <c r="E782" s="23" t="s">
        <v>19</v>
      </c>
      <c r="F782" s="31">
        <v>20</v>
      </c>
      <c r="G782" s="31">
        <v>10</v>
      </c>
      <c r="H782" s="34"/>
      <c r="I782" s="84">
        <v>1251.94</v>
      </c>
      <c r="J782" s="140"/>
      <c r="K782" s="137">
        <v>2023.52</v>
      </c>
      <c r="L782" s="35"/>
      <c r="M782" s="85"/>
      <c r="N782" s="38" t="s">
        <v>643</v>
      </c>
      <c r="O782" s="69"/>
      <c r="P782" s="66">
        <v>45078</v>
      </c>
    </row>
    <row r="783" spans="1:16" s="8" customFormat="1" ht="12.75" customHeight="1">
      <c r="A783" s="13">
        <f t="shared" si="17"/>
        <v>764</v>
      </c>
      <c r="B783" s="45" t="s">
        <v>1032</v>
      </c>
      <c r="C783" s="23" t="s">
        <v>763</v>
      </c>
      <c r="D783" s="24" t="s">
        <v>844</v>
      </c>
      <c r="E783" s="23" t="s">
        <v>19</v>
      </c>
      <c r="F783" s="31" t="s">
        <v>977</v>
      </c>
      <c r="G783" s="31"/>
      <c r="H783" s="34"/>
      <c r="I783" s="84">
        <v>52025.2</v>
      </c>
      <c r="J783" s="140"/>
      <c r="K783" s="137"/>
      <c r="L783" s="35"/>
      <c r="M783" s="85"/>
      <c r="N783" s="38" t="s">
        <v>643</v>
      </c>
      <c r="O783" s="69"/>
      <c r="P783" s="66">
        <v>45078</v>
      </c>
    </row>
    <row r="784" spans="1:16" s="8" customFormat="1" ht="12.75" customHeight="1">
      <c r="A784" s="13">
        <f t="shared" si="17"/>
        <v>765</v>
      </c>
      <c r="B784" s="158" t="s">
        <v>892</v>
      </c>
      <c r="C784" s="23" t="s">
        <v>763</v>
      </c>
      <c r="D784" s="24" t="s">
        <v>844</v>
      </c>
      <c r="E784" s="23" t="s">
        <v>19</v>
      </c>
      <c r="F784" s="31">
        <v>20</v>
      </c>
      <c r="G784" s="31">
        <v>10</v>
      </c>
      <c r="H784" s="34"/>
      <c r="I784" s="84">
        <v>1819.99</v>
      </c>
      <c r="J784" s="140"/>
      <c r="K784" s="137">
        <v>2942.35</v>
      </c>
      <c r="L784" s="35"/>
      <c r="M784" s="85">
        <v>22447.41</v>
      </c>
      <c r="N784" s="38" t="s">
        <v>643</v>
      </c>
      <c r="O784" s="69"/>
      <c r="P784" s="193">
        <v>46082</v>
      </c>
    </row>
    <row r="785" spans="1:16" s="8" customFormat="1" ht="12.75" customHeight="1">
      <c r="A785" s="13">
        <f t="shared" si="17"/>
        <v>766</v>
      </c>
      <c r="B785" s="158" t="s">
        <v>892</v>
      </c>
      <c r="C785" s="23" t="s">
        <v>763</v>
      </c>
      <c r="D785" s="24" t="s">
        <v>844</v>
      </c>
      <c r="E785" s="23" t="s">
        <v>19</v>
      </c>
      <c r="F785" s="31">
        <v>19</v>
      </c>
      <c r="G785" s="31">
        <v>11</v>
      </c>
      <c r="H785" s="34"/>
      <c r="I785" s="84">
        <v>1879.04</v>
      </c>
      <c r="J785" s="140"/>
      <c r="K785" s="137">
        <v>2738.29</v>
      </c>
      <c r="L785" s="35"/>
      <c r="M785" s="85"/>
      <c r="N785" s="38" t="s">
        <v>643</v>
      </c>
      <c r="O785" s="69"/>
      <c r="P785" s="193">
        <v>46082</v>
      </c>
    </row>
    <row r="786" spans="1:16" s="8" customFormat="1" ht="12.75" customHeight="1">
      <c r="A786" s="13">
        <f t="shared" si="17"/>
        <v>767</v>
      </c>
      <c r="B786" s="158" t="s">
        <v>892</v>
      </c>
      <c r="C786" s="23" t="s">
        <v>763</v>
      </c>
      <c r="D786" s="24" t="s">
        <v>844</v>
      </c>
      <c r="E786" s="23" t="s">
        <v>19</v>
      </c>
      <c r="F786" s="31">
        <v>18</v>
      </c>
      <c r="G786" s="31">
        <v>12</v>
      </c>
      <c r="H786" s="34"/>
      <c r="I786" s="84">
        <v>1944.66</v>
      </c>
      <c r="J786" s="140"/>
      <c r="K786" s="137">
        <v>2568.23</v>
      </c>
      <c r="L786" s="35"/>
      <c r="M786" s="85"/>
      <c r="N786" s="38" t="s">
        <v>643</v>
      </c>
      <c r="O786" s="69"/>
      <c r="P786" s="193">
        <v>46082</v>
      </c>
    </row>
    <row r="787" spans="1:16" s="8" customFormat="1" ht="12.75" customHeight="1">
      <c r="A787" s="13">
        <f t="shared" si="17"/>
        <v>768</v>
      </c>
      <c r="B787" s="158" t="s">
        <v>892</v>
      </c>
      <c r="C787" s="23" t="s">
        <v>763</v>
      </c>
      <c r="D787" s="24" t="s">
        <v>844</v>
      </c>
      <c r="E787" s="23" t="s">
        <v>19</v>
      </c>
      <c r="F787" s="31">
        <v>17</v>
      </c>
      <c r="G787" s="31">
        <v>13</v>
      </c>
      <c r="H787" s="34"/>
      <c r="I787" s="84">
        <v>2018.03</v>
      </c>
      <c r="J787" s="140"/>
      <c r="K787" s="137">
        <v>2424.35</v>
      </c>
      <c r="L787" s="35"/>
      <c r="M787" s="85"/>
      <c r="N787" s="38" t="s">
        <v>643</v>
      </c>
      <c r="O787" s="69"/>
      <c r="P787" s="193">
        <v>46082</v>
      </c>
    </row>
    <row r="788" spans="1:16" s="8" customFormat="1" ht="12.75" customHeight="1">
      <c r="A788" s="13">
        <f t="shared" si="17"/>
        <v>769</v>
      </c>
      <c r="B788" s="158" t="s">
        <v>892</v>
      </c>
      <c r="C788" s="23" t="s">
        <v>763</v>
      </c>
      <c r="D788" s="24" t="s">
        <v>844</v>
      </c>
      <c r="E788" s="23" t="s">
        <v>19</v>
      </c>
      <c r="F788" s="31">
        <v>16</v>
      </c>
      <c r="G788" s="31">
        <v>14</v>
      </c>
      <c r="H788" s="34"/>
      <c r="I788" s="84">
        <v>2100.58</v>
      </c>
      <c r="J788" s="140"/>
      <c r="K788" s="137">
        <v>2300.9899999999998</v>
      </c>
      <c r="L788" s="35"/>
      <c r="M788" s="85"/>
      <c r="N788" s="38" t="s">
        <v>643</v>
      </c>
      <c r="O788" s="69"/>
      <c r="P788" s="193">
        <v>46082</v>
      </c>
    </row>
    <row r="789" spans="1:16" s="8" customFormat="1" ht="12.75" customHeight="1">
      <c r="A789" s="13">
        <f t="shared" si="17"/>
        <v>770</v>
      </c>
      <c r="B789" s="158" t="s">
        <v>892</v>
      </c>
      <c r="C789" s="23" t="s">
        <v>763</v>
      </c>
      <c r="D789" s="24" t="s">
        <v>844</v>
      </c>
      <c r="E789" s="23" t="s">
        <v>19</v>
      </c>
      <c r="F789" s="31">
        <v>15</v>
      </c>
      <c r="G789" s="31"/>
      <c r="H789" s="34"/>
      <c r="I789" s="84">
        <v>2194.11</v>
      </c>
      <c r="J789" s="140"/>
      <c r="K789" s="137"/>
      <c r="L789" s="35"/>
      <c r="M789" s="85"/>
      <c r="N789" s="38" t="s">
        <v>643</v>
      </c>
      <c r="O789" s="69"/>
      <c r="P789" s="193">
        <v>46082</v>
      </c>
    </row>
    <row r="790" spans="1:16" s="8" customFormat="1" ht="12.75" customHeight="1">
      <c r="A790" s="13">
        <f t="shared" si="17"/>
        <v>771</v>
      </c>
      <c r="B790" s="158" t="s">
        <v>1032</v>
      </c>
      <c r="C790" s="23" t="s">
        <v>763</v>
      </c>
      <c r="D790" s="24" t="s">
        <v>844</v>
      </c>
      <c r="E790" s="23" t="s">
        <v>19</v>
      </c>
      <c r="F790" s="31" t="s">
        <v>977</v>
      </c>
      <c r="G790" s="31"/>
      <c r="H790" s="34"/>
      <c r="I790" s="84">
        <v>107063.32</v>
      </c>
      <c r="J790" s="140"/>
      <c r="K790" s="137"/>
      <c r="L790" s="35"/>
      <c r="M790" s="85"/>
      <c r="N790" s="38" t="s">
        <v>643</v>
      </c>
      <c r="O790" s="69"/>
      <c r="P790" s="193">
        <v>46082</v>
      </c>
    </row>
    <row r="791" spans="1:16" s="8" customFormat="1" ht="12.75" customHeight="1">
      <c r="A791" s="13">
        <f t="shared" si="17"/>
        <v>772</v>
      </c>
      <c r="B791" s="52" t="s">
        <v>762</v>
      </c>
      <c r="C791" s="23" t="s">
        <v>763</v>
      </c>
      <c r="D791" s="24" t="s">
        <v>761</v>
      </c>
      <c r="E791" s="23" t="s">
        <v>19</v>
      </c>
      <c r="F791" s="31">
        <v>20</v>
      </c>
      <c r="G791" s="31">
        <v>10</v>
      </c>
      <c r="H791" s="34">
        <v>1684.03</v>
      </c>
      <c r="I791" s="84">
        <v>1688.5</v>
      </c>
      <c r="J791" s="140">
        <v>2839.2</v>
      </c>
      <c r="K791" s="137">
        <v>2848.17</v>
      </c>
      <c r="L791" s="35">
        <v>9593.42</v>
      </c>
      <c r="M791" s="85">
        <v>9683.1299999999992</v>
      </c>
      <c r="N791" s="38" t="s">
        <v>643</v>
      </c>
      <c r="O791" s="69">
        <v>610</v>
      </c>
      <c r="P791" s="66">
        <v>43617</v>
      </c>
    </row>
    <row r="792" spans="1:16" s="8" customFormat="1" ht="12.75" customHeight="1">
      <c r="A792" s="13">
        <f t="shared" si="17"/>
        <v>773</v>
      </c>
      <c r="B792" s="52" t="s">
        <v>762</v>
      </c>
      <c r="C792" s="23" t="s">
        <v>763</v>
      </c>
      <c r="D792" s="24" t="s">
        <v>761</v>
      </c>
      <c r="E792" s="23" t="s">
        <v>19</v>
      </c>
      <c r="F792" s="31">
        <v>20</v>
      </c>
      <c r="G792" s="31">
        <v>10</v>
      </c>
      <c r="H792" s="34"/>
      <c r="I792" s="84">
        <v>1622.08</v>
      </c>
      <c r="J792" s="140"/>
      <c r="K792" s="137">
        <v>2762.56</v>
      </c>
      <c r="L792" s="35"/>
      <c r="M792" s="85"/>
      <c r="N792" s="38" t="s">
        <v>643</v>
      </c>
      <c r="O792" s="69"/>
      <c r="P792" s="66">
        <v>43922</v>
      </c>
    </row>
    <row r="793" spans="1:16" s="8" customFormat="1" ht="12.75" customHeight="1">
      <c r="A793" s="13">
        <f t="shared" si="17"/>
        <v>774</v>
      </c>
      <c r="B793" s="45" t="s">
        <v>762</v>
      </c>
      <c r="C793" s="23" t="s">
        <v>763</v>
      </c>
      <c r="D793" s="24" t="s">
        <v>761</v>
      </c>
      <c r="E793" s="23" t="s">
        <v>19</v>
      </c>
      <c r="F793" s="31">
        <v>20</v>
      </c>
      <c r="G793" s="31">
        <v>10</v>
      </c>
      <c r="H793" s="34"/>
      <c r="I793" s="84">
        <v>1154.47</v>
      </c>
      <c r="J793" s="140"/>
      <c r="K793" s="137">
        <v>1850.17</v>
      </c>
      <c r="L793" s="35"/>
      <c r="M793" s="85">
        <v>13913.82</v>
      </c>
      <c r="N793" s="38" t="s">
        <v>643</v>
      </c>
      <c r="O793" s="69"/>
      <c r="P793" s="66">
        <v>44562</v>
      </c>
    </row>
    <row r="794" spans="1:16" s="8" customFormat="1" ht="12.75" customHeight="1">
      <c r="A794" s="13">
        <f t="shared" si="17"/>
        <v>775</v>
      </c>
      <c r="B794" s="45" t="s">
        <v>1034</v>
      </c>
      <c r="C794" s="23" t="s">
        <v>763</v>
      </c>
      <c r="D794" s="24" t="s">
        <v>761</v>
      </c>
      <c r="E794" s="23" t="s">
        <v>19</v>
      </c>
      <c r="F794" s="31" t="s">
        <v>977</v>
      </c>
      <c r="G794" s="31"/>
      <c r="H794" s="34"/>
      <c r="I794" s="84">
        <v>51488.77</v>
      </c>
      <c r="J794" s="140"/>
      <c r="K794" s="137"/>
      <c r="L794" s="35"/>
      <c r="M794" s="85"/>
      <c r="N794" s="38" t="s">
        <v>643</v>
      </c>
      <c r="O794" s="69"/>
      <c r="P794" s="66">
        <v>44562</v>
      </c>
    </row>
    <row r="795" spans="1:16" s="8" customFormat="1" ht="15" customHeight="1">
      <c r="A795" s="13">
        <f t="shared" si="17"/>
        <v>776</v>
      </c>
      <c r="B795" s="45" t="s">
        <v>762</v>
      </c>
      <c r="C795" s="23" t="s">
        <v>763</v>
      </c>
      <c r="D795" s="24" t="s">
        <v>761</v>
      </c>
      <c r="E795" s="23" t="s">
        <v>19</v>
      </c>
      <c r="F795" s="31">
        <v>20</v>
      </c>
      <c r="G795" s="31">
        <v>10</v>
      </c>
      <c r="H795" s="34"/>
      <c r="I795" s="84">
        <v>1275.5899999999999</v>
      </c>
      <c r="J795" s="140"/>
      <c r="K795" s="137">
        <v>2047.16</v>
      </c>
      <c r="L795" s="35"/>
      <c r="M795" s="85"/>
      <c r="N795" s="38" t="s">
        <v>643</v>
      </c>
      <c r="O795" s="69"/>
      <c r="P795" s="66">
        <v>45292</v>
      </c>
    </row>
    <row r="796" spans="1:16" s="8" customFormat="1" ht="12.75" customHeight="1">
      <c r="A796" s="13">
        <f t="shared" si="17"/>
        <v>777</v>
      </c>
      <c r="B796" s="45" t="s">
        <v>1034</v>
      </c>
      <c r="C796" s="23" t="s">
        <v>763</v>
      </c>
      <c r="D796" s="24" t="s">
        <v>761</v>
      </c>
      <c r="E796" s="23" t="s">
        <v>19</v>
      </c>
      <c r="F796" s="31" t="s">
        <v>977</v>
      </c>
      <c r="G796" s="31"/>
      <c r="H796" s="34"/>
      <c r="I796" s="84">
        <v>52025.2</v>
      </c>
      <c r="J796" s="140"/>
      <c r="K796" s="137"/>
      <c r="L796" s="35"/>
      <c r="M796" s="85"/>
      <c r="N796" s="38" t="s">
        <v>643</v>
      </c>
      <c r="O796" s="69"/>
      <c r="P796" s="66">
        <v>45292</v>
      </c>
    </row>
    <row r="797" spans="1:16" s="8" customFormat="1" ht="12.75" customHeight="1">
      <c r="A797" s="13">
        <f t="shared" si="17"/>
        <v>778</v>
      </c>
      <c r="B797" s="45" t="s">
        <v>762</v>
      </c>
      <c r="C797" s="23" t="s">
        <v>763</v>
      </c>
      <c r="D797" s="24" t="s">
        <v>761</v>
      </c>
      <c r="E797" s="23" t="s">
        <v>19</v>
      </c>
      <c r="F797" s="31">
        <v>20</v>
      </c>
      <c r="G797" s="31">
        <v>10</v>
      </c>
      <c r="H797" s="34"/>
      <c r="I797" s="84">
        <v>1468.62</v>
      </c>
      <c r="J797" s="140"/>
      <c r="K797" s="137">
        <v>2356.38</v>
      </c>
      <c r="L797" s="35"/>
      <c r="M797" s="85">
        <v>17755.28</v>
      </c>
      <c r="N797" s="38" t="s">
        <v>643</v>
      </c>
      <c r="O797" s="69"/>
      <c r="P797" s="66">
        <v>45352</v>
      </c>
    </row>
    <row r="798" spans="1:16" s="8" customFormat="1" ht="12.75" customHeight="1">
      <c r="A798" s="13">
        <f t="shared" si="17"/>
        <v>779</v>
      </c>
      <c r="B798" s="45" t="s">
        <v>762</v>
      </c>
      <c r="C798" s="23" t="s">
        <v>763</v>
      </c>
      <c r="D798" s="24" t="s">
        <v>761</v>
      </c>
      <c r="E798" s="23" t="s">
        <v>19</v>
      </c>
      <c r="F798" s="31">
        <v>19</v>
      </c>
      <c r="G798" s="31">
        <v>11</v>
      </c>
      <c r="H798" s="34"/>
      <c r="I798" s="84">
        <v>1515.33</v>
      </c>
      <c r="J798" s="140"/>
      <c r="K798" s="137">
        <v>2194.9499999999998</v>
      </c>
      <c r="L798" s="35"/>
      <c r="M798" s="85"/>
      <c r="N798" s="38" t="s">
        <v>643</v>
      </c>
      <c r="O798" s="69"/>
      <c r="P798" s="66">
        <v>45352</v>
      </c>
    </row>
    <row r="799" spans="1:16" s="8" customFormat="1" ht="12.75" customHeight="1">
      <c r="A799" s="13">
        <f t="shared" si="17"/>
        <v>780</v>
      </c>
      <c r="B799" s="45" t="s">
        <v>762</v>
      </c>
      <c r="C799" s="23" t="s">
        <v>763</v>
      </c>
      <c r="D799" s="24" t="s">
        <v>761</v>
      </c>
      <c r="E799" s="23" t="s">
        <v>19</v>
      </c>
      <c r="F799" s="31">
        <v>18</v>
      </c>
      <c r="G799" s="31">
        <v>12</v>
      </c>
      <c r="H799" s="34"/>
      <c r="I799" s="84">
        <v>1567.25</v>
      </c>
      <c r="J799" s="140"/>
      <c r="K799" s="137">
        <v>2060.4499999999998</v>
      </c>
      <c r="L799" s="35"/>
      <c r="M799" s="85"/>
      <c r="N799" s="38" t="s">
        <v>643</v>
      </c>
      <c r="O799" s="69"/>
      <c r="P799" s="66">
        <v>45352</v>
      </c>
    </row>
    <row r="800" spans="1:16" s="8" customFormat="1" ht="12.75" customHeight="1">
      <c r="A800" s="13">
        <f t="shared" si="17"/>
        <v>781</v>
      </c>
      <c r="B800" s="45" t="s">
        <v>762</v>
      </c>
      <c r="C800" s="23" t="s">
        <v>763</v>
      </c>
      <c r="D800" s="24" t="s">
        <v>761</v>
      </c>
      <c r="E800" s="23" t="s">
        <v>19</v>
      </c>
      <c r="F800" s="31">
        <v>17</v>
      </c>
      <c r="G800" s="31">
        <v>13</v>
      </c>
      <c r="H800" s="34"/>
      <c r="I800" s="84">
        <v>1625.28</v>
      </c>
      <c r="J800" s="140"/>
      <c r="K800" s="137">
        <v>1946.64</v>
      </c>
      <c r="L800" s="35"/>
      <c r="M800" s="85"/>
      <c r="N800" s="38" t="s">
        <v>643</v>
      </c>
      <c r="O800" s="69"/>
      <c r="P800" s="66">
        <v>45352</v>
      </c>
    </row>
    <row r="801" spans="1:16" s="8" customFormat="1" ht="12.75" customHeight="1">
      <c r="A801" s="13">
        <f t="shared" si="17"/>
        <v>782</v>
      </c>
      <c r="B801" s="45" t="s">
        <v>762</v>
      </c>
      <c r="C801" s="23" t="s">
        <v>763</v>
      </c>
      <c r="D801" s="24" t="s">
        <v>761</v>
      </c>
      <c r="E801" s="23" t="s">
        <v>19</v>
      </c>
      <c r="F801" s="31">
        <v>16</v>
      </c>
      <c r="G801" s="31">
        <v>14</v>
      </c>
      <c r="H801" s="34"/>
      <c r="I801" s="84">
        <v>1690.58</v>
      </c>
      <c r="J801" s="140"/>
      <c r="K801" s="137">
        <v>1849.06</v>
      </c>
      <c r="L801" s="35"/>
      <c r="M801" s="85"/>
      <c r="N801" s="38" t="s">
        <v>643</v>
      </c>
      <c r="O801" s="69"/>
      <c r="P801" s="66">
        <v>45352</v>
      </c>
    </row>
    <row r="802" spans="1:16" s="8" customFormat="1" ht="12.75" customHeight="1">
      <c r="A802" s="13">
        <f t="shared" si="17"/>
        <v>783</v>
      </c>
      <c r="B802" s="45" t="s">
        <v>762</v>
      </c>
      <c r="C802" s="23" t="s">
        <v>763</v>
      </c>
      <c r="D802" s="24" t="s">
        <v>761</v>
      </c>
      <c r="E802" s="23" t="s">
        <v>19</v>
      </c>
      <c r="F802" s="31">
        <v>15</v>
      </c>
      <c r="G802" s="31"/>
      <c r="H802" s="34"/>
      <c r="I802" s="84">
        <v>1764.55</v>
      </c>
      <c r="J802" s="140"/>
      <c r="K802" s="137"/>
      <c r="L802" s="35"/>
      <c r="M802" s="85"/>
      <c r="N802" s="38" t="s">
        <v>643</v>
      </c>
      <c r="O802" s="69"/>
      <c r="P802" s="66">
        <v>45352</v>
      </c>
    </row>
    <row r="803" spans="1:16" s="8" customFormat="1" ht="12.75" customHeight="1">
      <c r="A803" s="13">
        <f t="shared" si="17"/>
        <v>784</v>
      </c>
      <c r="B803" s="45" t="s">
        <v>762</v>
      </c>
      <c r="C803" s="23" t="s">
        <v>763</v>
      </c>
      <c r="D803" s="24" t="s">
        <v>761</v>
      </c>
      <c r="E803" s="23" t="s">
        <v>19</v>
      </c>
      <c r="F803" s="31">
        <v>20</v>
      </c>
      <c r="G803" s="31">
        <v>10</v>
      </c>
      <c r="H803" s="34"/>
      <c r="I803" s="84">
        <v>1689.5</v>
      </c>
      <c r="J803" s="140"/>
      <c r="K803" s="137">
        <v>2710.94</v>
      </c>
      <c r="L803" s="35"/>
      <c r="M803" s="85">
        <v>20428.93</v>
      </c>
      <c r="N803" s="38" t="s">
        <v>643</v>
      </c>
      <c r="O803" s="69"/>
      <c r="P803" s="66">
        <v>45689</v>
      </c>
    </row>
    <row r="804" spans="1:16" s="8" customFormat="1" ht="12.75" customHeight="1">
      <c r="A804" s="13">
        <f t="shared" si="17"/>
        <v>785</v>
      </c>
      <c r="B804" s="45" t="s">
        <v>762</v>
      </c>
      <c r="C804" s="23" t="s">
        <v>763</v>
      </c>
      <c r="D804" s="24" t="s">
        <v>761</v>
      </c>
      <c r="E804" s="23" t="s">
        <v>19</v>
      </c>
      <c r="F804" s="31">
        <v>19</v>
      </c>
      <c r="G804" s="31">
        <v>11</v>
      </c>
      <c r="H804" s="34"/>
      <c r="I804" s="84">
        <v>1743.28</v>
      </c>
      <c r="J804" s="140"/>
      <c r="K804" s="137">
        <v>2525.23</v>
      </c>
      <c r="L804" s="35"/>
      <c r="M804" s="85"/>
      <c r="N804" s="38" t="s">
        <v>643</v>
      </c>
      <c r="O804" s="69"/>
      <c r="P804" s="66">
        <v>45689</v>
      </c>
    </row>
    <row r="805" spans="1:16" s="8" customFormat="1" ht="12.75" customHeight="1">
      <c r="A805" s="13">
        <f t="shared" si="17"/>
        <v>786</v>
      </c>
      <c r="B805" s="45" t="s">
        <v>762</v>
      </c>
      <c r="C805" s="23" t="s">
        <v>763</v>
      </c>
      <c r="D805" s="24" t="s">
        <v>761</v>
      </c>
      <c r="E805" s="23" t="s">
        <v>19</v>
      </c>
      <c r="F805" s="31">
        <v>18</v>
      </c>
      <c r="G805" s="31">
        <v>12</v>
      </c>
      <c r="H805" s="34"/>
      <c r="I805" s="84">
        <v>1802.98</v>
      </c>
      <c r="J805" s="140"/>
      <c r="K805" s="137">
        <v>2370.46</v>
      </c>
      <c r="L805" s="35"/>
      <c r="M805" s="85"/>
      <c r="N805" s="38" t="s">
        <v>643</v>
      </c>
      <c r="O805" s="69"/>
      <c r="P805" s="66">
        <v>45689</v>
      </c>
    </row>
    <row r="806" spans="1:16" s="8" customFormat="1" ht="12.75" customHeight="1">
      <c r="A806" s="13">
        <f t="shared" si="17"/>
        <v>787</v>
      </c>
      <c r="B806" s="45" t="s">
        <v>762</v>
      </c>
      <c r="C806" s="23" t="s">
        <v>763</v>
      </c>
      <c r="D806" s="24" t="s">
        <v>761</v>
      </c>
      <c r="E806" s="23" t="s">
        <v>19</v>
      </c>
      <c r="F806" s="31">
        <v>17</v>
      </c>
      <c r="G806" s="31">
        <v>13</v>
      </c>
      <c r="H806" s="34"/>
      <c r="I806" s="84">
        <v>1869.77</v>
      </c>
      <c r="J806" s="140"/>
      <c r="K806" s="137">
        <v>2239.5100000000002</v>
      </c>
      <c r="L806" s="35"/>
      <c r="M806" s="85"/>
      <c r="N806" s="38" t="s">
        <v>643</v>
      </c>
      <c r="O806" s="69"/>
      <c r="P806" s="66">
        <v>45689</v>
      </c>
    </row>
    <row r="807" spans="1:16" s="8" customFormat="1" ht="12.75" customHeight="1">
      <c r="A807" s="13">
        <f t="shared" si="17"/>
        <v>788</v>
      </c>
      <c r="B807" s="45" t="s">
        <v>762</v>
      </c>
      <c r="C807" s="23" t="s">
        <v>763</v>
      </c>
      <c r="D807" s="24" t="s">
        <v>761</v>
      </c>
      <c r="E807" s="23" t="s">
        <v>19</v>
      </c>
      <c r="F807" s="31">
        <v>16</v>
      </c>
      <c r="G807" s="31">
        <v>14</v>
      </c>
      <c r="H807" s="34"/>
      <c r="I807" s="84">
        <v>1944.87</v>
      </c>
      <c r="J807" s="140"/>
      <c r="K807" s="137">
        <v>2127.2800000000002</v>
      </c>
      <c r="L807" s="35"/>
      <c r="M807" s="85"/>
      <c r="N807" s="38" t="s">
        <v>643</v>
      </c>
      <c r="O807" s="69"/>
      <c r="P807" s="66">
        <v>45689</v>
      </c>
    </row>
    <row r="808" spans="1:16" s="8" customFormat="1" ht="12.75" customHeight="1">
      <c r="A808" s="13">
        <f t="shared" si="17"/>
        <v>789</v>
      </c>
      <c r="B808" s="45" t="s">
        <v>762</v>
      </c>
      <c r="C808" s="23" t="s">
        <v>763</v>
      </c>
      <c r="D808" s="24" t="s">
        <v>761</v>
      </c>
      <c r="E808" s="23" t="s">
        <v>19</v>
      </c>
      <c r="F808" s="31">
        <v>15</v>
      </c>
      <c r="G808" s="31"/>
      <c r="H808" s="34"/>
      <c r="I808" s="84">
        <v>2029.98</v>
      </c>
      <c r="J808" s="140"/>
      <c r="K808" s="137"/>
      <c r="L808" s="35"/>
      <c r="M808" s="85"/>
      <c r="N808" s="38" t="s">
        <v>643</v>
      </c>
      <c r="O808" s="69"/>
      <c r="P808" s="66">
        <v>45689</v>
      </c>
    </row>
    <row r="809" spans="1:16" s="8" customFormat="1" ht="13.5" customHeight="1">
      <c r="A809" s="13">
        <f t="shared" si="17"/>
        <v>790</v>
      </c>
      <c r="B809" s="45" t="s">
        <v>1034</v>
      </c>
      <c r="C809" s="23" t="s">
        <v>763</v>
      </c>
      <c r="D809" s="24" t="s">
        <v>761</v>
      </c>
      <c r="E809" s="23" t="s">
        <v>19</v>
      </c>
      <c r="F809" s="31" t="s">
        <v>977</v>
      </c>
      <c r="G809" s="31"/>
      <c r="H809" s="34"/>
      <c r="I809" s="84">
        <v>73426.759999999995</v>
      </c>
      <c r="J809" s="140"/>
      <c r="K809" s="137"/>
      <c r="L809" s="35"/>
      <c r="M809" s="85"/>
      <c r="N809" s="38" t="s">
        <v>643</v>
      </c>
      <c r="O809" s="69"/>
      <c r="P809" s="66">
        <v>45352</v>
      </c>
    </row>
    <row r="810" spans="1:16" s="8" customFormat="1" ht="13.5" customHeight="1">
      <c r="A810" s="13">
        <f t="shared" si="17"/>
        <v>791</v>
      </c>
      <c r="B810" s="45" t="s">
        <v>1034</v>
      </c>
      <c r="C810" s="23" t="s">
        <v>763</v>
      </c>
      <c r="D810" s="24" t="s">
        <v>761</v>
      </c>
      <c r="E810" s="23" t="s">
        <v>19</v>
      </c>
      <c r="F810" s="31" t="s">
        <v>977</v>
      </c>
      <c r="G810" s="31"/>
      <c r="H810" s="34"/>
      <c r="I810" s="84">
        <v>84443.56</v>
      </c>
      <c r="J810" s="140"/>
      <c r="K810" s="137"/>
      <c r="L810" s="35"/>
      <c r="M810" s="85"/>
      <c r="N810" s="38" t="s">
        <v>643</v>
      </c>
      <c r="O810" s="69"/>
      <c r="P810" s="66">
        <v>45689</v>
      </c>
    </row>
    <row r="811" spans="1:16" s="8" customFormat="1" ht="13.5" customHeight="1">
      <c r="A811" s="13">
        <f t="shared" si="17"/>
        <v>792</v>
      </c>
      <c r="B811" s="158" t="s">
        <v>762</v>
      </c>
      <c r="C811" s="23" t="s">
        <v>763</v>
      </c>
      <c r="D811" s="24" t="s">
        <v>761</v>
      </c>
      <c r="E811" s="23" t="s">
        <v>19</v>
      </c>
      <c r="F811" s="31">
        <v>20</v>
      </c>
      <c r="G811" s="31">
        <v>10</v>
      </c>
      <c r="H811" s="34"/>
      <c r="I811" s="84">
        <v>1853.98</v>
      </c>
      <c r="J811" s="140"/>
      <c r="K811" s="137">
        <v>2976.34</v>
      </c>
      <c r="L811" s="35"/>
      <c r="M811" s="85">
        <v>22447.41</v>
      </c>
      <c r="N811" s="38" t="s">
        <v>643</v>
      </c>
      <c r="O811" s="69"/>
      <c r="P811" s="193">
        <v>46082</v>
      </c>
    </row>
    <row r="812" spans="1:16" s="8" customFormat="1" ht="13.5" customHeight="1">
      <c r="A812" s="13">
        <f t="shared" ref="A812:A875" si="18">A811+1</f>
        <v>793</v>
      </c>
      <c r="B812" s="158" t="s">
        <v>762</v>
      </c>
      <c r="C812" s="23" t="s">
        <v>763</v>
      </c>
      <c r="D812" s="24" t="s">
        <v>761</v>
      </c>
      <c r="E812" s="23" t="s">
        <v>19</v>
      </c>
      <c r="F812" s="31">
        <v>19</v>
      </c>
      <c r="G812" s="31">
        <v>11</v>
      </c>
      <c r="H812" s="34"/>
      <c r="I812" s="84">
        <v>1913.03</v>
      </c>
      <c r="J812" s="140"/>
      <c r="K812" s="137">
        <v>2772.28</v>
      </c>
      <c r="L812" s="35"/>
      <c r="M812" s="85"/>
      <c r="N812" s="38" t="s">
        <v>643</v>
      </c>
      <c r="O812" s="69"/>
      <c r="P812" s="193">
        <v>46082</v>
      </c>
    </row>
    <row r="813" spans="1:16" s="8" customFormat="1" ht="13.5" customHeight="1">
      <c r="A813" s="13">
        <f t="shared" si="18"/>
        <v>794</v>
      </c>
      <c r="B813" s="158" t="s">
        <v>762</v>
      </c>
      <c r="C813" s="23" t="s">
        <v>763</v>
      </c>
      <c r="D813" s="24" t="s">
        <v>761</v>
      </c>
      <c r="E813" s="23" t="s">
        <v>19</v>
      </c>
      <c r="F813" s="31">
        <v>18</v>
      </c>
      <c r="G813" s="31">
        <v>12</v>
      </c>
      <c r="H813" s="34"/>
      <c r="I813" s="84">
        <v>1978.66</v>
      </c>
      <c r="J813" s="140"/>
      <c r="K813" s="137">
        <v>2602.23</v>
      </c>
      <c r="L813" s="35"/>
      <c r="M813" s="85"/>
      <c r="N813" s="38" t="s">
        <v>643</v>
      </c>
      <c r="O813" s="69"/>
      <c r="P813" s="193">
        <v>46082</v>
      </c>
    </row>
    <row r="814" spans="1:16" s="8" customFormat="1" ht="13.5" customHeight="1">
      <c r="A814" s="13">
        <f t="shared" si="18"/>
        <v>795</v>
      </c>
      <c r="B814" s="158" t="s">
        <v>762</v>
      </c>
      <c r="C814" s="23" t="s">
        <v>763</v>
      </c>
      <c r="D814" s="24" t="s">
        <v>761</v>
      </c>
      <c r="E814" s="23" t="s">
        <v>19</v>
      </c>
      <c r="F814" s="31">
        <v>17</v>
      </c>
      <c r="G814" s="31">
        <v>13</v>
      </c>
      <c r="H814" s="34"/>
      <c r="I814" s="84">
        <v>2052.0300000000002</v>
      </c>
      <c r="J814" s="140"/>
      <c r="K814" s="137">
        <v>2458.34</v>
      </c>
      <c r="L814" s="35"/>
      <c r="M814" s="85"/>
      <c r="N814" s="38" t="s">
        <v>643</v>
      </c>
      <c r="O814" s="69"/>
      <c r="P814" s="193">
        <v>46082</v>
      </c>
    </row>
    <row r="815" spans="1:16" s="8" customFormat="1" ht="13.5" customHeight="1">
      <c r="A815" s="13">
        <f t="shared" si="18"/>
        <v>796</v>
      </c>
      <c r="B815" s="158" t="s">
        <v>762</v>
      </c>
      <c r="C815" s="23" t="s">
        <v>763</v>
      </c>
      <c r="D815" s="24" t="s">
        <v>761</v>
      </c>
      <c r="E815" s="23" t="s">
        <v>19</v>
      </c>
      <c r="F815" s="31">
        <v>16</v>
      </c>
      <c r="G815" s="31">
        <v>14</v>
      </c>
      <c r="H815" s="34"/>
      <c r="I815" s="84">
        <v>2134.58</v>
      </c>
      <c r="J815" s="140"/>
      <c r="K815" s="137">
        <v>2334.98</v>
      </c>
      <c r="L815" s="35"/>
      <c r="M815" s="85"/>
      <c r="N815" s="38" t="s">
        <v>643</v>
      </c>
      <c r="O815" s="69"/>
      <c r="P815" s="193">
        <v>46082</v>
      </c>
    </row>
    <row r="816" spans="1:16" s="8" customFormat="1" ht="13.5" customHeight="1">
      <c r="A816" s="13">
        <f t="shared" si="18"/>
        <v>797</v>
      </c>
      <c r="B816" s="158" t="s">
        <v>762</v>
      </c>
      <c r="C816" s="23" t="s">
        <v>763</v>
      </c>
      <c r="D816" s="24" t="s">
        <v>761</v>
      </c>
      <c r="E816" s="23" t="s">
        <v>19</v>
      </c>
      <c r="F816" s="31">
        <v>15</v>
      </c>
      <c r="G816" s="31"/>
      <c r="H816" s="34"/>
      <c r="I816" s="84">
        <v>2228.09</v>
      </c>
      <c r="J816" s="140"/>
      <c r="K816" s="137"/>
      <c r="L816" s="35"/>
      <c r="M816" s="85"/>
      <c r="N816" s="38" t="s">
        <v>643</v>
      </c>
      <c r="O816" s="69"/>
      <c r="P816" s="193">
        <v>46082</v>
      </c>
    </row>
    <row r="817" spans="1:16" s="8" customFormat="1" ht="13.5" customHeight="1">
      <c r="A817" s="13">
        <f t="shared" si="18"/>
        <v>798</v>
      </c>
      <c r="B817" s="158" t="s">
        <v>1034</v>
      </c>
      <c r="C817" s="23" t="s">
        <v>763</v>
      </c>
      <c r="D817" s="24" t="s">
        <v>761</v>
      </c>
      <c r="E817" s="23" t="s">
        <v>19</v>
      </c>
      <c r="F817" s="31" t="s">
        <v>977</v>
      </c>
      <c r="G817" s="31"/>
      <c r="H817" s="34"/>
      <c r="I817" s="84">
        <v>107063.32</v>
      </c>
      <c r="J817" s="140"/>
      <c r="K817" s="137"/>
      <c r="L817" s="35"/>
      <c r="M817" s="85"/>
      <c r="N817" s="38" t="s">
        <v>643</v>
      </c>
      <c r="O817" s="69"/>
      <c r="P817" s="193">
        <v>46082</v>
      </c>
    </row>
    <row r="818" spans="1:16" s="8" customFormat="1" ht="12.75" customHeight="1">
      <c r="A818" s="13">
        <f t="shared" si="18"/>
        <v>799</v>
      </c>
      <c r="B818" s="52" t="s">
        <v>764</v>
      </c>
      <c r="C818" s="23" t="s">
        <v>760</v>
      </c>
      <c r="D818" s="24" t="s">
        <v>765</v>
      </c>
      <c r="E818" s="23" t="s">
        <v>13</v>
      </c>
      <c r="F818" s="31">
        <v>20</v>
      </c>
      <c r="G818" s="31">
        <v>10</v>
      </c>
      <c r="H818" s="34">
        <v>843.33</v>
      </c>
      <c r="I818" s="84">
        <v>820.66</v>
      </c>
      <c r="J818" s="140">
        <v>1217.05</v>
      </c>
      <c r="K818" s="137">
        <v>1171.71</v>
      </c>
      <c r="L818" s="35" t="s">
        <v>747</v>
      </c>
      <c r="M818" s="85"/>
      <c r="N818" s="38" t="s">
        <v>643</v>
      </c>
      <c r="O818" s="69">
        <v>610</v>
      </c>
      <c r="P818" s="66">
        <v>43617</v>
      </c>
    </row>
    <row r="819" spans="1:16" s="8" customFormat="1" ht="12.75" customHeight="1">
      <c r="A819" s="13">
        <f t="shared" si="18"/>
        <v>800</v>
      </c>
      <c r="B819" s="23" t="s">
        <v>764</v>
      </c>
      <c r="C819" s="23" t="s">
        <v>760</v>
      </c>
      <c r="D819" s="24" t="s">
        <v>765</v>
      </c>
      <c r="E819" s="23" t="s">
        <v>13</v>
      </c>
      <c r="F819" s="31">
        <v>20</v>
      </c>
      <c r="G819" s="31">
        <v>10</v>
      </c>
      <c r="H819" s="34"/>
      <c r="I819" s="84">
        <v>800.98</v>
      </c>
      <c r="J819" s="140"/>
      <c r="K819" s="137">
        <v>1132.3</v>
      </c>
      <c r="L819" s="35"/>
      <c r="M819" s="85"/>
      <c r="N819" s="38" t="s">
        <v>643</v>
      </c>
      <c r="O819" s="69"/>
      <c r="P819" s="66">
        <v>43922</v>
      </c>
    </row>
    <row r="820" spans="1:16" s="8" customFormat="1" ht="12.75" customHeight="1">
      <c r="A820" s="13">
        <f t="shared" si="18"/>
        <v>801</v>
      </c>
      <c r="B820" s="23" t="s">
        <v>764</v>
      </c>
      <c r="C820" s="23" t="s">
        <v>760</v>
      </c>
      <c r="D820" s="24" t="s">
        <v>765</v>
      </c>
      <c r="E820" s="23" t="s">
        <v>13</v>
      </c>
      <c r="F820" s="31">
        <v>20</v>
      </c>
      <c r="G820" s="31">
        <v>10</v>
      </c>
      <c r="H820" s="34"/>
      <c r="I820" s="84">
        <v>834.9</v>
      </c>
      <c r="J820" s="140"/>
      <c r="K820" s="137">
        <v>1190.44</v>
      </c>
      <c r="L820" s="35"/>
      <c r="M820" s="85"/>
      <c r="N820" s="38" t="s">
        <v>643</v>
      </c>
      <c r="O820" s="69"/>
      <c r="P820" s="66">
        <v>44562</v>
      </c>
    </row>
    <row r="821" spans="1:16" s="8" customFormat="1" ht="12.75" customHeight="1">
      <c r="A821" s="13">
        <f t="shared" si="18"/>
        <v>802</v>
      </c>
      <c r="B821" s="23" t="s">
        <v>764</v>
      </c>
      <c r="C821" s="23" t="s">
        <v>760</v>
      </c>
      <c r="D821" s="24" t="s">
        <v>765</v>
      </c>
      <c r="E821" s="23" t="s">
        <v>13</v>
      </c>
      <c r="F821" s="31">
        <v>20</v>
      </c>
      <c r="G821" s="31">
        <v>10</v>
      </c>
      <c r="H821" s="34"/>
      <c r="I821" s="84">
        <v>916.92</v>
      </c>
      <c r="J821" s="140"/>
      <c r="K821" s="137">
        <v>1308.5999999999999</v>
      </c>
      <c r="L821" s="35"/>
      <c r="M821" s="85"/>
      <c r="N821" s="38" t="s">
        <v>643</v>
      </c>
      <c r="O821" s="69"/>
      <c r="P821" s="66">
        <v>45078</v>
      </c>
    </row>
    <row r="822" spans="1:16" s="8" customFormat="1" ht="12.75" customHeight="1">
      <c r="A822" s="13">
        <f t="shared" si="18"/>
        <v>803</v>
      </c>
      <c r="B822" s="23" t="s">
        <v>764</v>
      </c>
      <c r="C822" s="23" t="s">
        <v>760</v>
      </c>
      <c r="D822" s="24" t="s">
        <v>765</v>
      </c>
      <c r="E822" s="23" t="s">
        <v>13</v>
      </c>
      <c r="F822" s="31">
        <v>8</v>
      </c>
      <c r="G822" s="31">
        <v>2</v>
      </c>
      <c r="H822" s="34"/>
      <c r="I822" s="84">
        <v>1504.49</v>
      </c>
      <c r="J822" s="140"/>
      <c r="K822" s="137">
        <v>4442.45</v>
      </c>
      <c r="L822" s="35"/>
      <c r="M822" s="85"/>
      <c r="N822" s="38" t="s">
        <v>643</v>
      </c>
      <c r="O822" s="69"/>
      <c r="P822" s="66">
        <v>45200</v>
      </c>
    </row>
    <row r="823" spans="1:16" s="8" customFormat="1" ht="12.75" customHeight="1">
      <c r="A823" s="13">
        <f t="shared" si="18"/>
        <v>804</v>
      </c>
      <c r="B823" s="23" t="s">
        <v>764</v>
      </c>
      <c r="C823" s="23" t="s">
        <v>760</v>
      </c>
      <c r="D823" s="24" t="s">
        <v>765</v>
      </c>
      <c r="E823" s="23" t="s">
        <v>13</v>
      </c>
      <c r="F823" s="31">
        <v>8</v>
      </c>
      <c r="G823" s="31">
        <v>4</v>
      </c>
      <c r="H823" s="34"/>
      <c r="I823" s="84">
        <v>1504.49</v>
      </c>
      <c r="J823" s="140"/>
      <c r="K823" s="137">
        <v>2483.77</v>
      </c>
      <c r="L823" s="35"/>
      <c r="M823" s="85"/>
      <c r="N823" s="38" t="s">
        <v>643</v>
      </c>
      <c r="O823" s="69"/>
      <c r="P823" s="66">
        <v>45078</v>
      </c>
    </row>
    <row r="824" spans="1:16" s="8" customFormat="1" ht="12.75" customHeight="1">
      <c r="A824" s="13">
        <f t="shared" si="18"/>
        <v>805</v>
      </c>
      <c r="B824" s="45" t="s">
        <v>764</v>
      </c>
      <c r="C824" s="23" t="s">
        <v>760</v>
      </c>
      <c r="D824" s="24" t="s">
        <v>765</v>
      </c>
      <c r="E824" s="23" t="s">
        <v>13</v>
      </c>
      <c r="F824" s="31">
        <v>20</v>
      </c>
      <c r="G824" s="31">
        <v>10</v>
      </c>
      <c r="H824" s="34"/>
      <c r="I824" s="84">
        <v>1061.22</v>
      </c>
      <c r="J824" s="140"/>
      <c r="K824" s="137">
        <v>1517.94</v>
      </c>
      <c r="L824" s="35"/>
      <c r="M824" s="85"/>
      <c r="N824" s="38" t="s">
        <v>643</v>
      </c>
      <c r="O824" s="69"/>
      <c r="P824" s="66">
        <v>45352</v>
      </c>
    </row>
    <row r="825" spans="1:16" s="8" customFormat="1" ht="12.75" customHeight="1">
      <c r="A825" s="13">
        <f t="shared" si="18"/>
        <v>806</v>
      </c>
      <c r="B825" s="45" t="s">
        <v>764</v>
      </c>
      <c r="C825" s="23" t="s">
        <v>760</v>
      </c>
      <c r="D825" s="24" t="s">
        <v>765</v>
      </c>
      <c r="E825" s="23" t="s">
        <v>13</v>
      </c>
      <c r="F825" s="31">
        <v>16</v>
      </c>
      <c r="G825" s="31">
        <v>14</v>
      </c>
      <c r="H825" s="34"/>
      <c r="I825" s="84">
        <v>1175.4000000000001</v>
      </c>
      <c r="J825" s="140"/>
      <c r="K825" s="137">
        <v>1256.93</v>
      </c>
      <c r="L825" s="35"/>
      <c r="M825" s="85"/>
      <c r="N825" s="38" t="s">
        <v>643</v>
      </c>
      <c r="O825" s="69"/>
      <c r="P825" s="66">
        <v>45352</v>
      </c>
    </row>
    <row r="826" spans="1:16" s="8" customFormat="1" ht="12.75" customHeight="1">
      <c r="A826" s="13">
        <f t="shared" si="18"/>
        <v>807</v>
      </c>
      <c r="B826" s="45" t="s">
        <v>764</v>
      </c>
      <c r="C826" s="23" t="s">
        <v>760</v>
      </c>
      <c r="D826" s="24" t="s">
        <v>765</v>
      </c>
      <c r="E826" s="23" t="s">
        <v>13</v>
      </c>
      <c r="F826" s="31">
        <v>20</v>
      </c>
      <c r="G826" s="31">
        <v>10</v>
      </c>
      <c r="H826" s="34"/>
      <c r="I826" s="84">
        <v>1221.77</v>
      </c>
      <c r="J826" s="140"/>
      <c r="K826" s="137">
        <v>1747.13</v>
      </c>
      <c r="L826" s="35"/>
      <c r="M826" s="85"/>
      <c r="N826" s="38" t="s">
        <v>643</v>
      </c>
      <c r="O826" s="69"/>
      <c r="P826" s="66">
        <v>45689</v>
      </c>
    </row>
    <row r="827" spans="1:16" s="8" customFormat="1" ht="12.75" customHeight="1">
      <c r="A827" s="13">
        <f t="shared" si="18"/>
        <v>808</v>
      </c>
      <c r="B827" s="45" t="s">
        <v>764</v>
      </c>
      <c r="C827" s="23" t="s">
        <v>760</v>
      </c>
      <c r="D827" s="24" t="s">
        <v>765</v>
      </c>
      <c r="E827" s="23" t="s">
        <v>13</v>
      </c>
      <c r="F827" s="31">
        <v>16</v>
      </c>
      <c r="G827" s="31">
        <v>14</v>
      </c>
      <c r="H827" s="34"/>
      <c r="I827" s="84">
        <v>1353.11</v>
      </c>
      <c r="J827" s="140"/>
      <c r="K827" s="137">
        <v>1446.94</v>
      </c>
      <c r="L827" s="35"/>
      <c r="M827" s="85"/>
      <c r="N827" s="38" t="s">
        <v>643</v>
      </c>
      <c r="O827" s="69"/>
      <c r="P827" s="66">
        <v>45689</v>
      </c>
    </row>
    <row r="828" spans="1:16" s="8" customFormat="1" ht="12.75" customHeight="1">
      <c r="A828" s="13">
        <f t="shared" si="18"/>
        <v>809</v>
      </c>
      <c r="B828" s="158" t="s">
        <v>764</v>
      </c>
      <c r="C828" s="23" t="s">
        <v>760</v>
      </c>
      <c r="D828" s="24" t="s">
        <v>765</v>
      </c>
      <c r="E828" s="23" t="s">
        <v>13</v>
      </c>
      <c r="F828" s="31">
        <v>20</v>
      </c>
      <c r="G828" s="31">
        <v>10</v>
      </c>
      <c r="H828" s="34"/>
      <c r="I828" s="84">
        <v>1358.51</v>
      </c>
      <c r="J828" s="140"/>
      <c r="K828" s="137">
        <v>1954.07</v>
      </c>
      <c r="L828" s="35"/>
      <c r="M828" s="85"/>
      <c r="N828" s="38" t="s">
        <v>643</v>
      </c>
      <c r="O828" s="69"/>
      <c r="P828" s="193">
        <v>46082</v>
      </c>
    </row>
    <row r="829" spans="1:16" s="8" customFormat="1" ht="12.75" customHeight="1">
      <c r="A829" s="13">
        <f t="shared" si="18"/>
        <v>810</v>
      </c>
      <c r="B829" s="158" t="s">
        <v>764</v>
      </c>
      <c r="C829" s="23" t="s">
        <v>760</v>
      </c>
      <c r="D829" s="24" t="s">
        <v>765</v>
      </c>
      <c r="E829" s="23" t="s">
        <v>13</v>
      </c>
      <c r="F829" s="31">
        <v>16</v>
      </c>
      <c r="G829" s="31">
        <v>14</v>
      </c>
      <c r="H829" s="34"/>
      <c r="I829" s="84">
        <v>1507.4</v>
      </c>
      <c r="J829" s="140"/>
      <c r="K829" s="137">
        <v>1613.77</v>
      </c>
      <c r="L829" s="35"/>
      <c r="M829" s="85"/>
      <c r="N829" s="38" t="s">
        <v>643</v>
      </c>
      <c r="O829" s="69"/>
      <c r="P829" s="193">
        <v>46082</v>
      </c>
    </row>
    <row r="830" spans="1:16" s="8" customFormat="1" ht="12.75" customHeight="1">
      <c r="A830" s="13">
        <f t="shared" si="18"/>
        <v>811</v>
      </c>
      <c r="B830" s="45" t="s">
        <v>766</v>
      </c>
      <c r="C830" s="23" t="s">
        <v>763</v>
      </c>
      <c r="D830" s="24" t="s">
        <v>767</v>
      </c>
      <c r="E830" s="23" t="s">
        <v>19</v>
      </c>
      <c r="F830" s="31">
        <v>20</v>
      </c>
      <c r="G830" s="31">
        <v>10</v>
      </c>
      <c r="H830" s="34">
        <v>1611.88</v>
      </c>
      <c r="I830" s="84">
        <v>1616.36</v>
      </c>
      <c r="J830" s="140">
        <v>2767.07</v>
      </c>
      <c r="K830" s="137">
        <v>2776.03</v>
      </c>
      <c r="L830" s="35">
        <v>9593.42</v>
      </c>
      <c r="M830" s="85">
        <v>9683.1299999999992</v>
      </c>
      <c r="N830" s="38" t="s">
        <v>643</v>
      </c>
      <c r="O830" s="69">
        <v>610</v>
      </c>
      <c r="P830" s="66">
        <v>43265</v>
      </c>
    </row>
    <row r="831" spans="1:16" s="8" customFormat="1" ht="12.75" customHeight="1">
      <c r="A831" s="13">
        <f t="shared" si="18"/>
        <v>812</v>
      </c>
      <c r="B831" s="45" t="s">
        <v>766</v>
      </c>
      <c r="C831" s="23" t="s">
        <v>763</v>
      </c>
      <c r="D831" s="24" t="s">
        <v>767</v>
      </c>
      <c r="E831" s="23" t="s">
        <v>19</v>
      </c>
      <c r="F831" s="31">
        <v>20</v>
      </c>
      <c r="G831" s="31">
        <v>10</v>
      </c>
      <c r="H831" s="34"/>
      <c r="I831" s="84">
        <v>1132.96</v>
      </c>
      <c r="J831" s="140"/>
      <c r="K831" s="137">
        <v>1828.66</v>
      </c>
      <c r="L831" s="35"/>
      <c r="M831" s="85">
        <v>13913.82</v>
      </c>
      <c r="N831" s="38" t="s">
        <v>643</v>
      </c>
      <c r="O831" s="69"/>
      <c r="P831" s="66">
        <v>44562</v>
      </c>
    </row>
    <row r="832" spans="1:16" s="8" customFormat="1" ht="12.75" customHeight="1">
      <c r="A832" s="13">
        <f t="shared" si="18"/>
        <v>813</v>
      </c>
      <c r="B832" s="45" t="s">
        <v>1031</v>
      </c>
      <c r="C832" s="23" t="s">
        <v>763</v>
      </c>
      <c r="D832" s="24" t="s">
        <v>767</v>
      </c>
      <c r="E832" s="23" t="s">
        <v>19</v>
      </c>
      <c r="F832" s="31" t="s">
        <v>977</v>
      </c>
      <c r="G832" s="31"/>
      <c r="H832" s="34"/>
      <c r="I832" s="84">
        <v>51488.77</v>
      </c>
      <c r="J832" s="140"/>
      <c r="K832" s="137"/>
      <c r="L832" s="35"/>
      <c r="M832" s="85"/>
      <c r="N832" s="38" t="s">
        <v>643</v>
      </c>
      <c r="O832" s="69"/>
      <c r="P832" s="66">
        <v>44562</v>
      </c>
    </row>
    <row r="833" spans="1:16" s="8" customFormat="1" ht="12.75" customHeight="1">
      <c r="A833" s="13">
        <f t="shared" si="18"/>
        <v>814</v>
      </c>
      <c r="B833" s="45" t="s">
        <v>766</v>
      </c>
      <c r="C833" s="23" t="s">
        <v>763</v>
      </c>
      <c r="D833" s="24" t="s">
        <v>767</v>
      </c>
      <c r="E833" s="23" t="s">
        <v>19</v>
      </c>
      <c r="F833" s="31">
        <v>20</v>
      </c>
      <c r="G833" s="31">
        <v>10</v>
      </c>
      <c r="H833" s="34"/>
      <c r="I833" s="84">
        <v>1251.94</v>
      </c>
      <c r="J833" s="140"/>
      <c r="K833" s="137">
        <v>2023.52</v>
      </c>
      <c r="L833" s="35"/>
      <c r="M833" s="85"/>
      <c r="N833" s="38" t="s">
        <v>643</v>
      </c>
      <c r="O833" s="69"/>
      <c r="P833" s="66">
        <v>45078</v>
      </c>
    </row>
    <row r="834" spans="1:16" s="8" customFormat="1" ht="12.75" customHeight="1">
      <c r="A834" s="13">
        <f t="shared" si="18"/>
        <v>815</v>
      </c>
      <c r="B834" s="45" t="s">
        <v>1031</v>
      </c>
      <c r="C834" s="23" t="s">
        <v>763</v>
      </c>
      <c r="D834" s="24" t="s">
        <v>767</v>
      </c>
      <c r="E834" s="23" t="s">
        <v>19</v>
      </c>
      <c r="F834" s="31" t="s">
        <v>977</v>
      </c>
      <c r="G834" s="31"/>
      <c r="H834" s="34"/>
      <c r="I834" s="84">
        <v>52025.2</v>
      </c>
      <c r="J834" s="140"/>
      <c r="K834" s="137"/>
      <c r="L834" s="35"/>
      <c r="M834" s="85"/>
      <c r="N834" s="38" t="s">
        <v>643</v>
      </c>
      <c r="O834" s="69"/>
      <c r="P834" s="66">
        <v>45078</v>
      </c>
    </row>
    <row r="835" spans="1:16" s="8" customFormat="1" ht="12.75" customHeight="1">
      <c r="A835" s="13">
        <f t="shared" si="18"/>
        <v>816</v>
      </c>
      <c r="B835" s="52" t="s">
        <v>766</v>
      </c>
      <c r="C835" s="23" t="s">
        <v>763</v>
      </c>
      <c r="D835" s="24" t="s">
        <v>767</v>
      </c>
      <c r="E835" s="23" t="s">
        <v>19</v>
      </c>
      <c r="F835" s="31">
        <v>20</v>
      </c>
      <c r="G835" s="31">
        <v>10</v>
      </c>
      <c r="H835" s="34"/>
      <c r="I835" s="84">
        <v>1597.22</v>
      </c>
      <c r="J835" s="140"/>
      <c r="K835" s="137">
        <v>2737.71</v>
      </c>
      <c r="L835" s="35"/>
      <c r="M835" s="85"/>
      <c r="N835" s="38" t="s">
        <v>643</v>
      </c>
      <c r="O835" s="69"/>
      <c r="P835" s="66">
        <v>43922</v>
      </c>
    </row>
    <row r="836" spans="1:16" s="8" customFormat="1" ht="12.75" customHeight="1">
      <c r="A836" s="13">
        <f t="shared" si="18"/>
        <v>817</v>
      </c>
      <c r="B836" s="45" t="s">
        <v>766</v>
      </c>
      <c r="C836" s="23" t="s">
        <v>763</v>
      </c>
      <c r="D836" s="24" t="s">
        <v>767</v>
      </c>
      <c r="E836" s="23" t="s">
        <v>19</v>
      </c>
      <c r="F836" s="31">
        <v>20</v>
      </c>
      <c r="G836" s="31">
        <v>10</v>
      </c>
      <c r="H836" s="34"/>
      <c r="I836" s="84">
        <v>1440.54</v>
      </c>
      <c r="J836" s="140"/>
      <c r="K836" s="137">
        <v>2328.29</v>
      </c>
      <c r="L836" s="35"/>
      <c r="M836" s="85">
        <v>17755.28</v>
      </c>
      <c r="N836" s="38" t="s">
        <v>643</v>
      </c>
      <c r="O836" s="69"/>
      <c r="P836" s="66">
        <v>45352</v>
      </c>
    </row>
    <row r="837" spans="1:16" s="8" customFormat="1" ht="12.75" customHeight="1">
      <c r="A837" s="13">
        <f t="shared" si="18"/>
        <v>818</v>
      </c>
      <c r="B837" s="45" t="s">
        <v>766</v>
      </c>
      <c r="C837" s="23" t="s">
        <v>763</v>
      </c>
      <c r="D837" s="24" t="s">
        <v>767</v>
      </c>
      <c r="E837" s="23" t="s">
        <v>19</v>
      </c>
      <c r="F837" s="31">
        <v>19</v>
      </c>
      <c r="G837" s="31">
        <v>11</v>
      </c>
      <c r="H837" s="34"/>
      <c r="I837" s="84">
        <v>1487.25</v>
      </c>
      <c r="J837" s="140"/>
      <c r="K837" s="137">
        <v>2166.87</v>
      </c>
      <c r="L837" s="35"/>
      <c r="M837" s="85"/>
      <c r="N837" s="38" t="s">
        <v>643</v>
      </c>
      <c r="O837" s="69"/>
      <c r="P837" s="66">
        <v>45352</v>
      </c>
    </row>
    <row r="838" spans="1:16" s="8" customFormat="1" ht="12.75" customHeight="1">
      <c r="A838" s="13">
        <f t="shared" si="18"/>
        <v>819</v>
      </c>
      <c r="B838" s="45" t="s">
        <v>766</v>
      </c>
      <c r="C838" s="23" t="s">
        <v>763</v>
      </c>
      <c r="D838" s="24" t="s">
        <v>767</v>
      </c>
      <c r="E838" s="23" t="s">
        <v>19</v>
      </c>
      <c r="F838" s="31">
        <v>18</v>
      </c>
      <c r="G838" s="31">
        <v>12</v>
      </c>
      <c r="H838" s="34"/>
      <c r="I838" s="84">
        <v>1539.17</v>
      </c>
      <c r="J838" s="140"/>
      <c r="K838" s="137">
        <v>2032.35</v>
      </c>
      <c r="L838" s="35"/>
      <c r="M838" s="85"/>
      <c r="N838" s="38" t="s">
        <v>643</v>
      </c>
      <c r="O838" s="69"/>
      <c r="P838" s="66">
        <v>45352</v>
      </c>
    </row>
    <row r="839" spans="1:16" s="8" customFormat="1" ht="12.75" customHeight="1">
      <c r="A839" s="13">
        <f t="shared" si="18"/>
        <v>820</v>
      </c>
      <c r="B839" s="45" t="s">
        <v>766</v>
      </c>
      <c r="C839" s="23" t="s">
        <v>763</v>
      </c>
      <c r="D839" s="24" t="s">
        <v>767</v>
      </c>
      <c r="E839" s="23" t="s">
        <v>19</v>
      </c>
      <c r="F839" s="31">
        <v>17</v>
      </c>
      <c r="G839" s="31">
        <v>13</v>
      </c>
      <c r="H839" s="34"/>
      <c r="I839" s="84">
        <v>1597.2</v>
      </c>
      <c r="J839" s="140"/>
      <c r="K839" s="137">
        <v>1918.56</v>
      </c>
      <c r="L839" s="35"/>
      <c r="M839" s="85"/>
      <c r="N839" s="38" t="s">
        <v>643</v>
      </c>
      <c r="O839" s="69"/>
      <c r="P839" s="66">
        <v>45352</v>
      </c>
    </row>
    <row r="840" spans="1:16" s="8" customFormat="1" ht="12.75" customHeight="1">
      <c r="A840" s="13">
        <f t="shared" si="18"/>
        <v>821</v>
      </c>
      <c r="B840" s="45" t="s">
        <v>766</v>
      </c>
      <c r="C840" s="23" t="s">
        <v>763</v>
      </c>
      <c r="D840" s="24" t="s">
        <v>767</v>
      </c>
      <c r="E840" s="23" t="s">
        <v>19</v>
      </c>
      <c r="F840" s="31">
        <v>16</v>
      </c>
      <c r="G840" s="31">
        <v>14</v>
      </c>
      <c r="H840" s="34"/>
      <c r="I840" s="84">
        <v>1662.49</v>
      </c>
      <c r="J840" s="140"/>
      <c r="K840" s="137">
        <v>1820.97</v>
      </c>
      <c r="L840" s="35"/>
      <c r="M840" s="85"/>
      <c r="N840" s="38" t="s">
        <v>643</v>
      </c>
      <c r="O840" s="69"/>
      <c r="P840" s="66">
        <v>45352</v>
      </c>
    </row>
    <row r="841" spans="1:16" s="8" customFormat="1" ht="12.75" customHeight="1">
      <c r="A841" s="13">
        <f t="shared" si="18"/>
        <v>822</v>
      </c>
      <c r="B841" s="45" t="s">
        <v>766</v>
      </c>
      <c r="C841" s="23" t="s">
        <v>763</v>
      </c>
      <c r="D841" s="24" t="s">
        <v>767</v>
      </c>
      <c r="E841" s="23" t="s">
        <v>19</v>
      </c>
      <c r="F841" s="31">
        <v>15</v>
      </c>
      <c r="G841" s="31"/>
      <c r="H841" s="34"/>
      <c r="I841" s="84">
        <v>1736.47</v>
      </c>
      <c r="J841" s="140"/>
      <c r="K841" s="137"/>
      <c r="L841" s="35"/>
      <c r="M841" s="85"/>
      <c r="N841" s="38" t="s">
        <v>643</v>
      </c>
      <c r="O841" s="69"/>
      <c r="P841" s="66">
        <v>45352</v>
      </c>
    </row>
    <row r="842" spans="1:16" s="8" customFormat="1" ht="12.75" customHeight="1">
      <c r="A842" s="13">
        <f t="shared" si="18"/>
        <v>823</v>
      </c>
      <c r="B842" s="45" t="s">
        <v>766</v>
      </c>
      <c r="C842" s="23" t="s">
        <v>763</v>
      </c>
      <c r="D842" s="24" t="s">
        <v>767</v>
      </c>
      <c r="E842" s="23" t="s">
        <v>19</v>
      </c>
      <c r="F842" s="31">
        <v>20</v>
      </c>
      <c r="G842" s="31">
        <v>10</v>
      </c>
      <c r="H842" s="34"/>
      <c r="I842" s="84">
        <v>1658.46</v>
      </c>
      <c r="J842" s="140"/>
      <c r="K842" s="137">
        <v>2679.9</v>
      </c>
      <c r="L842" s="35"/>
      <c r="M842" s="85">
        <v>20428.93</v>
      </c>
      <c r="N842" s="38" t="s">
        <v>643</v>
      </c>
      <c r="O842" s="69"/>
      <c r="P842" s="66">
        <v>45689</v>
      </c>
    </row>
    <row r="843" spans="1:16" s="8" customFormat="1" ht="12.75" customHeight="1">
      <c r="A843" s="13">
        <f t="shared" si="18"/>
        <v>824</v>
      </c>
      <c r="B843" s="45" t="s">
        <v>766</v>
      </c>
      <c r="C843" s="23" t="s">
        <v>763</v>
      </c>
      <c r="D843" s="24" t="s">
        <v>767</v>
      </c>
      <c r="E843" s="23" t="s">
        <v>19</v>
      </c>
      <c r="F843" s="31">
        <v>19</v>
      </c>
      <c r="G843" s="31">
        <v>11</v>
      </c>
      <c r="H843" s="34"/>
      <c r="I843" s="84">
        <v>1712.24</v>
      </c>
      <c r="J843" s="140"/>
      <c r="K843" s="137">
        <v>2494.1999999999998</v>
      </c>
      <c r="L843" s="35"/>
      <c r="M843" s="85"/>
      <c r="N843" s="38" t="s">
        <v>643</v>
      </c>
      <c r="O843" s="69"/>
      <c r="P843" s="66">
        <v>45689</v>
      </c>
    </row>
    <row r="844" spans="1:16" s="8" customFormat="1" ht="12.75" customHeight="1">
      <c r="A844" s="13">
        <f t="shared" si="18"/>
        <v>825</v>
      </c>
      <c r="B844" s="45" t="s">
        <v>766</v>
      </c>
      <c r="C844" s="23" t="s">
        <v>763</v>
      </c>
      <c r="D844" s="24" t="s">
        <v>767</v>
      </c>
      <c r="E844" s="23" t="s">
        <v>19</v>
      </c>
      <c r="F844" s="31">
        <v>18</v>
      </c>
      <c r="G844" s="31">
        <v>12</v>
      </c>
      <c r="H844" s="34"/>
      <c r="I844" s="84">
        <v>1771.95</v>
      </c>
      <c r="J844" s="140"/>
      <c r="K844" s="137">
        <v>2339.42</v>
      </c>
      <c r="L844" s="35"/>
      <c r="M844" s="85"/>
      <c r="N844" s="38" t="s">
        <v>643</v>
      </c>
      <c r="O844" s="69"/>
      <c r="P844" s="66">
        <v>45689</v>
      </c>
    </row>
    <row r="845" spans="1:16" s="8" customFormat="1" ht="12.75" customHeight="1">
      <c r="A845" s="13">
        <f t="shared" si="18"/>
        <v>826</v>
      </c>
      <c r="B845" s="45" t="s">
        <v>766</v>
      </c>
      <c r="C845" s="23" t="s">
        <v>763</v>
      </c>
      <c r="D845" s="24" t="s">
        <v>767</v>
      </c>
      <c r="E845" s="23" t="s">
        <v>19</v>
      </c>
      <c r="F845" s="31">
        <v>17</v>
      </c>
      <c r="G845" s="31">
        <v>13</v>
      </c>
      <c r="H845" s="34"/>
      <c r="I845" s="84">
        <v>1838.73</v>
      </c>
      <c r="J845" s="140"/>
      <c r="K845" s="137">
        <v>2208.4699999999998</v>
      </c>
      <c r="L845" s="35"/>
      <c r="M845" s="85"/>
      <c r="N845" s="38" t="s">
        <v>643</v>
      </c>
      <c r="O845" s="69"/>
      <c r="P845" s="66">
        <v>45689</v>
      </c>
    </row>
    <row r="846" spans="1:16" s="8" customFormat="1" ht="12.75" customHeight="1">
      <c r="A846" s="13">
        <f t="shared" si="18"/>
        <v>827</v>
      </c>
      <c r="B846" s="45" t="s">
        <v>766</v>
      </c>
      <c r="C846" s="23" t="s">
        <v>763</v>
      </c>
      <c r="D846" s="24" t="s">
        <v>767</v>
      </c>
      <c r="E846" s="23" t="s">
        <v>19</v>
      </c>
      <c r="F846" s="31">
        <v>16</v>
      </c>
      <c r="G846" s="31">
        <v>14</v>
      </c>
      <c r="H846" s="34"/>
      <c r="I846" s="84">
        <v>1913.84</v>
      </c>
      <c r="J846" s="140"/>
      <c r="K846" s="137">
        <v>2096.2399999999998</v>
      </c>
      <c r="L846" s="35"/>
      <c r="M846" s="85"/>
      <c r="N846" s="38" t="s">
        <v>643</v>
      </c>
      <c r="O846" s="69"/>
      <c r="P846" s="66">
        <v>45689</v>
      </c>
    </row>
    <row r="847" spans="1:16" s="8" customFormat="1" ht="12.75" customHeight="1">
      <c r="A847" s="13">
        <f t="shared" si="18"/>
        <v>828</v>
      </c>
      <c r="B847" s="45" t="s">
        <v>766</v>
      </c>
      <c r="C847" s="23" t="s">
        <v>763</v>
      </c>
      <c r="D847" s="24" t="s">
        <v>767</v>
      </c>
      <c r="E847" s="23" t="s">
        <v>19</v>
      </c>
      <c r="F847" s="31">
        <v>15</v>
      </c>
      <c r="G847" s="31"/>
      <c r="H847" s="34"/>
      <c r="I847" s="84">
        <v>1998.94</v>
      </c>
      <c r="J847" s="140"/>
      <c r="K847" s="137"/>
      <c r="L847" s="35"/>
      <c r="M847" s="85"/>
      <c r="N847" s="38" t="s">
        <v>643</v>
      </c>
      <c r="O847" s="69"/>
      <c r="P847" s="66">
        <v>45689</v>
      </c>
    </row>
    <row r="848" spans="1:16" s="8" customFormat="1" ht="12.75" customHeight="1">
      <c r="A848" s="13">
        <f t="shared" si="18"/>
        <v>829</v>
      </c>
      <c r="B848" s="45" t="s">
        <v>1031</v>
      </c>
      <c r="C848" s="23" t="s">
        <v>763</v>
      </c>
      <c r="D848" s="24" t="s">
        <v>767</v>
      </c>
      <c r="E848" s="23" t="s">
        <v>19</v>
      </c>
      <c r="F848" s="31" t="s">
        <v>977</v>
      </c>
      <c r="G848" s="31"/>
      <c r="H848" s="34"/>
      <c r="I848" s="84">
        <v>73426.759999999995</v>
      </c>
      <c r="J848" s="140"/>
      <c r="K848" s="137"/>
      <c r="L848" s="35"/>
      <c r="M848" s="85"/>
      <c r="N848" s="38" t="s">
        <v>643</v>
      </c>
      <c r="O848" s="69"/>
      <c r="P848" s="66">
        <v>45352</v>
      </c>
    </row>
    <row r="849" spans="1:16" s="8" customFormat="1" ht="12.75" customHeight="1">
      <c r="A849" s="13">
        <f t="shared" si="18"/>
        <v>830</v>
      </c>
      <c r="B849" s="45" t="s">
        <v>1031</v>
      </c>
      <c r="C849" s="23" t="s">
        <v>763</v>
      </c>
      <c r="D849" s="24" t="s">
        <v>767</v>
      </c>
      <c r="E849" s="23" t="s">
        <v>19</v>
      </c>
      <c r="F849" s="31" t="s">
        <v>977</v>
      </c>
      <c r="G849" s="31"/>
      <c r="H849" s="34"/>
      <c r="I849" s="84">
        <v>84443.56</v>
      </c>
      <c r="J849" s="140"/>
      <c r="K849" s="137"/>
      <c r="L849" s="35"/>
      <c r="M849" s="85"/>
      <c r="N849" s="38" t="s">
        <v>643</v>
      </c>
      <c r="O849" s="69"/>
      <c r="P849" s="66">
        <v>45689</v>
      </c>
    </row>
    <row r="850" spans="1:16" s="8" customFormat="1" ht="12.75" customHeight="1">
      <c r="A850" s="13">
        <f t="shared" si="18"/>
        <v>831</v>
      </c>
      <c r="B850" s="158" t="s">
        <v>766</v>
      </c>
      <c r="C850" s="23" t="s">
        <v>763</v>
      </c>
      <c r="D850" s="24" t="s">
        <v>767</v>
      </c>
      <c r="E850" s="23" t="s">
        <v>19</v>
      </c>
      <c r="F850" s="31">
        <v>20</v>
      </c>
      <c r="G850" s="31">
        <v>10</v>
      </c>
      <c r="H850" s="34"/>
      <c r="I850" s="84">
        <v>1819.99</v>
      </c>
      <c r="J850" s="140"/>
      <c r="K850" s="137">
        <v>2942.35</v>
      </c>
      <c r="L850" s="35"/>
      <c r="M850" s="85">
        <v>22447.41</v>
      </c>
      <c r="N850" s="38" t="s">
        <v>643</v>
      </c>
      <c r="O850" s="69"/>
      <c r="P850" s="193">
        <v>46082</v>
      </c>
    </row>
    <row r="851" spans="1:16" s="8" customFormat="1" ht="12.75" customHeight="1">
      <c r="A851" s="13">
        <f t="shared" si="18"/>
        <v>832</v>
      </c>
      <c r="B851" s="158" t="s">
        <v>766</v>
      </c>
      <c r="C851" s="23" t="s">
        <v>763</v>
      </c>
      <c r="D851" s="24" t="s">
        <v>767</v>
      </c>
      <c r="E851" s="23" t="s">
        <v>19</v>
      </c>
      <c r="F851" s="31">
        <v>19</v>
      </c>
      <c r="G851" s="31">
        <v>11</v>
      </c>
      <c r="H851" s="34"/>
      <c r="I851" s="84">
        <v>1879.04</v>
      </c>
      <c r="J851" s="140"/>
      <c r="K851" s="137">
        <v>2738.29</v>
      </c>
      <c r="L851" s="35"/>
      <c r="M851" s="85"/>
      <c r="N851" s="38" t="s">
        <v>643</v>
      </c>
      <c r="O851" s="69"/>
      <c r="P851" s="193">
        <v>46082</v>
      </c>
    </row>
    <row r="852" spans="1:16" s="8" customFormat="1" ht="12.75" customHeight="1">
      <c r="A852" s="13">
        <f t="shared" si="18"/>
        <v>833</v>
      </c>
      <c r="B852" s="158" t="s">
        <v>766</v>
      </c>
      <c r="C852" s="23" t="s">
        <v>763</v>
      </c>
      <c r="D852" s="24" t="s">
        <v>767</v>
      </c>
      <c r="E852" s="23" t="s">
        <v>19</v>
      </c>
      <c r="F852" s="31">
        <v>18</v>
      </c>
      <c r="G852" s="31">
        <v>12</v>
      </c>
      <c r="H852" s="34"/>
      <c r="I852" s="84">
        <v>1944.66</v>
      </c>
      <c r="J852" s="140"/>
      <c r="K852" s="137">
        <v>2568.23</v>
      </c>
      <c r="L852" s="35"/>
      <c r="M852" s="85"/>
      <c r="N852" s="38" t="s">
        <v>643</v>
      </c>
      <c r="O852" s="69"/>
      <c r="P852" s="193">
        <v>46082</v>
      </c>
    </row>
    <row r="853" spans="1:16" s="8" customFormat="1" ht="12.75" customHeight="1">
      <c r="A853" s="13">
        <f t="shared" si="18"/>
        <v>834</v>
      </c>
      <c r="B853" s="158" t="s">
        <v>766</v>
      </c>
      <c r="C853" s="23" t="s">
        <v>763</v>
      </c>
      <c r="D853" s="24" t="s">
        <v>767</v>
      </c>
      <c r="E853" s="23" t="s">
        <v>19</v>
      </c>
      <c r="F853" s="31">
        <v>17</v>
      </c>
      <c r="G853" s="31">
        <v>13</v>
      </c>
      <c r="H853" s="34"/>
      <c r="I853" s="84">
        <v>2018.03</v>
      </c>
      <c r="J853" s="140"/>
      <c r="K853" s="137">
        <v>2424.35</v>
      </c>
      <c r="L853" s="35"/>
      <c r="M853" s="85"/>
      <c r="N853" s="38" t="s">
        <v>643</v>
      </c>
      <c r="O853" s="69"/>
      <c r="P853" s="193">
        <v>46082</v>
      </c>
    </row>
    <row r="854" spans="1:16" s="8" customFormat="1" ht="12.75" customHeight="1">
      <c r="A854" s="13">
        <f t="shared" si="18"/>
        <v>835</v>
      </c>
      <c r="B854" s="158" t="s">
        <v>766</v>
      </c>
      <c r="C854" s="23" t="s">
        <v>763</v>
      </c>
      <c r="D854" s="24" t="s">
        <v>767</v>
      </c>
      <c r="E854" s="23" t="s">
        <v>19</v>
      </c>
      <c r="F854" s="31">
        <v>16</v>
      </c>
      <c r="G854" s="31">
        <v>14</v>
      </c>
      <c r="H854" s="34"/>
      <c r="I854" s="84">
        <v>2100.58</v>
      </c>
      <c r="J854" s="140"/>
      <c r="K854" s="137">
        <v>2300.9899999999998</v>
      </c>
      <c r="L854" s="35"/>
      <c r="M854" s="85"/>
      <c r="N854" s="38" t="s">
        <v>643</v>
      </c>
      <c r="O854" s="69"/>
      <c r="P854" s="193">
        <v>46082</v>
      </c>
    </row>
    <row r="855" spans="1:16" s="8" customFormat="1" ht="12.75" customHeight="1">
      <c r="A855" s="13">
        <f t="shared" si="18"/>
        <v>836</v>
      </c>
      <c r="B855" s="158" t="s">
        <v>766</v>
      </c>
      <c r="C855" s="23" t="s">
        <v>763</v>
      </c>
      <c r="D855" s="24" t="s">
        <v>767</v>
      </c>
      <c r="E855" s="23" t="s">
        <v>19</v>
      </c>
      <c r="F855" s="31">
        <v>15</v>
      </c>
      <c r="G855" s="31"/>
      <c r="H855" s="34"/>
      <c r="I855" s="84">
        <v>2194.11</v>
      </c>
      <c r="J855" s="140"/>
      <c r="K855" s="137"/>
      <c r="L855" s="35"/>
      <c r="M855" s="85"/>
      <c r="N855" s="38" t="s">
        <v>643</v>
      </c>
      <c r="O855" s="69"/>
      <c r="P855" s="193">
        <v>46082</v>
      </c>
    </row>
    <row r="856" spans="1:16" s="8" customFormat="1" ht="12.75" customHeight="1">
      <c r="A856" s="13">
        <f t="shared" si="18"/>
        <v>837</v>
      </c>
      <c r="B856" s="158" t="s">
        <v>1031</v>
      </c>
      <c r="C856" s="23" t="s">
        <v>763</v>
      </c>
      <c r="D856" s="24" t="s">
        <v>767</v>
      </c>
      <c r="E856" s="23" t="s">
        <v>19</v>
      </c>
      <c r="F856" s="31" t="s">
        <v>977</v>
      </c>
      <c r="G856" s="31"/>
      <c r="H856" s="34"/>
      <c r="I856" s="84">
        <v>107063.32</v>
      </c>
      <c r="J856" s="140"/>
      <c r="K856" s="137"/>
      <c r="L856" s="35"/>
      <c r="M856" s="85"/>
      <c r="N856" s="38" t="s">
        <v>643</v>
      </c>
      <c r="O856" s="69"/>
      <c r="P856" s="193">
        <v>46082</v>
      </c>
    </row>
    <row r="857" spans="1:16" s="8" customFormat="1" ht="12" customHeight="1">
      <c r="A857" s="13">
        <f t="shared" si="18"/>
        <v>838</v>
      </c>
      <c r="B857" s="23" t="s">
        <v>769</v>
      </c>
      <c r="C857" s="23" t="s">
        <v>760</v>
      </c>
      <c r="D857" s="24" t="s">
        <v>770</v>
      </c>
      <c r="E857" s="23" t="s">
        <v>13</v>
      </c>
      <c r="F857" s="31">
        <v>20</v>
      </c>
      <c r="G857" s="31">
        <v>10</v>
      </c>
      <c r="H857" s="34">
        <v>861.81</v>
      </c>
      <c r="I857" s="84">
        <v>839.13</v>
      </c>
      <c r="J857" s="140">
        <v>1235.52</v>
      </c>
      <c r="K857" s="137">
        <v>1190.18</v>
      </c>
      <c r="L857" s="35" t="s">
        <v>747</v>
      </c>
      <c r="M857" s="85"/>
      <c r="N857" s="38" t="s">
        <v>643</v>
      </c>
      <c r="O857" s="69">
        <v>610</v>
      </c>
      <c r="P857" s="66">
        <v>43241</v>
      </c>
    </row>
    <row r="858" spans="1:16" s="8" customFormat="1" ht="12.75" customHeight="1">
      <c r="A858" s="13">
        <f t="shared" si="18"/>
        <v>839</v>
      </c>
      <c r="B858" s="23" t="s">
        <v>769</v>
      </c>
      <c r="C858" s="23" t="s">
        <v>760</v>
      </c>
      <c r="D858" s="24" t="s">
        <v>770</v>
      </c>
      <c r="E858" s="23" t="s">
        <v>13</v>
      </c>
      <c r="F858" s="31">
        <v>20</v>
      </c>
      <c r="G858" s="31">
        <v>10</v>
      </c>
      <c r="H858" s="34"/>
      <c r="I858" s="84">
        <v>839.13</v>
      </c>
      <c r="J858" s="140"/>
      <c r="K858" s="137">
        <v>1190.18</v>
      </c>
      <c r="L858" s="35"/>
      <c r="M858" s="85"/>
      <c r="N858" s="38" t="s">
        <v>643</v>
      </c>
      <c r="O858" s="69"/>
      <c r="P858" s="66">
        <v>43617</v>
      </c>
    </row>
    <row r="859" spans="1:16" s="8" customFormat="1" ht="12.75" customHeight="1">
      <c r="A859" s="13">
        <f t="shared" si="18"/>
        <v>840</v>
      </c>
      <c r="B859" s="23" t="s">
        <v>769</v>
      </c>
      <c r="C859" s="23" t="s">
        <v>760</v>
      </c>
      <c r="D859" s="24" t="s">
        <v>770</v>
      </c>
      <c r="E859" s="23" t="s">
        <v>13</v>
      </c>
      <c r="F859" s="31">
        <v>20</v>
      </c>
      <c r="G859" s="31">
        <v>5</v>
      </c>
      <c r="H859" s="34"/>
      <c r="I859" s="84">
        <v>795.8</v>
      </c>
      <c r="J859" s="140"/>
      <c r="K859" s="137">
        <v>1779.28</v>
      </c>
      <c r="L859" s="35"/>
      <c r="M859" s="85"/>
      <c r="N859" s="38" t="s">
        <v>643</v>
      </c>
      <c r="O859" s="69"/>
      <c r="P859" s="66">
        <v>43922</v>
      </c>
    </row>
    <row r="860" spans="1:16" s="8" customFormat="1" ht="12.75" customHeight="1">
      <c r="A860" s="13">
        <f t="shared" si="18"/>
        <v>841</v>
      </c>
      <c r="B860" s="23" t="s">
        <v>769</v>
      </c>
      <c r="C860" s="23" t="s">
        <v>760</v>
      </c>
      <c r="D860" s="24" t="s">
        <v>770</v>
      </c>
      <c r="E860" s="23" t="s">
        <v>13</v>
      </c>
      <c r="F860" s="31">
        <v>20</v>
      </c>
      <c r="G860" s="31">
        <v>5</v>
      </c>
      <c r="H860" s="34"/>
      <c r="I860" s="84">
        <v>841.36</v>
      </c>
      <c r="J860" s="140"/>
      <c r="K860" s="137">
        <v>1893.29</v>
      </c>
      <c r="L860" s="35"/>
      <c r="M860" s="85"/>
      <c r="N860" s="38" t="s">
        <v>643</v>
      </c>
      <c r="O860" s="69"/>
      <c r="P860" s="66">
        <v>44562</v>
      </c>
    </row>
    <row r="861" spans="1:16" s="8" customFormat="1" ht="12.75" customHeight="1">
      <c r="A861" s="13">
        <f t="shared" si="18"/>
        <v>842</v>
      </c>
      <c r="B861" s="23" t="s">
        <v>769</v>
      </c>
      <c r="C861" s="23" t="s">
        <v>760</v>
      </c>
      <c r="D861" s="24" t="s">
        <v>770</v>
      </c>
      <c r="E861" s="23" t="s">
        <v>13</v>
      </c>
      <c r="F861" s="31">
        <v>20</v>
      </c>
      <c r="G861" s="31">
        <v>10</v>
      </c>
      <c r="H861" s="34"/>
      <c r="I861" s="84">
        <v>929.6</v>
      </c>
      <c r="J861" s="140"/>
      <c r="K861" s="137">
        <v>1326.6</v>
      </c>
      <c r="L861" s="35"/>
      <c r="M861" s="85"/>
      <c r="N861" s="38" t="s">
        <v>643</v>
      </c>
      <c r="O861" s="69"/>
      <c r="P861" s="66">
        <v>45078</v>
      </c>
    </row>
    <row r="862" spans="1:16" s="8" customFormat="1" ht="12.75" customHeight="1">
      <c r="A862" s="13">
        <f t="shared" si="18"/>
        <v>843</v>
      </c>
      <c r="B862" s="23" t="s">
        <v>769</v>
      </c>
      <c r="C862" s="23" t="s">
        <v>760</v>
      </c>
      <c r="D862" s="24" t="s">
        <v>770</v>
      </c>
      <c r="E862" s="23" t="s">
        <v>13</v>
      </c>
      <c r="F862" s="31">
        <v>20</v>
      </c>
      <c r="G862" s="31">
        <v>10</v>
      </c>
      <c r="H862" s="34"/>
      <c r="I862" s="84">
        <v>1070.0899999999999</v>
      </c>
      <c r="J862" s="140"/>
      <c r="K862" s="137">
        <v>1526.81</v>
      </c>
      <c r="L862" s="35"/>
      <c r="M862" s="85"/>
      <c r="N862" s="38" t="s">
        <v>643</v>
      </c>
      <c r="O862" s="69"/>
      <c r="P862" s="66">
        <v>45352</v>
      </c>
    </row>
    <row r="863" spans="1:16" s="8" customFormat="1" ht="12" customHeight="1">
      <c r="A863" s="13">
        <f t="shared" si="18"/>
        <v>844</v>
      </c>
      <c r="B863" s="23" t="s">
        <v>769</v>
      </c>
      <c r="C863" s="23" t="s">
        <v>760</v>
      </c>
      <c r="D863" s="24" t="s">
        <v>770</v>
      </c>
      <c r="E863" s="23" t="s">
        <v>13</v>
      </c>
      <c r="F863" s="31">
        <v>16</v>
      </c>
      <c r="G863" s="31">
        <v>14</v>
      </c>
      <c r="H863" s="34"/>
      <c r="I863" s="84">
        <v>1184.26</v>
      </c>
      <c r="J863" s="140"/>
      <c r="K863" s="137">
        <v>1265.79</v>
      </c>
      <c r="L863" s="35"/>
      <c r="M863" s="85"/>
      <c r="N863" s="38" t="s">
        <v>643</v>
      </c>
      <c r="O863" s="69"/>
      <c r="P863" s="66">
        <v>45352</v>
      </c>
    </row>
    <row r="864" spans="1:16" s="8" customFormat="1" ht="12" customHeight="1">
      <c r="A864" s="13">
        <f t="shared" si="18"/>
        <v>845</v>
      </c>
      <c r="B864" s="23" t="s">
        <v>769</v>
      </c>
      <c r="C864" s="23" t="s">
        <v>760</v>
      </c>
      <c r="D864" s="24" t="s">
        <v>770</v>
      </c>
      <c r="E864" s="23" t="s">
        <v>13</v>
      </c>
      <c r="F864" s="31">
        <v>20</v>
      </c>
      <c r="G864" s="31">
        <v>10</v>
      </c>
      <c r="H864" s="34"/>
      <c r="I864" s="84">
        <v>1231.3800000000001</v>
      </c>
      <c r="J864" s="140"/>
      <c r="K864" s="137">
        <v>1756.72</v>
      </c>
      <c r="L864" s="35"/>
      <c r="M864" s="85"/>
      <c r="N864" s="38" t="s">
        <v>643</v>
      </c>
      <c r="O864" s="69"/>
      <c r="P864" s="66">
        <v>45689</v>
      </c>
    </row>
    <row r="865" spans="1:16" s="8" customFormat="1" ht="12" customHeight="1">
      <c r="A865" s="13">
        <f t="shared" si="18"/>
        <v>846</v>
      </c>
      <c r="B865" s="23" t="s">
        <v>769</v>
      </c>
      <c r="C865" s="23" t="s">
        <v>760</v>
      </c>
      <c r="D865" s="24" t="s">
        <v>770</v>
      </c>
      <c r="E865" s="23" t="s">
        <v>13</v>
      </c>
      <c r="F865" s="31">
        <v>16</v>
      </c>
      <c r="G865" s="31">
        <v>14</v>
      </c>
      <c r="H865" s="34"/>
      <c r="I865" s="84">
        <v>1362.71</v>
      </c>
      <c r="J865" s="140"/>
      <c r="K865" s="137">
        <v>1456.55</v>
      </c>
      <c r="L865" s="35"/>
      <c r="M865" s="85"/>
      <c r="N865" s="38" t="s">
        <v>643</v>
      </c>
      <c r="O865" s="69"/>
      <c r="P865" s="66">
        <v>45689</v>
      </c>
    </row>
    <row r="866" spans="1:16" s="8" customFormat="1" ht="12" customHeight="1">
      <c r="A866" s="13">
        <f t="shared" si="18"/>
        <v>847</v>
      </c>
      <c r="B866" s="158" t="s">
        <v>769</v>
      </c>
      <c r="C866" s="23" t="s">
        <v>760</v>
      </c>
      <c r="D866" s="24" t="s">
        <v>770</v>
      </c>
      <c r="E866" s="23" t="s">
        <v>13</v>
      </c>
      <c r="F866" s="31">
        <v>20</v>
      </c>
      <c r="G866" s="31">
        <v>10</v>
      </c>
      <c r="H866" s="34"/>
      <c r="I866" s="84">
        <v>1368.86</v>
      </c>
      <c r="J866" s="140"/>
      <c r="K866" s="137">
        <v>1964.41</v>
      </c>
      <c r="L866" s="35"/>
      <c r="M866" s="85"/>
      <c r="N866" s="38" t="s">
        <v>643</v>
      </c>
      <c r="O866" s="69"/>
      <c r="P866" s="193">
        <v>46082</v>
      </c>
    </row>
    <row r="867" spans="1:16" s="8" customFormat="1" ht="12" customHeight="1">
      <c r="A867" s="13">
        <f t="shared" si="18"/>
        <v>848</v>
      </c>
      <c r="B867" s="158" t="s">
        <v>769</v>
      </c>
      <c r="C867" s="23" t="s">
        <v>760</v>
      </c>
      <c r="D867" s="24" t="s">
        <v>770</v>
      </c>
      <c r="E867" s="23" t="s">
        <v>13</v>
      </c>
      <c r="F867" s="31">
        <v>16</v>
      </c>
      <c r="G867" s="31">
        <v>14</v>
      </c>
      <c r="H867" s="34"/>
      <c r="I867" s="84">
        <v>1517.75</v>
      </c>
      <c r="J867" s="140"/>
      <c r="K867" s="137">
        <v>1624.11</v>
      </c>
      <c r="L867" s="35"/>
      <c r="M867" s="85"/>
      <c r="N867" s="38" t="s">
        <v>643</v>
      </c>
      <c r="O867" s="69"/>
      <c r="P867" s="193">
        <v>46082</v>
      </c>
    </row>
    <row r="868" spans="1:16" s="8" customFormat="1" ht="12.75" customHeight="1">
      <c r="A868" s="13">
        <f t="shared" si="18"/>
        <v>849</v>
      </c>
      <c r="B868" s="45" t="s">
        <v>768</v>
      </c>
      <c r="C868" s="23" t="s">
        <v>763</v>
      </c>
      <c r="D868" s="24" t="s">
        <v>770</v>
      </c>
      <c r="E868" s="23" t="s">
        <v>19</v>
      </c>
      <c r="F868" s="31">
        <v>20</v>
      </c>
      <c r="G868" s="31">
        <v>10</v>
      </c>
      <c r="H868" s="34">
        <v>1665.54</v>
      </c>
      <c r="I868" s="84">
        <v>1670.03</v>
      </c>
      <c r="J868" s="140">
        <v>2820.73</v>
      </c>
      <c r="K868" s="137">
        <v>2829.7</v>
      </c>
      <c r="L868" s="35">
        <v>9593.42</v>
      </c>
      <c r="M868" s="85">
        <v>9683.1299999999992</v>
      </c>
      <c r="N868" s="38" t="s">
        <v>643</v>
      </c>
      <c r="O868" s="69">
        <v>610</v>
      </c>
      <c r="P868" s="66">
        <v>43617</v>
      </c>
    </row>
    <row r="869" spans="1:16" s="8" customFormat="1" ht="12.75" customHeight="1">
      <c r="A869" s="13">
        <f t="shared" si="18"/>
        <v>850</v>
      </c>
      <c r="B869" s="45" t="s">
        <v>768</v>
      </c>
      <c r="C869" s="23" t="s">
        <v>763</v>
      </c>
      <c r="D869" s="24" t="s">
        <v>770</v>
      </c>
      <c r="E869" s="23" t="s">
        <v>19</v>
      </c>
      <c r="F869" s="31">
        <v>20</v>
      </c>
      <c r="G869" s="31">
        <v>10</v>
      </c>
      <c r="H869" s="34"/>
      <c r="I869" s="84">
        <v>1148.02</v>
      </c>
      <c r="J869" s="140"/>
      <c r="K869" s="137">
        <v>1843.72</v>
      </c>
      <c r="L869" s="35"/>
      <c r="M869" s="85">
        <v>13913.82</v>
      </c>
      <c r="N869" s="38" t="s">
        <v>643</v>
      </c>
      <c r="O869" s="69"/>
      <c r="P869" s="66">
        <v>44562</v>
      </c>
    </row>
    <row r="870" spans="1:16" s="8" customFormat="1" ht="12.75" customHeight="1">
      <c r="A870" s="13">
        <f t="shared" si="18"/>
        <v>851</v>
      </c>
      <c r="B870" s="45" t="s">
        <v>1030</v>
      </c>
      <c r="C870" s="23" t="s">
        <v>763</v>
      </c>
      <c r="D870" s="24" t="s">
        <v>770</v>
      </c>
      <c r="E870" s="23" t="s">
        <v>19</v>
      </c>
      <c r="F870" s="31" t="s">
        <v>977</v>
      </c>
      <c r="G870" s="31"/>
      <c r="H870" s="34"/>
      <c r="I870" s="84">
        <v>51488.77</v>
      </c>
      <c r="J870" s="140"/>
      <c r="K870" s="137"/>
      <c r="L870" s="35"/>
      <c r="M870" s="85"/>
      <c r="N870" s="38" t="s">
        <v>643</v>
      </c>
      <c r="O870" s="69"/>
      <c r="P870" s="66">
        <v>44562</v>
      </c>
    </row>
    <row r="871" spans="1:16" s="8" customFormat="1" ht="12.75" customHeight="1">
      <c r="A871" s="13">
        <f t="shared" si="18"/>
        <v>852</v>
      </c>
      <c r="B871" s="45" t="s">
        <v>768</v>
      </c>
      <c r="C871" s="23" t="s">
        <v>763</v>
      </c>
      <c r="D871" s="24" t="s">
        <v>770</v>
      </c>
      <c r="E871" s="23" t="s">
        <v>19</v>
      </c>
      <c r="F871" s="31">
        <v>20</v>
      </c>
      <c r="G871" s="31">
        <v>10</v>
      </c>
      <c r="H871" s="34"/>
      <c r="I871" s="84">
        <v>1148.02</v>
      </c>
      <c r="J871" s="140"/>
      <c r="K871" s="137">
        <v>1843.72</v>
      </c>
      <c r="L871" s="35"/>
      <c r="M871" s="85"/>
      <c r="N871" s="38" t="s">
        <v>643</v>
      </c>
      <c r="O871" s="69"/>
      <c r="P871" s="66">
        <v>44562</v>
      </c>
    </row>
    <row r="872" spans="1:16" s="8" customFormat="1" ht="12.75" customHeight="1">
      <c r="A872" s="13">
        <f t="shared" si="18"/>
        <v>853</v>
      </c>
      <c r="B872" s="45" t="s">
        <v>768</v>
      </c>
      <c r="C872" s="23" t="s">
        <v>763</v>
      </c>
      <c r="D872" s="24" t="s">
        <v>770</v>
      </c>
      <c r="E872" s="23" t="s">
        <v>19</v>
      </c>
      <c r="F872" s="31">
        <v>20</v>
      </c>
      <c r="G872" s="31">
        <v>10</v>
      </c>
      <c r="H872" s="34"/>
      <c r="I872" s="84">
        <v>1148.02</v>
      </c>
      <c r="J872" s="140"/>
      <c r="K872" s="137">
        <v>1843.72</v>
      </c>
      <c r="L872" s="35"/>
      <c r="M872" s="85"/>
      <c r="N872" s="38" t="s">
        <v>643</v>
      </c>
      <c r="O872" s="69"/>
      <c r="P872" s="66">
        <v>44713</v>
      </c>
    </row>
    <row r="873" spans="1:16" s="8" customFormat="1" ht="12.75" customHeight="1">
      <c r="A873" s="13">
        <f t="shared" si="18"/>
        <v>854</v>
      </c>
      <c r="B873" s="45" t="s">
        <v>1030</v>
      </c>
      <c r="C873" s="23" t="s">
        <v>763</v>
      </c>
      <c r="D873" s="24" t="s">
        <v>770</v>
      </c>
      <c r="E873" s="23" t="s">
        <v>19</v>
      </c>
      <c r="F873" s="31" t="s">
        <v>977</v>
      </c>
      <c r="G873" s="31"/>
      <c r="H873" s="34"/>
      <c r="I873" s="84">
        <v>51488.77</v>
      </c>
      <c r="J873" s="140"/>
      <c r="K873" s="137"/>
      <c r="L873" s="35"/>
      <c r="M873" s="85"/>
      <c r="N873" s="38" t="s">
        <v>643</v>
      </c>
      <c r="O873" s="69"/>
      <c r="P873" s="66">
        <v>44713</v>
      </c>
    </row>
    <row r="874" spans="1:16" s="8" customFormat="1" ht="12.75" customHeight="1">
      <c r="A874" s="13">
        <f t="shared" si="18"/>
        <v>855</v>
      </c>
      <c r="B874" s="45" t="s">
        <v>768</v>
      </c>
      <c r="C874" s="23" t="s">
        <v>763</v>
      </c>
      <c r="D874" s="24" t="s">
        <v>770</v>
      </c>
      <c r="E874" s="23" t="s">
        <v>19</v>
      </c>
      <c r="F874" s="31">
        <v>20</v>
      </c>
      <c r="G874" s="31">
        <v>10</v>
      </c>
      <c r="H874" s="34"/>
      <c r="I874" s="84">
        <v>1268.19</v>
      </c>
      <c r="J874" s="140"/>
      <c r="K874" s="137">
        <v>2039.77</v>
      </c>
      <c r="L874" s="35"/>
      <c r="M874" s="85"/>
      <c r="N874" s="38" t="s">
        <v>643</v>
      </c>
      <c r="O874" s="69"/>
      <c r="P874" s="66">
        <v>45078</v>
      </c>
    </row>
    <row r="875" spans="1:16" s="8" customFormat="1" ht="13.5" customHeight="1">
      <c r="A875" s="13">
        <f t="shared" si="18"/>
        <v>856</v>
      </c>
      <c r="B875" s="45" t="s">
        <v>1030</v>
      </c>
      <c r="C875" s="23" t="s">
        <v>763</v>
      </c>
      <c r="D875" s="24" t="s">
        <v>770</v>
      </c>
      <c r="E875" s="23" t="s">
        <v>19</v>
      </c>
      <c r="F875" s="31" t="s">
        <v>977</v>
      </c>
      <c r="G875" s="31"/>
      <c r="H875" s="34"/>
      <c r="I875" s="84">
        <v>52025.2</v>
      </c>
      <c r="J875" s="140"/>
      <c r="K875" s="137"/>
      <c r="L875" s="35"/>
      <c r="M875" s="85"/>
      <c r="N875" s="38" t="s">
        <v>643</v>
      </c>
      <c r="O875" s="69"/>
      <c r="P875" s="66">
        <v>45078</v>
      </c>
    </row>
    <row r="876" spans="1:16" s="8" customFormat="1" ht="12.75" customHeight="1">
      <c r="A876" s="13">
        <f t="shared" ref="A876:A939" si="19">A875+1</f>
        <v>857</v>
      </c>
      <c r="B876" s="45" t="s">
        <v>768</v>
      </c>
      <c r="C876" s="23" t="s">
        <v>763</v>
      </c>
      <c r="D876" s="24" t="s">
        <v>770</v>
      </c>
      <c r="E876" s="23" t="s">
        <v>19</v>
      </c>
      <c r="F876" s="31">
        <v>20</v>
      </c>
      <c r="G876" s="31">
        <v>10</v>
      </c>
      <c r="H876" s="34"/>
      <c r="I876" s="84">
        <v>1459.75</v>
      </c>
      <c r="J876" s="140"/>
      <c r="K876" s="137">
        <v>2347.5100000000002</v>
      </c>
      <c r="L876" s="35"/>
      <c r="M876" s="85"/>
      <c r="N876" s="38" t="s">
        <v>643</v>
      </c>
      <c r="O876" s="69"/>
      <c r="P876" s="66">
        <v>45352</v>
      </c>
    </row>
    <row r="877" spans="1:16" s="8" customFormat="1" ht="12.75" customHeight="1">
      <c r="A877" s="13">
        <f t="shared" si="19"/>
        <v>858</v>
      </c>
      <c r="B877" s="45" t="s">
        <v>768</v>
      </c>
      <c r="C877" s="23" t="s">
        <v>763</v>
      </c>
      <c r="D877" s="24" t="s">
        <v>770</v>
      </c>
      <c r="E877" s="23" t="s">
        <v>19</v>
      </c>
      <c r="F877" s="31">
        <v>19</v>
      </c>
      <c r="G877" s="31">
        <v>11</v>
      </c>
      <c r="H877" s="34"/>
      <c r="I877" s="84">
        <v>1506.46</v>
      </c>
      <c r="J877" s="140"/>
      <c r="K877" s="137">
        <v>2186.08</v>
      </c>
      <c r="L877" s="35"/>
      <c r="M877" s="85"/>
      <c r="N877" s="38" t="s">
        <v>643</v>
      </c>
      <c r="O877" s="69"/>
      <c r="P877" s="66">
        <v>45352</v>
      </c>
    </row>
    <row r="878" spans="1:16" s="8" customFormat="1" ht="12.75" customHeight="1">
      <c r="A878" s="13">
        <f t="shared" si="19"/>
        <v>859</v>
      </c>
      <c r="B878" s="45" t="s">
        <v>768</v>
      </c>
      <c r="C878" s="23" t="s">
        <v>763</v>
      </c>
      <c r="D878" s="24" t="s">
        <v>770</v>
      </c>
      <c r="E878" s="23" t="s">
        <v>19</v>
      </c>
      <c r="F878" s="31">
        <v>18</v>
      </c>
      <c r="G878" s="31">
        <v>12</v>
      </c>
      <c r="H878" s="34"/>
      <c r="I878" s="84">
        <v>1558.39</v>
      </c>
      <c r="J878" s="140"/>
      <c r="K878" s="137">
        <v>2051.37</v>
      </c>
      <c r="L878" s="35"/>
      <c r="M878" s="85"/>
      <c r="N878" s="38" t="s">
        <v>643</v>
      </c>
      <c r="O878" s="69"/>
      <c r="P878" s="66">
        <v>45352</v>
      </c>
    </row>
    <row r="879" spans="1:16" s="8" customFormat="1" ht="12.75" customHeight="1">
      <c r="A879" s="13">
        <f t="shared" si="19"/>
        <v>860</v>
      </c>
      <c r="B879" s="45" t="s">
        <v>768</v>
      </c>
      <c r="C879" s="23" t="s">
        <v>763</v>
      </c>
      <c r="D879" s="24" t="s">
        <v>770</v>
      </c>
      <c r="E879" s="23" t="s">
        <v>19</v>
      </c>
      <c r="F879" s="31">
        <v>17</v>
      </c>
      <c r="G879" s="31">
        <v>13</v>
      </c>
      <c r="H879" s="34"/>
      <c r="I879" s="84">
        <v>1616.41</v>
      </c>
      <c r="J879" s="140"/>
      <c r="K879" s="137">
        <v>1937.77</v>
      </c>
      <c r="L879" s="35"/>
      <c r="M879" s="85"/>
      <c r="N879" s="38" t="s">
        <v>643</v>
      </c>
      <c r="O879" s="69"/>
      <c r="P879" s="66">
        <v>45352</v>
      </c>
    </row>
    <row r="880" spans="1:16" s="8" customFormat="1" ht="12.75" customHeight="1">
      <c r="A880" s="13">
        <f t="shared" si="19"/>
        <v>861</v>
      </c>
      <c r="B880" s="45" t="s">
        <v>768</v>
      </c>
      <c r="C880" s="23" t="s">
        <v>763</v>
      </c>
      <c r="D880" s="24" t="s">
        <v>770</v>
      </c>
      <c r="E880" s="23" t="s">
        <v>19</v>
      </c>
      <c r="F880" s="31">
        <v>16</v>
      </c>
      <c r="G880" s="31">
        <v>14</v>
      </c>
      <c r="H880" s="34"/>
      <c r="I880" s="84">
        <v>1681.7</v>
      </c>
      <c r="J880" s="140"/>
      <c r="K880" s="137">
        <v>1840.18</v>
      </c>
      <c r="L880" s="35"/>
      <c r="M880" s="85"/>
      <c r="N880" s="38" t="s">
        <v>643</v>
      </c>
      <c r="O880" s="69"/>
      <c r="P880" s="66">
        <v>45352</v>
      </c>
    </row>
    <row r="881" spans="1:16" s="8" customFormat="1" ht="12.75" customHeight="1">
      <c r="A881" s="13">
        <f t="shared" si="19"/>
        <v>862</v>
      </c>
      <c r="B881" s="45" t="s">
        <v>768</v>
      </c>
      <c r="C881" s="23" t="s">
        <v>763</v>
      </c>
      <c r="D881" s="24" t="s">
        <v>770</v>
      </c>
      <c r="E881" s="23" t="s">
        <v>19</v>
      </c>
      <c r="F881" s="31">
        <v>15</v>
      </c>
      <c r="G881" s="31"/>
      <c r="H881" s="34"/>
      <c r="I881" s="84">
        <v>1755.68</v>
      </c>
      <c r="J881" s="140"/>
      <c r="K881" s="137"/>
      <c r="L881" s="35"/>
      <c r="M881" s="85"/>
      <c r="N881" s="38" t="s">
        <v>643</v>
      </c>
      <c r="O881" s="69"/>
      <c r="P881" s="66">
        <v>45352</v>
      </c>
    </row>
    <row r="882" spans="1:16" s="8" customFormat="1" ht="12.75" customHeight="1">
      <c r="A882" s="13">
        <f t="shared" si="19"/>
        <v>863</v>
      </c>
      <c r="B882" s="45" t="s">
        <v>768</v>
      </c>
      <c r="C882" s="23" t="s">
        <v>763</v>
      </c>
      <c r="D882" s="24" t="s">
        <v>770</v>
      </c>
      <c r="E882" s="23" t="s">
        <v>19</v>
      </c>
      <c r="F882" s="31">
        <v>20</v>
      </c>
      <c r="G882" s="31">
        <v>10</v>
      </c>
      <c r="H882" s="34"/>
      <c r="I882" s="84">
        <v>1679.9</v>
      </c>
      <c r="J882" s="140"/>
      <c r="K882" s="137">
        <v>2701.34</v>
      </c>
      <c r="L882" s="35"/>
      <c r="M882" s="85">
        <v>20428.93</v>
      </c>
      <c r="N882" s="38" t="s">
        <v>643</v>
      </c>
      <c r="O882" s="69"/>
      <c r="P882" s="66">
        <v>45689</v>
      </c>
    </row>
    <row r="883" spans="1:16" s="8" customFormat="1" ht="12.75" customHeight="1">
      <c r="A883" s="13">
        <f t="shared" si="19"/>
        <v>864</v>
      </c>
      <c r="B883" s="45" t="s">
        <v>768</v>
      </c>
      <c r="C883" s="23" t="s">
        <v>763</v>
      </c>
      <c r="D883" s="24" t="s">
        <v>770</v>
      </c>
      <c r="E883" s="23" t="s">
        <v>19</v>
      </c>
      <c r="F883" s="31">
        <v>19</v>
      </c>
      <c r="G883" s="31">
        <v>11</v>
      </c>
      <c r="H883" s="34"/>
      <c r="I883" s="84">
        <v>1733.67</v>
      </c>
      <c r="J883" s="140"/>
      <c r="K883" s="137">
        <v>2515.62</v>
      </c>
      <c r="L883" s="35"/>
      <c r="M883" s="85"/>
      <c r="N883" s="38" t="s">
        <v>643</v>
      </c>
      <c r="O883" s="69"/>
      <c r="P883" s="66">
        <v>45689</v>
      </c>
    </row>
    <row r="884" spans="1:16" s="8" customFormat="1" ht="12.75" customHeight="1">
      <c r="A884" s="13">
        <f t="shared" si="19"/>
        <v>865</v>
      </c>
      <c r="B884" s="45" t="s">
        <v>768</v>
      </c>
      <c r="C884" s="23" t="s">
        <v>763</v>
      </c>
      <c r="D884" s="24" t="s">
        <v>770</v>
      </c>
      <c r="E884" s="23" t="s">
        <v>19</v>
      </c>
      <c r="F884" s="31">
        <v>18</v>
      </c>
      <c r="G884" s="31">
        <v>12</v>
      </c>
      <c r="H884" s="34"/>
      <c r="I884" s="84">
        <v>1793.38</v>
      </c>
      <c r="J884" s="140"/>
      <c r="K884" s="137">
        <v>2360.86</v>
      </c>
      <c r="L884" s="35"/>
      <c r="M884" s="85"/>
      <c r="N884" s="38" t="s">
        <v>643</v>
      </c>
      <c r="O884" s="69"/>
      <c r="P884" s="66">
        <v>45689</v>
      </c>
    </row>
    <row r="885" spans="1:16" s="8" customFormat="1" ht="12.75" customHeight="1">
      <c r="A885" s="13">
        <f t="shared" si="19"/>
        <v>866</v>
      </c>
      <c r="B885" s="45" t="s">
        <v>768</v>
      </c>
      <c r="C885" s="23" t="s">
        <v>763</v>
      </c>
      <c r="D885" s="24" t="s">
        <v>770</v>
      </c>
      <c r="E885" s="23" t="s">
        <v>19</v>
      </c>
      <c r="F885" s="31">
        <v>17</v>
      </c>
      <c r="G885" s="31">
        <v>13</v>
      </c>
      <c r="H885" s="34"/>
      <c r="I885" s="84">
        <v>1860.16</v>
      </c>
      <c r="J885" s="140"/>
      <c r="K885" s="137">
        <v>2229.9</v>
      </c>
      <c r="L885" s="35"/>
      <c r="M885" s="85"/>
      <c r="N885" s="38" t="s">
        <v>643</v>
      </c>
      <c r="O885" s="69"/>
      <c r="P885" s="66">
        <v>45689</v>
      </c>
    </row>
    <row r="886" spans="1:16" s="8" customFormat="1" ht="12.75" customHeight="1">
      <c r="A886" s="13">
        <f t="shared" si="19"/>
        <v>867</v>
      </c>
      <c r="B886" s="45" t="s">
        <v>768</v>
      </c>
      <c r="C886" s="23" t="s">
        <v>763</v>
      </c>
      <c r="D886" s="24" t="s">
        <v>770</v>
      </c>
      <c r="E886" s="23" t="s">
        <v>19</v>
      </c>
      <c r="F886" s="31">
        <v>16</v>
      </c>
      <c r="G886" s="31">
        <v>14</v>
      </c>
      <c r="H886" s="34"/>
      <c r="I886" s="84">
        <v>1935.27</v>
      </c>
      <c r="J886" s="140"/>
      <c r="K886" s="137">
        <v>2117.66</v>
      </c>
      <c r="L886" s="35"/>
      <c r="M886" s="85"/>
      <c r="N886" s="38" t="s">
        <v>643</v>
      </c>
      <c r="O886" s="69"/>
      <c r="P886" s="66">
        <v>45689</v>
      </c>
    </row>
    <row r="887" spans="1:16" s="8" customFormat="1" ht="12.75" customHeight="1">
      <c r="A887" s="13">
        <f t="shared" si="19"/>
        <v>868</v>
      </c>
      <c r="B887" s="45" t="s">
        <v>768</v>
      </c>
      <c r="C887" s="23" t="s">
        <v>763</v>
      </c>
      <c r="D887" s="24" t="s">
        <v>770</v>
      </c>
      <c r="E887" s="23" t="s">
        <v>19</v>
      </c>
      <c r="F887" s="31">
        <v>15</v>
      </c>
      <c r="G887" s="31"/>
      <c r="H887" s="34"/>
      <c r="I887" s="84">
        <v>2020.38</v>
      </c>
      <c r="J887" s="140"/>
      <c r="K887" s="137"/>
      <c r="L887" s="35"/>
      <c r="M887" s="85"/>
      <c r="N887" s="38" t="s">
        <v>643</v>
      </c>
      <c r="O887" s="69"/>
      <c r="P887" s="66">
        <v>45689</v>
      </c>
    </row>
    <row r="888" spans="1:16" s="8" customFormat="1">
      <c r="A888" s="13">
        <f t="shared" si="19"/>
        <v>869</v>
      </c>
      <c r="B888" s="45" t="s">
        <v>1030</v>
      </c>
      <c r="C888" s="23" t="s">
        <v>763</v>
      </c>
      <c r="D888" s="24" t="s">
        <v>770</v>
      </c>
      <c r="E888" s="23" t="s">
        <v>19</v>
      </c>
      <c r="F888" s="31" t="s">
        <v>977</v>
      </c>
      <c r="G888" s="31"/>
      <c r="H888" s="34"/>
      <c r="I888" s="84">
        <v>73426.759999999995</v>
      </c>
      <c r="J888" s="140"/>
      <c r="K888" s="137"/>
      <c r="L888" s="35"/>
      <c r="M888" s="85"/>
      <c r="N888" s="38" t="s">
        <v>643</v>
      </c>
      <c r="O888" s="69"/>
      <c r="P888" s="66">
        <v>45352</v>
      </c>
    </row>
    <row r="889" spans="1:16" s="8" customFormat="1">
      <c r="A889" s="13">
        <f t="shared" si="19"/>
        <v>870</v>
      </c>
      <c r="B889" s="45" t="s">
        <v>1030</v>
      </c>
      <c r="C889" s="23" t="s">
        <v>763</v>
      </c>
      <c r="D889" s="24" t="s">
        <v>770</v>
      </c>
      <c r="E889" s="23" t="s">
        <v>19</v>
      </c>
      <c r="F889" s="31" t="s">
        <v>977</v>
      </c>
      <c r="G889" s="31"/>
      <c r="H889" s="34"/>
      <c r="I889" s="84">
        <v>84443.56</v>
      </c>
      <c r="J889" s="140"/>
      <c r="K889" s="137"/>
      <c r="L889" s="35"/>
      <c r="M889" s="85"/>
      <c r="N889" s="38" t="s">
        <v>643</v>
      </c>
      <c r="O889" s="69"/>
      <c r="P889" s="66">
        <v>45689</v>
      </c>
    </row>
    <row r="890" spans="1:16" s="8" customFormat="1">
      <c r="A890" s="13">
        <f t="shared" si="19"/>
        <v>871</v>
      </c>
      <c r="B890" s="158" t="s">
        <v>768</v>
      </c>
      <c r="C890" s="23" t="s">
        <v>763</v>
      </c>
      <c r="D890" s="24" t="s">
        <v>770</v>
      </c>
      <c r="E890" s="23" t="s">
        <v>19</v>
      </c>
      <c r="F890" s="31">
        <v>20</v>
      </c>
      <c r="G890" s="31">
        <v>10</v>
      </c>
      <c r="H890" s="34"/>
      <c r="I890" s="84">
        <v>1843.64</v>
      </c>
      <c r="J890" s="140"/>
      <c r="K890" s="137">
        <v>2965.99</v>
      </c>
      <c r="L890" s="35"/>
      <c r="M890" s="85">
        <v>22447.41</v>
      </c>
      <c r="N890" s="38" t="s">
        <v>643</v>
      </c>
      <c r="O890" s="69"/>
      <c r="P890" s="193">
        <v>46082</v>
      </c>
    </row>
    <row r="891" spans="1:16" s="8" customFormat="1">
      <c r="A891" s="13">
        <f t="shared" si="19"/>
        <v>872</v>
      </c>
      <c r="B891" s="158" t="s">
        <v>768</v>
      </c>
      <c r="C891" s="23" t="s">
        <v>763</v>
      </c>
      <c r="D891" s="24" t="s">
        <v>770</v>
      </c>
      <c r="E891" s="23" t="s">
        <v>19</v>
      </c>
      <c r="F891" s="31">
        <v>19</v>
      </c>
      <c r="G891" s="31">
        <v>11</v>
      </c>
      <c r="H891" s="34"/>
      <c r="I891" s="84">
        <v>1902.68</v>
      </c>
      <c r="J891" s="140"/>
      <c r="K891" s="137">
        <v>2761.94</v>
      </c>
      <c r="L891" s="35"/>
      <c r="M891" s="85"/>
      <c r="N891" s="38" t="s">
        <v>643</v>
      </c>
      <c r="O891" s="69"/>
      <c r="P891" s="193">
        <v>46082</v>
      </c>
    </row>
    <row r="892" spans="1:16" s="8" customFormat="1">
      <c r="A892" s="13">
        <f t="shared" si="19"/>
        <v>873</v>
      </c>
      <c r="B892" s="158" t="s">
        <v>768</v>
      </c>
      <c r="C892" s="23" t="s">
        <v>763</v>
      </c>
      <c r="D892" s="24" t="s">
        <v>770</v>
      </c>
      <c r="E892" s="23" t="s">
        <v>19</v>
      </c>
      <c r="F892" s="31">
        <v>18</v>
      </c>
      <c r="G892" s="31">
        <v>12</v>
      </c>
      <c r="H892" s="34"/>
      <c r="I892" s="84">
        <v>1968.31</v>
      </c>
      <c r="J892" s="140"/>
      <c r="K892" s="137">
        <v>2591.88</v>
      </c>
      <c r="L892" s="35"/>
      <c r="M892" s="85"/>
      <c r="N892" s="38" t="s">
        <v>643</v>
      </c>
      <c r="O892" s="69"/>
      <c r="P892" s="193">
        <v>46082</v>
      </c>
    </row>
    <row r="893" spans="1:16" s="8" customFormat="1">
      <c r="A893" s="13">
        <f t="shared" si="19"/>
        <v>874</v>
      </c>
      <c r="B893" s="158" t="s">
        <v>768</v>
      </c>
      <c r="C893" s="23" t="s">
        <v>763</v>
      </c>
      <c r="D893" s="24" t="s">
        <v>770</v>
      </c>
      <c r="E893" s="23" t="s">
        <v>19</v>
      </c>
      <c r="F893" s="31">
        <v>17</v>
      </c>
      <c r="G893" s="31">
        <v>13</v>
      </c>
      <c r="H893" s="34"/>
      <c r="I893" s="84">
        <v>2041.69</v>
      </c>
      <c r="J893" s="140"/>
      <c r="K893" s="137">
        <v>2447.9899999999998</v>
      </c>
      <c r="L893" s="35"/>
      <c r="M893" s="85"/>
      <c r="N893" s="38" t="s">
        <v>643</v>
      </c>
      <c r="O893" s="69"/>
      <c r="P893" s="193">
        <v>46082</v>
      </c>
    </row>
    <row r="894" spans="1:16" s="8" customFormat="1">
      <c r="A894" s="13">
        <f t="shared" si="19"/>
        <v>875</v>
      </c>
      <c r="B894" s="158" t="s">
        <v>768</v>
      </c>
      <c r="C894" s="23" t="s">
        <v>763</v>
      </c>
      <c r="D894" s="24" t="s">
        <v>770</v>
      </c>
      <c r="E894" s="23" t="s">
        <v>19</v>
      </c>
      <c r="F894" s="31">
        <v>16</v>
      </c>
      <c r="G894" s="31">
        <v>14</v>
      </c>
      <c r="H894" s="34"/>
      <c r="I894" s="84">
        <v>2124.23</v>
      </c>
      <c r="J894" s="140"/>
      <c r="K894" s="137">
        <v>2324.64</v>
      </c>
      <c r="L894" s="35"/>
      <c r="M894" s="85"/>
      <c r="N894" s="38" t="s">
        <v>643</v>
      </c>
      <c r="O894" s="69"/>
      <c r="P894" s="193">
        <v>46082</v>
      </c>
    </row>
    <row r="895" spans="1:16" s="8" customFormat="1">
      <c r="A895" s="13">
        <f t="shared" si="19"/>
        <v>876</v>
      </c>
      <c r="B895" s="158" t="s">
        <v>768</v>
      </c>
      <c r="C895" s="23" t="s">
        <v>763</v>
      </c>
      <c r="D895" s="24" t="s">
        <v>770</v>
      </c>
      <c r="E895" s="23" t="s">
        <v>19</v>
      </c>
      <c r="F895" s="31">
        <v>15</v>
      </c>
      <c r="G895" s="31"/>
      <c r="H895" s="34"/>
      <c r="I895" s="84">
        <v>2217.75</v>
      </c>
      <c r="J895" s="140"/>
      <c r="K895" s="137"/>
      <c r="L895" s="35"/>
      <c r="M895" s="85"/>
      <c r="N895" s="38" t="s">
        <v>643</v>
      </c>
      <c r="O895" s="69"/>
      <c r="P895" s="193">
        <v>46082</v>
      </c>
    </row>
    <row r="896" spans="1:16" s="8" customFormat="1">
      <c r="A896" s="13">
        <f t="shared" si="19"/>
        <v>877</v>
      </c>
      <c r="B896" s="158" t="s">
        <v>1030</v>
      </c>
      <c r="C896" s="23" t="s">
        <v>763</v>
      </c>
      <c r="D896" s="24" t="s">
        <v>770</v>
      </c>
      <c r="E896" s="23" t="s">
        <v>19</v>
      </c>
      <c r="F896" s="31" t="s">
        <v>977</v>
      </c>
      <c r="G896" s="31"/>
      <c r="H896" s="34"/>
      <c r="I896" s="84">
        <v>107063.32</v>
      </c>
      <c r="J896" s="140"/>
      <c r="K896" s="137"/>
      <c r="L896" s="35"/>
      <c r="M896" s="85"/>
      <c r="N896" s="38" t="s">
        <v>643</v>
      </c>
      <c r="O896" s="69"/>
      <c r="P896" s="193">
        <v>46082</v>
      </c>
    </row>
    <row r="897" spans="1:16" s="8" customFormat="1" ht="12.75" customHeight="1">
      <c r="A897" s="13">
        <f t="shared" si="19"/>
        <v>878</v>
      </c>
      <c r="B897" s="45" t="s">
        <v>868</v>
      </c>
      <c r="C897" s="23" t="s">
        <v>763</v>
      </c>
      <c r="D897" s="24" t="s">
        <v>842</v>
      </c>
      <c r="E897" s="23" t="s">
        <v>19</v>
      </c>
      <c r="F897" s="31">
        <v>20</v>
      </c>
      <c r="G897" s="31">
        <v>10</v>
      </c>
      <c r="H897" s="34"/>
      <c r="I897" s="84">
        <v>1616.36</v>
      </c>
      <c r="J897" s="140"/>
      <c r="K897" s="137">
        <v>2776.03</v>
      </c>
      <c r="L897" s="35"/>
      <c r="M897" s="85">
        <v>9683.1299999999992</v>
      </c>
      <c r="N897" s="38" t="s">
        <v>643</v>
      </c>
      <c r="O897" s="69">
        <v>610</v>
      </c>
      <c r="P897" s="66">
        <v>43617</v>
      </c>
    </row>
    <row r="898" spans="1:16" s="8" customFormat="1" ht="12.75" customHeight="1">
      <c r="A898" s="13">
        <f t="shared" si="19"/>
        <v>879</v>
      </c>
      <c r="B898" s="45" t="s">
        <v>868</v>
      </c>
      <c r="C898" s="23" t="s">
        <v>763</v>
      </c>
      <c r="D898" s="24" t="s">
        <v>842</v>
      </c>
      <c r="E898" s="23" t="s">
        <v>19</v>
      </c>
      <c r="F898" s="31">
        <v>20</v>
      </c>
      <c r="G898" s="31">
        <v>10</v>
      </c>
      <c r="H898" s="34"/>
      <c r="I898" s="84">
        <v>1132.96</v>
      </c>
      <c r="J898" s="140"/>
      <c r="K898" s="137">
        <v>1828.66</v>
      </c>
      <c r="L898" s="35"/>
      <c r="M898" s="85">
        <v>13913.82</v>
      </c>
      <c r="N898" s="38" t="s">
        <v>643</v>
      </c>
      <c r="O898" s="69"/>
      <c r="P898" s="66">
        <v>44562</v>
      </c>
    </row>
    <row r="899" spans="1:16" s="8" customFormat="1" ht="12.75" customHeight="1">
      <c r="A899" s="13">
        <f t="shared" si="19"/>
        <v>880</v>
      </c>
      <c r="B899" s="45" t="s">
        <v>1033</v>
      </c>
      <c r="C899" s="23" t="s">
        <v>763</v>
      </c>
      <c r="D899" s="24" t="s">
        <v>842</v>
      </c>
      <c r="E899" s="23" t="s">
        <v>19</v>
      </c>
      <c r="F899" s="31" t="s">
        <v>977</v>
      </c>
      <c r="G899" s="31"/>
      <c r="H899" s="34"/>
      <c r="I899" s="84">
        <v>51488.77</v>
      </c>
      <c r="J899" s="140"/>
      <c r="K899" s="137"/>
      <c r="L899" s="35"/>
      <c r="M899" s="85"/>
      <c r="N899" s="38" t="s">
        <v>643</v>
      </c>
      <c r="O899" s="69"/>
      <c r="P899" s="66">
        <v>44562</v>
      </c>
    </row>
    <row r="900" spans="1:16" s="8" customFormat="1" ht="12.75" customHeight="1">
      <c r="A900" s="13">
        <f t="shared" si="19"/>
        <v>881</v>
      </c>
      <c r="B900" s="45" t="s">
        <v>868</v>
      </c>
      <c r="C900" s="23" t="s">
        <v>763</v>
      </c>
      <c r="D900" s="24" t="s">
        <v>842</v>
      </c>
      <c r="E900" s="23" t="s">
        <v>19</v>
      </c>
      <c r="F900" s="31">
        <v>20</v>
      </c>
      <c r="G900" s="31">
        <v>10</v>
      </c>
      <c r="H900" s="34"/>
      <c r="I900" s="84">
        <v>1251.94</v>
      </c>
      <c r="J900" s="140"/>
      <c r="K900" s="137">
        <v>2023.52</v>
      </c>
      <c r="L900" s="35"/>
      <c r="M900" s="85"/>
      <c r="N900" s="38" t="s">
        <v>643</v>
      </c>
      <c r="O900" s="69"/>
      <c r="P900" s="66">
        <v>45078</v>
      </c>
    </row>
    <row r="901" spans="1:16" s="8" customFormat="1" ht="12.75" customHeight="1">
      <c r="A901" s="13">
        <f t="shared" si="19"/>
        <v>882</v>
      </c>
      <c r="B901" s="45" t="s">
        <v>1033</v>
      </c>
      <c r="C901" s="23" t="s">
        <v>763</v>
      </c>
      <c r="D901" s="24" t="s">
        <v>842</v>
      </c>
      <c r="E901" s="23" t="s">
        <v>19</v>
      </c>
      <c r="F901" s="31" t="s">
        <v>977</v>
      </c>
      <c r="G901" s="31"/>
      <c r="H901" s="34"/>
      <c r="I901" s="84">
        <v>52025.2</v>
      </c>
      <c r="J901" s="140"/>
      <c r="K901" s="137"/>
      <c r="L901" s="35"/>
      <c r="M901" s="85"/>
      <c r="N901" s="38" t="s">
        <v>643</v>
      </c>
      <c r="O901" s="69"/>
      <c r="P901" s="66">
        <v>45078</v>
      </c>
    </row>
    <row r="902" spans="1:16" s="8" customFormat="1" ht="12.75" customHeight="1">
      <c r="A902" s="13">
        <f t="shared" si="19"/>
        <v>883</v>
      </c>
      <c r="B902" s="52" t="s">
        <v>868</v>
      </c>
      <c r="C902" s="23" t="s">
        <v>763</v>
      </c>
      <c r="D902" s="24" t="s">
        <v>842</v>
      </c>
      <c r="E902" s="23" t="s">
        <v>19</v>
      </c>
      <c r="F902" s="31">
        <v>20</v>
      </c>
      <c r="G902" s="31">
        <v>10</v>
      </c>
      <c r="H902" s="34"/>
      <c r="I902" s="84">
        <v>1597.22</v>
      </c>
      <c r="J902" s="140"/>
      <c r="K902" s="137">
        <v>2737.71</v>
      </c>
      <c r="L902" s="35"/>
      <c r="M902" s="85"/>
      <c r="N902" s="38" t="s">
        <v>643</v>
      </c>
      <c r="O902" s="69"/>
      <c r="P902" s="66">
        <v>43922</v>
      </c>
    </row>
    <row r="903" spans="1:16" s="8" customFormat="1" ht="12.75" customHeight="1">
      <c r="A903" s="13">
        <f t="shared" si="19"/>
        <v>884</v>
      </c>
      <c r="B903" s="45" t="s">
        <v>868</v>
      </c>
      <c r="C903" s="23" t="s">
        <v>763</v>
      </c>
      <c r="D903" s="24" t="s">
        <v>842</v>
      </c>
      <c r="E903" s="23" t="s">
        <v>19</v>
      </c>
      <c r="F903" s="31">
        <v>20</v>
      </c>
      <c r="G903" s="31">
        <v>10</v>
      </c>
      <c r="H903" s="34"/>
      <c r="I903" s="84">
        <v>1440.54</v>
      </c>
      <c r="J903" s="140"/>
      <c r="K903" s="137">
        <v>2328.29</v>
      </c>
      <c r="L903" s="35"/>
      <c r="M903" s="85">
        <v>17755.28</v>
      </c>
      <c r="N903" s="38" t="s">
        <v>643</v>
      </c>
      <c r="O903" s="69"/>
      <c r="P903" s="66">
        <v>45352</v>
      </c>
    </row>
    <row r="904" spans="1:16" s="8" customFormat="1" ht="12.75" customHeight="1">
      <c r="A904" s="13">
        <f t="shared" si="19"/>
        <v>885</v>
      </c>
      <c r="B904" s="45" t="s">
        <v>868</v>
      </c>
      <c r="C904" s="23" t="s">
        <v>763</v>
      </c>
      <c r="D904" s="24" t="s">
        <v>842</v>
      </c>
      <c r="E904" s="23" t="s">
        <v>19</v>
      </c>
      <c r="F904" s="31">
        <v>19</v>
      </c>
      <c r="G904" s="31">
        <v>11</v>
      </c>
      <c r="H904" s="34"/>
      <c r="I904" s="84">
        <v>1487.25</v>
      </c>
      <c r="J904" s="140"/>
      <c r="K904" s="137">
        <v>2166.87</v>
      </c>
      <c r="L904" s="35"/>
      <c r="M904" s="85"/>
      <c r="N904" s="38" t="s">
        <v>643</v>
      </c>
      <c r="O904" s="69"/>
      <c r="P904" s="66">
        <v>45352</v>
      </c>
    </row>
    <row r="905" spans="1:16" s="8" customFormat="1" ht="12.75" customHeight="1">
      <c r="A905" s="13">
        <f t="shared" si="19"/>
        <v>886</v>
      </c>
      <c r="B905" s="45" t="s">
        <v>868</v>
      </c>
      <c r="C905" s="23" t="s">
        <v>763</v>
      </c>
      <c r="D905" s="24" t="s">
        <v>842</v>
      </c>
      <c r="E905" s="23" t="s">
        <v>19</v>
      </c>
      <c r="F905" s="31">
        <v>18</v>
      </c>
      <c r="G905" s="31">
        <v>12</v>
      </c>
      <c r="H905" s="34"/>
      <c r="I905" s="84">
        <v>1539.17</v>
      </c>
      <c r="J905" s="140"/>
      <c r="K905" s="137">
        <v>2032.35</v>
      </c>
      <c r="L905" s="35"/>
      <c r="M905" s="85"/>
      <c r="N905" s="38" t="s">
        <v>643</v>
      </c>
      <c r="O905" s="69"/>
      <c r="P905" s="66">
        <v>45352</v>
      </c>
    </row>
    <row r="906" spans="1:16" s="8" customFormat="1" ht="12.75" customHeight="1">
      <c r="A906" s="13">
        <f t="shared" si="19"/>
        <v>887</v>
      </c>
      <c r="B906" s="45" t="s">
        <v>868</v>
      </c>
      <c r="C906" s="23" t="s">
        <v>763</v>
      </c>
      <c r="D906" s="24" t="s">
        <v>842</v>
      </c>
      <c r="E906" s="23" t="s">
        <v>19</v>
      </c>
      <c r="F906" s="31">
        <v>17</v>
      </c>
      <c r="G906" s="31">
        <v>13</v>
      </c>
      <c r="H906" s="34"/>
      <c r="I906" s="84">
        <v>1597.2</v>
      </c>
      <c r="J906" s="140"/>
      <c r="K906" s="137">
        <v>1918.56</v>
      </c>
      <c r="L906" s="35"/>
      <c r="M906" s="85"/>
      <c r="N906" s="38" t="s">
        <v>643</v>
      </c>
      <c r="O906" s="69"/>
      <c r="P906" s="66">
        <v>45352</v>
      </c>
    </row>
    <row r="907" spans="1:16" s="8" customFormat="1" ht="12.75" customHeight="1">
      <c r="A907" s="13">
        <f t="shared" si="19"/>
        <v>888</v>
      </c>
      <c r="B907" s="45" t="s">
        <v>868</v>
      </c>
      <c r="C907" s="23" t="s">
        <v>763</v>
      </c>
      <c r="D907" s="24" t="s">
        <v>842</v>
      </c>
      <c r="E907" s="23" t="s">
        <v>19</v>
      </c>
      <c r="F907" s="31">
        <v>16</v>
      </c>
      <c r="G907" s="31">
        <v>14</v>
      </c>
      <c r="H907" s="34"/>
      <c r="I907" s="84">
        <v>1662.49</v>
      </c>
      <c r="J907" s="140"/>
      <c r="K907" s="137">
        <v>1820.97</v>
      </c>
      <c r="L907" s="35"/>
      <c r="M907" s="85"/>
      <c r="N907" s="38" t="s">
        <v>643</v>
      </c>
      <c r="O907" s="69"/>
      <c r="P907" s="66">
        <v>45352</v>
      </c>
    </row>
    <row r="908" spans="1:16" s="8" customFormat="1" ht="12.75" customHeight="1">
      <c r="A908" s="13">
        <f t="shared" si="19"/>
        <v>889</v>
      </c>
      <c r="B908" s="45" t="s">
        <v>868</v>
      </c>
      <c r="C908" s="23" t="s">
        <v>763</v>
      </c>
      <c r="D908" s="24" t="s">
        <v>842</v>
      </c>
      <c r="E908" s="23" t="s">
        <v>19</v>
      </c>
      <c r="F908" s="31">
        <v>15</v>
      </c>
      <c r="G908" s="31"/>
      <c r="H908" s="34"/>
      <c r="I908" s="84">
        <v>1736.47</v>
      </c>
      <c r="J908" s="140"/>
      <c r="K908" s="137"/>
      <c r="L908" s="35"/>
      <c r="M908" s="85"/>
      <c r="N908" s="38" t="s">
        <v>643</v>
      </c>
      <c r="O908" s="69"/>
      <c r="P908" s="66">
        <v>45352</v>
      </c>
    </row>
    <row r="909" spans="1:16" s="8" customFormat="1" ht="12.75" customHeight="1">
      <c r="A909" s="13">
        <f t="shared" si="19"/>
        <v>890</v>
      </c>
      <c r="B909" s="45" t="s">
        <v>868</v>
      </c>
      <c r="C909" s="23" t="s">
        <v>763</v>
      </c>
      <c r="D909" s="24" t="s">
        <v>842</v>
      </c>
      <c r="E909" s="23" t="s">
        <v>19</v>
      </c>
      <c r="F909" s="31">
        <v>20</v>
      </c>
      <c r="G909" s="31">
        <v>10</v>
      </c>
      <c r="H909" s="34"/>
      <c r="I909" s="84">
        <v>1658.46</v>
      </c>
      <c r="J909" s="140"/>
      <c r="K909" s="137">
        <v>2679.9</v>
      </c>
      <c r="L909" s="35"/>
      <c r="M909" s="85">
        <v>20428.93</v>
      </c>
      <c r="N909" s="38" t="s">
        <v>643</v>
      </c>
      <c r="O909" s="69"/>
      <c r="P909" s="66">
        <v>45689</v>
      </c>
    </row>
    <row r="910" spans="1:16" s="8" customFormat="1" ht="12.75" customHeight="1">
      <c r="A910" s="13">
        <f t="shared" si="19"/>
        <v>891</v>
      </c>
      <c r="B910" s="45" t="s">
        <v>868</v>
      </c>
      <c r="C910" s="23" t="s">
        <v>763</v>
      </c>
      <c r="D910" s="24" t="s">
        <v>842</v>
      </c>
      <c r="E910" s="23" t="s">
        <v>19</v>
      </c>
      <c r="F910" s="31">
        <v>19</v>
      </c>
      <c r="G910" s="31">
        <v>11</v>
      </c>
      <c r="H910" s="34"/>
      <c r="I910" s="84">
        <v>1712.24</v>
      </c>
      <c r="J910" s="140"/>
      <c r="K910" s="137">
        <v>2494.1999999999998</v>
      </c>
      <c r="L910" s="35"/>
      <c r="M910" s="85"/>
      <c r="N910" s="38" t="s">
        <v>643</v>
      </c>
      <c r="O910" s="69"/>
      <c r="P910" s="66">
        <v>45689</v>
      </c>
    </row>
    <row r="911" spans="1:16" s="8" customFormat="1" ht="12.75" customHeight="1">
      <c r="A911" s="13">
        <f t="shared" si="19"/>
        <v>892</v>
      </c>
      <c r="B911" s="45" t="s">
        <v>868</v>
      </c>
      <c r="C911" s="23" t="s">
        <v>763</v>
      </c>
      <c r="D911" s="24" t="s">
        <v>842</v>
      </c>
      <c r="E911" s="23" t="s">
        <v>19</v>
      </c>
      <c r="F911" s="31">
        <v>18</v>
      </c>
      <c r="G911" s="31">
        <v>12</v>
      </c>
      <c r="H911" s="34"/>
      <c r="I911" s="84">
        <v>1771.95</v>
      </c>
      <c r="J911" s="140"/>
      <c r="K911" s="137">
        <v>2339.42</v>
      </c>
      <c r="L911" s="35"/>
      <c r="M911" s="85"/>
      <c r="N911" s="38" t="s">
        <v>643</v>
      </c>
      <c r="O911" s="69"/>
      <c r="P911" s="66">
        <v>45689</v>
      </c>
    </row>
    <row r="912" spans="1:16" s="8" customFormat="1" ht="12.75" customHeight="1">
      <c r="A912" s="13">
        <f t="shared" si="19"/>
        <v>893</v>
      </c>
      <c r="B912" s="45" t="s">
        <v>868</v>
      </c>
      <c r="C912" s="23" t="s">
        <v>763</v>
      </c>
      <c r="D912" s="24" t="s">
        <v>842</v>
      </c>
      <c r="E912" s="23" t="s">
        <v>19</v>
      </c>
      <c r="F912" s="31">
        <v>17</v>
      </c>
      <c r="G912" s="31">
        <v>13</v>
      </c>
      <c r="H912" s="34"/>
      <c r="I912" s="84">
        <v>1838.73</v>
      </c>
      <c r="J912" s="140"/>
      <c r="K912" s="137">
        <v>2208.4699999999998</v>
      </c>
      <c r="L912" s="35"/>
      <c r="M912" s="85"/>
      <c r="N912" s="38" t="s">
        <v>643</v>
      </c>
      <c r="O912" s="69"/>
      <c r="P912" s="66">
        <v>45689</v>
      </c>
    </row>
    <row r="913" spans="1:16" s="8" customFormat="1" ht="12.75" customHeight="1">
      <c r="A913" s="13">
        <f t="shared" si="19"/>
        <v>894</v>
      </c>
      <c r="B913" s="45" t="s">
        <v>868</v>
      </c>
      <c r="C913" s="23" t="s">
        <v>763</v>
      </c>
      <c r="D913" s="24" t="s">
        <v>842</v>
      </c>
      <c r="E913" s="23" t="s">
        <v>19</v>
      </c>
      <c r="F913" s="31">
        <v>16</v>
      </c>
      <c r="G913" s="31">
        <v>14</v>
      </c>
      <c r="H913" s="34"/>
      <c r="I913" s="84">
        <v>1913.84</v>
      </c>
      <c r="J913" s="140"/>
      <c r="K913" s="137">
        <v>2096.2399999999998</v>
      </c>
      <c r="L913" s="35"/>
      <c r="M913" s="85"/>
      <c r="N913" s="38" t="s">
        <v>643</v>
      </c>
      <c r="O913" s="69"/>
      <c r="P913" s="66">
        <v>45689</v>
      </c>
    </row>
    <row r="914" spans="1:16" s="8" customFormat="1" ht="12.75" customHeight="1">
      <c r="A914" s="13">
        <f t="shared" si="19"/>
        <v>895</v>
      </c>
      <c r="B914" s="45" t="s">
        <v>868</v>
      </c>
      <c r="C914" s="23" t="s">
        <v>763</v>
      </c>
      <c r="D914" s="24" t="s">
        <v>842</v>
      </c>
      <c r="E914" s="23" t="s">
        <v>19</v>
      </c>
      <c r="F914" s="31">
        <v>15</v>
      </c>
      <c r="G914" s="31"/>
      <c r="H914" s="34"/>
      <c r="I914" s="84">
        <v>1998.94</v>
      </c>
      <c r="J914" s="140"/>
      <c r="K914" s="137"/>
      <c r="L914" s="35"/>
      <c r="M914" s="85"/>
      <c r="N914" s="38" t="s">
        <v>643</v>
      </c>
      <c r="O914" s="69"/>
      <c r="P914" s="66">
        <v>45689</v>
      </c>
    </row>
    <row r="915" spans="1:16" s="8" customFormat="1" ht="12.75" customHeight="1">
      <c r="A915" s="13">
        <f t="shared" si="19"/>
        <v>896</v>
      </c>
      <c r="B915" s="45" t="s">
        <v>1033</v>
      </c>
      <c r="C915" s="23" t="s">
        <v>763</v>
      </c>
      <c r="D915" s="24" t="s">
        <v>842</v>
      </c>
      <c r="E915" s="23" t="s">
        <v>19</v>
      </c>
      <c r="F915" s="31" t="s">
        <v>977</v>
      </c>
      <c r="G915" s="31"/>
      <c r="H915" s="34"/>
      <c r="I915" s="84">
        <v>73426.759999999995</v>
      </c>
      <c r="J915" s="140"/>
      <c r="K915" s="137"/>
      <c r="L915" s="35"/>
      <c r="M915" s="85"/>
      <c r="N915" s="38" t="s">
        <v>643</v>
      </c>
      <c r="O915" s="69"/>
      <c r="P915" s="66">
        <v>45352</v>
      </c>
    </row>
    <row r="916" spans="1:16" s="8" customFormat="1" ht="12.75" customHeight="1">
      <c r="A916" s="13">
        <f t="shared" si="19"/>
        <v>897</v>
      </c>
      <c r="B916" s="45" t="s">
        <v>1033</v>
      </c>
      <c r="C916" s="23" t="s">
        <v>763</v>
      </c>
      <c r="D916" s="24" t="s">
        <v>842</v>
      </c>
      <c r="E916" s="23" t="s">
        <v>19</v>
      </c>
      <c r="F916" s="31" t="s">
        <v>977</v>
      </c>
      <c r="G916" s="31"/>
      <c r="H916" s="34"/>
      <c r="I916" s="84">
        <v>84443.56</v>
      </c>
      <c r="J916" s="140"/>
      <c r="K916" s="137"/>
      <c r="L916" s="35"/>
      <c r="M916" s="85"/>
      <c r="N916" s="38" t="s">
        <v>643</v>
      </c>
      <c r="O916" s="69"/>
      <c r="P916" s="66">
        <v>45689</v>
      </c>
    </row>
    <row r="917" spans="1:16" s="8" customFormat="1" ht="12.75" customHeight="1">
      <c r="A917" s="13">
        <f t="shared" si="19"/>
        <v>898</v>
      </c>
      <c r="B917" s="158" t="s">
        <v>868</v>
      </c>
      <c r="C917" s="23" t="s">
        <v>763</v>
      </c>
      <c r="D917" s="24" t="s">
        <v>842</v>
      </c>
      <c r="E917" s="23" t="s">
        <v>19</v>
      </c>
      <c r="F917" s="31">
        <v>20</v>
      </c>
      <c r="G917" s="31">
        <v>10</v>
      </c>
      <c r="H917" s="34"/>
      <c r="I917" s="84">
        <v>1819.99</v>
      </c>
      <c r="J917" s="140"/>
      <c r="K917" s="137">
        <v>2942.35</v>
      </c>
      <c r="L917" s="35"/>
      <c r="M917" s="85">
        <v>22447.41</v>
      </c>
      <c r="N917" s="38" t="s">
        <v>643</v>
      </c>
      <c r="O917" s="69"/>
      <c r="P917" s="193">
        <v>46082</v>
      </c>
    </row>
    <row r="918" spans="1:16" s="8" customFormat="1" ht="12.75" customHeight="1">
      <c r="A918" s="13">
        <f t="shared" si="19"/>
        <v>899</v>
      </c>
      <c r="B918" s="158" t="s">
        <v>868</v>
      </c>
      <c r="C918" s="23" t="s">
        <v>763</v>
      </c>
      <c r="D918" s="24" t="s">
        <v>842</v>
      </c>
      <c r="E918" s="23" t="s">
        <v>19</v>
      </c>
      <c r="F918" s="31">
        <v>19</v>
      </c>
      <c r="G918" s="31">
        <v>11</v>
      </c>
      <c r="H918" s="34"/>
      <c r="I918" s="84">
        <v>1879.04</v>
      </c>
      <c r="J918" s="140"/>
      <c r="K918" s="137">
        <v>2738.29</v>
      </c>
      <c r="L918" s="35"/>
      <c r="M918" s="85"/>
      <c r="N918" s="38" t="s">
        <v>643</v>
      </c>
      <c r="O918" s="69"/>
      <c r="P918" s="193">
        <v>46082</v>
      </c>
    </row>
    <row r="919" spans="1:16" s="8" customFormat="1" ht="12.75" customHeight="1">
      <c r="A919" s="13">
        <f t="shared" si="19"/>
        <v>900</v>
      </c>
      <c r="B919" s="158" t="s">
        <v>868</v>
      </c>
      <c r="C919" s="23" t="s">
        <v>763</v>
      </c>
      <c r="D919" s="24" t="s">
        <v>842</v>
      </c>
      <c r="E919" s="23" t="s">
        <v>19</v>
      </c>
      <c r="F919" s="31">
        <v>18</v>
      </c>
      <c r="G919" s="31">
        <v>12</v>
      </c>
      <c r="H919" s="34"/>
      <c r="I919" s="84">
        <v>1944.66</v>
      </c>
      <c r="J919" s="140"/>
      <c r="K919" s="137">
        <v>2568.23</v>
      </c>
      <c r="L919" s="35"/>
      <c r="M919" s="85"/>
      <c r="N919" s="38" t="s">
        <v>643</v>
      </c>
      <c r="O919" s="69"/>
      <c r="P919" s="193">
        <v>46082</v>
      </c>
    </row>
    <row r="920" spans="1:16" s="8" customFormat="1" ht="12.75" customHeight="1">
      <c r="A920" s="13">
        <f t="shared" si="19"/>
        <v>901</v>
      </c>
      <c r="B920" s="158" t="s">
        <v>868</v>
      </c>
      <c r="C920" s="23" t="s">
        <v>763</v>
      </c>
      <c r="D920" s="24" t="s">
        <v>842</v>
      </c>
      <c r="E920" s="23" t="s">
        <v>19</v>
      </c>
      <c r="F920" s="31">
        <v>17</v>
      </c>
      <c r="G920" s="31">
        <v>13</v>
      </c>
      <c r="H920" s="34"/>
      <c r="I920" s="84">
        <v>2018.03</v>
      </c>
      <c r="J920" s="140"/>
      <c r="K920" s="137">
        <v>2424.35</v>
      </c>
      <c r="L920" s="35"/>
      <c r="M920" s="85"/>
      <c r="N920" s="38" t="s">
        <v>643</v>
      </c>
      <c r="O920" s="69"/>
      <c r="P920" s="193">
        <v>46082</v>
      </c>
    </row>
    <row r="921" spans="1:16" s="8" customFormat="1" ht="12.75" customHeight="1">
      <c r="A921" s="13">
        <f t="shared" si="19"/>
        <v>902</v>
      </c>
      <c r="B921" s="158" t="s">
        <v>868</v>
      </c>
      <c r="C921" s="23" t="s">
        <v>763</v>
      </c>
      <c r="D921" s="24" t="s">
        <v>842</v>
      </c>
      <c r="E921" s="23" t="s">
        <v>19</v>
      </c>
      <c r="F921" s="31">
        <v>16</v>
      </c>
      <c r="G921" s="31">
        <v>14</v>
      </c>
      <c r="H921" s="34"/>
      <c r="I921" s="84">
        <v>2100.58</v>
      </c>
      <c r="J921" s="140"/>
      <c r="K921" s="137">
        <v>2300.9899999999998</v>
      </c>
      <c r="L921" s="35"/>
      <c r="M921" s="85"/>
      <c r="N921" s="38" t="s">
        <v>643</v>
      </c>
      <c r="O921" s="69"/>
      <c r="P921" s="193">
        <v>46082</v>
      </c>
    </row>
    <row r="922" spans="1:16" s="8" customFormat="1" ht="12.75" customHeight="1">
      <c r="A922" s="13">
        <f t="shared" si="19"/>
        <v>903</v>
      </c>
      <c r="B922" s="158" t="s">
        <v>868</v>
      </c>
      <c r="C922" s="23" t="s">
        <v>763</v>
      </c>
      <c r="D922" s="24" t="s">
        <v>842</v>
      </c>
      <c r="E922" s="23" t="s">
        <v>19</v>
      </c>
      <c r="F922" s="31">
        <v>15</v>
      </c>
      <c r="G922" s="31"/>
      <c r="H922" s="34"/>
      <c r="I922" s="84">
        <v>2194.11</v>
      </c>
      <c r="J922" s="140"/>
      <c r="K922" s="137"/>
      <c r="L922" s="35"/>
      <c r="M922" s="85"/>
      <c r="N922" s="38" t="s">
        <v>643</v>
      </c>
      <c r="O922" s="69"/>
      <c r="P922" s="193">
        <v>46082</v>
      </c>
    </row>
    <row r="923" spans="1:16" s="8" customFormat="1" ht="12.75" customHeight="1">
      <c r="A923" s="13">
        <f t="shared" si="19"/>
        <v>904</v>
      </c>
      <c r="B923" s="158" t="s">
        <v>1033</v>
      </c>
      <c r="C923" s="23" t="s">
        <v>763</v>
      </c>
      <c r="D923" s="24" t="s">
        <v>842</v>
      </c>
      <c r="E923" s="23" t="s">
        <v>19</v>
      </c>
      <c r="F923" s="31" t="s">
        <v>977</v>
      </c>
      <c r="G923" s="31"/>
      <c r="H923" s="34"/>
      <c r="I923" s="84">
        <v>107063.32</v>
      </c>
      <c r="J923" s="140"/>
      <c r="K923" s="137"/>
      <c r="L923" s="35"/>
      <c r="M923" s="85"/>
      <c r="N923" s="38" t="s">
        <v>643</v>
      </c>
      <c r="O923" s="69"/>
      <c r="P923" s="193">
        <v>46082</v>
      </c>
    </row>
    <row r="924" spans="1:16" s="8" customFormat="1" ht="12.75" customHeight="1">
      <c r="A924" s="13">
        <f t="shared" si="19"/>
        <v>905</v>
      </c>
      <c r="B924" s="52" t="s">
        <v>526</v>
      </c>
      <c r="C924" s="23" t="s">
        <v>527</v>
      </c>
      <c r="D924" s="24" t="s">
        <v>541</v>
      </c>
      <c r="E924" s="23" t="s">
        <v>19</v>
      </c>
      <c r="F924" s="26">
        <v>20</v>
      </c>
      <c r="G924" s="26">
        <v>10</v>
      </c>
      <c r="H924" s="34">
        <v>1584.37</v>
      </c>
      <c r="I924" s="84">
        <v>1620.84</v>
      </c>
      <c r="J924" s="136">
        <v>2181.1799999999998</v>
      </c>
      <c r="K924" s="118">
        <v>2222.15</v>
      </c>
      <c r="L924" s="35">
        <v>9916.06</v>
      </c>
      <c r="M924" s="85">
        <v>10050.64</v>
      </c>
      <c r="N924" s="38" t="s">
        <v>796</v>
      </c>
      <c r="O924" s="40">
        <v>604</v>
      </c>
      <c r="P924" s="66">
        <v>43617</v>
      </c>
    </row>
    <row r="925" spans="1:16" s="8" customFormat="1" ht="12.75" customHeight="1">
      <c r="A925" s="13">
        <f t="shared" si="19"/>
        <v>906</v>
      </c>
      <c r="B925" s="32" t="s">
        <v>1059</v>
      </c>
      <c r="C925" s="23" t="s">
        <v>947</v>
      </c>
      <c r="D925" s="24" t="s">
        <v>101</v>
      </c>
      <c r="E925" s="23" t="s">
        <v>19</v>
      </c>
      <c r="F925" s="31" t="s">
        <v>977</v>
      </c>
      <c r="G925" s="26"/>
      <c r="H925" s="34"/>
      <c r="I925" s="84">
        <v>37700.49</v>
      </c>
      <c r="J925" s="136"/>
      <c r="K925" s="118"/>
      <c r="L925" s="35"/>
      <c r="M925" s="85"/>
      <c r="N925" s="38" t="s">
        <v>796</v>
      </c>
      <c r="O925" s="40"/>
      <c r="P925" s="66">
        <v>44562</v>
      </c>
    </row>
    <row r="926" spans="1:16" s="8" customFormat="1" ht="12.75" customHeight="1">
      <c r="A926" s="13">
        <f t="shared" si="19"/>
        <v>907</v>
      </c>
      <c r="B926" s="32" t="s">
        <v>526</v>
      </c>
      <c r="C926" s="23" t="s">
        <v>947</v>
      </c>
      <c r="D926" s="24" t="s">
        <v>101</v>
      </c>
      <c r="E926" s="23" t="s">
        <v>19</v>
      </c>
      <c r="F926" s="26">
        <v>20</v>
      </c>
      <c r="G926" s="26">
        <v>10</v>
      </c>
      <c r="H926" s="34"/>
      <c r="I926" s="84">
        <v>1169.25</v>
      </c>
      <c r="J926" s="136"/>
      <c r="K926" s="118">
        <v>1888.08</v>
      </c>
      <c r="L926" s="35"/>
      <c r="M926" s="85">
        <v>14376.61</v>
      </c>
      <c r="N926" s="38" t="s">
        <v>796</v>
      </c>
      <c r="O926" s="40"/>
      <c r="P926" s="66">
        <v>44562</v>
      </c>
    </row>
    <row r="927" spans="1:16" s="8" customFormat="1" ht="12.75" customHeight="1">
      <c r="A927" s="13">
        <f t="shared" si="19"/>
        <v>908</v>
      </c>
      <c r="B927" s="32" t="s">
        <v>526</v>
      </c>
      <c r="C927" s="23" t="s">
        <v>947</v>
      </c>
      <c r="D927" s="24" t="s">
        <v>101</v>
      </c>
      <c r="E927" s="23" t="s">
        <v>19</v>
      </c>
      <c r="F927" s="26">
        <v>20</v>
      </c>
      <c r="G927" s="26">
        <v>10</v>
      </c>
      <c r="H927" s="34"/>
      <c r="I927" s="84">
        <v>1250.06</v>
      </c>
      <c r="J927" s="136"/>
      <c r="K927" s="118">
        <v>2022.69</v>
      </c>
      <c r="L927" s="35"/>
      <c r="M927" s="85"/>
      <c r="N927" s="38" t="s">
        <v>796</v>
      </c>
      <c r="O927" s="40"/>
      <c r="P927" s="66">
        <v>45078</v>
      </c>
    </row>
    <row r="928" spans="1:16" s="8" customFormat="1" ht="12.75" customHeight="1">
      <c r="A928" s="13">
        <f t="shared" si="19"/>
        <v>909</v>
      </c>
      <c r="B928" s="32" t="s">
        <v>1059</v>
      </c>
      <c r="C928" s="23" t="s">
        <v>947</v>
      </c>
      <c r="D928" s="24" t="s">
        <v>101</v>
      </c>
      <c r="E928" s="23" t="s">
        <v>19</v>
      </c>
      <c r="F928" s="31" t="s">
        <v>977</v>
      </c>
      <c r="G928" s="26"/>
      <c r="H928" s="34"/>
      <c r="I928" s="84">
        <v>55918.6</v>
      </c>
      <c r="J928" s="136"/>
      <c r="K928" s="118"/>
      <c r="L928" s="35"/>
      <c r="M928" s="85"/>
      <c r="N928" s="38" t="s">
        <v>796</v>
      </c>
      <c r="O928" s="40"/>
      <c r="P928" s="66">
        <v>45078</v>
      </c>
    </row>
    <row r="929" spans="1:16" s="8" customFormat="1" ht="12.75" customHeight="1">
      <c r="A929" s="13">
        <f t="shared" si="19"/>
        <v>910</v>
      </c>
      <c r="B929" s="32" t="s">
        <v>526</v>
      </c>
      <c r="C929" s="23" t="s">
        <v>947</v>
      </c>
      <c r="D929" s="24" t="s">
        <v>101</v>
      </c>
      <c r="E929" s="23" t="s">
        <v>19</v>
      </c>
      <c r="F929" s="26">
        <v>20</v>
      </c>
      <c r="G929" s="26">
        <v>10</v>
      </c>
      <c r="H929" s="34"/>
      <c r="I929" s="84">
        <v>1437.75</v>
      </c>
      <c r="J929" s="136"/>
      <c r="K929" s="118">
        <v>2326.4299999999998</v>
      </c>
      <c r="L929" s="35"/>
      <c r="M929" s="85">
        <v>17773.61</v>
      </c>
      <c r="N929" s="38" t="s">
        <v>796</v>
      </c>
      <c r="O929" s="40"/>
      <c r="P929" s="66">
        <v>45352</v>
      </c>
    </row>
    <row r="930" spans="1:16" s="8" customFormat="1" ht="12.75" customHeight="1">
      <c r="A930" s="13">
        <f t="shared" si="19"/>
        <v>911</v>
      </c>
      <c r="B930" s="32" t="s">
        <v>526</v>
      </c>
      <c r="C930" s="23" t="s">
        <v>947</v>
      </c>
      <c r="D930" s="24" t="s">
        <v>101</v>
      </c>
      <c r="E930" s="23" t="s">
        <v>19</v>
      </c>
      <c r="F930" s="26">
        <v>19</v>
      </c>
      <c r="G930" s="26">
        <v>11</v>
      </c>
      <c r="H930" s="34"/>
      <c r="I930" s="84">
        <v>1484.52</v>
      </c>
      <c r="J930" s="136"/>
      <c r="K930" s="118">
        <v>2164.86</v>
      </c>
      <c r="L930" s="35"/>
      <c r="M930" s="85"/>
      <c r="N930" s="38" t="s">
        <v>796</v>
      </c>
      <c r="O930" s="40"/>
      <c r="P930" s="66">
        <v>45352</v>
      </c>
    </row>
    <row r="931" spans="1:16" s="8" customFormat="1" ht="12.75" customHeight="1">
      <c r="A931" s="13">
        <f t="shared" si="19"/>
        <v>912</v>
      </c>
      <c r="B931" s="32" t="s">
        <v>526</v>
      </c>
      <c r="C931" s="23" t="s">
        <v>947</v>
      </c>
      <c r="D931" s="24" t="s">
        <v>101</v>
      </c>
      <c r="E931" s="23" t="s">
        <v>19</v>
      </c>
      <c r="F931" s="26">
        <v>18</v>
      </c>
      <c r="G931" s="26">
        <v>12</v>
      </c>
      <c r="H931" s="34"/>
      <c r="I931" s="84">
        <v>1536.49</v>
      </c>
      <c r="J931" s="136"/>
      <c r="K931" s="118">
        <v>2030.19</v>
      </c>
      <c r="L931" s="35"/>
      <c r="M931" s="85"/>
      <c r="N931" s="38" t="s">
        <v>796</v>
      </c>
      <c r="O931" s="40"/>
      <c r="P931" s="66">
        <v>45352</v>
      </c>
    </row>
    <row r="932" spans="1:16" s="8" customFormat="1" ht="12.75" customHeight="1">
      <c r="A932" s="13">
        <f t="shared" si="19"/>
        <v>913</v>
      </c>
      <c r="B932" s="32" t="s">
        <v>526</v>
      </c>
      <c r="C932" s="23" t="s">
        <v>947</v>
      </c>
      <c r="D932" s="24" t="s">
        <v>101</v>
      </c>
      <c r="E932" s="23" t="s">
        <v>19</v>
      </c>
      <c r="F932" s="26">
        <v>17</v>
      </c>
      <c r="G932" s="26">
        <v>13</v>
      </c>
      <c r="H932" s="34"/>
      <c r="I932" s="84">
        <v>1594.58</v>
      </c>
      <c r="J932" s="136"/>
      <c r="K932" s="118">
        <v>1916.25</v>
      </c>
      <c r="L932" s="35"/>
      <c r="M932" s="85"/>
      <c r="N932" s="38" t="s">
        <v>796</v>
      </c>
      <c r="O932" s="40"/>
      <c r="P932" s="66">
        <v>45352</v>
      </c>
    </row>
    <row r="933" spans="1:16" s="8" customFormat="1" ht="12.75" customHeight="1">
      <c r="A933" s="13">
        <f t="shared" si="19"/>
        <v>914</v>
      </c>
      <c r="B933" s="32" t="s">
        <v>526</v>
      </c>
      <c r="C933" s="23" t="s">
        <v>947</v>
      </c>
      <c r="D933" s="24" t="s">
        <v>101</v>
      </c>
      <c r="E933" s="23" t="s">
        <v>19</v>
      </c>
      <c r="F933" s="26">
        <v>16</v>
      </c>
      <c r="G933" s="26">
        <v>14</v>
      </c>
      <c r="H933" s="34"/>
      <c r="I933" s="84">
        <v>1659.92</v>
      </c>
      <c r="J933" s="136"/>
      <c r="K933" s="118">
        <v>1818.6</v>
      </c>
      <c r="L933" s="35"/>
      <c r="M933" s="85"/>
      <c r="N933" s="38" t="s">
        <v>796</v>
      </c>
      <c r="O933" s="40"/>
      <c r="P933" s="66">
        <v>45352</v>
      </c>
    </row>
    <row r="934" spans="1:16" s="8" customFormat="1" ht="12.75" customHeight="1">
      <c r="A934" s="13">
        <f t="shared" si="19"/>
        <v>915</v>
      </c>
      <c r="B934" s="32" t="s">
        <v>526</v>
      </c>
      <c r="C934" s="23" t="s">
        <v>947</v>
      </c>
      <c r="D934" s="24" t="s">
        <v>101</v>
      </c>
      <c r="E934" s="23" t="s">
        <v>19</v>
      </c>
      <c r="F934" s="26">
        <v>15</v>
      </c>
      <c r="G934" s="26"/>
      <c r="H934" s="34"/>
      <c r="I934" s="84">
        <v>1733.98</v>
      </c>
      <c r="J934" s="136"/>
      <c r="K934" s="118"/>
      <c r="L934" s="35"/>
      <c r="M934" s="85"/>
      <c r="N934" s="38" t="s">
        <v>796</v>
      </c>
      <c r="O934" s="40"/>
      <c r="P934" s="66">
        <v>45352</v>
      </c>
    </row>
    <row r="935" spans="1:16" s="8" customFormat="1" ht="12.75" customHeight="1">
      <c r="A935" s="13">
        <f t="shared" si="19"/>
        <v>916</v>
      </c>
      <c r="B935" s="32" t="s">
        <v>526</v>
      </c>
      <c r="C935" s="23" t="s">
        <v>947</v>
      </c>
      <c r="D935" s="24" t="s">
        <v>101</v>
      </c>
      <c r="E935" s="23" t="s">
        <v>19</v>
      </c>
      <c r="F935" s="26">
        <v>20</v>
      </c>
      <c r="G935" s="26">
        <v>10</v>
      </c>
      <c r="H935" s="34"/>
      <c r="I935" s="84">
        <v>1692.75</v>
      </c>
      <c r="J935" s="136"/>
      <c r="K935" s="118">
        <v>2737.59</v>
      </c>
      <c r="L935" s="35"/>
      <c r="M935" s="85">
        <v>20896.84</v>
      </c>
      <c r="N935" s="38" t="s">
        <v>796</v>
      </c>
      <c r="O935" s="40"/>
      <c r="P935" s="66">
        <v>45689</v>
      </c>
    </row>
    <row r="936" spans="1:16" s="8" customFormat="1" ht="12.75" customHeight="1">
      <c r="A936" s="13">
        <f t="shared" si="19"/>
        <v>917</v>
      </c>
      <c r="B936" s="32" t="s">
        <v>526</v>
      </c>
      <c r="C936" s="23" t="s">
        <v>947</v>
      </c>
      <c r="D936" s="24" t="s">
        <v>101</v>
      </c>
      <c r="E936" s="23" t="s">
        <v>19</v>
      </c>
      <c r="F936" s="26">
        <v>19</v>
      </c>
      <c r="G936" s="26">
        <v>11</v>
      </c>
      <c r="H936" s="34"/>
      <c r="I936" s="84">
        <v>1747.75</v>
      </c>
      <c r="J936" s="136"/>
      <c r="K936" s="118">
        <v>2547.62</v>
      </c>
      <c r="L936" s="35"/>
      <c r="M936" s="85"/>
      <c r="N936" s="38" t="s">
        <v>796</v>
      </c>
      <c r="O936" s="40"/>
      <c r="P936" s="66">
        <v>45689</v>
      </c>
    </row>
    <row r="937" spans="1:16" s="8" customFormat="1" ht="12.75" customHeight="1">
      <c r="A937" s="13">
        <f t="shared" si="19"/>
        <v>918</v>
      </c>
      <c r="B937" s="32" t="s">
        <v>526</v>
      </c>
      <c r="C937" s="23" t="s">
        <v>947</v>
      </c>
      <c r="D937" s="24" t="s">
        <v>101</v>
      </c>
      <c r="E937" s="23" t="s">
        <v>19</v>
      </c>
      <c r="F937" s="26">
        <v>18</v>
      </c>
      <c r="G937" s="26">
        <v>12</v>
      </c>
      <c r="H937" s="34"/>
      <c r="I937" s="84">
        <v>1808.84</v>
      </c>
      <c r="J937" s="136"/>
      <c r="K937" s="118">
        <v>2389.29</v>
      </c>
      <c r="L937" s="35"/>
      <c r="M937" s="85"/>
      <c r="N937" s="38" t="s">
        <v>796</v>
      </c>
      <c r="O937" s="40"/>
      <c r="P937" s="66">
        <v>45689</v>
      </c>
    </row>
    <row r="938" spans="1:16" s="8" customFormat="1" ht="12.75" customHeight="1">
      <c r="A938" s="13">
        <f t="shared" si="19"/>
        <v>919</v>
      </c>
      <c r="B938" s="32" t="s">
        <v>526</v>
      </c>
      <c r="C938" s="23" t="s">
        <v>947</v>
      </c>
      <c r="D938" s="24" t="s">
        <v>101</v>
      </c>
      <c r="E938" s="23" t="s">
        <v>19</v>
      </c>
      <c r="F938" s="26">
        <v>17</v>
      </c>
      <c r="G938" s="26">
        <v>13</v>
      </c>
      <c r="H938" s="34"/>
      <c r="I938" s="84">
        <v>1877.13</v>
      </c>
      <c r="J938" s="136"/>
      <c r="K938" s="118">
        <v>2255.37</v>
      </c>
      <c r="L938" s="35"/>
      <c r="M938" s="85"/>
      <c r="N938" s="38" t="s">
        <v>796</v>
      </c>
      <c r="O938" s="40"/>
      <c r="P938" s="66">
        <v>45689</v>
      </c>
    </row>
    <row r="939" spans="1:16" s="8" customFormat="1" ht="12.75" customHeight="1">
      <c r="A939" s="13">
        <f t="shared" si="19"/>
        <v>920</v>
      </c>
      <c r="B939" s="32" t="s">
        <v>526</v>
      </c>
      <c r="C939" s="23" t="s">
        <v>947</v>
      </c>
      <c r="D939" s="24" t="s">
        <v>101</v>
      </c>
      <c r="E939" s="23" t="s">
        <v>19</v>
      </c>
      <c r="F939" s="26">
        <v>16</v>
      </c>
      <c r="G939" s="26">
        <v>14</v>
      </c>
      <c r="H939" s="34"/>
      <c r="I939" s="84">
        <v>1953.97</v>
      </c>
      <c r="J939" s="136"/>
      <c r="K939" s="118">
        <v>2140.5300000000002</v>
      </c>
      <c r="L939" s="35"/>
      <c r="M939" s="85"/>
      <c r="N939" s="38" t="s">
        <v>796</v>
      </c>
      <c r="O939" s="40"/>
      <c r="P939" s="66">
        <v>45689</v>
      </c>
    </row>
    <row r="940" spans="1:16" s="8" customFormat="1" ht="12.75" customHeight="1">
      <c r="A940" s="13">
        <f t="shared" ref="A940:A1003" si="20">A939+1</f>
        <v>921</v>
      </c>
      <c r="B940" s="32" t="s">
        <v>526</v>
      </c>
      <c r="C940" s="23" t="s">
        <v>947</v>
      </c>
      <c r="D940" s="24" t="s">
        <v>101</v>
      </c>
      <c r="E940" s="23" t="s">
        <v>19</v>
      </c>
      <c r="F940" s="26">
        <v>15</v>
      </c>
      <c r="G940" s="26"/>
      <c r="H940" s="34"/>
      <c r="I940" s="84">
        <v>2041.02</v>
      </c>
      <c r="J940" s="136"/>
      <c r="K940" s="118"/>
      <c r="L940" s="35"/>
      <c r="M940" s="85"/>
      <c r="N940" s="38" t="s">
        <v>796</v>
      </c>
      <c r="O940" s="40"/>
      <c r="P940" s="66">
        <v>45689</v>
      </c>
    </row>
    <row r="941" spans="1:16" s="8" customFormat="1" ht="12.75" customHeight="1">
      <c r="A941" s="13">
        <f t="shared" si="20"/>
        <v>922</v>
      </c>
      <c r="B941" s="32" t="s">
        <v>1059</v>
      </c>
      <c r="C941" s="23" t="s">
        <v>947</v>
      </c>
      <c r="D941" s="24" t="s">
        <v>101</v>
      </c>
      <c r="E941" s="23" t="s">
        <v>19</v>
      </c>
      <c r="F941" s="31" t="s">
        <v>977</v>
      </c>
      <c r="G941" s="26"/>
      <c r="H941" s="34"/>
      <c r="I941" s="84">
        <v>77903.78</v>
      </c>
      <c r="J941" s="136"/>
      <c r="K941" s="118"/>
      <c r="L941" s="35"/>
      <c r="M941" s="85"/>
      <c r="N941" s="38" t="s">
        <v>796</v>
      </c>
      <c r="O941" s="40"/>
      <c r="P941" s="66">
        <v>45352</v>
      </c>
    </row>
    <row r="942" spans="1:16" s="8" customFormat="1" ht="12.75" customHeight="1">
      <c r="A942" s="13">
        <f t="shared" si="20"/>
        <v>923</v>
      </c>
      <c r="B942" s="32" t="s">
        <v>1059</v>
      </c>
      <c r="C942" s="23" t="s">
        <v>947</v>
      </c>
      <c r="D942" s="24" t="s">
        <v>101</v>
      </c>
      <c r="E942" s="23" t="s">
        <v>19</v>
      </c>
      <c r="F942" s="31" t="s">
        <v>977</v>
      </c>
      <c r="G942" s="26"/>
      <c r="H942" s="34"/>
      <c r="I942" s="84">
        <v>89930.04</v>
      </c>
      <c r="J942" s="136"/>
      <c r="K942" s="118"/>
      <c r="L942" s="35"/>
      <c r="M942" s="85"/>
      <c r="N942" s="38" t="s">
        <v>796</v>
      </c>
      <c r="O942" s="40"/>
      <c r="P942" s="66">
        <v>45689</v>
      </c>
    </row>
    <row r="943" spans="1:16" s="8" customFormat="1" ht="12.75" customHeight="1">
      <c r="A943" s="13">
        <f t="shared" si="20"/>
        <v>924</v>
      </c>
      <c r="B943" s="156" t="s">
        <v>526</v>
      </c>
      <c r="C943" s="23" t="s">
        <v>947</v>
      </c>
      <c r="D943" s="24" t="s">
        <v>101</v>
      </c>
      <c r="E943" s="23" t="s">
        <v>19</v>
      </c>
      <c r="F943" s="31">
        <v>20</v>
      </c>
      <c r="G943" s="26">
        <v>10</v>
      </c>
      <c r="H943" s="34"/>
      <c r="I943" s="84">
        <v>2013.45</v>
      </c>
      <c r="J943" s="136"/>
      <c r="K943" s="118">
        <v>3228.67</v>
      </c>
      <c r="L943" s="35"/>
      <c r="M943" s="85">
        <v>24304.53</v>
      </c>
      <c r="N943" s="38" t="s">
        <v>796</v>
      </c>
      <c r="O943" s="40"/>
      <c r="P943" s="193">
        <v>46082</v>
      </c>
    </row>
    <row r="944" spans="1:16" s="8" customFormat="1" ht="12.75" customHeight="1">
      <c r="A944" s="13">
        <f t="shared" si="20"/>
        <v>925</v>
      </c>
      <c r="B944" s="156" t="s">
        <v>526</v>
      </c>
      <c r="C944" s="23" t="s">
        <v>947</v>
      </c>
      <c r="D944" s="24" t="s">
        <v>101</v>
      </c>
      <c r="E944" s="23" t="s">
        <v>19</v>
      </c>
      <c r="F944" s="31">
        <v>19</v>
      </c>
      <c r="G944" s="26">
        <v>11</v>
      </c>
      <c r="H944" s="34"/>
      <c r="I944" s="84">
        <v>2077.39</v>
      </c>
      <c r="J944" s="136"/>
      <c r="K944" s="118">
        <v>3007.71</v>
      </c>
      <c r="L944" s="35"/>
      <c r="M944" s="85"/>
      <c r="N944" s="38" t="s">
        <v>796</v>
      </c>
      <c r="O944" s="40"/>
      <c r="P944" s="193">
        <v>46082</v>
      </c>
    </row>
    <row r="945" spans="1:16" s="8" customFormat="1" ht="12.75" customHeight="1">
      <c r="A945" s="13">
        <f t="shared" si="20"/>
        <v>926</v>
      </c>
      <c r="B945" s="156" t="s">
        <v>526</v>
      </c>
      <c r="C945" s="23" t="s">
        <v>947</v>
      </c>
      <c r="D945" s="24" t="s">
        <v>101</v>
      </c>
      <c r="E945" s="23" t="s">
        <v>19</v>
      </c>
      <c r="F945" s="31">
        <v>18</v>
      </c>
      <c r="G945" s="26">
        <v>12</v>
      </c>
      <c r="H945" s="34"/>
      <c r="I945" s="84">
        <v>2148.4899999999998</v>
      </c>
      <c r="J945" s="136"/>
      <c r="K945" s="118">
        <v>2823.58</v>
      </c>
      <c r="L945" s="35"/>
      <c r="M945" s="85"/>
      <c r="N945" s="38" t="s">
        <v>796</v>
      </c>
      <c r="O945" s="40"/>
      <c r="P945" s="193">
        <v>46082</v>
      </c>
    </row>
    <row r="946" spans="1:16" s="8" customFormat="1" ht="12.75" customHeight="1">
      <c r="A946" s="13">
        <f t="shared" si="20"/>
        <v>927</v>
      </c>
      <c r="B946" s="156" t="s">
        <v>526</v>
      </c>
      <c r="C946" s="23" t="s">
        <v>947</v>
      </c>
      <c r="D946" s="24" t="s">
        <v>101</v>
      </c>
      <c r="E946" s="23" t="s">
        <v>19</v>
      </c>
      <c r="F946" s="31">
        <v>17</v>
      </c>
      <c r="G946" s="26">
        <v>13</v>
      </c>
      <c r="H946" s="34"/>
      <c r="I946" s="84">
        <v>2227.88</v>
      </c>
      <c r="J946" s="136"/>
      <c r="K946" s="118">
        <v>2667.78</v>
      </c>
      <c r="L946" s="35"/>
      <c r="M946" s="85"/>
      <c r="N946" s="38" t="s">
        <v>796</v>
      </c>
      <c r="O946" s="40"/>
      <c r="P946" s="193">
        <v>46082</v>
      </c>
    </row>
    <row r="947" spans="1:16" s="8" customFormat="1" ht="12.75" customHeight="1">
      <c r="A947" s="13">
        <f t="shared" si="20"/>
        <v>928</v>
      </c>
      <c r="B947" s="156" t="s">
        <v>526</v>
      </c>
      <c r="C947" s="23" t="s">
        <v>947</v>
      </c>
      <c r="D947" s="24" t="s">
        <v>101</v>
      </c>
      <c r="E947" s="23" t="s">
        <v>19</v>
      </c>
      <c r="F947" s="31">
        <v>16</v>
      </c>
      <c r="G947" s="26">
        <v>14</v>
      </c>
      <c r="H947" s="34"/>
      <c r="I947" s="84">
        <v>2317.2600000000002</v>
      </c>
      <c r="J947" s="136"/>
      <c r="K947" s="118">
        <v>2534.2399999999998</v>
      </c>
      <c r="L947" s="35"/>
      <c r="M947" s="85"/>
      <c r="N947" s="38" t="s">
        <v>796</v>
      </c>
      <c r="O947" s="40"/>
      <c r="P947" s="193">
        <v>46082</v>
      </c>
    </row>
    <row r="948" spans="1:16" s="8" customFormat="1" ht="12.75" customHeight="1">
      <c r="A948" s="13">
        <f t="shared" si="20"/>
        <v>929</v>
      </c>
      <c r="B948" s="156" t="s">
        <v>526</v>
      </c>
      <c r="C948" s="23" t="s">
        <v>947</v>
      </c>
      <c r="D948" s="24" t="s">
        <v>101</v>
      </c>
      <c r="E948" s="23" t="s">
        <v>19</v>
      </c>
      <c r="F948" s="31">
        <v>15</v>
      </c>
      <c r="G948" s="26"/>
      <c r="H948" s="34"/>
      <c r="I948" s="84">
        <v>2418.5100000000002</v>
      </c>
      <c r="J948" s="136"/>
      <c r="K948" s="118"/>
      <c r="L948" s="35"/>
      <c r="M948" s="85"/>
      <c r="N948" s="38" t="s">
        <v>796</v>
      </c>
      <c r="O948" s="40"/>
      <c r="P948" s="193">
        <v>46082</v>
      </c>
    </row>
    <row r="949" spans="1:16" s="8" customFormat="1" ht="12.75" customHeight="1">
      <c r="A949" s="13">
        <f t="shared" si="20"/>
        <v>930</v>
      </c>
      <c r="B949" s="156" t="s">
        <v>1059</v>
      </c>
      <c r="C949" s="23" t="s">
        <v>947</v>
      </c>
      <c r="D949" s="24" t="s">
        <v>101</v>
      </c>
      <c r="E949" s="23" t="s">
        <v>19</v>
      </c>
      <c r="F949" s="31" t="s">
        <v>977</v>
      </c>
      <c r="G949" s="26"/>
      <c r="H949" s="34"/>
      <c r="I949" s="84">
        <v>113251</v>
      </c>
      <c r="J949" s="136"/>
      <c r="K949" s="118"/>
      <c r="L949" s="35"/>
      <c r="M949" s="85"/>
      <c r="N949" s="38" t="s">
        <v>796</v>
      </c>
      <c r="O949" s="40"/>
      <c r="P949" s="193">
        <v>46082</v>
      </c>
    </row>
    <row r="950" spans="1:16" s="8" customFormat="1" ht="12.75" customHeight="1">
      <c r="A950" s="13">
        <f t="shared" si="20"/>
        <v>931</v>
      </c>
      <c r="B950" s="54" t="s">
        <v>663</v>
      </c>
      <c r="C950" s="14" t="s">
        <v>89</v>
      </c>
      <c r="D950" s="52" t="s">
        <v>575</v>
      </c>
      <c r="E950" s="23" t="s">
        <v>13</v>
      </c>
      <c r="F950" s="27">
        <v>20</v>
      </c>
      <c r="G950" s="27">
        <v>10</v>
      </c>
      <c r="H950" s="34">
        <v>980.75</v>
      </c>
      <c r="I950" s="84">
        <v>1005.17</v>
      </c>
      <c r="J950" s="136">
        <v>1459.32</v>
      </c>
      <c r="K950" s="118">
        <v>1460.49</v>
      </c>
      <c r="L950" s="35"/>
      <c r="M950" s="85"/>
      <c r="N950" s="39" t="s">
        <v>644</v>
      </c>
      <c r="O950" s="69">
        <v>606</v>
      </c>
      <c r="P950" s="66">
        <v>43617</v>
      </c>
    </row>
    <row r="951" spans="1:16" s="8" customFormat="1" ht="12.75" customHeight="1">
      <c r="A951" s="13">
        <f t="shared" si="20"/>
        <v>932</v>
      </c>
      <c r="B951" s="54" t="s">
        <v>664</v>
      </c>
      <c r="C951" s="14" t="s">
        <v>89</v>
      </c>
      <c r="D951" s="52" t="s">
        <v>576</v>
      </c>
      <c r="E951" s="23" t="s">
        <v>13</v>
      </c>
      <c r="F951" s="27">
        <v>20</v>
      </c>
      <c r="G951" s="27">
        <v>10</v>
      </c>
      <c r="H951" s="34">
        <v>1182.1199999999999</v>
      </c>
      <c r="I951" s="84">
        <v>1158.8699999999999</v>
      </c>
      <c r="J951" s="136">
        <v>1660.69</v>
      </c>
      <c r="K951" s="118">
        <v>1614.2</v>
      </c>
      <c r="L951" s="35"/>
      <c r="M951" s="85"/>
      <c r="N951" s="39" t="s">
        <v>644</v>
      </c>
      <c r="O951" s="69">
        <v>606</v>
      </c>
      <c r="P951" s="66">
        <v>43617</v>
      </c>
    </row>
    <row r="952" spans="1:16" s="8" customFormat="1" ht="12.75" customHeight="1">
      <c r="A952" s="13">
        <f t="shared" si="20"/>
        <v>933</v>
      </c>
      <c r="B952" s="54" t="s">
        <v>665</v>
      </c>
      <c r="C952" s="14" t="s">
        <v>89</v>
      </c>
      <c r="D952" s="52" t="s">
        <v>577</v>
      </c>
      <c r="E952" s="23" t="s">
        <v>13</v>
      </c>
      <c r="F952" s="27">
        <v>20</v>
      </c>
      <c r="G952" s="27">
        <v>10</v>
      </c>
      <c r="H952" s="34">
        <v>2493.75</v>
      </c>
      <c r="I952" s="84">
        <v>2633.89</v>
      </c>
      <c r="J952" s="136">
        <v>2972.32</v>
      </c>
      <c r="K952" s="118">
        <v>3089.23</v>
      </c>
      <c r="L952" s="35"/>
      <c r="M952" s="85"/>
      <c r="N952" s="39" t="s">
        <v>644</v>
      </c>
      <c r="O952" s="69">
        <v>606</v>
      </c>
      <c r="P952" s="66">
        <v>43617</v>
      </c>
    </row>
    <row r="953" spans="1:16" s="8" customFormat="1" ht="12.75" customHeight="1">
      <c r="A953" s="13">
        <f t="shared" si="20"/>
        <v>934</v>
      </c>
      <c r="B953" s="54" t="s">
        <v>666</v>
      </c>
      <c r="C953" s="14" t="s">
        <v>89</v>
      </c>
      <c r="D953" s="52" t="s">
        <v>575</v>
      </c>
      <c r="E953" s="23" t="s">
        <v>19</v>
      </c>
      <c r="F953" s="27">
        <v>20</v>
      </c>
      <c r="G953" s="27">
        <v>10</v>
      </c>
      <c r="H953" s="34">
        <v>1709.97</v>
      </c>
      <c r="I953" s="84"/>
      <c r="J953" s="136">
        <v>2917.77</v>
      </c>
      <c r="K953" s="118"/>
      <c r="L953" s="35"/>
      <c r="M953" s="85"/>
      <c r="N953" s="39" t="s">
        <v>644</v>
      </c>
      <c r="O953" s="69">
        <v>606</v>
      </c>
      <c r="P953" s="66">
        <v>43255</v>
      </c>
    </row>
    <row r="954" spans="1:16" s="8" customFormat="1" ht="12.75" customHeight="1">
      <c r="A954" s="13">
        <f t="shared" si="20"/>
        <v>935</v>
      </c>
      <c r="B954" s="54" t="s">
        <v>830</v>
      </c>
      <c r="C954" s="14" t="s">
        <v>89</v>
      </c>
      <c r="D954" s="52" t="s">
        <v>575</v>
      </c>
      <c r="E954" s="23" t="s">
        <v>19</v>
      </c>
      <c r="F954" s="27">
        <v>20</v>
      </c>
      <c r="G954" s="27">
        <v>10</v>
      </c>
      <c r="H954" s="34">
        <v>1709.97</v>
      </c>
      <c r="I954" s="84">
        <v>1834.86</v>
      </c>
      <c r="J954" s="136">
        <v>2917.77</v>
      </c>
      <c r="K954" s="118">
        <v>3119.91</v>
      </c>
      <c r="L954" s="35"/>
      <c r="M954" s="85">
        <v>13650.33</v>
      </c>
      <c r="N954" s="39" t="s">
        <v>644</v>
      </c>
      <c r="O954" s="69">
        <v>606</v>
      </c>
      <c r="P954" s="66">
        <v>43617</v>
      </c>
    </row>
    <row r="955" spans="1:16" s="8" customFormat="1" ht="12.75" customHeight="1">
      <c r="A955" s="13">
        <f t="shared" si="20"/>
        <v>936</v>
      </c>
      <c r="B955" s="54" t="s">
        <v>667</v>
      </c>
      <c r="C955" s="14" t="s">
        <v>89</v>
      </c>
      <c r="D955" s="52" t="s">
        <v>576</v>
      </c>
      <c r="E955" s="23" t="s">
        <v>19</v>
      </c>
      <c r="F955" s="27">
        <v>20</v>
      </c>
      <c r="G955" s="27">
        <v>10</v>
      </c>
      <c r="H955" s="34">
        <v>1855.19</v>
      </c>
      <c r="I955" s="84">
        <v>1988.57</v>
      </c>
      <c r="J955" s="136">
        <v>3062.99</v>
      </c>
      <c r="K955" s="118">
        <v>3273.63</v>
      </c>
      <c r="L955" s="35">
        <v>12993.88</v>
      </c>
      <c r="M955" s="85">
        <v>13650.33</v>
      </c>
      <c r="N955" s="39" t="s">
        <v>644</v>
      </c>
      <c r="O955" s="69">
        <v>606</v>
      </c>
      <c r="P955" s="66">
        <v>43617</v>
      </c>
    </row>
    <row r="956" spans="1:16" s="8" customFormat="1" ht="12.75" customHeight="1">
      <c r="A956" s="13">
        <f t="shared" si="20"/>
        <v>937</v>
      </c>
      <c r="B956" s="54" t="s">
        <v>668</v>
      </c>
      <c r="C956" s="14" t="s">
        <v>89</v>
      </c>
      <c r="D956" s="52" t="s">
        <v>780</v>
      </c>
      <c r="E956" s="23" t="s">
        <v>19</v>
      </c>
      <c r="F956" s="27">
        <v>20</v>
      </c>
      <c r="G956" s="27">
        <v>10</v>
      </c>
      <c r="H956" s="34">
        <v>3386.37</v>
      </c>
      <c r="I956" s="85">
        <v>3463.59</v>
      </c>
      <c r="J956" s="136">
        <v>4594.17</v>
      </c>
      <c r="K956" s="137">
        <v>4748.6499999999996</v>
      </c>
      <c r="L956" s="35">
        <v>12993.88</v>
      </c>
      <c r="M956" s="85">
        <v>13650.33</v>
      </c>
      <c r="N956" s="39" t="s">
        <v>644</v>
      </c>
      <c r="O956" s="69">
        <v>606</v>
      </c>
      <c r="P956" s="66">
        <v>43617</v>
      </c>
    </row>
    <row r="957" spans="1:16" ht="15.75" customHeight="1">
      <c r="A957" s="13">
        <f t="shared" si="20"/>
        <v>938</v>
      </c>
      <c r="B957" s="54" t="s">
        <v>787</v>
      </c>
      <c r="C957" s="14" t="s">
        <v>89</v>
      </c>
      <c r="D957" s="52" t="s">
        <v>575</v>
      </c>
      <c r="E957" s="23" t="s">
        <v>13</v>
      </c>
      <c r="F957" s="27">
        <v>20</v>
      </c>
      <c r="G957" s="27">
        <v>10</v>
      </c>
      <c r="H957" s="34">
        <v>1028.4100000000001</v>
      </c>
      <c r="I957" s="84"/>
      <c r="J957" s="136">
        <v>1506.98</v>
      </c>
      <c r="K957" s="118"/>
      <c r="L957" s="35"/>
      <c r="M957" s="85"/>
      <c r="N957" s="39" t="s">
        <v>644</v>
      </c>
      <c r="O957" s="69">
        <v>606</v>
      </c>
      <c r="P957" s="66">
        <v>43485</v>
      </c>
    </row>
    <row r="958" spans="1:16" ht="15.75" customHeight="1">
      <c r="A958" s="13">
        <f t="shared" si="20"/>
        <v>939</v>
      </c>
      <c r="B958" s="54" t="s">
        <v>889</v>
      </c>
      <c r="C958" s="23" t="s">
        <v>89</v>
      </c>
      <c r="D958" s="52" t="s">
        <v>575</v>
      </c>
      <c r="E958" s="23" t="s">
        <v>19</v>
      </c>
      <c r="F958" s="27">
        <v>20</v>
      </c>
      <c r="G958" s="27">
        <v>10</v>
      </c>
      <c r="H958" s="34"/>
      <c r="I958" s="84">
        <v>1770.92</v>
      </c>
      <c r="J958" s="136"/>
      <c r="K958" s="118">
        <v>2314.84</v>
      </c>
      <c r="L958" s="35"/>
      <c r="M958" s="85"/>
      <c r="N958" s="39" t="s">
        <v>644</v>
      </c>
      <c r="O958" s="69"/>
      <c r="P958" s="66">
        <v>43857</v>
      </c>
    </row>
    <row r="959" spans="1:16" ht="15.75" customHeight="1">
      <c r="A959" s="13">
        <f t="shared" si="20"/>
        <v>940</v>
      </c>
      <c r="B959" s="45" t="s">
        <v>892</v>
      </c>
      <c r="C959" s="23" t="s">
        <v>763</v>
      </c>
      <c r="D959" s="24" t="s">
        <v>844</v>
      </c>
      <c r="E959" s="23" t="s">
        <v>19</v>
      </c>
      <c r="F959" s="27">
        <v>20</v>
      </c>
      <c r="G959" s="27">
        <v>10</v>
      </c>
      <c r="H959" s="34"/>
      <c r="I959" s="84">
        <v>1132.96</v>
      </c>
      <c r="J959" s="136"/>
      <c r="K959" s="118">
        <v>1828.66</v>
      </c>
      <c r="L959" s="35"/>
      <c r="M959" s="85">
        <v>13913.82</v>
      </c>
      <c r="N959" s="38" t="s">
        <v>643</v>
      </c>
      <c r="O959" s="69"/>
      <c r="P959" s="66">
        <v>44562</v>
      </c>
    </row>
    <row r="960" spans="1:16" ht="15.75" customHeight="1">
      <c r="A960" s="13">
        <f t="shared" si="20"/>
        <v>941</v>
      </c>
      <c r="B960" s="45" t="s">
        <v>1032</v>
      </c>
      <c r="C960" s="23" t="s">
        <v>763</v>
      </c>
      <c r="D960" s="24" t="s">
        <v>844</v>
      </c>
      <c r="E960" s="23" t="s">
        <v>19</v>
      </c>
      <c r="F960" s="46" t="s">
        <v>977</v>
      </c>
      <c r="G960" s="27"/>
      <c r="H960" s="34"/>
      <c r="I960" s="84">
        <v>51488.77</v>
      </c>
      <c r="J960" s="136"/>
      <c r="K960" s="118"/>
      <c r="L960" s="35"/>
      <c r="M960" s="85"/>
      <c r="N960" s="38" t="s">
        <v>643</v>
      </c>
      <c r="O960" s="69"/>
      <c r="P960" s="66">
        <v>44562</v>
      </c>
    </row>
    <row r="961" spans="1:16" ht="15.75" customHeight="1">
      <c r="A961" s="13">
        <f t="shared" si="20"/>
        <v>942</v>
      </c>
      <c r="B961" s="45" t="s">
        <v>892</v>
      </c>
      <c r="C961" s="23" t="s">
        <v>763</v>
      </c>
      <c r="D961" s="24" t="s">
        <v>844</v>
      </c>
      <c r="E961" s="23" t="s">
        <v>19</v>
      </c>
      <c r="F961" s="31">
        <v>20</v>
      </c>
      <c r="G961" s="31">
        <v>10</v>
      </c>
      <c r="H961" s="34"/>
      <c r="I961" s="84">
        <v>1440.54</v>
      </c>
      <c r="J961" s="140"/>
      <c r="K961" s="137">
        <v>2328.29</v>
      </c>
      <c r="L961" s="35"/>
      <c r="M961" s="85">
        <v>17755.28</v>
      </c>
      <c r="N961" s="38" t="s">
        <v>643</v>
      </c>
      <c r="O961" s="69"/>
      <c r="P961" s="66">
        <v>45352</v>
      </c>
    </row>
    <row r="962" spans="1:16" ht="15.75" customHeight="1">
      <c r="A962" s="13">
        <f t="shared" si="20"/>
        <v>943</v>
      </c>
      <c r="B962" s="45" t="s">
        <v>892</v>
      </c>
      <c r="C962" s="23" t="s">
        <v>763</v>
      </c>
      <c r="D962" s="24" t="s">
        <v>844</v>
      </c>
      <c r="E962" s="23" t="s">
        <v>19</v>
      </c>
      <c r="F962" s="31">
        <v>19</v>
      </c>
      <c r="G962" s="31">
        <v>11</v>
      </c>
      <c r="H962" s="34"/>
      <c r="I962" s="84">
        <v>1487.35</v>
      </c>
      <c r="J962" s="140"/>
      <c r="K962" s="137">
        <v>2166.87</v>
      </c>
      <c r="L962" s="35"/>
      <c r="M962" s="85"/>
      <c r="N962" s="38" t="s">
        <v>643</v>
      </c>
      <c r="O962" s="69"/>
      <c r="P962" s="66">
        <v>45352</v>
      </c>
    </row>
    <row r="963" spans="1:16" ht="15.75" customHeight="1">
      <c r="A963" s="13">
        <f t="shared" si="20"/>
        <v>944</v>
      </c>
      <c r="B963" s="45" t="s">
        <v>892</v>
      </c>
      <c r="C963" s="23" t="s">
        <v>763</v>
      </c>
      <c r="D963" s="24" t="s">
        <v>844</v>
      </c>
      <c r="E963" s="23" t="s">
        <v>19</v>
      </c>
      <c r="F963" s="31">
        <v>18</v>
      </c>
      <c r="G963" s="31">
        <v>12</v>
      </c>
      <c r="H963" s="34"/>
      <c r="I963" s="84">
        <v>1539.17</v>
      </c>
      <c r="J963" s="140"/>
      <c r="K963" s="137">
        <v>2032.35</v>
      </c>
      <c r="L963" s="35"/>
      <c r="M963" s="85"/>
      <c r="N963" s="38" t="s">
        <v>643</v>
      </c>
      <c r="O963" s="69"/>
      <c r="P963" s="66">
        <v>45352</v>
      </c>
    </row>
    <row r="964" spans="1:16" ht="15.75" customHeight="1">
      <c r="A964" s="13">
        <f t="shared" si="20"/>
        <v>945</v>
      </c>
      <c r="B964" s="45" t="s">
        <v>892</v>
      </c>
      <c r="C964" s="23" t="s">
        <v>763</v>
      </c>
      <c r="D964" s="24" t="s">
        <v>844</v>
      </c>
      <c r="E964" s="23" t="s">
        <v>19</v>
      </c>
      <c r="F964" s="31">
        <v>17</v>
      </c>
      <c r="G964" s="31">
        <v>13</v>
      </c>
      <c r="H964" s="34"/>
      <c r="I964" s="84">
        <v>1597.2</v>
      </c>
      <c r="J964" s="140"/>
      <c r="K964" s="137">
        <v>1918.56</v>
      </c>
      <c r="L964" s="35"/>
      <c r="M964" s="85"/>
      <c r="N964" s="38" t="s">
        <v>643</v>
      </c>
      <c r="O964" s="69"/>
      <c r="P964" s="66">
        <v>45352</v>
      </c>
    </row>
    <row r="965" spans="1:16" ht="15.75" customHeight="1">
      <c r="A965" s="13">
        <f t="shared" si="20"/>
        <v>946</v>
      </c>
      <c r="B965" s="45" t="s">
        <v>892</v>
      </c>
      <c r="C965" s="23" t="s">
        <v>763</v>
      </c>
      <c r="D965" s="24" t="s">
        <v>844</v>
      </c>
      <c r="E965" s="23" t="s">
        <v>19</v>
      </c>
      <c r="F965" s="31">
        <v>16</v>
      </c>
      <c r="G965" s="31">
        <v>14</v>
      </c>
      <c r="H965" s="34"/>
      <c r="I965" s="84">
        <v>1662.49</v>
      </c>
      <c r="J965" s="140"/>
      <c r="K965" s="137">
        <v>1820.97</v>
      </c>
      <c r="L965" s="35"/>
      <c r="M965" s="85"/>
      <c r="N965" s="38" t="s">
        <v>643</v>
      </c>
      <c r="O965" s="69"/>
      <c r="P965" s="66">
        <v>45352</v>
      </c>
    </row>
    <row r="966" spans="1:16" ht="15.75" customHeight="1">
      <c r="A966" s="13">
        <f t="shared" si="20"/>
        <v>947</v>
      </c>
      <c r="B966" s="45" t="s">
        <v>892</v>
      </c>
      <c r="C966" s="23" t="s">
        <v>763</v>
      </c>
      <c r="D966" s="24" t="s">
        <v>844</v>
      </c>
      <c r="E966" s="23" t="s">
        <v>19</v>
      </c>
      <c r="F966" s="31">
        <v>15</v>
      </c>
      <c r="G966" s="31"/>
      <c r="H966" s="34"/>
      <c r="I966" s="84">
        <v>1736.47</v>
      </c>
      <c r="J966" s="140"/>
      <c r="K966" s="137"/>
      <c r="L966" s="35"/>
      <c r="M966" s="85"/>
      <c r="N966" s="38" t="s">
        <v>643</v>
      </c>
      <c r="O966" s="69"/>
      <c r="P966" s="66">
        <v>45352</v>
      </c>
    </row>
    <row r="967" spans="1:16" ht="15.75" customHeight="1">
      <c r="A967" s="13">
        <f t="shared" si="20"/>
        <v>948</v>
      </c>
      <c r="B967" s="158" t="s">
        <v>892</v>
      </c>
      <c r="C967" s="23" t="s">
        <v>763</v>
      </c>
      <c r="D967" s="24" t="s">
        <v>844</v>
      </c>
      <c r="E967" s="23" t="s">
        <v>19</v>
      </c>
      <c r="F967" s="31">
        <v>20</v>
      </c>
      <c r="G967" s="31">
        <v>10</v>
      </c>
      <c r="H967" s="34"/>
      <c r="I967" s="84">
        <v>1658.46</v>
      </c>
      <c r="J967" s="140"/>
      <c r="K967" s="137">
        <v>2679.9</v>
      </c>
      <c r="L967" s="35"/>
      <c r="M967" s="85">
        <v>20428.93</v>
      </c>
      <c r="N967" s="38" t="s">
        <v>643</v>
      </c>
      <c r="O967" s="69"/>
      <c r="P967" s="66">
        <v>45689</v>
      </c>
    </row>
    <row r="968" spans="1:16" ht="15.75" customHeight="1">
      <c r="A968" s="13">
        <f t="shared" si="20"/>
        <v>949</v>
      </c>
      <c r="B968" s="158" t="s">
        <v>892</v>
      </c>
      <c r="C968" s="23" t="s">
        <v>763</v>
      </c>
      <c r="D968" s="24" t="s">
        <v>844</v>
      </c>
      <c r="E968" s="23" t="s">
        <v>19</v>
      </c>
      <c r="F968" s="31">
        <v>19</v>
      </c>
      <c r="G968" s="31">
        <v>11</v>
      </c>
      <c r="H968" s="34"/>
      <c r="I968" s="84">
        <v>1712.24</v>
      </c>
      <c r="J968" s="140"/>
      <c r="K968" s="137">
        <v>2494.1999999999998</v>
      </c>
      <c r="L968" s="35"/>
      <c r="M968" s="85"/>
      <c r="N968" s="38" t="s">
        <v>643</v>
      </c>
      <c r="O968" s="69"/>
      <c r="P968" s="66">
        <v>45689</v>
      </c>
    </row>
    <row r="969" spans="1:16" ht="15.75" customHeight="1">
      <c r="A969" s="13">
        <f t="shared" si="20"/>
        <v>950</v>
      </c>
      <c r="B969" s="158" t="s">
        <v>892</v>
      </c>
      <c r="C969" s="23" t="s">
        <v>763</v>
      </c>
      <c r="D969" s="24" t="s">
        <v>844</v>
      </c>
      <c r="E969" s="23" t="s">
        <v>19</v>
      </c>
      <c r="F969" s="31">
        <v>18</v>
      </c>
      <c r="G969" s="31">
        <v>12</v>
      </c>
      <c r="H969" s="34"/>
      <c r="I969" s="84">
        <v>1771.95</v>
      </c>
      <c r="J969" s="140"/>
      <c r="K969" s="137">
        <v>2339.42</v>
      </c>
      <c r="L969" s="35"/>
      <c r="M969" s="85"/>
      <c r="N969" s="38" t="s">
        <v>643</v>
      </c>
      <c r="O969" s="69"/>
      <c r="P969" s="66">
        <v>45689</v>
      </c>
    </row>
    <row r="970" spans="1:16" ht="15.75" customHeight="1">
      <c r="A970" s="13">
        <f t="shared" si="20"/>
        <v>951</v>
      </c>
      <c r="B970" s="158" t="s">
        <v>892</v>
      </c>
      <c r="C970" s="23" t="s">
        <v>763</v>
      </c>
      <c r="D970" s="24" t="s">
        <v>844</v>
      </c>
      <c r="E970" s="23" t="s">
        <v>19</v>
      </c>
      <c r="F970" s="31">
        <v>17</v>
      </c>
      <c r="G970" s="31">
        <v>13</v>
      </c>
      <c r="H970" s="34"/>
      <c r="I970" s="84">
        <v>1838.73</v>
      </c>
      <c r="J970" s="140"/>
      <c r="K970" s="137">
        <v>2208.4699999999998</v>
      </c>
      <c r="L970" s="35"/>
      <c r="M970" s="85"/>
      <c r="N970" s="38" t="s">
        <v>643</v>
      </c>
      <c r="O970" s="69"/>
      <c r="P970" s="66">
        <v>45689</v>
      </c>
    </row>
    <row r="971" spans="1:16" ht="15.75" customHeight="1">
      <c r="A971" s="13">
        <f t="shared" si="20"/>
        <v>952</v>
      </c>
      <c r="B971" s="158" t="s">
        <v>892</v>
      </c>
      <c r="C971" s="23" t="s">
        <v>763</v>
      </c>
      <c r="D971" s="24" t="s">
        <v>844</v>
      </c>
      <c r="E971" s="23" t="s">
        <v>19</v>
      </c>
      <c r="F971" s="31">
        <v>16</v>
      </c>
      <c r="G971" s="31">
        <v>14</v>
      </c>
      <c r="H971" s="34"/>
      <c r="I971" s="84">
        <v>1913.84</v>
      </c>
      <c r="J971" s="140"/>
      <c r="K971" s="137">
        <v>2096.2399999999998</v>
      </c>
      <c r="L971" s="35"/>
      <c r="M971" s="85"/>
      <c r="N971" s="38" t="s">
        <v>643</v>
      </c>
      <c r="O971" s="69"/>
      <c r="P971" s="66">
        <v>45689</v>
      </c>
    </row>
    <row r="972" spans="1:16" ht="16.5" customHeight="1">
      <c r="A972" s="13">
        <f t="shared" si="20"/>
        <v>953</v>
      </c>
      <c r="B972" s="158" t="s">
        <v>892</v>
      </c>
      <c r="C972" s="23" t="s">
        <v>763</v>
      </c>
      <c r="D972" s="24" t="s">
        <v>844</v>
      </c>
      <c r="E972" s="23" t="s">
        <v>19</v>
      </c>
      <c r="F972" s="31">
        <v>15</v>
      </c>
      <c r="G972" s="31"/>
      <c r="H972" s="34"/>
      <c r="I972" s="84">
        <v>1998.94</v>
      </c>
      <c r="J972" s="140"/>
      <c r="K972" s="137"/>
      <c r="L972" s="35"/>
      <c r="M972" s="85"/>
      <c r="N972" s="38" t="s">
        <v>643</v>
      </c>
      <c r="O972" s="69"/>
      <c r="P972" s="66">
        <v>45689</v>
      </c>
    </row>
    <row r="973" spans="1:16" ht="15.75" customHeight="1">
      <c r="A973" s="13">
        <f t="shared" si="20"/>
        <v>954</v>
      </c>
      <c r="B973" s="45" t="s">
        <v>1032</v>
      </c>
      <c r="C973" s="23" t="s">
        <v>763</v>
      </c>
      <c r="D973" s="24" t="s">
        <v>844</v>
      </c>
      <c r="E973" s="23" t="s">
        <v>19</v>
      </c>
      <c r="F973" s="31" t="s">
        <v>977</v>
      </c>
      <c r="G973" s="31"/>
      <c r="H973" s="34"/>
      <c r="I973" s="84">
        <v>73426.759999999995</v>
      </c>
      <c r="J973" s="140"/>
      <c r="K973" s="137"/>
      <c r="L973" s="35"/>
      <c r="M973" s="85"/>
      <c r="N973" s="38" t="s">
        <v>643</v>
      </c>
      <c r="O973" s="69"/>
      <c r="P973" s="66">
        <v>45352</v>
      </c>
    </row>
    <row r="974" spans="1:16" ht="15.75" customHeight="1">
      <c r="A974" s="13">
        <f t="shared" si="20"/>
        <v>955</v>
      </c>
      <c r="B974" s="158" t="s">
        <v>1032</v>
      </c>
      <c r="C974" s="23" t="s">
        <v>763</v>
      </c>
      <c r="D974" s="24" t="s">
        <v>844</v>
      </c>
      <c r="E974" s="23" t="s">
        <v>19</v>
      </c>
      <c r="F974" s="31" t="s">
        <v>977</v>
      </c>
      <c r="G974" s="31"/>
      <c r="H974" s="34"/>
      <c r="I974" s="84">
        <v>84443.56</v>
      </c>
      <c r="J974" s="140"/>
      <c r="K974" s="137"/>
      <c r="L974" s="35"/>
      <c r="M974" s="85"/>
      <c r="N974" s="38" t="s">
        <v>643</v>
      </c>
      <c r="O974" s="69"/>
      <c r="P974" s="66">
        <v>45689</v>
      </c>
    </row>
    <row r="975" spans="1:16" ht="15.75" customHeight="1">
      <c r="A975" s="13">
        <f t="shared" si="20"/>
        <v>956</v>
      </c>
      <c r="B975" s="52" t="s">
        <v>961</v>
      </c>
      <c r="C975" s="23" t="s">
        <v>947</v>
      </c>
      <c r="D975" s="24" t="s">
        <v>953</v>
      </c>
      <c r="E975" s="23" t="s">
        <v>13</v>
      </c>
      <c r="F975" s="27">
        <v>20</v>
      </c>
      <c r="G975" s="27">
        <v>10</v>
      </c>
      <c r="H975" s="34"/>
      <c r="I975" s="84">
        <v>849.01</v>
      </c>
      <c r="J975" s="136"/>
      <c r="K975" s="118">
        <v>1211.72</v>
      </c>
      <c r="L975" s="35"/>
      <c r="M975" s="85"/>
      <c r="N975" s="38" t="s">
        <v>796</v>
      </c>
      <c r="O975" s="69"/>
      <c r="P975" s="66">
        <v>44562</v>
      </c>
    </row>
    <row r="976" spans="1:16" ht="15.75" customHeight="1">
      <c r="A976" s="13">
        <f t="shared" si="20"/>
        <v>957</v>
      </c>
      <c r="B976" s="52" t="s">
        <v>961</v>
      </c>
      <c r="C976" s="23" t="s">
        <v>947</v>
      </c>
      <c r="D976" s="24" t="s">
        <v>953</v>
      </c>
      <c r="E976" s="23" t="s">
        <v>13</v>
      </c>
      <c r="F976" s="27">
        <v>20</v>
      </c>
      <c r="G976" s="27">
        <v>10</v>
      </c>
      <c r="H976" s="34"/>
      <c r="I976" s="84">
        <v>908.2</v>
      </c>
      <c r="J976" s="136"/>
      <c r="K976" s="118">
        <v>1300.95</v>
      </c>
      <c r="L976" s="35"/>
      <c r="M976" s="85"/>
      <c r="N976" s="38" t="s">
        <v>796</v>
      </c>
      <c r="O976" s="69"/>
      <c r="P976" s="66">
        <v>45108</v>
      </c>
    </row>
    <row r="977" spans="1:16" ht="15.75" customHeight="1">
      <c r="A977" s="13">
        <f t="shared" si="20"/>
        <v>958</v>
      </c>
      <c r="B977" s="180" t="s">
        <v>961</v>
      </c>
      <c r="C977" s="23" t="s">
        <v>947</v>
      </c>
      <c r="D977" s="24" t="s">
        <v>953</v>
      </c>
      <c r="E977" s="23" t="s">
        <v>13</v>
      </c>
      <c r="F977" s="27">
        <v>20</v>
      </c>
      <c r="G977" s="27">
        <v>10</v>
      </c>
      <c r="H977" s="34"/>
      <c r="I977" s="84">
        <v>1044.54</v>
      </c>
      <c r="J977" s="136"/>
      <c r="K977" s="118">
        <v>1496.28</v>
      </c>
      <c r="L977" s="35"/>
      <c r="M977" s="85"/>
      <c r="N977" s="38" t="s">
        <v>796</v>
      </c>
      <c r="O977" s="69"/>
      <c r="P977" s="66">
        <v>45352</v>
      </c>
    </row>
    <row r="978" spans="1:16" ht="15.75" customHeight="1">
      <c r="A978" s="13">
        <f t="shared" si="20"/>
        <v>959</v>
      </c>
      <c r="B978" s="180" t="s">
        <v>961</v>
      </c>
      <c r="C978" s="23" t="s">
        <v>947</v>
      </c>
      <c r="D978" s="24" t="s">
        <v>953</v>
      </c>
      <c r="E978" s="23" t="s">
        <v>13</v>
      </c>
      <c r="F978" s="27">
        <v>16</v>
      </c>
      <c r="G978" s="27">
        <v>14</v>
      </c>
      <c r="H978" s="34"/>
      <c r="I978" s="84">
        <v>1157.48</v>
      </c>
      <c r="J978" s="136"/>
      <c r="K978" s="118">
        <v>1238.1600000000001</v>
      </c>
      <c r="L978" s="35"/>
      <c r="M978" s="85"/>
      <c r="N978" s="38" t="s">
        <v>796</v>
      </c>
      <c r="O978" s="69"/>
      <c r="P978" s="66">
        <v>45352</v>
      </c>
    </row>
    <row r="979" spans="1:16" ht="15.75" customHeight="1">
      <c r="A979" s="13">
        <f t="shared" si="20"/>
        <v>960</v>
      </c>
      <c r="B979" s="180" t="s">
        <v>961</v>
      </c>
      <c r="C979" s="23" t="s">
        <v>947</v>
      </c>
      <c r="D979" s="24" t="s">
        <v>953</v>
      </c>
      <c r="E979" s="23" t="s">
        <v>13</v>
      </c>
      <c r="F979" s="27">
        <v>20</v>
      </c>
      <c r="G979" s="27">
        <v>10</v>
      </c>
      <c r="H979" s="34"/>
      <c r="I979" s="84">
        <v>1230.17</v>
      </c>
      <c r="J979" s="136"/>
      <c r="K979" s="118">
        <v>1760.91</v>
      </c>
      <c r="L979" s="35"/>
      <c r="M979" s="85"/>
      <c r="N979" s="38" t="s">
        <v>796</v>
      </c>
      <c r="O979" s="69"/>
      <c r="P979" s="66">
        <v>45689</v>
      </c>
    </row>
    <row r="980" spans="1:16" ht="15.75" customHeight="1">
      <c r="A980" s="13">
        <f t="shared" si="20"/>
        <v>961</v>
      </c>
      <c r="B980" s="180" t="s">
        <v>961</v>
      </c>
      <c r="C980" s="23" t="s">
        <v>947</v>
      </c>
      <c r="D980" s="24" t="s">
        <v>953</v>
      </c>
      <c r="E980" s="23" t="s">
        <v>13</v>
      </c>
      <c r="F980" s="27">
        <v>16</v>
      </c>
      <c r="G980" s="27">
        <v>14</v>
      </c>
      <c r="H980" s="34"/>
      <c r="I980" s="84">
        <v>1362.86</v>
      </c>
      <c r="J980" s="136"/>
      <c r="K980" s="118">
        <v>1457.67</v>
      </c>
      <c r="L980" s="35"/>
      <c r="M980" s="85"/>
      <c r="N980" s="38" t="s">
        <v>796</v>
      </c>
      <c r="O980" s="69"/>
      <c r="P980" s="66">
        <v>45689</v>
      </c>
    </row>
    <row r="981" spans="1:16" ht="15.75" customHeight="1">
      <c r="A981" s="13">
        <f t="shared" si="20"/>
        <v>962</v>
      </c>
      <c r="B981" s="156" t="s">
        <v>961</v>
      </c>
      <c r="C981" s="23" t="s">
        <v>947</v>
      </c>
      <c r="D981" s="24" t="s">
        <v>953</v>
      </c>
      <c r="E981" s="23" t="s">
        <v>13</v>
      </c>
      <c r="F981" s="27">
        <v>20</v>
      </c>
      <c r="G981" s="27">
        <v>10</v>
      </c>
      <c r="H981" s="34"/>
      <c r="I981" s="84">
        <v>1574.45</v>
      </c>
      <c r="J981" s="136"/>
      <c r="K981" s="118">
        <v>2210.34</v>
      </c>
      <c r="L981" s="35"/>
      <c r="M981" s="85"/>
      <c r="N981" s="38" t="s">
        <v>796</v>
      </c>
      <c r="O981" s="69"/>
      <c r="P981" s="193">
        <v>46082</v>
      </c>
    </row>
    <row r="982" spans="1:16" ht="15.75" customHeight="1">
      <c r="A982" s="13">
        <f t="shared" si="20"/>
        <v>963</v>
      </c>
      <c r="B982" s="156" t="s">
        <v>961</v>
      </c>
      <c r="C982" s="23" t="s">
        <v>947</v>
      </c>
      <c r="D982" s="24" t="s">
        <v>953</v>
      </c>
      <c r="E982" s="23" t="s">
        <v>13</v>
      </c>
      <c r="F982" s="27">
        <v>16</v>
      </c>
      <c r="G982" s="27">
        <v>14</v>
      </c>
      <c r="H982" s="34"/>
      <c r="I982" s="84">
        <v>1733.41</v>
      </c>
      <c r="J982" s="136"/>
      <c r="K982" s="118">
        <v>1846.98</v>
      </c>
      <c r="L982" s="35"/>
      <c r="M982" s="85"/>
      <c r="N982" s="38" t="s">
        <v>796</v>
      </c>
      <c r="O982" s="69"/>
      <c r="P982" s="193">
        <v>46082</v>
      </c>
    </row>
    <row r="983" spans="1:16" ht="15.75" customHeight="1">
      <c r="A983" s="13">
        <f t="shared" si="20"/>
        <v>964</v>
      </c>
      <c r="B983" s="32" t="s">
        <v>1062</v>
      </c>
      <c r="C983" s="23" t="s">
        <v>947</v>
      </c>
      <c r="D983" s="24" t="s">
        <v>948</v>
      </c>
      <c r="E983" s="23" t="s">
        <v>19</v>
      </c>
      <c r="F983" s="46" t="s">
        <v>977</v>
      </c>
      <c r="G983" s="27"/>
      <c r="H983" s="34"/>
      <c r="I983" s="84">
        <v>55363.56</v>
      </c>
      <c r="J983" s="136"/>
      <c r="K983" s="118"/>
      <c r="L983" s="35"/>
      <c r="M983" s="85"/>
      <c r="N983" s="38" t="s">
        <v>796</v>
      </c>
      <c r="O983" s="69"/>
      <c r="P983" s="66">
        <v>44562</v>
      </c>
    </row>
    <row r="984" spans="1:16" ht="15.75" customHeight="1">
      <c r="A984" s="13">
        <f t="shared" si="20"/>
        <v>965</v>
      </c>
      <c r="B984" s="32" t="s">
        <v>946</v>
      </c>
      <c r="C984" s="23" t="s">
        <v>947</v>
      </c>
      <c r="D984" s="24" t="s">
        <v>948</v>
      </c>
      <c r="E984" s="23" t="s">
        <v>19</v>
      </c>
      <c r="F984" s="27">
        <v>20</v>
      </c>
      <c r="G984" s="27">
        <v>10</v>
      </c>
      <c r="H984" s="34"/>
      <c r="I984" s="84">
        <v>1137.8599999999999</v>
      </c>
      <c r="J984" s="136"/>
      <c r="K984" s="118">
        <v>1856.67</v>
      </c>
      <c r="L984" s="35"/>
      <c r="M984" s="85">
        <v>14376.61</v>
      </c>
      <c r="N984" s="38" t="s">
        <v>796</v>
      </c>
      <c r="O984" s="69"/>
      <c r="P984" s="66">
        <v>44562</v>
      </c>
    </row>
    <row r="985" spans="1:16" ht="15.75" customHeight="1">
      <c r="A985" s="13">
        <f t="shared" si="20"/>
        <v>966</v>
      </c>
      <c r="B985" s="32" t="s">
        <v>946</v>
      </c>
      <c r="C985" s="23" t="s">
        <v>947</v>
      </c>
      <c r="D985" s="24" t="s">
        <v>948</v>
      </c>
      <c r="E985" s="23" t="s">
        <v>19</v>
      </c>
      <c r="F985" s="27">
        <v>20</v>
      </c>
      <c r="G985" s="27">
        <v>10</v>
      </c>
      <c r="H985" s="34"/>
      <c r="I985" s="84">
        <v>1216.76</v>
      </c>
      <c r="J985" s="136"/>
      <c r="K985" s="118">
        <v>1989.38</v>
      </c>
      <c r="L985" s="35"/>
      <c r="M985" s="85"/>
      <c r="N985" s="38" t="s">
        <v>796</v>
      </c>
      <c r="O985" s="69"/>
      <c r="P985" s="66">
        <v>45078</v>
      </c>
    </row>
    <row r="986" spans="1:16" ht="15.75" customHeight="1">
      <c r="A986" s="13">
        <f t="shared" si="20"/>
        <v>967</v>
      </c>
      <c r="B986" s="32" t="s">
        <v>1062</v>
      </c>
      <c r="C986" s="23" t="s">
        <v>947</v>
      </c>
      <c r="D986" s="24" t="s">
        <v>948</v>
      </c>
      <c r="E986" s="23" t="s">
        <v>19</v>
      </c>
      <c r="F986" s="46" t="s">
        <v>977</v>
      </c>
      <c r="G986" s="27"/>
      <c r="H986" s="34"/>
      <c r="I986" s="84">
        <v>55918.6</v>
      </c>
      <c r="J986" s="136"/>
      <c r="K986" s="118"/>
      <c r="L986" s="35"/>
      <c r="M986" s="85"/>
      <c r="N986" s="38" t="s">
        <v>796</v>
      </c>
      <c r="O986" s="69"/>
      <c r="P986" s="66">
        <v>45078</v>
      </c>
    </row>
    <row r="987" spans="1:16" ht="15.75" customHeight="1">
      <c r="A987" s="13">
        <f t="shared" si="20"/>
        <v>968</v>
      </c>
      <c r="B987" s="32" t="s">
        <v>946</v>
      </c>
      <c r="C987" s="23" t="s">
        <v>947</v>
      </c>
      <c r="D987" s="24" t="s">
        <v>948</v>
      </c>
      <c r="E987" s="23" t="s">
        <v>19</v>
      </c>
      <c r="F987" s="46">
        <v>20</v>
      </c>
      <c r="G987" s="27">
        <v>10</v>
      </c>
      <c r="H987" s="34"/>
      <c r="I987" s="84">
        <v>1399.46</v>
      </c>
      <c r="J987" s="136"/>
      <c r="K987" s="118">
        <v>2288.14</v>
      </c>
      <c r="L987" s="35"/>
      <c r="M987" s="85">
        <v>17773.61</v>
      </c>
      <c r="N987" s="38" t="s">
        <v>796</v>
      </c>
      <c r="O987" s="69"/>
      <c r="P987" s="66">
        <v>45352</v>
      </c>
    </row>
    <row r="988" spans="1:16" ht="15.75" customHeight="1">
      <c r="A988" s="13">
        <f t="shared" si="20"/>
        <v>969</v>
      </c>
      <c r="B988" s="32" t="s">
        <v>946</v>
      </c>
      <c r="C988" s="23" t="s">
        <v>947</v>
      </c>
      <c r="D988" s="24" t="s">
        <v>948</v>
      </c>
      <c r="E988" s="23" t="s">
        <v>19</v>
      </c>
      <c r="F988" s="46">
        <v>19</v>
      </c>
      <c r="G988" s="27">
        <v>11</v>
      </c>
      <c r="H988" s="34"/>
      <c r="I988" s="84">
        <v>1446.24</v>
      </c>
      <c r="J988" s="136"/>
      <c r="K988" s="118">
        <v>2126.56</v>
      </c>
      <c r="L988" s="35"/>
      <c r="M988" s="85"/>
      <c r="N988" s="38" t="s">
        <v>796</v>
      </c>
      <c r="O988" s="69"/>
      <c r="P988" s="66">
        <v>45352</v>
      </c>
    </row>
    <row r="989" spans="1:16" ht="15.75" customHeight="1">
      <c r="A989" s="13">
        <f t="shared" si="20"/>
        <v>970</v>
      </c>
      <c r="B989" s="32" t="s">
        <v>946</v>
      </c>
      <c r="C989" s="23" t="s">
        <v>947</v>
      </c>
      <c r="D989" s="24" t="s">
        <v>948</v>
      </c>
      <c r="E989" s="23" t="s">
        <v>19</v>
      </c>
      <c r="F989" s="46">
        <v>18</v>
      </c>
      <c r="G989" s="27">
        <v>12</v>
      </c>
      <c r="H989" s="34"/>
      <c r="I989" s="84">
        <v>1498.2</v>
      </c>
      <c r="J989" s="136"/>
      <c r="K989" s="118">
        <v>1991.91</v>
      </c>
      <c r="L989" s="35"/>
      <c r="M989" s="85"/>
      <c r="N989" s="38" t="s">
        <v>796</v>
      </c>
      <c r="O989" s="69"/>
      <c r="P989" s="66">
        <v>45352</v>
      </c>
    </row>
    <row r="990" spans="1:16" ht="15.75" customHeight="1">
      <c r="A990" s="13">
        <f t="shared" si="20"/>
        <v>971</v>
      </c>
      <c r="B990" s="32" t="s">
        <v>946</v>
      </c>
      <c r="C990" s="23" t="s">
        <v>947</v>
      </c>
      <c r="D990" s="24" t="s">
        <v>948</v>
      </c>
      <c r="E990" s="23" t="s">
        <v>19</v>
      </c>
      <c r="F990" s="46">
        <v>17</v>
      </c>
      <c r="G990" s="27">
        <v>13</v>
      </c>
      <c r="H990" s="34"/>
      <c r="I990" s="84">
        <v>1556.29</v>
      </c>
      <c r="J990" s="136"/>
      <c r="K990" s="118">
        <v>1877.97</v>
      </c>
      <c r="L990" s="35"/>
      <c r="M990" s="85"/>
      <c r="N990" s="38" t="s">
        <v>796</v>
      </c>
      <c r="O990" s="69"/>
      <c r="P990" s="66">
        <v>45352</v>
      </c>
    </row>
    <row r="991" spans="1:16" ht="15.75" customHeight="1">
      <c r="A991" s="13">
        <f t="shared" si="20"/>
        <v>972</v>
      </c>
      <c r="B991" s="32" t="s">
        <v>946</v>
      </c>
      <c r="C991" s="23" t="s">
        <v>947</v>
      </c>
      <c r="D991" s="24" t="s">
        <v>948</v>
      </c>
      <c r="E991" s="23" t="s">
        <v>19</v>
      </c>
      <c r="F991" s="46">
        <v>16</v>
      </c>
      <c r="G991" s="27">
        <v>14</v>
      </c>
      <c r="H991" s="34"/>
      <c r="I991" s="84">
        <v>1621.63</v>
      </c>
      <c r="J991" s="136"/>
      <c r="K991" s="118">
        <v>1780.19</v>
      </c>
      <c r="L991" s="35"/>
      <c r="M991" s="85"/>
      <c r="N991" s="38" t="s">
        <v>796</v>
      </c>
      <c r="O991" s="69"/>
      <c r="P991" s="66">
        <v>45352</v>
      </c>
    </row>
    <row r="992" spans="1:16" ht="15.75" customHeight="1">
      <c r="A992" s="13">
        <f t="shared" si="20"/>
        <v>973</v>
      </c>
      <c r="B992" s="32" t="s">
        <v>946</v>
      </c>
      <c r="C992" s="23" t="s">
        <v>947</v>
      </c>
      <c r="D992" s="24" t="s">
        <v>948</v>
      </c>
      <c r="E992" s="23" t="s">
        <v>19</v>
      </c>
      <c r="F992" s="46">
        <v>15</v>
      </c>
      <c r="G992" s="27"/>
      <c r="H992" s="34"/>
      <c r="I992" s="84">
        <v>1695.69</v>
      </c>
      <c r="J992" s="136"/>
      <c r="K992" s="118"/>
      <c r="L992" s="35"/>
      <c r="M992" s="85"/>
      <c r="N992" s="38" t="s">
        <v>796</v>
      </c>
      <c r="O992" s="69"/>
      <c r="P992" s="66">
        <v>45352</v>
      </c>
    </row>
    <row r="993" spans="1:16" ht="15.75" customHeight="1">
      <c r="A993" s="13">
        <f t="shared" si="20"/>
        <v>974</v>
      </c>
      <c r="B993" s="32" t="s">
        <v>946</v>
      </c>
      <c r="C993" s="23" t="s">
        <v>947</v>
      </c>
      <c r="D993" s="24" t="s">
        <v>948</v>
      </c>
      <c r="E993" s="23" t="s">
        <v>19</v>
      </c>
      <c r="F993" s="46">
        <v>20</v>
      </c>
      <c r="G993" s="27">
        <v>10</v>
      </c>
      <c r="H993" s="34"/>
      <c r="I993" s="84">
        <v>1647.55</v>
      </c>
      <c r="J993" s="136"/>
      <c r="K993" s="118">
        <v>2692.4</v>
      </c>
      <c r="L993" s="35"/>
      <c r="M993" s="85">
        <v>20896.84</v>
      </c>
      <c r="N993" s="38" t="s">
        <v>796</v>
      </c>
      <c r="O993" s="69"/>
      <c r="P993" s="66">
        <v>45689</v>
      </c>
    </row>
    <row r="994" spans="1:16" ht="15.75" customHeight="1">
      <c r="A994" s="13">
        <f t="shared" si="20"/>
        <v>975</v>
      </c>
      <c r="B994" s="32" t="s">
        <v>946</v>
      </c>
      <c r="C994" s="23" t="s">
        <v>947</v>
      </c>
      <c r="D994" s="24" t="s">
        <v>948</v>
      </c>
      <c r="E994" s="23" t="s">
        <v>19</v>
      </c>
      <c r="F994" s="46">
        <v>19</v>
      </c>
      <c r="G994" s="27">
        <v>11</v>
      </c>
      <c r="H994" s="34"/>
      <c r="I994" s="84">
        <v>1702.56</v>
      </c>
      <c r="J994" s="136"/>
      <c r="K994" s="118">
        <v>2502.44</v>
      </c>
      <c r="L994" s="35"/>
      <c r="M994" s="85"/>
      <c r="N994" s="38" t="s">
        <v>796</v>
      </c>
      <c r="O994" s="69"/>
      <c r="P994" s="66">
        <v>45689</v>
      </c>
    </row>
    <row r="995" spans="1:16" ht="15.75" customHeight="1">
      <c r="A995" s="13">
        <f t="shared" si="20"/>
        <v>976</v>
      </c>
      <c r="B995" s="32" t="s">
        <v>946</v>
      </c>
      <c r="C995" s="23" t="s">
        <v>947</v>
      </c>
      <c r="D995" s="24" t="s">
        <v>948</v>
      </c>
      <c r="E995" s="23" t="s">
        <v>19</v>
      </c>
      <c r="F995" s="46">
        <v>18</v>
      </c>
      <c r="G995" s="27">
        <v>12</v>
      </c>
      <c r="H995" s="34"/>
      <c r="I995" s="84">
        <v>1763.64</v>
      </c>
      <c r="J995" s="136"/>
      <c r="K995" s="118">
        <v>2344.1</v>
      </c>
      <c r="L995" s="35"/>
      <c r="M995" s="85"/>
      <c r="N995" s="38" t="s">
        <v>796</v>
      </c>
      <c r="O995" s="69"/>
      <c r="P995" s="66">
        <v>45689</v>
      </c>
    </row>
    <row r="996" spans="1:16" ht="15.75" customHeight="1">
      <c r="A996" s="13">
        <f t="shared" si="20"/>
        <v>977</v>
      </c>
      <c r="B996" s="32" t="s">
        <v>946</v>
      </c>
      <c r="C996" s="23" t="s">
        <v>947</v>
      </c>
      <c r="D996" s="24" t="s">
        <v>948</v>
      </c>
      <c r="E996" s="23" t="s">
        <v>19</v>
      </c>
      <c r="F996" s="46">
        <v>17</v>
      </c>
      <c r="G996" s="27">
        <v>13</v>
      </c>
      <c r="H996" s="34"/>
      <c r="I996" s="84">
        <v>1831.93</v>
      </c>
      <c r="J996" s="136"/>
      <c r="K996" s="118">
        <v>2210.1799999999998</v>
      </c>
      <c r="L996" s="35"/>
      <c r="M996" s="85"/>
      <c r="N996" s="38" t="s">
        <v>796</v>
      </c>
      <c r="O996" s="69"/>
      <c r="P996" s="66">
        <v>45689</v>
      </c>
    </row>
    <row r="997" spans="1:16" ht="15.75" customHeight="1">
      <c r="A997" s="13">
        <f t="shared" si="20"/>
        <v>978</v>
      </c>
      <c r="B997" s="32" t="s">
        <v>946</v>
      </c>
      <c r="C997" s="23" t="s">
        <v>947</v>
      </c>
      <c r="D997" s="24" t="s">
        <v>948</v>
      </c>
      <c r="E997" s="23" t="s">
        <v>19</v>
      </c>
      <c r="F997" s="46">
        <v>16</v>
      </c>
      <c r="G997" s="27">
        <v>14</v>
      </c>
      <c r="H997" s="34"/>
      <c r="I997" s="84">
        <v>1908.77</v>
      </c>
      <c r="J997" s="136"/>
      <c r="K997" s="118">
        <v>2095.33</v>
      </c>
      <c r="L997" s="35"/>
      <c r="M997" s="85"/>
      <c r="N997" s="38" t="s">
        <v>796</v>
      </c>
      <c r="O997" s="69"/>
      <c r="P997" s="66">
        <v>45689</v>
      </c>
    </row>
    <row r="998" spans="1:16" ht="15.75" customHeight="1">
      <c r="A998" s="13">
        <f t="shared" si="20"/>
        <v>979</v>
      </c>
      <c r="B998" s="32" t="s">
        <v>946</v>
      </c>
      <c r="C998" s="23" t="s">
        <v>947</v>
      </c>
      <c r="D998" s="24" t="s">
        <v>948</v>
      </c>
      <c r="E998" s="23" t="s">
        <v>19</v>
      </c>
      <c r="F998" s="46">
        <v>15</v>
      </c>
      <c r="G998" s="27"/>
      <c r="H998" s="34"/>
      <c r="I998" s="84">
        <v>1995.82</v>
      </c>
      <c r="J998" s="136"/>
      <c r="K998" s="118"/>
      <c r="L998" s="35"/>
      <c r="M998" s="85"/>
      <c r="N998" s="38" t="s">
        <v>796</v>
      </c>
      <c r="O998" s="69"/>
      <c r="P998" s="66">
        <v>45689</v>
      </c>
    </row>
    <row r="999" spans="1:16" ht="15.75" customHeight="1">
      <c r="A999" s="13">
        <f t="shared" si="20"/>
        <v>980</v>
      </c>
      <c r="B999" s="32" t="s">
        <v>1062</v>
      </c>
      <c r="C999" s="23" t="s">
        <v>947</v>
      </c>
      <c r="D999" s="24" t="s">
        <v>948</v>
      </c>
      <c r="E999" s="23" t="s">
        <v>19</v>
      </c>
      <c r="F999" s="46" t="s">
        <v>977</v>
      </c>
      <c r="G999" s="27"/>
      <c r="H999" s="34"/>
      <c r="I999" s="84">
        <v>77903.78</v>
      </c>
      <c r="J999" s="136"/>
      <c r="K999" s="118"/>
      <c r="L999" s="35"/>
      <c r="M999" s="85"/>
      <c r="N999" s="38" t="s">
        <v>796</v>
      </c>
      <c r="O999" s="69"/>
      <c r="P999" s="66">
        <v>45352</v>
      </c>
    </row>
    <row r="1000" spans="1:16" ht="15.75" customHeight="1">
      <c r="A1000" s="13">
        <f t="shared" si="20"/>
        <v>981</v>
      </c>
      <c r="B1000" s="32" t="s">
        <v>1062</v>
      </c>
      <c r="C1000" s="23" t="s">
        <v>947</v>
      </c>
      <c r="D1000" s="24" t="s">
        <v>948</v>
      </c>
      <c r="E1000" s="23" t="s">
        <v>19</v>
      </c>
      <c r="F1000" s="46" t="s">
        <v>977</v>
      </c>
      <c r="G1000" s="27"/>
      <c r="H1000" s="34"/>
      <c r="I1000" s="84">
        <v>89930.04</v>
      </c>
      <c r="J1000" s="136"/>
      <c r="K1000" s="118"/>
      <c r="L1000" s="35"/>
      <c r="M1000" s="85"/>
      <c r="N1000" s="38" t="s">
        <v>796</v>
      </c>
      <c r="O1000" s="69"/>
      <c r="P1000" s="66">
        <v>45689</v>
      </c>
    </row>
    <row r="1001" spans="1:16" ht="15.75" customHeight="1">
      <c r="A1001" s="13">
        <f t="shared" si="20"/>
        <v>982</v>
      </c>
      <c r="B1001" s="156" t="s">
        <v>946</v>
      </c>
      <c r="C1001" s="23" t="s">
        <v>947</v>
      </c>
      <c r="D1001" s="24" t="s">
        <v>948</v>
      </c>
      <c r="E1001" s="23" t="s">
        <v>19</v>
      </c>
      <c r="F1001" s="46">
        <v>20</v>
      </c>
      <c r="G1001" s="27">
        <v>10</v>
      </c>
      <c r="H1001" s="34"/>
      <c r="I1001" s="84">
        <v>1924.62</v>
      </c>
      <c r="J1001" s="136"/>
      <c r="K1001" s="118">
        <v>3139.84</v>
      </c>
      <c r="L1001" s="35"/>
      <c r="M1001" s="85">
        <v>24304.53</v>
      </c>
      <c r="N1001" s="38" t="s">
        <v>796</v>
      </c>
      <c r="O1001" s="69"/>
      <c r="P1001" s="193">
        <v>46082</v>
      </c>
    </row>
    <row r="1002" spans="1:16" ht="15.75" customHeight="1">
      <c r="A1002" s="13">
        <f t="shared" si="20"/>
        <v>983</v>
      </c>
      <c r="B1002" s="156" t="s">
        <v>946</v>
      </c>
      <c r="C1002" s="23" t="s">
        <v>947</v>
      </c>
      <c r="D1002" s="24" t="s">
        <v>948</v>
      </c>
      <c r="E1002" s="23" t="s">
        <v>19</v>
      </c>
      <c r="F1002" s="46">
        <v>19</v>
      </c>
      <c r="G1002" s="27">
        <v>11</v>
      </c>
      <c r="H1002" s="34"/>
      <c r="I1002" s="84">
        <v>1988.57</v>
      </c>
      <c r="J1002" s="136"/>
      <c r="K1002" s="118">
        <v>2918.88</v>
      </c>
      <c r="L1002" s="35"/>
      <c r="M1002" s="85"/>
      <c r="N1002" s="38" t="s">
        <v>796</v>
      </c>
      <c r="O1002" s="69"/>
      <c r="P1002" s="193">
        <v>46082</v>
      </c>
    </row>
    <row r="1003" spans="1:16" ht="15.75" customHeight="1">
      <c r="A1003" s="13">
        <f t="shared" si="20"/>
        <v>984</v>
      </c>
      <c r="B1003" s="156" t="s">
        <v>946</v>
      </c>
      <c r="C1003" s="23" t="s">
        <v>947</v>
      </c>
      <c r="D1003" s="24" t="s">
        <v>948</v>
      </c>
      <c r="E1003" s="23" t="s">
        <v>19</v>
      </c>
      <c r="F1003" s="46">
        <v>18</v>
      </c>
      <c r="G1003" s="27">
        <v>12</v>
      </c>
      <c r="H1003" s="34"/>
      <c r="I1003" s="84">
        <v>2059.66</v>
      </c>
      <c r="J1003" s="136"/>
      <c r="K1003" s="118">
        <v>2734.77</v>
      </c>
      <c r="L1003" s="35"/>
      <c r="M1003" s="85"/>
      <c r="N1003" s="38" t="s">
        <v>796</v>
      </c>
      <c r="O1003" s="69"/>
      <c r="P1003" s="193">
        <v>46082</v>
      </c>
    </row>
    <row r="1004" spans="1:16" ht="15.75" customHeight="1">
      <c r="A1004" s="13">
        <f t="shared" ref="A1004:A1067" si="21">A1003+1</f>
        <v>985</v>
      </c>
      <c r="B1004" s="156" t="s">
        <v>946</v>
      </c>
      <c r="C1004" s="23" t="s">
        <v>947</v>
      </c>
      <c r="D1004" s="24" t="s">
        <v>948</v>
      </c>
      <c r="E1004" s="23" t="s">
        <v>19</v>
      </c>
      <c r="F1004" s="46">
        <v>17</v>
      </c>
      <c r="G1004" s="27">
        <v>13</v>
      </c>
      <c r="H1004" s="34"/>
      <c r="I1004" s="84">
        <v>2139.0500000000002</v>
      </c>
      <c r="J1004" s="136"/>
      <c r="K1004" s="118">
        <v>2578.9499999999998</v>
      </c>
      <c r="L1004" s="35"/>
      <c r="M1004" s="85"/>
      <c r="N1004" s="38" t="s">
        <v>796</v>
      </c>
      <c r="O1004" s="69"/>
      <c r="P1004" s="193">
        <v>46082</v>
      </c>
    </row>
    <row r="1005" spans="1:16" ht="15.75" customHeight="1">
      <c r="A1005" s="13">
        <f t="shared" si="21"/>
        <v>986</v>
      </c>
      <c r="B1005" s="156" t="s">
        <v>946</v>
      </c>
      <c r="C1005" s="23" t="s">
        <v>947</v>
      </c>
      <c r="D1005" s="24" t="s">
        <v>948</v>
      </c>
      <c r="E1005" s="23" t="s">
        <v>19</v>
      </c>
      <c r="F1005" s="46">
        <v>16</v>
      </c>
      <c r="G1005" s="27">
        <v>14</v>
      </c>
      <c r="H1005" s="34"/>
      <c r="I1005" s="84">
        <v>2228.4299999999998</v>
      </c>
      <c r="J1005" s="136"/>
      <c r="K1005" s="118">
        <v>2445.41</v>
      </c>
      <c r="L1005" s="35"/>
      <c r="M1005" s="85"/>
      <c r="N1005" s="38" t="s">
        <v>796</v>
      </c>
      <c r="O1005" s="69"/>
      <c r="P1005" s="193">
        <v>46082</v>
      </c>
    </row>
    <row r="1006" spans="1:16" ht="15.75" customHeight="1">
      <c r="A1006" s="13">
        <f t="shared" si="21"/>
        <v>987</v>
      </c>
      <c r="B1006" s="156" t="s">
        <v>946</v>
      </c>
      <c r="C1006" s="23" t="s">
        <v>947</v>
      </c>
      <c r="D1006" s="24" t="s">
        <v>948</v>
      </c>
      <c r="E1006" s="23" t="s">
        <v>19</v>
      </c>
      <c r="F1006" s="46">
        <v>15</v>
      </c>
      <c r="G1006" s="27"/>
      <c r="H1006" s="34"/>
      <c r="I1006" s="84">
        <v>2329.6799999999998</v>
      </c>
      <c r="J1006" s="136"/>
      <c r="K1006" s="118"/>
      <c r="L1006" s="35"/>
      <c r="M1006" s="85"/>
      <c r="N1006" s="38" t="s">
        <v>796</v>
      </c>
      <c r="O1006" s="69"/>
      <c r="P1006" s="193">
        <v>46082</v>
      </c>
    </row>
    <row r="1007" spans="1:16" ht="15.75" customHeight="1">
      <c r="A1007" s="13">
        <f t="shared" si="21"/>
        <v>988</v>
      </c>
      <c r="B1007" s="156" t="s">
        <v>1062</v>
      </c>
      <c r="C1007" s="23" t="s">
        <v>947</v>
      </c>
      <c r="D1007" s="24" t="s">
        <v>948</v>
      </c>
      <c r="E1007" s="23" t="s">
        <v>19</v>
      </c>
      <c r="F1007" s="46" t="s">
        <v>977</v>
      </c>
      <c r="G1007" s="27"/>
      <c r="H1007" s="34"/>
      <c r="I1007" s="84">
        <v>113251</v>
      </c>
      <c r="J1007" s="136"/>
      <c r="K1007" s="118"/>
      <c r="L1007" s="35"/>
      <c r="M1007" s="85"/>
      <c r="N1007" s="38" t="s">
        <v>796</v>
      </c>
      <c r="O1007" s="69"/>
      <c r="P1007" s="193">
        <v>46082</v>
      </c>
    </row>
    <row r="1008" spans="1:16" ht="15.75" customHeight="1">
      <c r="A1008" s="13">
        <f t="shared" si="21"/>
        <v>989</v>
      </c>
      <c r="B1008" s="32" t="s">
        <v>1063</v>
      </c>
      <c r="C1008" s="23" t="s">
        <v>947</v>
      </c>
      <c r="D1008" s="24" t="s">
        <v>953</v>
      </c>
      <c r="E1008" s="23" t="s">
        <v>19</v>
      </c>
      <c r="F1008" s="46" t="s">
        <v>977</v>
      </c>
      <c r="G1008" s="27"/>
      <c r="H1008" s="34"/>
      <c r="I1008" s="84">
        <v>55363.56</v>
      </c>
      <c r="J1008" s="136"/>
      <c r="K1008" s="118"/>
      <c r="L1008" s="35"/>
      <c r="M1008" s="85"/>
      <c r="N1008" s="38" t="s">
        <v>796</v>
      </c>
      <c r="O1008" s="69"/>
      <c r="P1008" s="66">
        <v>44562</v>
      </c>
    </row>
    <row r="1009" spans="1:16" ht="15.75" customHeight="1">
      <c r="A1009" s="13">
        <f t="shared" si="21"/>
        <v>990</v>
      </c>
      <c r="B1009" s="32" t="s">
        <v>952</v>
      </c>
      <c r="C1009" s="23" t="s">
        <v>947</v>
      </c>
      <c r="D1009" s="24" t="s">
        <v>953</v>
      </c>
      <c r="E1009" s="23" t="s">
        <v>19</v>
      </c>
      <c r="F1009" s="27">
        <v>20</v>
      </c>
      <c r="G1009" s="27">
        <v>10</v>
      </c>
      <c r="H1009" s="34"/>
      <c r="I1009" s="84">
        <v>1192.68</v>
      </c>
      <c r="J1009" s="136"/>
      <c r="K1009" s="118">
        <v>1911.5</v>
      </c>
      <c r="L1009" s="35"/>
      <c r="M1009" s="85">
        <v>14376.61</v>
      </c>
      <c r="N1009" s="38" t="s">
        <v>796</v>
      </c>
      <c r="O1009" s="69"/>
      <c r="P1009" s="66">
        <v>44562</v>
      </c>
    </row>
    <row r="1010" spans="1:16" ht="15.75" customHeight="1">
      <c r="A1010" s="13">
        <f t="shared" si="21"/>
        <v>991</v>
      </c>
      <c r="B1010" s="32" t="s">
        <v>952</v>
      </c>
      <c r="C1010" s="23" t="s">
        <v>947</v>
      </c>
      <c r="D1010" s="24" t="s">
        <v>953</v>
      </c>
      <c r="E1010" s="23" t="s">
        <v>19</v>
      </c>
      <c r="F1010" s="27">
        <v>20</v>
      </c>
      <c r="G1010" s="27">
        <v>10</v>
      </c>
      <c r="H1010" s="34"/>
      <c r="I1010" s="84">
        <v>1274.8900000000001</v>
      </c>
      <c r="J1010" s="136"/>
      <c r="K1010" s="118">
        <v>2047.53</v>
      </c>
      <c r="L1010" s="35"/>
      <c r="M1010" s="85"/>
      <c r="N1010" s="38" t="s">
        <v>796</v>
      </c>
      <c r="O1010" s="69"/>
      <c r="P1010" s="66">
        <v>45078</v>
      </c>
    </row>
    <row r="1011" spans="1:16" ht="15.75" customHeight="1">
      <c r="A1011" s="13">
        <f t="shared" si="21"/>
        <v>992</v>
      </c>
      <c r="B1011" s="32" t="s">
        <v>1063</v>
      </c>
      <c r="C1011" s="23" t="s">
        <v>947</v>
      </c>
      <c r="D1011" s="24" t="s">
        <v>953</v>
      </c>
      <c r="E1011" s="23" t="s">
        <v>19</v>
      </c>
      <c r="F1011" s="46" t="s">
        <v>977</v>
      </c>
      <c r="G1011" s="27"/>
      <c r="H1011" s="34"/>
      <c r="I1011" s="84">
        <v>55918.6</v>
      </c>
      <c r="J1011" s="136"/>
      <c r="K1011" s="118"/>
      <c r="L1011" s="35"/>
      <c r="M1011" s="85"/>
      <c r="N1011" s="38" t="s">
        <v>796</v>
      </c>
      <c r="O1011" s="69"/>
      <c r="P1011" s="66">
        <v>45078</v>
      </c>
    </row>
    <row r="1012" spans="1:16" ht="15.75" customHeight="1">
      <c r="A1012" s="13">
        <f t="shared" si="21"/>
        <v>993</v>
      </c>
      <c r="B1012" s="32" t="s">
        <v>952</v>
      </c>
      <c r="C1012" s="23" t="s">
        <v>947</v>
      </c>
      <c r="D1012" s="24" t="s">
        <v>953</v>
      </c>
      <c r="E1012" s="23" t="s">
        <v>19</v>
      </c>
      <c r="F1012" s="46">
        <v>20</v>
      </c>
      <c r="G1012" s="27">
        <v>10</v>
      </c>
      <c r="H1012" s="34"/>
      <c r="I1012" s="84">
        <v>1466.31</v>
      </c>
      <c r="J1012" s="136"/>
      <c r="K1012" s="118">
        <v>2354.98</v>
      </c>
      <c r="L1012" s="35"/>
      <c r="M1012" s="85">
        <v>17773.61</v>
      </c>
      <c r="N1012" s="38" t="s">
        <v>796</v>
      </c>
      <c r="O1012" s="69"/>
      <c r="P1012" s="66">
        <v>45352</v>
      </c>
    </row>
    <row r="1013" spans="1:16" ht="15.75" customHeight="1">
      <c r="A1013" s="13">
        <f t="shared" si="21"/>
        <v>994</v>
      </c>
      <c r="B1013" s="32" t="s">
        <v>952</v>
      </c>
      <c r="C1013" s="23" t="s">
        <v>947</v>
      </c>
      <c r="D1013" s="24" t="s">
        <v>953</v>
      </c>
      <c r="E1013" s="23" t="s">
        <v>19</v>
      </c>
      <c r="F1013" s="46">
        <v>19</v>
      </c>
      <c r="G1013" s="27">
        <v>11</v>
      </c>
      <c r="H1013" s="34"/>
      <c r="I1013" s="84">
        <v>1513.08</v>
      </c>
      <c r="J1013" s="136"/>
      <c r="K1013" s="118">
        <v>2193.4</v>
      </c>
      <c r="L1013" s="35"/>
      <c r="M1013" s="85"/>
      <c r="N1013" s="38" t="s">
        <v>796</v>
      </c>
      <c r="O1013" s="69"/>
      <c r="P1013" s="66">
        <v>45352</v>
      </c>
    </row>
    <row r="1014" spans="1:16" ht="15.75" customHeight="1">
      <c r="A1014" s="13">
        <f t="shared" si="21"/>
        <v>995</v>
      </c>
      <c r="B1014" s="32" t="s">
        <v>952</v>
      </c>
      <c r="C1014" s="23" t="s">
        <v>947</v>
      </c>
      <c r="D1014" s="24" t="s">
        <v>953</v>
      </c>
      <c r="E1014" s="23" t="s">
        <v>19</v>
      </c>
      <c r="F1014" s="46">
        <v>18</v>
      </c>
      <c r="G1014" s="27">
        <v>12</v>
      </c>
      <c r="H1014" s="34"/>
      <c r="I1014" s="84">
        <v>1565.05</v>
      </c>
      <c r="J1014" s="136"/>
      <c r="K1014" s="118">
        <v>2058.75</v>
      </c>
      <c r="L1014" s="35"/>
      <c r="M1014" s="85"/>
      <c r="N1014" s="38" t="s">
        <v>796</v>
      </c>
      <c r="O1014" s="69"/>
      <c r="P1014" s="66">
        <v>45352</v>
      </c>
    </row>
    <row r="1015" spans="1:16" ht="15.75" customHeight="1">
      <c r="A1015" s="13">
        <f t="shared" si="21"/>
        <v>996</v>
      </c>
      <c r="B1015" s="32" t="s">
        <v>952</v>
      </c>
      <c r="C1015" s="23" t="s">
        <v>947</v>
      </c>
      <c r="D1015" s="24" t="s">
        <v>953</v>
      </c>
      <c r="E1015" s="23" t="s">
        <v>19</v>
      </c>
      <c r="F1015" s="46">
        <v>17</v>
      </c>
      <c r="G1015" s="27">
        <v>13</v>
      </c>
      <c r="H1015" s="34"/>
      <c r="I1015" s="84">
        <v>1623.13</v>
      </c>
      <c r="J1015" s="136"/>
      <c r="K1015" s="118">
        <v>1944.81</v>
      </c>
      <c r="L1015" s="35"/>
      <c r="M1015" s="85"/>
      <c r="N1015" s="38" t="s">
        <v>796</v>
      </c>
      <c r="O1015" s="69"/>
      <c r="P1015" s="66">
        <v>45352</v>
      </c>
    </row>
    <row r="1016" spans="1:16" ht="15.75" customHeight="1">
      <c r="A1016" s="13">
        <f t="shared" si="21"/>
        <v>997</v>
      </c>
      <c r="B1016" s="32" t="s">
        <v>952</v>
      </c>
      <c r="C1016" s="23" t="s">
        <v>947</v>
      </c>
      <c r="D1016" s="24" t="s">
        <v>953</v>
      </c>
      <c r="E1016" s="23" t="s">
        <v>19</v>
      </c>
      <c r="F1016" s="46">
        <v>16</v>
      </c>
      <c r="G1016" s="27">
        <v>14</v>
      </c>
      <c r="H1016" s="34"/>
      <c r="I1016" s="84">
        <v>1688.47</v>
      </c>
      <c r="J1016" s="136"/>
      <c r="K1016" s="118">
        <v>1847.16</v>
      </c>
      <c r="L1016" s="35"/>
      <c r="M1016" s="85"/>
      <c r="N1016" s="38" t="s">
        <v>796</v>
      </c>
      <c r="O1016" s="69"/>
      <c r="P1016" s="66">
        <v>45352</v>
      </c>
    </row>
    <row r="1017" spans="1:16" ht="15.75" customHeight="1">
      <c r="A1017" s="13">
        <f t="shared" si="21"/>
        <v>998</v>
      </c>
      <c r="B1017" s="32" t="s">
        <v>952</v>
      </c>
      <c r="C1017" s="23" t="s">
        <v>947</v>
      </c>
      <c r="D1017" s="24" t="s">
        <v>953</v>
      </c>
      <c r="E1017" s="23" t="s">
        <v>19</v>
      </c>
      <c r="F1017" s="46">
        <v>15</v>
      </c>
      <c r="G1017" s="27"/>
      <c r="H1017" s="34"/>
      <c r="I1017" s="84">
        <v>1762.54</v>
      </c>
      <c r="J1017" s="136"/>
      <c r="K1017" s="118"/>
      <c r="L1017" s="35"/>
      <c r="M1017" s="85"/>
      <c r="N1017" s="38" t="s">
        <v>796</v>
      </c>
      <c r="O1017" s="69"/>
      <c r="P1017" s="66">
        <v>45352</v>
      </c>
    </row>
    <row r="1018" spans="1:16" ht="15.75" customHeight="1">
      <c r="A1018" s="13">
        <f t="shared" si="21"/>
        <v>999</v>
      </c>
      <c r="B1018" s="32" t="s">
        <v>952</v>
      </c>
      <c r="C1018" s="23" t="s">
        <v>947</v>
      </c>
      <c r="D1018" s="24" t="s">
        <v>953</v>
      </c>
      <c r="E1018" s="23" t="s">
        <v>19</v>
      </c>
      <c r="F1018" s="46">
        <v>20</v>
      </c>
      <c r="G1018" s="27">
        <v>10</v>
      </c>
      <c r="H1018" s="34"/>
      <c r="I1018" s="84">
        <v>1726.43</v>
      </c>
      <c r="J1018" s="136"/>
      <c r="K1018" s="118">
        <v>2771.28</v>
      </c>
      <c r="L1018" s="35"/>
      <c r="M1018" s="85">
        <v>20896.84</v>
      </c>
      <c r="N1018" s="38" t="s">
        <v>796</v>
      </c>
      <c r="O1018" s="69"/>
      <c r="P1018" s="66">
        <v>45689</v>
      </c>
    </row>
    <row r="1019" spans="1:16" ht="15.75" customHeight="1">
      <c r="A1019" s="13">
        <f t="shared" si="21"/>
        <v>1000</v>
      </c>
      <c r="B1019" s="32" t="s">
        <v>952</v>
      </c>
      <c r="C1019" s="23" t="s">
        <v>947</v>
      </c>
      <c r="D1019" s="24" t="s">
        <v>953</v>
      </c>
      <c r="E1019" s="23" t="s">
        <v>19</v>
      </c>
      <c r="F1019" s="46">
        <v>19</v>
      </c>
      <c r="G1019" s="27">
        <v>11</v>
      </c>
      <c r="H1019" s="34"/>
      <c r="I1019" s="84">
        <v>1781.44</v>
      </c>
      <c r="J1019" s="136"/>
      <c r="K1019" s="118">
        <v>2581.31</v>
      </c>
      <c r="L1019" s="35"/>
      <c r="M1019" s="85"/>
      <c r="N1019" s="38" t="s">
        <v>796</v>
      </c>
      <c r="O1019" s="69"/>
      <c r="P1019" s="66">
        <v>45689</v>
      </c>
    </row>
    <row r="1020" spans="1:16" ht="15.75" customHeight="1">
      <c r="A1020" s="13">
        <f t="shared" si="21"/>
        <v>1001</v>
      </c>
      <c r="B1020" s="32" t="s">
        <v>952</v>
      </c>
      <c r="C1020" s="23" t="s">
        <v>947</v>
      </c>
      <c r="D1020" s="24" t="s">
        <v>953</v>
      </c>
      <c r="E1020" s="23" t="s">
        <v>19</v>
      </c>
      <c r="F1020" s="46">
        <v>18</v>
      </c>
      <c r="G1020" s="27">
        <v>12</v>
      </c>
      <c r="H1020" s="34"/>
      <c r="I1020" s="84">
        <v>1842.52</v>
      </c>
      <c r="J1020" s="136"/>
      <c r="K1020" s="118">
        <v>2422.98</v>
      </c>
      <c r="L1020" s="35"/>
      <c r="M1020" s="85"/>
      <c r="N1020" s="38" t="s">
        <v>796</v>
      </c>
      <c r="O1020" s="69"/>
      <c r="P1020" s="66">
        <v>45689</v>
      </c>
    </row>
    <row r="1021" spans="1:16" ht="15.75" customHeight="1">
      <c r="A1021" s="13">
        <f t="shared" si="21"/>
        <v>1002</v>
      </c>
      <c r="B1021" s="32" t="s">
        <v>952</v>
      </c>
      <c r="C1021" s="23" t="s">
        <v>947</v>
      </c>
      <c r="D1021" s="24" t="s">
        <v>953</v>
      </c>
      <c r="E1021" s="23" t="s">
        <v>19</v>
      </c>
      <c r="F1021" s="46">
        <v>17</v>
      </c>
      <c r="G1021" s="27">
        <v>13</v>
      </c>
      <c r="H1021" s="34"/>
      <c r="I1021" s="84">
        <v>1910.8</v>
      </c>
      <c r="J1021" s="136"/>
      <c r="K1021" s="118">
        <v>2289.06</v>
      </c>
      <c r="L1021" s="35"/>
      <c r="M1021" s="85"/>
      <c r="N1021" s="38" t="s">
        <v>796</v>
      </c>
      <c r="O1021" s="69"/>
      <c r="P1021" s="66">
        <v>45689</v>
      </c>
    </row>
    <row r="1022" spans="1:16" ht="15.75" customHeight="1">
      <c r="A1022" s="13">
        <f t="shared" si="21"/>
        <v>1003</v>
      </c>
      <c r="B1022" s="32" t="s">
        <v>952</v>
      </c>
      <c r="C1022" s="23" t="s">
        <v>947</v>
      </c>
      <c r="D1022" s="24" t="s">
        <v>953</v>
      </c>
      <c r="E1022" s="23" t="s">
        <v>19</v>
      </c>
      <c r="F1022" s="46">
        <v>16</v>
      </c>
      <c r="G1022" s="27">
        <v>14</v>
      </c>
      <c r="H1022" s="34"/>
      <c r="I1022" s="84">
        <v>1987.64</v>
      </c>
      <c r="J1022" s="136"/>
      <c r="K1022" s="118">
        <v>2174.21</v>
      </c>
      <c r="L1022" s="35"/>
      <c r="M1022" s="85"/>
      <c r="N1022" s="38" t="s">
        <v>796</v>
      </c>
      <c r="O1022" s="69"/>
      <c r="P1022" s="66">
        <v>45689</v>
      </c>
    </row>
    <row r="1023" spans="1:16" ht="15.75" customHeight="1">
      <c r="A1023" s="13">
        <f t="shared" si="21"/>
        <v>1004</v>
      </c>
      <c r="B1023" s="32" t="s">
        <v>952</v>
      </c>
      <c r="C1023" s="23" t="s">
        <v>947</v>
      </c>
      <c r="D1023" s="24" t="s">
        <v>953</v>
      </c>
      <c r="E1023" s="23" t="s">
        <v>19</v>
      </c>
      <c r="F1023" s="46">
        <v>15</v>
      </c>
      <c r="G1023" s="27"/>
      <c r="H1023" s="34"/>
      <c r="I1023" s="84">
        <v>2074.6999999999998</v>
      </c>
      <c r="J1023" s="136"/>
      <c r="K1023" s="118"/>
      <c r="L1023" s="35"/>
      <c r="M1023" s="85"/>
      <c r="N1023" s="38" t="s">
        <v>796</v>
      </c>
      <c r="O1023" s="69"/>
      <c r="P1023" s="66">
        <v>45689</v>
      </c>
    </row>
    <row r="1024" spans="1:16" ht="15.75" customHeight="1">
      <c r="A1024" s="13">
        <f t="shared" si="21"/>
        <v>1005</v>
      </c>
      <c r="B1024" s="32" t="s">
        <v>1063</v>
      </c>
      <c r="C1024" s="23" t="s">
        <v>947</v>
      </c>
      <c r="D1024" s="24" t="s">
        <v>953</v>
      </c>
      <c r="E1024" s="23" t="s">
        <v>19</v>
      </c>
      <c r="F1024" s="46" t="s">
        <v>977</v>
      </c>
      <c r="G1024" s="27"/>
      <c r="H1024" s="34"/>
      <c r="I1024" s="84">
        <v>77903.78</v>
      </c>
      <c r="J1024" s="136"/>
      <c r="K1024" s="118"/>
      <c r="L1024" s="35"/>
      <c r="M1024" s="85"/>
      <c r="N1024" s="38" t="s">
        <v>796</v>
      </c>
      <c r="O1024" s="69"/>
      <c r="P1024" s="66">
        <v>45352</v>
      </c>
    </row>
    <row r="1025" spans="1:16" ht="15.75" customHeight="1">
      <c r="A1025" s="13">
        <f t="shared" si="21"/>
        <v>1006</v>
      </c>
      <c r="B1025" s="32" t="s">
        <v>1063</v>
      </c>
      <c r="C1025" s="23" t="s">
        <v>947</v>
      </c>
      <c r="D1025" s="24" t="s">
        <v>953</v>
      </c>
      <c r="E1025" s="23" t="s">
        <v>19</v>
      </c>
      <c r="F1025" s="46" t="s">
        <v>977</v>
      </c>
      <c r="G1025" s="27"/>
      <c r="H1025" s="34"/>
      <c r="I1025" s="84">
        <v>89930.04</v>
      </c>
      <c r="J1025" s="136"/>
      <c r="K1025" s="118"/>
      <c r="L1025" s="35"/>
      <c r="M1025" s="85"/>
      <c r="N1025" s="38" t="s">
        <v>796</v>
      </c>
      <c r="O1025" s="69"/>
      <c r="P1025" s="66">
        <v>45689</v>
      </c>
    </row>
    <row r="1026" spans="1:16" ht="15.75" customHeight="1">
      <c r="A1026" s="13">
        <f t="shared" si="21"/>
        <v>1007</v>
      </c>
      <c r="B1026" s="156" t="s">
        <v>952</v>
      </c>
      <c r="C1026" s="23" t="s">
        <v>947</v>
      </c>
      <c r="D1026" s="24" t="s">
        <v>953</v>
      </c>
      <c r="E1026" s="23" t="s">
        <v>19</v>
      </c>
      <c r="F1026" s="46">
        <v>20</v>
      </c>
      <c r="G1026" s="27">
        <v>10</v>
      </c>
      <c r="H1026" s="34"/>
      <c r="I1026" s="84">
        <v>2134.16</v>
      </c>
      <c r="J1026" s="136"/>
      <c r="K1026" s="118">
        <v>3349.36</v>
      </c>
      <c r="L1026" s="35"/>
      <c r="M1026" s="85">
        <v>24304.53</v>
      </c>
      <c r="N1026" s="38" t="s">
        <v>796</v>
      </c>
      <c r="O1026" s="69"/>
      <c r="P1026" s="193">
        <v>46082</v>
      </c>
    </row>
    <row r="1027" spans="1:16" ht="15.75" customHeight="1">
      <c r="A1027" s="13">
        <f t="shared" si="21"/>
        <v>1008</v>
      </c>
      <c r="B1027" s="156" t="s">
        <v>952</v>
      </c>
      <c r="C1027" s="23" t="s">
        <v>947</v>
      </c>
      <c r="D1027" s="24" t="s">
        <v>953</v>
      </c>
      <c r="E1027" s="23" t="s">
        <v>19</v>
      </c>
      <c r="F1027" s="46">
        <v>19</v>
      </c>
      <c r="G1027" s="27">
        <v>11</v>
      </c>
      <c r="H1027" s="34"/>
      <c r="I1027" s="84">
        <v>2198.09</v>
      </c>
      <c r="J1027" s="136"/>
      <c r="K1027" s="118">
        <v>3128.43</v>
      </c>
      <c r="L1027" s="35"/>
      <c r="M1027" s="85"/>
      <c r="N1027" s="38" t="s">
        <v>796</v>
      </c>
      <c r="O1027" s="69"/>
      <c r="P1027" s="193">
        <v>46082</v>
      </c>
    </row>
    <row r="1028" spans="1:16" ht="15.75" customHeight="1">
      <c r="A1028" s="13">
        <f t="shared" si="21"/>
        <v>1009</v>
      </c>
      <c r="B1028" s="156" t="s">
        <v>952</v>
      </c>
      <c r="C1028" s="23" t="s">
        <v>947</v>
      </c>
      <c r="D1028" s="24" t="s">
        <v>953</v>
      </c>
      <c r="E1028" s="23" t="s">
        <v>19</v>
      </c>
      <c r="F1028" s="46">
        <v>18</v>
      </c>
      <c r="G1028" s="27">
        <v>12</v>
      </c>
      <c r="H1028" s="34"/>
      <c r="I1028" s="84">
        <v>2269.19</v>
      </c>
      <c r="J1028" s="136"/>
      <c r="K1028" s="118">
        <v>2944.3</v>
      </c>
      <c r="L1028" s="35"/>
      <c r="M1028" s="85"/>
      <c r="N1028" s="38" t="s">
        <v>796</v>
      </c>
      <c r="O1028" s="69"/>
      <c r="P1028" s="193">
        <v>46082</v>
      </c>
    </row>
    <row r="1029" spans="1:16" ht="15.75" customHeight="1">
      <c r="A1029" s="13">
        <f t="shared" si="21"/>
        <v>1010</v>
      </c>
      <c r="B1029" s="156" t="s">
        <v>952</v>
      </c>
      <c r="C1029" s="23" t="s">
        <v>947</v>
      </c>
      <c r="D1029" s="24" t="s">
        <v>953</v>
      </c>
      <c r="E1029" s="23" t="s">
        <v>19</v>
      </c>
      <c r="F1029" s="46">
        <v>17</v>
      </c>
      <c r="G1029" s="27">
        <v>13</v>
      </c>
      <c r="H1029" s="34"/>
      <c r="I1029" s="84">
        <v>2348.59</v>
      </c>
      <c r="J1029" s="136"/>
      <c r="K1029" s="118">
        <v>2788.48</v>
      </c>
      <c r="L1029" s="35"/>
      <c r="M1029" s="85"/>
      <c r="N1029" s="38" t="s">
        <v>796</v>
      </c>
      <c r="O1029" s="69"/>
      <c r="P1029" s="193">
        <v>46082</v>
      </c>
    </row>
    <row r="1030" spans="1:16" ht="15.75" customHeight="1">
      <c r="A1030" s="13">
        <f t="shared" si="21"/>
        <v>1011</v>
      </c>
      <c r="B1030" s="156" t="s">
        <v>952</v>
      </c>
      <c r="C1030" s="23" t="s">
        <v>947</v>
      </c>
      <c r="D1030" s="24" t="s">
        <v>953</v>
      </c>
      <c r="E1030" s="23" t="s">
        <v>19</v>
      </c>
      <c r="F1030" s="46">
        <v>16</v>
      </c>
      <c r="G1030" s="27">
        <v>14</v>
      </c>
      <c r="H1030" s="34"/>
      <c r="I1030" s="84">
        <v>2437.9699999999998</v>
      </c>
      <c r="J1030" s="136"/>
      <c r="K1030" s="118">
        <v>2654.93</v>
      </c>
      <c r="L1030" s="35"/>
      <c r="M1030" s="85"/>
      <c r="N1030" s="38" t="s">
        <v>796</v>
      </c>
      <c r="O1030" s="69"/>
      <c r="P1030" s="193">
        <v>46082</v>
      </c>
    </row>
    <row r="1031" spans="1:16" ht="15.75" customHeight="1">
      <c r="A1031" s="13">
        <f t="shared" si="21"/>
        <v>1012</v>
      </c>
      <c r="B1031" s="156" t="s">
        <v>952</v>
      </c>
      <c r="C1031" s="23" t="s">
        <v>947</v>
      </c>
      <c r="D1031" s="24" t="s">
        <v>953</v>
      </c>
      <c r="E1031" s="23" t="s">
        <v>19</v>
      </c>
      <c r="F1031" s="46">
        <v>15</v>
      </c>
      <c r="G1031" s="27"/>
      <c r="H1031" s="34"/>
      <c r="I1031" s="84">
        <v>2539.2199999999998</v>
      </c>
      <c r="J1031" s="136"/>
      <c r="K1031" s="118"/>
      <c r="L1031" s="35"/>
      <c r="M1031" s="85"/>
      <c r="N1031" s="38" t="s">
        <v>796</v>
      </c>
      <c r="O1031" s="69"/>
      <c r="P1031" s="193">
        <v>46082</v>
      </c>
    </row>
    <row r="1032" spans="1:16" ht="15.75" customHeight="1">
      <c r="A1032" s="13">
        <f t="shared" si="21"/>
        <v>1013</v>
      </c>
      <c r="B1032" s="156" t="s">
        <v>1063</v>
      </c>
      <c r="C1032" s="23" t="s">
        <v>947</v>
      </c>
      <c r="D1032" s="24" t="s">
        <v>953</v>
      </c>
      <c r="E1032" s="23" t="s">
        <v>19</v>
      </c>
      <c r="F1032" s="46" t="s">
        <v>977</v>
      </c>
      <c r="G1032" s="27"/>
      <c r="H1032" s="34"/>
      <c r="I1032" s="84">
        <v>113251</v>
      </c>
      <c r="J1032" s="136"/>
      <c r="K1032" s="118"/>
      <c r="L1032" s="35"/>
      <c r="M1032" s="85"/>
      <c r="N1032" s="38" t="s">
        <v>796</v>
      </c>
      <c r="O1032" s="69"/>
      <c r="P1032" s="193">
        <v>46082</v>
      </c>
    </row>
    <row r="1033" spans="1:16" ht="15.75" customHeight="1">
      <c r="A1033" s="13">
        <f t="shared" si="21"/>
        <v>1014</v>
      </c>
      <c r="B1033" s="32" t="s">
        <v>962</v>
      </c>
      <c r="C1033" s="23" t="s">
        <v>947</v>
      </c>
      <c r="D1033" s="24" t="s">
        <v>963</v>
      </c>
      <c r="E1033" s="23" t="s">
        <v>19</v>
      </c>
      <c r="F1033" s="46" t="s">
        <v>977</v>
      </c>
      <c r="G1033" s="27"/>
      <c r="H1033" s="34"/>
      <c r="I1033" s="84">
        <v>55363.56</v>
      </c>
      <c r="J1033" s="136"/>
      <c r="K1033" s="118"/>
      <c r="L1033" s="35"/>
      <c r="M1033" s="85"/>
      <c r="N1033" s="38" t="s">
        <v>796</v>
      </c>
      <c r="O1033" s="69"/>
      <c r="P1033" s="66">
        <v>44562</v>
      </c>
    </row>
    <row r="1034" spans="1:16" ht="15.75" customHeight="1">
      <c r="A1034" s="13">
        <f t="shared" si="21"/>
        <v>1015</v>
      </c>
      <c r="B1034" s="32" t="s">
        <v>962</v>
      </c>
      <c r="C1034" s="23" t="s">
        <v>947</v>
      </c>
      <c r="D1034" s="24" t="s">
        <v>963</v>
      </c>
      <c r="E1034" s="23" t="s">
        <v>19</v>
      </c>
      <c r="F1034" s="27">
        <v>20</v>
      </c>
      <c r="G1034" s="27">
        <v>10</v>
      </c>
      <c r="H1034" s="34"/>
      <c r="I1034" s="84">
        <v>1165.27</v>
      </c>
      <c r="J1034" s="136"/>
      <c r="K1034" s="118">
        <v>1884.09</v>
      </c>
      <c r="L1034" s="35"/>
      <c r="M1034" s="85">
        <v>14376.61</v>
      </c>
      <c r="N1034" s="38" t="s">
        <v>796</v>
      </c>
      <c r="O1034" s="69"/>
      <c r="P1034" s="66">
        <v>44562</v>
      </c>
    </row>
    <row r="1035" spans="1:16" ht="15.75" customHeight="1">
      <c r="A1035" s="13">
        <f t="shared" si="21"/>
        <v>1016</v>
      </c>
      <c r="B1035" s="32" t="s">
        <v>962</v>
      </c>
      <c r="C1035" s="23" t="s">
        <v>947</v>
      </c>
      <c r="D1035" s="24" t="s">
        <v>963</v>
      </c>
      <c r="E1035" s="23" t="s">
        <v>19</v>
      </c>
      <c r="F1035" s="27">
        <v>20</v>
      </c>
      <c r="G1035" s="27">
        <v>10</v>
      </c>
      <c r="H1035" s="34"/>
      <c r="I1035" s="84">
        <v>1245.81</v>
      </c>
      <c r="J1035" s="136"/>
      <c r="K1035" s="118">
        <v>2018.44</v>
      </c>
      <c r="L1035" s="35"/>
      <c r="M1035" s="85"/>
      <c r="N1035" s="38" t="s">
        <v>796</v>
      </c>
      <c r="O1035" s="69"/>
      <c r="P1035" s="66">
        <v>45078</v>
      </c>
    </row>
    <row r="1036" spans="1:16" ht="15.75" customHeight="1">
      <c r="A1036" s="13">
        <f t="shared" si="21"/>
        <v>1017</v>
      </c>
      <c r="B1036" s="32" t="s">
        <v>1108</v>
      </c>
      <c r="C1036" s="23" t="s">
        <v>947</v>
      </c>
      <c r="D1036" s="24" t="s">
        <v>963</v>
      </c>
      <c r="E1036" s="23" t="s">
        <v>19</v>
      </c>
      <c r="F1036" s="46" t="s">
        <v>977</v>
      </c>
      <c r="G1036" s="27"/>
      <c r="H1036" s="34"/>
      <c r="I1036" s="84">
        <v>55918.6</v>
      </c>
      <c r="J1036" s="136"/>
      <c r="K1036" s="118"/>
      <c r="L1036" s="35"/>
      <c r="M1036" s="85"/>
      <c r="N1036" s="38" t="s">
        <v>796</v>
      </c>
      <c r="O1036" s="69"/>
      <c r="P1036" s="66">
        <v>45078</v>
      </c>
    </row>
    <row r="1037" spans="1:16" ht="15.75" customHeight="1">
      <c r="A1037" s="13">
        <f t="shared" si="21"/>
        <v>1018</v>
      </c>
      <c r="B1037" s="32" t="s">
        <v>962</v>
      </c>
      <c r="C1037" s="23" t="s">
        <v>947</v>
      </c>
      <c r="D1037" s="24" t="s">
        <v>963</v>
      </c>
      <c r="E1037" s="23" t="s">
        <v>19</v>
      </c>
      <c r="F1037" s="27">
        <v>20</v>
      </c>
      <c r="G1037" s="27">
        <v>10</v>
      </c>
      <c r="H1037" s="34"/>
      <c r="I1037" s="84">
        <v>1432.87</v>
      </c>
      <c r="J1037" s="136"/>
      <c r="K1037" s="118">
        <v>2321.5500000000002</v>
      </c>
      <c r="L1037" s="35"/>
      <c r="M1037" s="85">
        <v>17773.61</v>
      </c>
      <c r="N1037" s="38" t="s">
        <v>796</v>
      </c>
      <c r="O1037" s="69"/>
      <c r="P1037" s="66">
        <v>45352</v>
      </c>
    </row>
    <row r="1038" spans="1:16" ht="15.75" customHeight="1">
      <c r="A1038" s="13">
        <f t="shared" si="21"/>
        <v>1019</v>
      </c>
      <c r="B1038" s="32" t="s">
        <v>962</v>
      </c>
      <c r="C1038" s="23" t="s">
        <v>947</v>
      </c>
      <c r="D1038" s="24" t="s">
        <v>963</v>
      </c>
      <c r="E1038" s="23" t="s">
        <v>19</v>
      </c>
      <c r="F1038" s="27">
        <v>19</v>
      </c>
      <c r="G1038" s="27">
        <v>11</v>
      </c>
      <c r="H1038" s="34"/>
      <c r="I1038" s="84">
        <v>1479.64</v>
      </c>
      <c r="J1038" s="136"/>
      <c r="K1038" s="118">
        <v>2159.98</v>
      </c>
      <c r="L1038" s="35"/>
      <c r="M1038" s="85"/>
      <c r="N1038" s="38" t="s">
        <v>796</v>
      </c>
      <c r="O1038" s="69"/>
      <c r="P1038" s="66">
        <v>45352</v>
      </c>
    </row>
    <row r="1039" spans="1:16" ht="15.75" customHeight="1">
      <c r="A1039" s="13">
        <f t="shared" si="21"/>
        <v>1020</v>
      </c>
      <c r="B1039" s="32" t="s">
        <v>962</v>
      </c>
      <c r="C1039" s="23" t="s">
        <v>947</v>
      </c>
      <c r="D1039" s="24" t="s">
        <v>963</v>
      </c>
      <c r="E1039" s="23" t="s">
        <v>19</v>
      </c>
      <c r="F1039" s="27">
        <v>18</v>
      </c>
      <c r="G1039" s="27">
        <v>12</v>
      </c>
      <c r="H1039" s="34"/>
      <c r="I1039" s="84">
        <v>1531.62</v>
      </c>
      <c r="J1039" s="136"/>
      <c r="K1039" s="118">
        <v>2025.31</v>
      </c>
      <c r="L1039" s="35"/>
      <c r="M1039" s="85"/>
      <c r="N1039" s="38" t="s">
        <v>796</v>
      </c>
      <c r="O1039" s="69"/>
      <c r="P1039" s="66">
        <v>45352</v>
      </c>
    </row>
    <row r="1040" spans="1:16" ht="15.75" customHeight="1">
      <c r="A1040" s="13">
        <f t="shared" si="21"/>
        <v>1021</v>
      </c>
      <c r="B1040" s="32" t="s">
        <v>962</v>
      </c>
      <c r="C1040" s="23" t="s">
        <v>947</v>
      </c>
      <c r="D1040" s="24" t="s">
        <v>963</v>
      </c>
      <c r="E1040" s="23" t="s">
        <v>19</v>
      </c>
      <c r="F1040" s="27">
        <v>17</v>
      </c>
      <c r="G1040" s="27">
        <v>13</v>
      </c>
      <c r="H1040" s="34"/>
      <c r="I1040" s="84">
        <v>1589.7</v>
      </c>
      <c r="J1040" s="136"/>
      <c r="K1040" s="118">
        <v>1911.38</v>
      </c>
      <c r="L1040" s="35"/>
      <c r="M1040" s="85"/>
      <c r="N1040" s="38" t="s">
        <v>796</v>
      </c>
      <c r="O1040" s="69"/>
      <c r="P1040" s="66">
        <v>45352</v>
      </c>
    </row>
    <row r="1041" spans="1:16" ht="15.75" customHeight="1">
      <c r="A1041" s="13">
        <f t="shared" si="21"/>
        <v>1022</v>
      </c>
      <c r="B1041" s="32" t="s">
        <v>962</v>
      </c>
      <c r="C1041" s="23" t="s">
        <v>947</v>
      </c>
      <c r="D1041" s="24" t="s">
        <v>963</v>
      </c>
      <c r="E1041" s="23" t="s">
        <v>19</v>
      </c>
      <c r="F1041" s="27">
        <v>16</v>
      </c>
      <c r="G1041" s="27">
        <v>14</v>
      </c>
      <c r="H1041" s="34"/>
      <c r="I1041" s="84">
        <v>1655.04</v>
      </c>
      <c r="J1041" s="136"/>
      <c r="K1041" s="118">
        <v>1813.72</v>
      </c>
      <c r="L1041" s="35"/>
      <c r="M1041" s="85"/>
      <c r="N1041" s="38" t="s">
        <v>796</v>
      </c>
      <c r="O1041" s="69"/>
      <c r="P1041" s="66">
        <v>45352</v>
      </c>
    </row>
    <row r="1042" spans="1:16" ht="15.75" customHeight="1">
      <c r="A1042" s="13">
        <f t="shared" si="21"/>
        <v>1023</v>
      </c>
      <c r="B1042" s="32" t="s">
        <v>962</v>
      </c>
      <c r="C1042" s="23" t="s">
        <v>947</v>
      </c>
      <c r="D1042" s="24" t="s">
        <v>963</v>
      </c>
      <c r="E1042" s="23" t="s">
        <v>19</v>
      </c>
      <c r="F1042" s="27">
        <v>15</v>
      </c>
      <c r="G1042" s="27"/>
      <c r="H1042" s="34"/>
      <c r="I1042" s="84">
        <v>1729.1</v>
      </c>
      <c r="J1042" s="136"/>
      <c r="K1042" s="118"/>
      <c r="L1042" s="35"/>
      <c r="M1042" s="85"/>
      <c r="N1042" s="38" t="s">
        <v>796</v>
      </c>
      <c r="O1042" s="69"/>
      <c r="P1042" s="66">
        <v>45352</v>
      </c>
    </row>
    <row r="1043" spans="1:16" ht="15.75" customHeight="1">
      <c r="A1043" s="13">
        <f t="shared" si="21"/>
        <v>1024</v>
      </c>
      <c r="B1043" s="32" t="s">
        <v>962</v>
      </c>
      <c r="C1043" s="23" t="s">
        <v>947</v>
      </c>
      <c r="D1043" s="24" t="s">
        <v>963</v>
      </c>
      <c r="E1043" s="23" t="s">
        <v>19</v>
      </c>
      <c r="F1043" s="27">
        <v>20</v>
      </c>
      <c r="G1043" s="27">
        <v>10</v>
      </c>
      <c r="H1043" s="34"/>
      <c r="I1043" s="84">
        <v>1686.99</v>
      </c>
      <c r="J1043" s="136"/>
      <c r="K1043" s="118">
        <v>2731.84</v>
      </c>
      <c r="L1043" s="35"/>
      <c r="M1043" s="85">
        <v>20896.84</v>
      </c>
      <c r="N1043" s="38" t="s">
        <v>796</v>
      </c>
      <c r="O1043" s="69"/>
      <c r="P1043" s="66">
        <v>45689</v>
      </c>
    </row>
    <row r="1044" spans="1:16" ht="15.75" customHeight="1">
      <c r="A1044" s="13">
        <f t="shared" si="21"/>
        <v>1025</v>
      </c>
      <c r="B1044" s="32" t="s">
        <v>962</v>
      </c>
      <c r="C1044" s="23" t="s">
        <v>947</v>
      </c>
      <c r="D1044" s="24" t="s">
        <v>963</v>
      </c>
      <c r="E1044" s="23" t="s">
        <v>19</v>
      </c>
      <c r="F1044" s="27">
        <v>19</v>
      </c>
      <c r="G1044" s="27">
        <v>11</v>
      </c>
      <c r="H1044" s="34"/>
      <c r="I1044" s="84">
        <v>1742.01</v>
      </c>
      <c r="J1044" s="136"/>
      <c r="K1044" s="118">
        <v>2541.88</v>
      </c>
      <c r="L1044" s="35"/>
      <c r="M1044" s="85"/>
      <c r="N1044" s="38" t="s">
        <v>796</v>
      </c>
      <c r="O1044" s="69"/>
      <c r="P1044" s="66">
        <v>45689</v>
      </c>
    </row>
    <row r="1045" spans="1:16" ht="15.75" customHeight="1">
      <c r="A1045" s="13">
        <f t="shared" si="21"/>
        <v>1026</v>
      </c>
      <c r="B1045" s="32" t="s">
        <v>962</v>
      </c>
      <c r="C1045" s="23" t="s">
        <v>947</v>
      </c>
      <c r="D1045" s="24" t="s">
        <v>963</v>
      </c>
      <c r="E1045" s="23" t="s">
        <v>19</v>
      </c>
      <c r="F1045" s="27">
        <v>18</v>
      </c>
      <c r="G1045" s="27">
        <v>12</v>
      </c>
      <c r="H1045" s="34"/>
      <c r="I1045" s="84">
        <v>1803.08</v>
      </c>
      <c r="J1045" s="136"/>
      <c r="K1045" s="118">
        <v>2383.5500000000002</v>
      </c>
      <c r="L1045" s="35"/>
      <c r="M1045" s="85"/>
      <c r="N1045" s="38" t="s">
        <v>796</v>
      </c>
      <c r="O1045" s="69"/>
      <c r="P1045" s="66">
        <v>45689</v>
      </c>
    </row>
    <row r="1046" spans="1:16" ht="15.75" customHeight="1">
      <c r="A1046" s="13">
        <f t="shared" si="21"/>
        <v>1027</v>
      </c>
      <c r="B1046" s="32" t="s">
        <v>962</v>
      </c>
      <c r="C1046" s="23" t="s">
        <v>947</v>
      </c>
      <c r="D1046" s="24" t="s">
        <v>963</v>
      </c>
      <c r="E1046" s="23" t="s">
        <v>19</v>
      </c>
      <c r="F1046" s="27">
        <v>17</v>
      </c>
      <c r="G1046" s="27">
        <v>13</v>
      </c>
      <c r="H1046" s="34"/>
      <c r="I1046" s="84">
        <v>1871.37</v>
      </c>
      <c r="J1046" s="136"/>
      <c r="K1046" s="118">
        <v>2249.62</v>
      </c>
      <c r="L1046" s="35"/>
      <c r="M1046" s="85"/>
      <c r="N1046" s="38" t="s">
        <v>796</v>
      </c>
      <c r="O1046" s="69"/>
      <c r="P1046" s="66">
        <v>45689</v>
      </c>
    </row>
    <row r="1047" spans="1:16" ht="15.75" customHeight="1">
      <c r="A1047" s="13">
        <f t="shared" si="21"/>
        <v>1028</v>
      </c>
      <c r="B1047" s="32" t="s">
        <v>962</v>
      </c>
      <c r="C1047" s="23" t="s">
        <v>947</v>
      </c>
      <c r="D1047" s="24" t="s">
        <v>963</v>
      </c>
      <c r="E1047" s="23" t="s">
        <v>19</v>
      </c>
      <c r="F1047" s="27">
        <v>16</v>
      </c>
      <c r="G1047" s="27">
        <v>14</v>
      </c>
      <c r="H1047" s="34"/>
      <c r="I1047" s="84">
        <v>1948.21</v>
      </c>
      <c r="J1047" s="136"/>
      <c r="K1047" s="118">
        <v>2134.77</v>
      </c>
      <c r="L1047" s="35"/>
      <c r="M1047" s="85"/>
      <c r="N1047" s="38" t="s">
        <v>796</v>
      </c>
      <c r="O1047" s="69"/>
      <c r="P1047" s="66">
        <v>45689</v>
      </c>
    </row>
    <row r="1048" spans="1:16" ht="15.75" customHeight="1">
      <c r="A1048" s="13">
        <f t="shared" si="21"/>
        <v>1029</v>
      </c>
      <c r="B1048" s="32" t="s">
        <v>962</v>
      </c>
      <c r="C1048" s="23" t="s">
        <v>947</v>
      </c>
      <c r="D1048" s="24" t="s">
        <v>963</v>
      </c>
      <c r="E1048" s="23" t="s">
        <v>19</v>
      </c>
      <c r="F1048" s="27">
        <v>15</v>
      </c>
      <c r="G1048" s="27"/>
      <c r="H1048" s="34"/>
      <c r="I1048" s="84">
        <v>2035.27</v>
      </c>
      <c r="J1048" s="136"/>
      <c r="K1048" s="118"/>
      <c r="L1048" s="35"/>
      <c r="M1048" s="85"/>
      <c r="N1048" s="38" t="s">
        <v>796</v>
      </c>
      <c r="O1048" s="69"/>
      <c r="P1048" s="66">
        <v>45689</v>
      </c>
    </row>
    <row r="1049" spans="1:16" ht="15.75" customHeight="1">
      <c r="A1049" s="13">
        <f t="shared" si="21"/>
        <v>1030</v>
      </c>
      <c r="B1049" s="32" t="s">
        <v>1108</v>
      </c>
      <c r="C1049" s="23" t="s">
        <v>947</v>
      </c>
      <c r="D1049" s="24" t="s">
        <v>963</v>
      </c>
      <c r="E1049" s="23" t="s">
        <v>19</v>
      </c>
      <c r="F1049" s="46" t="s">
        <v>977</v>
      </c>
      <c r="G1049" s="27"/>
      <c r="H1049" s="34"/>
      <c r="I1049" s="84">
        <v>77903.78</v>
      </c>
      <c r="J1049" s="136"/>
      <c r="K1049" s="118"/>
      <c r="L1049" s="35"/>
      <c r="M1049" s="85"/>
      <c r="N1049" s="38" t="s">
        <v>796</v>
      </c>
      <c r="O1049" s="69"/>
      <c r="P1049" s="66">
        <v>45352</v>
      </c>
    </row>
    <row r="1050" spans="1:16" ht="15.75" customHeight="1">
      <c r="A1050" s="13">
        <f t="shared" si="21"/>
        <v>1031</v>
      </c>
      <c r="B1050" s="32" t="s">
        <v>1108</v>
      </c>
      <c r="C1050" s="23" t="s">
        <v>947</v>
      </c>
      <c r="D1050" s="24" t="s">
        <v>963</v>
      </c>
      <c r="E1050" s="23" t="s">
        <v>19</v>
      </c>
      <c r="F1050" s="46" t="s">
        <v>977</v>
      </c>
      <c r="G1050" s="27"/>
      <c r="H1050" s="34"/>
      <c r="I1050" s="84">
        <v>89930.04</v>
      </c>
      <c r="J1050" s="136"/>
      <c r="K1050" s="118"/>
      <c r="L1050" s="35"/>
      <c r="M1050" s="85"/>
      <c r="N1050" s="38" t="s">
        <v>796</v>
      </c>
      <c r="O1050" s="69"/>
      <c r="P1050" s="66">
        <v>45689</v>
      </c>
    </row>
    <row r="1051" spans="1:16" ht="15.75" customHeight="1">
      <c r="A1051" s="13">
        <f t="shared" si="21"/>
        <v>1032</v>
      </c>
      <c r="B1051" s="156" t="s">
        <v>962</v>
      </c>
      <c r="C1051" s="23" t="s">
        <v>947</v>
      </c>
      <c r="D1051" s="24" t="s">
        <v>963</v>
      </c>
      <c r="E1051" s="23" t="s">
        <v>19</v>
      </c>
      <c r="F1051" s="46">
        <v>20</v>
      </c>
      <c r="G1051" s="27">
        <v>10</v>
      </c>
      <c r="H1051" s="34"/>
      <c r="I1051" s="84">
        <v>2029.41</v>
      </c>
      <c r="J1051" s="136"/>
      <c r="K1051" s="118">
        <v>3244.61</v>
      </c>
      <c r="L1051" s="35"/>
      <c r="M1051" s="85">
        <v>24304.53</v>
      </c>
      <c r="N1051" s="38" t="s">
        <v>796</v>
      </c>
      <c r="O1051" s="69"/>
      <c r="P1051" s="193">
        <v>46082</v>
      </c>
    </row>
    <row r="1052" spans="1:16" ht="15.75" customHeight="1">
      <c r="A1052" s="13">
        <f t="shared" si="21"/>
        <v>1033</v>
      </c>
      <c r="B1052" s="156" t="s">
        <v>962</v>
      </c>
      <c r="C1052" s="23" t="s">
        <v>947</v>
      </c>
      <c r="D1052" s="24" t="s">
        <v>963</v>
      </c>
      <c r="E1052" s="23" t="s">
        <v>19</v>
      </c>
      <c r="F1052" s="46">
        <v>19</v>
      </c>
      <c r="G1052" s="27">
        <v>11</v>
      </c>
      <c r="H1052" s="34"/>
      <c r="I1052" s="84">
        <v>2093.34</v>
      </c>
      <c r="J1052" s="136"/>
      <c r="K1052" s="118">
        <v>3023.67</v>
      </c>
      <c r="L1052" s="35"/>
      <c r="M1052" s="85"/>
      <c r="N1052" s="38" t="s">
        <v>796</v>
      </c>
      <c r="O1052" s="69"/>
      <c r="P1052" s="193">
        <v>46082</v>
      </c>
    </row>
    <row r="1053" spans="1:16" ht="15.75" customHeight="1">
      <c r="A1053" s="13">
        <f t="shared" si="21"/>
        <v>1034</v>
      </c>
      <c r="B1053" s="156" t="s">
        <v>962</v>
      </c>
      <c r="C1053" s="23" t="s">
        <v>947</v>
      </c>
      <c r="D1053" s="24" t="s">
        <v>963</v>
      </c>
      <c r="E1053" s="23" t="s">
        <v>19</v>
      </c>
      <c r="F1053" s="46">
        <v>18</v>
      </c>
      <c r="G1053" s="27">
        <v>12</v>
      </c>
      <c r="H1053" s="34"/>
      <c r="I1053" s="84">
        <v>2164.44</v>
      </c>
      <c r="J1053" s="136"/>
      <c r="K1053" s="118">
        <v>2839.54</v>
      </c>
      <c r="L1053" s="35"/>
      <c r="M1053" s="85"/>
      <c r="N1053" s="38" t="s">
        <v>796</v>
      </c>
      <c r="O1053" s="69"/>
      <c r="P1053" s="193">
        <v>46082</v>
      </c>
    </row>
    <row r="1054" spans="1:16" ht="15.75" customHeight="1">
      <c r="A1054" s="13">
        <f t="shared" si="21"/>
        <v>1035</v>
      </c>
      <c r="B1054" s="156" t="s">
        <v>962</v>
      </c>
      <c r="C1054" s="23" t="s">
        <v>947</v>
      </c>
      <c r="D1054" s="24" t="s">
        <v>963</v>
      </c>
      <c r="E1054" s="23" t="s">
        <v>19</v>
      </c>
      <c r="F1054" s="46">
        <v>17</v>
      </c>
      <c r="G1054" s="27">
        <v>13</v>
      </c>
      <c r="H1054" s="34"/>
      <c r="I1054" s="84">
        <v>2243.8200000000002</v>
      </c>
      <c r="J1054" s="136"/>
      <c r="K1054" s="118">
        <v>2683.72</v>
      </c>
      <c r="L1054" s="35"/>
      <c r="M1054" s="85"/>
      <c r="N1054" s="38" t="s">
        <v>796</v>
      </c>
      <c r="O1054" s="69"/>
      <c r="P1054" s="193">
        <v>46082</v>
      </c>
    </row>
    <row r="1055" spans="1:16" ht="15.75" customHeight="1">
      <c r="A1055" s="13">
        <f t="shared" si="21"/>
        <v>1036</v>
      </c>
      <c r="B1055" s="156" t="s">
        <v>962</v>
      </c>
      <c r="C1055" s="23" t="s">
        <v>947</v>
      </c>
      <c r="D1055" s="24" t="s">
        <v>963</v>
      </c>
      <c r="E1055" s="23" t="s">
        <v>19</v>
      </c>
      <c r="F1055" s="46">
        <v>16</v>
      </c>
      <c r="G1055" s="27">
        <v>14</v>
      </c>
      <c r="H1055" s="34"/>
      <c r="I1055" s="84">
        <v>2333.21</v>
      </c>
      <c r="J1055" s="136"/>
      <c r="K1055" s="118">
        <v>2550.1799999999998</v>
      </c>
      <c r="L1055" s="35"/>
      <c r="M1055" s="85"/>
      <c r="N1055" s="38" t="s">
        <v>796</v>
      </c>
      <c r="O1055" s="69"/>
      <c r="P1055" s="193">
        <v>46082</v>
      </c>
    </row>
    <row r="1056" spans="1:16" ht="15.75" customHeight="1">
      <c r="A1056" s="13">
        <f t="shared" si="21"/>
        <v>1037</v>
      </c>
      <c r="B1056" s="156" t="s">
        <v>962</v>
      </c>
      <c r="C1056" s="23" t="s">
        <v>947</v>
      </c>
      <c r="D1056" s="24" t="s">
        <v>963</v>
      </c>
      <c r="E1056" s="23" t="s">
        <v>19</v>
      </c>
      <c r="F1056" s="46">
        <v>15</v>
      </c>
      <c r="G1056" s="27"/>
      <c r="H1056" s="34"/>
      <c r="I1056" s="84">
        <v>2434.46</v>
      </c>
      <c r="J1056" s="136"/>
      <c r="K1056" s="118"/>
      <c r="L1056" s="35"/>
      <c r="M1056" s="85"/>
      <c r="N1056" s="38" t="s">
        <v>796</v>
      </c>
      <c r="O1056" s="69"/>
      <c r="P1056" s="193">
        <v>46082</v>
      </c>
    </row>
    <row r="1057" spans="1:16" ht="15.75" customHeight="1">
      <c r="A1057" s="13">
        <f t="shared" si="21"/>
        <v>1038</v>
      </c>
      <c r="B1057" s="156" t="s">
        <v>1108</v>
      </c>
      <c r="C1057" s="23" t="s">
        <v>947</v>
      </c>
      <c r="D1057" s="24" t="s">
        <v>963</v>
      </c>
      <c r="E1057" s="23" t="s">
        <v>19</v>
      </c>
      <c r="F1057" s="46" t="s">
        <v>977</v>
      </c>
      <c r="G1057" s="27"/>
      <c r="H1057" s="34"/>
      <c r="I1057" s="84">
        <v>113251</v>
      </c>
      <c r="J1057" s="136"/>
      <c r="K1057" s="118"/>
      <c r="L1057" s="35"/>
      <c r="M1057" s="85"/>
      <c r="N1057" s="38" t="s">
        <v>796</v>
      </c>
      <c r="O1057" s="69"/>
      <c r="P1057" s="193">
        <v>46082</v>
      </c>
    </row>
    <row r="1058" spans="1:16" ht="15.75" customHeight="1">
      <c r="A1058" s="13">
        <f t="shared" si="21"/>
        <v>1039</v>
      </c>
      <c r="B1058" s="32" t="s">
        <v>982</v>
      </c>
      <c r="C1058" s="23" t="s">
        <v>947</v>
      </c>
      <c r="D1058" s="24" t="s">
        <v>983</v>
      </c>
      <c r="E1058" s="23" t="s">
        <v>13</v>
      </c>
      <c r="F1058" s="27">
        <v>20</v>
      </c>
      <c r="G1058" s="27">
        <v>10</v>
      </c>
      <c r="H1058" s="34"/>
      <c r="I1058" s="84">
        <v>809.88</v>
      </c>
      <c r="J1058" s="136"/>
      <c r="K1058" s="118">
        <v>1172.5999999999999</v>
      </c>
      <c r="L1058" s="35"/>
      <c r="M1058" s="85"/>
      <c r="N1058" s="38" t="s">
        <v>796</v>
      </c>
      <c r="O1058" s="69"/>
      <c r="P1058" s="66">
        <v>44562</v>
      </c>
    </row>
    <row r="1059" spans="1:16" ht="15.75" customHeight="1">
      <c r="A1059" s="13">
        <f t="shared" si="21"/>
        <v>1040</v>
      </c>
      <c r="B1059" s="32" t="s">
        <v>1092</v>
      </c>
      <c r="C1059" s="23" t="s">
        <v>947</v>
      </c>
      <c r="D1059" s="24" t="s">
        <v>983</v>
      </c>
      <c r="E1059" s="23" t="s">
        <v>13</v>
      </c>
      <c r="F1059" s="27">
        <v>20</v>
      </c>
      <c r="G1059" s="27">
        <v>10</v>
      </c>
      <c r="H1059" s="34"/>
      <c r="I1059" s="84">
        <v>903.91</v>
      </c>
      <c r="J1059" s="136"/>
      <c r="K1059" s="118">
        <v>1333.82</v>
      </c>
      <c r="L1059" s="35"/>
      <c r="M1059" s="85"/>
      <c r="N1059" s="38" t="s">
        <v>796</v>
      </c>
      <c r="O1059" s="69"/>
      <c r="P1059" s="66">
        <v>45078</v>
      </c>
    </row>
    <row r="1060" spans="1:16" ht="15.75" customHeight="1">
      <c r="A1060" s="13">
        <f t="shared" si="21"/>
        <v>1041</v>
      </c>
      <c r="B1060" s="180" t="s">
        <v>1092</v>
      </c>
      <c r="C1060" s="23" t="s">
        <v>947</v>
      </c>
      <c r="D1060" s="24" t="s">
        <v>983</v>
      </c>
      <c r="E1060" s="23" t="s">
        <v>13</v>
      </c>
      <c r="F1060" s="27">
        <v>20</v>
      </c>
      <c r="G1060" s="27">
        <v>10</v>
      </c>
      <c r="H1060" s="34"/>
      <c r="I1060" s="84">
        <v>996.84</v>
      </c>
      <c r="J1060" s="136"/>
      <c r="K1060" s="118">
        <v>1448.57</v>
      </c>
      <c r="L1060" s="35"/>
      <c r="M1060" s="85"/>
      <c r="N1060" s="38" t="s">
        <v>796</v>
      </c>
      <c r="O1060" s="69"/>
      <c r="P1060" s="66">
        <v>45352</v>
      </c>
    </row>
    <row r="1061" spans="1:16" ht="15.75" customHeight="1">
      <c r="A1061" s="13">
        <f t="shared" si="21"/>
        <v>1042</v>
      </c>
      <c r="B1061" s="180" t="s">
        <v>1092</v>
      </c>
      <c r="C1061" s="23" t="s">
        <v>947</v>
      </c>
      <c r="D1061" s="24" t="s">
        <v>983</v>
      </c>
      <c r="E1061" s="23" t="s">
        <v>13</v>
      </c>
      <c r="F1061" s="27">
        <v>16</v>
      </c>
      <c r="G1061" s="27">
        <v>14</v>
      </c>
      <c r="H1061" s="34"/>
      <c r="I1061" s="84">
        <v>1109.78</v>
      </c>
      <c r="J1061" s="136"/>
      <c r="K1061" s="118">
        <v>1190.44</v>
      </c>
      <c r="L1061" s="35"/>
      <c r="M1061" s="85"/>
      <c r="N1061" s="38" t="s">
        <v>796</v>
      </c>
      <c r="O1061" s="69"/>
      <c r="P1061" s="66">
        <v>45352</v>
      </c>
    </row>
    <row r="1062" spans="1:16" ht="15.75" customHeight="1">
      <c r="A1062" s="13">
        <f t="shared" si="21"/>
        <v>1043</v>
      </c>
      <c r="B1062" s="180" t="s">
        <v>1092</v>
      </c>
      <c r="C1062" s="23" t="s">
        <v>947</v>
      </c>
      <c r="D1062" s="24" t="s">
        <v>983</v>
      </c>
      <c r="E1062" s="23" t="s">
        <v>13</v>
      </c>
      <c r="F1062" s="27">
        <v>20</v>
      </c>
      <c r="G1062" s="27">
        <v>10</v>
      </c>
      <c r="H1062" s="34"/>
      <c r="I1062" s="84">
        <v>1173.9100000000001</v>
      </c>
      <c r="J1062" s="136"/>
      <c r="K1062" s="118">
        <v>1704.63</v>
      </c>
      <c r="L1062" s="35"/>
      <c r="M1062" s="85"/>
      <c r="N1062" s="38" t="s">
        <v>796</v>
      </c>
      <c r="O1062" s="69"/>
      <c r="P1062" s="66">
        <v>45689</v>
      </c>
    </row>
    <row r="1063" spans="1:16" ht="15.75" customHeight="1">
      <c r="A1063" s="13">
        <f t="shared" si="21"/>
        <v>1044</v>
      </c>
      <c r="B1063" s="180" t="s">
        <v>1092</v>
      </c>
      <c r="C1063" s="23" t="s">
        <v>947</v>
      </c>
      <c r="D1063" s="24" t="s">
        <v>983</v>
      </c>
      <c r="E1063" s="23" t="s">
        <v>13</v>
      </c>
      <c r="F1063" s="27">
        <v>16</v>
      </c>
      <c r="G1063" s="27">
        <v>14</v>
      </c>
      <c r="H1063" s="34"/>
      <c r="I1063" s="84">
        <v>1306.58</v>
      </c>
      <c r="J1063" s="136"/>
      <c r="K1063" s="118">
        <v>1401.38</v>
      </c>
      <c r="L1063" s="35"/>
      <c r="M1063" s="85"/>
      <c r="N1063" s="38" t="s">
        <v>796</v>
      </c>
      <c r="O1063" s="69"/>
      <c r="P1063" s="66">
        <v>45689</v>
      </c>
    </row>
    <row r="1064" spans="1:16" ht="15.75" customHeight="1">
      <c r="A1064" s="13">
        <f t="shared" si="21"/>
        <v>1045</v>
      </c>
      <c r="B1064" s="156" t="s">
        <v>1092</v>
      </c>
      <c r="C1064" s="23" t="s">
        <v>947</v>
      </c>
      <c r="D1064" s="24" t="s">
        <v>983</v>
      </c>
      <c r="E1064" s="23" t="s">
        <v>13</v>
      </c>
      <c r="F1064" s="27">
        <v>20</v>
      </c>
      <c r="G1064" s="27">
        <v>10</v>
      </c>
      <c r="H1064" s="34"/>
      <c r="I1064" s="84">
        <v>1409.32</v>
      </c>
      <c r="J1064" s="136"/>
      <c r="K1064" s="118">
        <v>2045.22</v>
      </c>
      <c r="L1064" s="35"/>
      <c r="M1064" s="85"/>
      <c r="N1064" s="38" t="s">
        <v>796</v>
      </c>
      <c r="O1064" s="69"/>
      <c r="P1064" s="193">
        <v>46082</v>
      </c>
    </row>
    <row r="1065" spans="1:16" ht="15.75" customHeight="1">
      <c r="A1065" s="13">
        <f t="shared" si="21"/>
        <v>1046</v>
      </c>
      <c r="B1065" s="156" t="s">
        <v>1092</v>
      </c>
      <c r="C1065" s="23" t="s">
        <v>947</v>
      </c>
      <c r="D1065" s="24" t="s">
        <v>983</v>
      </c>
      <c r="E1065" s="23" t="s">
        <v>13</v>
      </c>
      <c r="F1065" s="27">
        <v>16</v>
      </c>
      <c r="G1065" s="27">
        <v>14</v>
      </c>
      <c r="H1065" s="34"/>
      <c r="I1065" s="84">
        <v>1568.29</v>
      </c>
      <c r="J1065" s="136"/>
      <c r="K1065" s="118">
        <v>1681.85</v>
      </c>
      <c r="L1065" s="35"/>
      <c r="M1065" s="85"/>
      <c r="N1065" s="38" t="s">
        <v>796</v>
      </c>
      <c r="O1065" s="69"/>
      <c r="P1065" s="193">
        <v>46082</v>
      </c>
    </row>
    <row r="1066" spans="1:16" ht="15.75" customHeight="1">
      <c r="A1066" s="13">
        <f t="shared" si="21"/>
        <v>1047</v>
      </c>
      <c r="B1066" s="32" t="s">
        <v>1077</v>
      </c>
      <c r="C1066" s="23" t="s">
        <v>1078</v>
      </c>
      <c r="D1066" s="24" t="s">
        <v>765</v>
      </c>
      <c r="E1066" s="23" t="s">
        <v>19</v>
      </c>
      <c r="F1066" s="27">
        <v>20</v>
      </c>
      <c r="G1066" s="27">
        <v>5</v>
      </c>
      <c r="H1066" s="34"/>
      <c r="I1066" s="84">
        <v>1141.56</v>
      </c>
      <c r="J1066" s="136"/>
      <c r="K1066" s="118">
        <v>3228.63</v>
      </c>
      <c r="L1066" s="35"/>
      <c r="M1066" s="85"/>
      <c r="N1066" s="38" t="s">
        <v>643</v>
      </c>
      <c r="O1066" s="69"/>
      <c r="P1066" s="66">
        <v>44866</v>
      </c>
    </row>
    <row r="1067" spans="1:16" ht="15.75" customHeight="1">
      <c r="A1067" s="13">
        <f t="shared" si="21"/>
        <v>1048</v>
      </c>
      <c r="B1067" s="32" t="s">
        <v>1079</v>
      </c>
      <c r="C1067" s="23" t="s">
        <v>1078</v>
      </c>
      <c r="D1067" s="24" t="s">
        <v>765</v>
      </c>
      <c r="E1067" s="23" t="s">
        <v>19</v>
      </c>
      <c r="F1067" s="46" t="s">
        <v>977</v>
      </c>
      <c r="G1067" s="27"/>
      <c r="H1067" s="34"/>
      <c r="I1067" s="84">
        <v>51488.77</v>
      </c>
      <c r="J1067" s="136"/>
      <c r="K1067" s="118"/>
      <c r="L1067" s="35"/>
      <c r="M1067" s="85"/>
      <c r="N1067" s="38" t="s">
        <v>643</v>
      </c>
      <c r="O1067" s="69"/>
      <c r="P1067" s="66">
        <v>44866</v>
      </c>
    </row>
    <row r="1068" spans="1:16" ht="15.75" customHeight="1">
      <c r="A1068" s="13">
        <f t="shared" ref="A1068:A1131" si="22">A1067+1</f>
        <v>1049</v>
      </c>
      <c r="B1068" s="32" t="s">
        <v>1077</v>
      </c>
      <c r="C1068" s="23" t="s">
        <v>1078</v>
      </c>
      <c r="D1068" s="24" t="s">
        <v>765</v>
      </c>
      <c r="E1068" s="23" t="s">
        <v>19</v>
      </c>
      <c r="F1068" s="27">
        <v>20</v>
      </c>
      <c r="G1068" s="27">
        <v>10</v>
      </c>
      <c r="H1068" s="34"/>
      <c r="I1068" s="84">
        <v>1260.8</v>
      </c>
      <c r="J1068" s="136"/>
      <c r="K1068" s="118">
        <v>2032.39</v>
      </c>
      <c r="L1068" s="35"/>
      <c r="M1068" s="85"/>
      <c r="N1068" s="38" t="s">
        <v>643</v>
      </c>
      <c r="O1068" s="69"/>
      <c r="P1068" s="66">
        <v>45078</v>
      </c>
    </row>
    <row r="1069" spans="1:16" ht="15.75" customHeight="1">
      <c r="A1069" s="13">
        <f t="shared" si="22"/>
        <v>1050</v>
      </c>
      <c r="B1069" s="32" t="s">
        <v>1079</v>
      </c>
      <c r="C1069" s="23" t="s">
        <v>1078</v>
      </c>
      <c r="D1069" s="24" t="s">
        <v>765</v>
      </c>
      <c r="E1069" s="23" t="s">
        <v>19</v>
      </c>
      <c r="F1069" s="27" t="s">
        <v>977</v>
      </c>
      <c r="G1069" s="27"/>
      <c r="H1069" s="34"/>
      <c r="I1069" s="84">
        <v>52025.2</v>
      </c>
      <c r="J1069" s="136"/>
      <c r="K1069" s="118"/>
      <c r="L1069" s="35"/>
      <c r="M1069" s="85"/>
      <c r="N1069" s="38" t="s">
        <v>643</v>
      </c>
      <c r="O1069" s="69"/>
      <c r="P1069" s="66">
        <v>45078</v>
      </c>
    </row>
    <row r="1070" spans="1:16" ht="16.5" customHeight="1">
      <c r="A1070" s="13">
        <f t="shared" si="22"/>
        <v>1051</v>
      </c>
      <c r="B1070" s="32" t="s">
        <v>1077</v>
      </c>
      <c r="C1070" s="23" t="s">
        <v>1078</v>
      </c>
      <c r="D1070" s="24" t="s">
        <v>765</v>
      </c>
      <c r="E1070" s="23" t="s">
        <v>19</v>
      </c>
      <c r="F1070" s="27">
        <v>20</v>
      </c>
      <c r="G1070" s="27">
        <v>10</v>
      </c>
      <c r="H1070" s="34"/>
      <c r="I1070" s="84">
        <v>1450.88</v>
      </c>
      <c r="J1070" s="136"/>
      <c r="K1070" s="118">
        <v>2338.63</v>
      </c>
      <c r="L1070" s="35"/>
      <c r="M1070" s="85">
        <v>17755.28</v>
      </c>
      <c r="N1070" s="38" t="s">
        <v>643</v>
      </c>
      <c r="O1070" s="69"/>
      <c r="P1070" s="66">
        <v>45352</v>
      </c>
    </row>
    <row r="1071" spans="1:16" ht="15.75" customHeight="1">
      <c r="A1071" s="13">
        <f t="shared" si="22"/>
        <v>1052</v>
      </c>
      <c r="B1071" s="32" t="s">
        <v>1077</v>
      </c>
      <c r="C1071" s="23" t="s">
        <v>1078</v>
      </c>
      <c r="D1071" s="24" t="s">
        <v>765</v>
      </c>
      <c r="E1071" s="23" t="s">
        <v>19</v>
      </c>
      <c r="F1071" s="27">
        <v>19</v>
      </c>
      <c r="G1071" s="27">
        <v>11</v>
      </c>
      <c r="H1071" s="34"/>
      <c r="I1071" s="84">
        <v>1497.59</v>
      </c>
      <c r="J1071" s="136"/>
      <c r="K1071" s="118">
        <v>2177.2199999999998</v>
      </c>
      <c r="L1071" s="35"/>
      <c r="M1071" s="85"/>
      <c r="N1071" s="38" t="s">
        <v>643</v>
      </c>
      <c r="O1071" s="69"/>
      <c r="P1071" s="66">
        <v>45352</v>
      </c>
    </row>
    <row r="1072" spans="1:16" ht="15.75" customHeight="1">
      <c r="A1072" s="13">
        <f t="shared" si="22"/>
        <v>1053</v>
      </c>
      <c r="B1072" s="32" t="s">
        <v>1077</v>
      </c>
      <c r="C1072" s="23" t="s">
        <v>1078</v>
      </c>
      <c r="D1072" s="24" t="s">
        <v>765</v>
      </c>
      <c r="E1072" s="23" t="s">
        <v>19</v>
      </c>
      <c r="F1072" s="27">
        <v>18</v>
      </c>
      <c r="G1072" s="27">
        <v>12</v>
      </c>
      <c r="H1072" s="34"/>
      <c r="I1072" s="84">
        <v>1549.52</v>
      </c>
      <c r="J1072" s="136"/>
      <c r="K1072" s="118">
        <v>2042.7</v>
      </c>
      <c r="L1072" s="35"/>
      <c r="M1072" s="85"/>
      <c r="N1072" s="38" t="s">
        <v>643</v>
      </c>
      <c r="O1072" s="69"/>
      <c r="P1072" s="66">
        <v>45352</v>
      </c>
    </row>
    <row r="1073" spans="1:16" ht="15.75" customHeight="1">
      <c r="A1073" s="13">
        <f t="shared" si="22"/>
        <v>1054</v>
      </c>
      <c r="B1073" s="32" t="s">
        <v>1077</v>
      </c>
      <c r="C1073" s="23" t="s">
        <v>1078</v>
      </c>
      <c r="D1073" s="24" t="s">
        <v>765</v>
      </c>
      <c r="E1073" s="23" t="s">
        <v>19</v>
      </c>
      <c r="F1073" s="27">
        <v>17</v>
      </c>
      <c r="G1073" s="27">
        <v>13</v>
      </c>
      <c r="H1073" s="34"/>
      <c r="I1073" s="84">
        <v>1607.55</v>
      </c>
      <c r="J1073" s="136"/>
      <c r="K1073" s="118">
        <v>1928.9</v>
      </c>
      <c r="L1073" s="35"/>
      <c r="M1073" s="85"/>
      <c r="N1073" s="38" t="s">
        <v>643</v>
      </c>
      <c r="O1073" s="69"/>
      <c r="P1073" s="66">
        <v>45352</v>
      </c>
    </row>
    <row r="1074" spans="1:16" ht="15.75" customHeight="1">
      <c r="A1074" s="13">
        <f t="shared" si="22"/>
        <v>1055</v>
      </c>
      <c r="B1074" s="32" t="s">
        <v>1077</v>
      </c>
      <c r="C1074" s="23" t="s">
        <v>1078</v>
      </c>
      <c r="D1074" s="24" t="s">
        <v>765</v>
      </c>
      <c r="E1074" s="23" t="s">
        <v>19</v>
      </c>
      <c r="F1074" s="27">
        <v>16</v>
      </c>
      <c r="G1074" s="27">
        <v>14</v>
      </c>
      <c r="H1074" s="34"/>
      <c r="I1074" s="84">
        <v>1672.83</v>
      </c>
      <c r="J1074" s="136"/>
      <c r="K1074" s="118">
        <v>1831.31</v>
      </c>
      <c r="L1074" s="35"/>
      <c r="M1074" s="85"/>
      <c r="N1074" s="38" t="s">
        <v>643</v>
      </c>
      <c r="O1074" s="69"/>
      <c r="P1074" s="66">
        <v>45352</v>
      </c>
    </row>
    <row r="1075" spans="1:16" ht="15.75" customHeight="1">
      <c r="A1075" s="13">
        <f t="shared" si="22"/>
        <v>1056</v>
      </c>
      <c r="B1075" s="32" t="s">
        <v>1077</v>
      </c>
      <c r="C1075" s="23" t="s">
        <v>1078</v>
      </c>
      <c r="D1075" s="24" t="s">
        <v>765</v>
      </c>
      <c r="E1075" s="23" t="s">
        <v>19</v>
      </c>
      <c r="F1075" s="27">
        <v>15</v>
      </c>
      <c r="G1075" s="27"/>
      <c r="H1075" s="34"/>
      <c r="I1075" s="84">
        <v>1746.8140000000001</v>
      </c>
      <c r="J1075" s="136"/>
      <c r="K1075" s="118"/>
      <c r="L1075" s="35"/>
      <c r="M1075" s="85"/>
      <c r="N1075" s="38" t="s">
        <v>643</v>
      </c>
      <c r="O1075" s="69"/>
      <c r="P1075" s="66">
        <v>45352</v>
      </c>
    </row>
    <row r="1076" spans="1:16" ht="15.75" customHeight="1">
      <c r="A1076" s="13">
        <f t="shared" si="22"/>
        <v>1057</v>
      </c>
      <c r="B1076" s="32" t="s">
        <v>1079</v>
      </c>
      <c r="C1076" s="23" t="s">
        <v>1078</v>
      </c>
      <c r="D1076" s="24" t="s">
        <v>765</v>
      </c>
      <c r="E1076" s="23" t="s">
        <v>19</v>
      </c>
      <c r="F1076" s="46" t="s">
        <v>977</v>
      </c>
      <c r="G1076" s="27"/>
      <c r="H1076" s="34"/>
      <c r="I1076" s="84">
        <v>73426.759999999995</v>
      </c>
      <c r="J1076" s="136"/>
      <c r="K1076" s="118"/>
      <c r="L1076" s="35"/>
      <c r="M1076" s="85"/>
      <c r="N1076" s="38" t="s">
        <v>643</v>
      </c>
      <c r="O1076" s="69"/>
      <c r="P1076" s="66">
        <v>45352</v>
      </c>
    </row>
    <row r="1077" spans="1:16" ht="16.5" customHeight="1">
      <c r="A1077" s="13">
        <f t="shared" si="22"/>
        <v>1058</v>
      </c>
      <c r="B1077" s="32" t="s">
        <v>1077</v>
      </c>
      <c r="C1077" s="23" t="s">
        <v>1078</v>
      </c>
      <c r="D1077" s="24" t="s">
        <v>765</v>
      </c>
      <c r="E1077" s="23" t="s">
        <v>19</v>
      </c>
      <c r="F1077" s="27">
        <v>20</v>
      </c>
      <c r="G1077" s="27">
        <v>10</v>
      </c>
      <c r="H1077" s="34"/>
      <c r="I1077" s="84">
        <v>1670.27</v>
      </c>
      <c r="J1077" s="136"/>
      <c r="K1077" s="118">
        <v>2691.73</v>
      </c>
      <c r="L1077" s="35"/>
      <c r="M1077" s="85">
        <v>20428.93</v>
      </c>
      <c r="N1077" s="38" t="s">
        <v>643</v>
      </c>
      <c r="O1077" s="69"/>
      <c r="P1077" s="66">
        <v>45689</v>
      </c>
    </row>
    <row r="1078" spans="1:16" ht="15.75" customHeight="1">
      <c r="A1078" s="13">
        <f t="shared" si="22"/>
        <v>1059</v>
      </c>
      <c r="B1078" s="32" t="s">
        <v>1077</v>
      </c>
      <c r="C1078" s="23" t="s">
        <v>1078</v>
      </c>
      <c r="D1078" s="24" t="s">
        <v>765</v>
      </c>
      <c r="E1078" s="23" t="s">
        <v>19</v>
      </c>
      <c r="F1078" s="27">
        <v>19</v>
      </c>
      <c r="G1078" s="27">
        <v>11</v>
      </c>
      <c r="H1078" s="34"/>
      <c r="I1078" s="84">
        <v>1724.07</v>
      </c>
      <c r="J1078" s="136"/>
      <c r="K1078" s="118">
        <v>2506.02</v>
      </c>
      <c r="L1078" s="35"/>
      <c r="M1078" s="85"/>
      <c r="N1078" s="38" t="s">
        <v>643</v>
      </c>
      <c r="O1078" s="69"/>
      <c r="P1078" s="66">
        <v>45689</v>
      </c>
    </row>
    <row r="1079" spans="1:16" ht="15.75" customHeight="1">
      <c r="A1079" s="13">
        <f t="shared" si="22"/>
        <v>1060</v>
      </c>
      <c r="B1079" s="32" t="s">
        <v>1077</v>
      </c>
      <c r="C1079" s="23" t="s">
        <v>1078</v>
      </c>
      <c r="D1079" s="24" t="s">
        <v>765</v>
      </c>
      <c r="E1079" s="23" t="s">
        <v>19</v>
      </c>
      <c r="F1079" s="27">
        <v>18</v>
      </c>
      <c r="G1079" s="27">
        <v>12</v>
      </c>
      <c r="H1079" s="34"/>
      <c r="I1079" s="84">
        <v>1783.77</v>
      </c>
      <c r="J1079" s="136"/>
      <c r="K1079" s="118">
        <v>2351.25</v>
      </c>
      <c r="L1079" s="35"/>
      <c r="M1079" s="85"/>
      <c r="N1079" s="38" t="s">
        <v>643</v>
      </c>
      <c r="O1079" s="69"/>
      <c r="P1079" s="66">
        <v>45689</v>
      </c>
    </row>
    <row r="1080" spans="1:16" ht="15.75" customHeight="1">
      <c r="A1080" s="13">
        <f t="shared" si="22"/>
        <v>1061</v>
      </c>
      <c r="B1080" s="32" t="s">
        <v>1077</v>
      </c>
      <c r="C1080" s="23" t="s">
        <v>1078</v>
      </c>
      <c r="D1080" s="24" t="s">
        <v>765</v>
      </c>
      <c r="E1080" s="23" t="s">
        <v>19</v>
      </c>
      <c r="F1080" s="27">
        <v>17</v>
      </c>
      <c r="G1080" s="27">
        <v>13</v>
      </c>
      <c r="H1080" s="34"/>
      <c r="I1080" s="84">
        <v>1850.56</v>
      </c>
      <c r="J1080" s="136"/>
      <c r="K1080" s="118">
        <v>2220.3000000000002</v>
      </c>
      <c r="L1080" s="35"/>
      <c r="M1080" s="85"/>
      <c r="N1080" s="38" t="s">
        <v>643</v>
      </c>
      <c r="O1080" s="69"/>
      <c r="P1080" s="66">
        <v>45689</v>
      </c>
    </row>
    <row r="1081" spans="1:16" ht="15.75" customHeight="1">
      <c r="A1081" s="13">
        <f t="shared" si="22"/>
        <v>1062</v>
      </c>
      <c r="B1081" s="32" t="s">
        <v>1077</v>
      </c>
      <c r="C1081" s="23" t="s">
        <v>1078</v>
      </c>
      <c r="D1081" s="24" t="s">
        <v>765</v>
      </c>
      <c r="E1081" s="23" t="s">
        <v>19</v>
      </c>
      <c r="F1081" s="27">
        <v>16</v>
      </c>
      <c r="G1081" s="27">
        <v>14</v>
      </c>
      <c r="H1081" s="34"/>
      <c r="I1081" s="84">
        <v>1925.66</v>
      </c>
      <c r="J1081" s="136"/>
      <c r="K1081" s="118">
        <v>2108.06</v>
      </c>
      <c r="L1081" s="35"/>
      <c r="M1081" s="85"/>
      <c r="N1081" s="38" t="s">
        <v>643</v>
      </c>
      <c r="O1081" s="69"/>
      <c r="P1081" s="66">
        <v>45689</v>
      </c>
    </row>
    <row r="1082" spans="1:16" ht="15.75" customHeight="1">
      <c r="A1082" s="13">
        <f t="shared" si="22"/>
        <v>1063</v>
      </c>
      <c r="B1082" s="32" t="s">
        <v>1077</v>
      </c>
      <c r="C1082" s="23" t="s">
        <v>1078</v>
      </c>
      <c r="D1082" s="24" t="s">
        <v>765</v>
      </c>
      <c r="E1082" s="23" t="s">
        <v>19</v>
      </c>
      <c r="F1082" s="27">
        <v>15</v>
      </c>
      <c r="G1082" s="27"/>
      <c r="H1082" s="34"/>
      <c r="I1082" s="84">
        <v>2010.77</v>
      </c>
      <c r="J1082" s="136"/>
      <c r="K1082" s="118"/>
      <c r="L1082" s="35"/>
      <c r="M1082" s="85"/>
      <c r="N1082" s="38" t="s">
        <v>643</v>
      </c>
      <c r="O1082" s="69"/>
      <c r="P1082" s="66">
        <v>45689</v>
      </c>
    </row>
    <row r="1083" spans="1:16" ht="15.75" customHeight="1">
      <c r="A1083" s="13">
        <f t="shared" si="22"/>
        <v>1064</v>
      </c>
      <c r="B1083" s="32" t="s">
        <v>1079</v>
      </c>
      <c r="C1083" s="23" t="s">
        <v>1078</v>
      </c>
      <c r="D1083" s="24" t="s">
        <v>765</v>
      </c>
      <c r="E1083" s="23" t="s">
        <v>19</v>
      </c>
      <c r="F1083" s="46" t="s">
        <v>977</v>
      </c>
      <c r="G1083" s="27"/>
      <c r="H1083" s="34"/>
      <c r="I1083" s="84">
        <v>73426.759999999995</v>
      </c>
      <c r="J1083" s="136"/>
      <c r="K1083" s="118"/>
      <c r="L1083" s="35"/>
      <c r="M1083" s="85"/>
      <c r="N1083" s="38" t="s">
        <v>643</v>
      </c>
      <c r="O1083" s="69"/>
      <c r="P1083" s="66">
        <v>45352</v>
      </c>
    </row>
    <row r="1084" spans="1:16" ht="15.75" customHeight="1">
      <c r="A1084" s="13">
        <f t="shared" si="22"/>
        <v>1065</v>
      </c>
      <c r="B1084" s="32" t="s">
        <v>1079</v>
      </c>
      <c r="C1084" s="23" t="s">
        <v>1078</v>
      </c>
      <c r="D1084" s="24" t="s">
        <v>765</v>
      </c>
      <c r="E1084" s="23" t="s">
        <v>19</v>
      </c>
      <c r="F1084" s="46" t="s">
        <v>977</v>
      </c>
      <c r="G1084" s="27"/>
      <c r="H1084" s="34"/>
      <c r="I1084" s="84">
        <v>84443.56</v>
      </c>
      <c r="J1084" s="136"/>
      <c r="K1084" s="118"/>
      <c r="L1084" s="35"/>
      <c r="M1084" s="85"/>
      <c r="N1084" s="38" t="s">
        <v>643</v>
      </c>
      <c r="O1084" s="69"/>
      <c r="P1084" s="66">
        <v>45689</v>
      </c>
    </row>
    <row r="1085" spans="1:16" ht="15.75" customHeight="1">
      <c r="A1085" s="13">
        <f t="shared" si="22"/>
        <v>1066</v>
      </c>
      <c r="B1085" s="156" t="s">
        <v>1077</v>
      </c>
      <c r="C1085" s="23" t="s">
        <v>1078</v>
      </c>
      <c r="D1085" s="24" t="s">
        <v>765</v>
      </c>
      <c r="E1085" s="23" t="s">
        <v>19</v>
      </c>
      <c r="F1085" s="46">
        <v>20</v>
      </c>
      <c r="G1085" s="27">
        <v>10</v>
      </c>
      <c r="H1085" s="34"/>
      <c r="I1085" s="84">
        <v>1833.29</v>
      </c>
      <c r="J1085" s="136"/>
      <c r="K1085" s="118">
        <v>2955.65</v>
      </c>
      <c r="L1085" s="35"/>
      <c r="M1085" s="85">
        <v>22447.41</v>
      </c>
      <c r="N1085" s="38" t="s">
        <v>643</v>
      </c>
      <c r="O1085" s="69"/>
      <c r="P1085" s="193">
        <v>46082</v>
      </c>
    </row>
    <row r="1086" spans="1:16" ht="15.75" customHeight="1">
      <c r="A1086" s="13">
        <f t="shared" si="22"/>
        <v>1067</v>
      </c>
      <c r="B1086" s="156" t="s">
        <v>1077</v>
      </c>
      <c r="C1086" s="23" t="s">
        <v>1078</v>
      </c>
      <c r="D1086" s="24" t="s">
        <v>765</v>
      </c>
      <c r="E1086" s="23" t="s">
        <v>19</v>
      </c>
      <c r="F1086" s="46">
        <v>19</v>
      </c>
      <c r="G1086" s="27">
        <v>11</v>
      </c>
      <c r="H1086" s="34"/>
      <c r="I1086" s="84">
        <v>1892.33</v>
      </c>
      <c r="J1086" s="136"/>
      <c r="K1086" s="118">
        <v>2751.59</v>
      </c>
      <c r="L1086" s="35"/>
      <c r="M1086" s="85"/>
      <c r="N1086" s="38" t="s">
        <v>643</v>
      </c>
      <c r="O1086" s="69"/>
      <c r="P1086" s="193">
        <v>46082</v>
      </c>
    </row>
    <row r="1087" spans="1:16" ht="15.75" customHeight="1">
      <c r="A1087" s="13">
        <f t="shared" si="22"/>
        <v>1068</v>
      </c>
      <c r="B1087" s="156" t="s">
        <v>1077</v>
      </c>
      <c r="C1087" s="23" t="s">
        <v>1078</v>
      </c>
      <c r="D1087" s="24" t="s">
        <v>765</v>
      </c>
      <c r="E1087" s="23" t="s">
        <v>19</v>
      </c>
      <c r="F1087" s="46">
        <v>18</v>
      </c>
      <c r="G1087" s="27">
        <v>12</v>
      </c>
      <c r="H1087" s="34"/>
      <c r="I1087" s="84">
        <v>1957.96</v>
      </c>
      <c r="J1087" s="136"/>
      <c r="K1087" s="118">
        <v>2581.5300000000002</v>
      </c>
      <c r="L1087" s="35"/>
      <c r="M1087" s="85"/>
      <c r="N1087" s="38" t="s">
        <v>643</v>
      </c>
      <c r="O1087" s="69"/>
      <c r="P1087" s="193">
        <v>46082</v>
      </c>
    </row>
    <row r="1088" spans="1:16" ht="15.75" customHeight="1">
      <c r="A1088" s="13">
        <f t="shared" si="22"/>
        <v>1069</v>
      </c>
      <c r="B1088" s="156" t="s">
        <v>1077</v>
      </c>
      <c r="C1088" s="23" t="s">
        <v>1078</v>
      </c>
      <c r="D1088" s="24" t="s">
        <v>765</v>
      </c>
      <c r="E1088" s="23" t="s">
        <v>19</v>
      </c>
      <c r="F1088" s="46">
        <v>17</v>
      </c>
      <c r="G1088" s="27">
        <v>13</v>
      </c>
      <c r="H1088" s="34"/>
      <c r="I1088" s="84">
        <v>2031.34</v>
      </c>
      <c r="J1088" s="136"/>
      <c r="K1088" s="118">
        <v>2437.65</v>
      </c>
      <c r="L1088" s="35"/>
      <c r="M1088" s="85"/>
      <c r="N1088" s="38" t="s">
        <v>643</v>
      </c>
      <c r="O1088" s="69"/>
      <c r="P1088" s="193">
        <v>46082</v>
      </c>
    </row>
    <row r="1089" spans="1:16" ht="15.75" customHeight="1">
      <c r="A1089" s="13">
        <f t="shared" si="22"/>
        <v>1070</v>
      </c>
      <c r="B1089" s="156" t="s">
        <v>1077</v>
      </c>
      <c r="C1089" s="23" t="s">
        <v>1078</v>
      </c>
      <c r="D1089" s="24" t="s">
        <v>765</v>
      </c>
      <c r="E1089" s="23" t="s">
        <v>19</v>
      </c>
      <c r="F1089" s="46">
        <v>16</v>
      </c>
      <c r="G1089" s="27">
        <v>14</v>
      </c>
      <c r="H1089" s="34"/>
      <c r="I1089" s="84">
        <v>2113.88</v>
      </c>
      <c r="J1089" s="136"/>
      <c r="K1089" s="118">
        <v>2314.29</v>
      </c>
      <c r="L1089" s="35"/>
      <c r="M1089" s="85"/>
      <c r="N1089" s="38" t="s">
        <v>643</v>
      </c>
      <c r="O1089" s="69"/>
      <c r="P1089" s="193">
        <v>46082</v>
      </c>
    </row>
    <row r="1090" spans="1:16" ht="15.75" customHeight="1">
      <c r="A1090" s="13">
        <f t="shared" si="22"/>
        <v>1071</v>
      </c>
      <c r="B1090" s="156" t="s">
        <v>1077</v>
      </c>
      <c r="C1090" s="23" t="s">
        <v>1078</v>
      </c>
      <c r="D1090" s="24" t="s">
        <v>765</v>
      </c>
      <c r="E1090" s="23" t="s">
        <v>19</v>
      </c>
      <c r="F1090" s="46">
        <v>15</v>
      </c>
      <c r="G1090" s="27"/>
      <c r="H1090" s="34"/>
      <c r="I1090" s="84">
        <v>2207.41</v>
      </c>
      <c r="J1090" s="136"/>
      <c r="K1090" s="118"/>
      <c r="L1090" s="35"/>
      <c r="M1090" s="85"/>
      <c r="N1090" s="38" t="s">
        <v>643</v>
      </c>
      <c r="O1090" s="69"/>
      <c r="P1090" s="193">
        <v>46082</v>
      </c>
    </row>
    <row r="1091" spans="1:16" ht="15.75" customHeight="1">
      <c r="A1091" s="13">
        <f t="shared" si="22"/>
        <v>1072</v>
      </c>
      <c r="B1091" s="156" t="s">
        <v>1079</v>
      </c>
      <c r="C1091" s="23" t="s">
        <v>1078</v>
      </c>
      <c r="D1091" s="24" t="s">
        <v>765</v>
      </c>
      <c r="E1091" s="23" t="s">
        <v>19</v>
      </c>
      <c r="F1091" s="46" t="s">
        <v>977</v>
      </c>
      <c r="G1091" s="27"/>
      <c r="H1091" s="34"/>
      <c r="I1091" s="84">
        <v>107063.32</v>
      </c>
      <c r="J1091" s="136"/>
      <c r="K1091" s="118"/>
      <c r="L1091" s="35"/>
      <c r="M1091" s="85"/>
      <c r="N1091" s="38" t="s">
        <v>643</v>
      </c>
      <c r="O1091" s="69"/>
      <c r="P1091" s="193">
        <v>46082</v>
      </c>
    </row>
    <row r="1092" spans="1:16" ht="15.75" customHeight="1">
      <c r="A1092" s="13">
        <f t="shared" si="22"/>
        <v>1073</v>
      </c>
      <c r="B1092" s="32" t="s">
        <v>1175</v>
      </c>
      <c r="C1092" s="23" t="s">
        <v>1177</v>
      </c>
      <c r="D1092" s="24" t="s">
        <v>1174</v>
      </c>
      <c r="E1092" s="23" t="s">
        <v>19</v>
      </c>
      <c r="F1092" s="46">
        <v>20</v>
      </c>
      <c r="G1092" s="27">
        <v>10</v>
      </c>
      <c r="H1092" s="34"/>
      <c r="I1092" s="84">
        <v>1874.03</v>
      </c>
      <c r="J1092" s="136"/>
      <c r="K1092" s="118">
        <v>2932.21</v>
      </c>
      <c r="L1092" s="35"/>
      <c r="M1092" s="85">
        <v>21163.65</v>
      </c>
      <c r="N1092" s="38" t="s">
        <v>643</v>
      </c>
      <c r="O1092" s="69"/>
      <c r="P1092" s="66">
        <v>45383</v>
      </c>
    </row>
    <row r="1093" spans="1:16" ht="15.75" customHeight="1">
      <c r="A1093" s="13">
        <f t="shared" si="22"/>
        <v>1074</v>
      </c>
      <c r="B1093" s="32" t="s">
        <v>1175</v>
      </c>
      <c r="C1093" s="23" t="s">
        <v>1177</v>
      </c>
      <c r="D1093" s="24" t="s">
        <v>1174</v>
      </c>
      <c r="E1093" s="23" t="s">
        <v>19</v>
      </c>
      <c r="F1093" s="46">
        <v>19</v>
      </c>
      <c r="G1093" s="27">
        <v>11</v>
      </c>
      <c r="H1093" s="34"/>
      <c r="I1093" s="84">
        <v>1929.72</v>
      </c>
      <c r="J1093" s="136"/>
      <c r="K1093" s="118">
        <v>2739.8</v>
      </c>
      <c r="L1093" s="35"/>
      <c r="M1093" s="85"/>
      <c r="N1093" s="38" t="s">
        <v>643</v>
      </c>
      <c r="O1093" s="69"/>
      <c r="P1093" s="66">
        <v>45383</v>
      </c>
    </row>
    <row r="1094" spans="1:16" ht="15.75" customHeight="1">
      <c r="A1094" s="13">
        <f t="shared" si="22"/>
        <v>1075</v>
      </c>
      <c r="B1094" s="32" t="s">
        <v>1175</v>
      </c>
      <c r="C1094" s="23" t="s">
        <v>1177</v>
      </c>
      <c r="D1094" s="24" t="s">
        <v>1174</v>
      </c>
      <c r="E1094" s="23" t="s">
        <v>19</v>
      </c>
      <c r="F1094" s="46">
        <v>18</v>
      </c>
      <c r="G1094" s="27">
        <v>12</v>
      </c>
      <c r="H1094" s="34"/>
      <c r="I1094" s="84">
        <v>1991.61</v>
      </c>
      <c r="J1094" s="136"/>
      <c r="K1094" s="118">
        <v>2579.4699999999998</v>
      </c>
      <c r="L1094" s="35"/>
      <c r="M1094" s="85"/>
      <c r="N1094" s="38" t="s">
        <v>643</v>
      </c>
      <c r="O1094" s="69"/>
      <c r="P1094" s="66">
        <v>45383</v>
      </c>
    </row>
    <row r="1095" spans="1:16" ht="15.75" customHeight="1">
      <c r="A1095" s="13">
        <f t="shared" si="22"/>
        <v>1076</v>
      </c>
      <c r="B1095" s="32" t="s">
        <v>1175</v>
      </c>
      <c r="C1095" s="23" t="s">
        <v>1177</v>
      </c>
      <c r="D1095" s="24" t="s">
        <v>1174</v>
      </c>
      <c r="E1095" s="23" t="s">
        <v>19</v>
      </c>
      <c r="F1095" s="46">
        <v>17</v>
      </c>
      <c r="G1095" s="27">
        <v>13</v>
      </c>
      <c r="H1095" s="34"/>
      <c r="I1095" s="84">
        <v>2060.7800000000002</v>
      </c>
      <c r="J1095" s="136"/>
      <c r="K1095" s="118">
        <v>2443.8200000000002</v>
      </c>
      <c r="L1095" s="35"/>
      <c r="M1095" s="85"/>
      <c r="N1095" s="38" t="s">
        <v>643</v>
      </c>
      <c r="O1095" s="69"/>
      <c r="P1095" s="66">
        <v>45383</v>
      </c>
    </row>
    <row r="1096" spans="1:16" ht="15.75" customHeight="1">
      <c r="A1096" s="13">
        <f t="shared" si="22"/>
        <v>1077</v>
      </c>
      <c r="B1096" s="32" t="s">
        <v>1175</v>
      </c>
      <c r="C1096" s="23" t="s">
        <v>1177</v>
      </c>
      <c r="D1096" s="24" t="s">
        <v>1174</v>
      </c>
      <c r="E1096" s="23" t="s">
        <v>19</v>
      </c>
      <c r="F1096" s="46">
        <v>16</v>
      </c>
      <c r="G1096" s="27">
        <v>14</v>
      </c>
      <c r="H1096" s="34"/>
      <c r="I1096" s="84">
        <v>2138.58</v>
      </c>
      <c r="J1096" s="136"/>
      <c r="K1096" s="118">
        <v>3327.52</v>
      </c>
      <c r="L1096" s="35"/>
      <c r="M1096" s="85"/>
      <c r="N1096" s="38" t="s">
        <v>643</v>
      </c>
      <c r="O1096" s="69"/>
      <c r="P1096" s="66">
        <v>45383</v>
      </c>
    </row>
    <row r="1097" spans="1:16" ht="15.75" customHeight="1">
      <c r="A1097" s="13">
        <f t="shared" si="22"/>
        <v>1078</v>
      </c>
      <c r="B1097" s="32" t="s">
        <v>1175</v>
      </c>
      <c r="C1097" s="23" t="s">
        <v>1177</v>
      </c>
      <c r="D1097" s="24" t="s">
        <v>1174</v>
      </c>
      <c r="E1097" s="23" t="s">
        <v>19</v>
      </c>
      <c r="F1097" s="46">
        <v>15</v>
      </c>
      <c r="G1097" s="27"/>
      <c r="H1097" s="34"/>
      <c r="I1097" s="84">
        <v>2266.77</v>
      </c>
      <c r="J1097" s="136"/>
      <c r="K1097" s="118"/>
      <c r="L1097" s="35"/>
      <c r="M1097" s="85"/>
      <c r="N1097" s="38" t="s">
        <v>643</v>
      </c>
      <c r="O1097" s="69"/>
      <c r="P1097" s="66">
        <v>45383</v>
      </c>
    </row>
    <row r="1098" spans="1:16" ht="15.75" customHeight="1">
      <c r="A1098" s="13">
        <f t="shared" si="22"/>
        <v>1079</v>
      </c>
      <c r="B1098" s="32" t="s">
        <v>1175</v>
      </c>
      <c r="C1098" s="23" t="s">
        <v>1177</v>
      </c>
      <c r="D1098" s="24" t="s">
        <v>1174</v>
      </c>
      <c r="E1098" s="23" t="s">
        <v>19</v>
      </c>
      <c r="F1098" s="46">
        <v>20</v>
      </c>
      <c r="G1098" s="27">
        <v>10</v>
      </c>
      <c r="H1098" s="34"/>
      <c r="I1098" s="84">
        <v>2155.9299999999998</v>
      </c>
      <c r="J1098" s="136"/>
      <c r="K1098" s="118">
        <v>3373.35</v>
      </c>
      <c r="L1098" s="35"/>
      <c r="M1098" s="85">
        <v>24348.240000000002</v>
      </c>
      <c r="N1098" s="38" t="s">
        <v>643</v>
      </c>
      <c r="O1098" s="69"/>
      <c r="P1098" s="66">
        <v>45689</v>
      </c>
    </row>
    <row r="1099" spans="1:16" ht="15.75" customHeight="1">
      <c r="A1099" s="13">
        <f t="shared" si="22"/>
        <v>1080</v>
      </c>
      <c r="B1099" s="32" t="s">
        <v>1175</v>
      </c>
      <c r="C1099" s="23" t="s">
        <v>1177</v>
      </c>
      <c r="D1099" s="24" t="s">
        <v>1174</v>
      </c>
      <c r="E1099" s="23" t="s">
        <v>19</v>
      </c>
      <c r="F1099" s="46">
        <v>19</v>
      </c>
      <c r="G1099" s="27">
        <v>11</v>
      </c>
      <c r="H1099" s="34"/>
      <c r="I1099" s="84">
        <v>2220.0300000000002</v>
      </c>
      <c r="J1099" s="136"/>
      <c r="K1099" s="118">
        <v>3152.01</v>
      </c>
      <c r="L1099" s="35"/>
      <c r="M1099" s="85"/>
      <c r="N1099" s="38" t="s">
        <v>643</v>
      </c>
      <c r="O1099" s="69"/>
      <c r="P1099" s="66">
        <v>45689</v>
      </c>
    </row>
    <row r="1100" spans="1:16" ht="15.75" customHeight="1">
      <c r="A1100" s="13">
        <f t="shared" si="22"/>
        <v>1081</v>
      </c>
      <c r="B1100" s="32" t="s">
        <v>1175</v>
      </c>
      <c r="C1100" s="23" t="s">
        <v>1177</v>
      </c>
      <c r="D1100" s="24" t="s">
        <v>1174</v>
      </c>
      <c r="E1100" s="23" t="s">
        <v>19</v>
      </c>
      <c r="F1100" s="46">
        <v>18</v>
      </c>
      <c r="G1100" s="27">
        <v>12</v>
      </c>
      <c r="H1100" s="34"/>
      <c r="I1100" s="84">
        <v>2291.19</v>
      </c>
      <c r="J1100" s="136"/>
      <c r="K1100" s="118">
        <v>2967.54</v>
      </c>
      <c r="L1100" s="35"/>
      <c r="M1100" s="85"/>
      <c r="N1100" s="38" t="s">
        <v>643</v>
      </c>
      <c r="O1100" s="69"/>
      <c r="P1100" s="66">
        <v>45689</v>
      </c>
    </row>
    <row r="1101" spans="1:16" ht="15.75" customHeight="1">
      <c r="A1101" s="13">
        <f t="shared" si="22"/>
        <v>1082</v>
      </c>
      <c r="B1101" s="32" t="s">
        <v>1175</v>
      </c>
      <c r="C1101" s="23" t="s">
        <v>1177</v>
      </c>
      <c r="D1101" s="24" t="s">
        <v>1174</v>
      </c>
      <c r="E1101" s="23" t="s">
        <v>19</v>
      </c>
      <c r="F1101" s="46">
        <v>17</v>
      </c>
      <c r="G1101" s="27">
        <v>13</v>
      </c>
      <c r="H1101" s="34"/>
      <c r="I1101" s="84">
        <v>2370.7600000000002</v>
      </c>
      <c r="J1101" s="136"/>
      <c r="K1101" s="118">
        <v>2811.48</v>
      </c>
      <c r="L1101" s="35"/>
      <c r="M1101" s="85"/>
      <c r="N1101" s="38" t="s">
        <v>643</v>
      </c>
      <c r="O1101" s="69"/>
      <c r="P1101" s="66">
        <v>45689</v>
      </c>
    </row>
    <row r="1102" spans="1:16" ht="15.75" customHeight="1">
      <c r="A1102" s="13">
        <f t="shared" si="22"/>
        <v>1083</v>
      </c>
      <c r="B1102" s="32" t="s">
        <v>1175</v>
      </c>
      <c r="C1102" s="23" t="s">
        <v>1177</v>
      </c>
      <c r="D1102" s="24" t="s">
        <v>1174</v>
      </c>
      <c r="E1102" s="23" t="s">
        <v>19</v>
      </c>
      <c r="F1102" s="46">
        <v>16</v>
      </c>
      <c r="G1102" s="27">
        <v>14</v>
      </c>
      <c r="H1102" s="34"/>
      <c r="I1102" s="84">
        <v>2460.3000000000002</v>
      </c>
      <c r="J1102" s="136"/>
      <c r="K1102" s="118">
        <v>2677.69</v>
      </c>
      <c r="L1102" s="35"/>
      <c r="M1102" s="85"/>
      <c r="N1102" s="38" t="s">
        <v>643</v>
      </c>
      <c r="O1102" s="69"/>
      <c r="P1102" s="66">
        <v>45689</v>
      </c>
    </row>
    <row r="1103" spans="1:16" ht="15.75" customHeight="1">
      <c r="A1103" s="13">
        <f t="shared" si="22"/>
        <v>1084</v>
      </c>
      <c r="B1103" s="32" t="s">
        <v>1175</v>
      </c>
      <c r="C1103" s="23" t="s">
        <v>1177</v>
      </c>
      <c r="D1103" s="24" t="s">
        <v>1174</v>
      </c>
      <c r="E1103" s="23" t="s">
        <v>19</v>
      </c>
      <c r="F1103" s="46">
        <v>15</v>
      </c>
      <c r="G1103" s="27"/>
      <c r="H1103" s="34"/>
      <c r="I1103" s="84">
        <v>2561.7399999999998</v>
      </c>
      <c r="J1103" s="136"/>
      <c r="K1103" s="118"/>
      <c r="L1103" s="35"/>
      <c r="M1103" s="85"/>
      <c r="N1103" s="38" t="s">
        <v>643</v>
      </c>
      <c r="O1103" s="69"/>
      <c r="P1103" s="66">
        <v>45689</v>
      </c>
    </row>
    <row r="1104" spans="1:16" ht="15.75" customHeight="1">
      <c r="A1104" s="13">
        <f t="shared" si="22"/>
        <v>1085</v>
      </c>
      <c r="B1104" s="32" t="s">
        <v>1176</v>
      </c>
      <c r="C1104" s="23" t="s">
        <v>1177</v>
      </c>
      <c r="D1104" s="24" t="s">
        <v>1174</v>
      </c>
      <c r="E1104" s="23" t="s">
        <v>19</v>
      </c>
      <c r="F1104" s="46" t="s">
        <v>977</v>
      </c>
      <c r="G1104" s="27"/>
      <c r="H1104" s="34"/>
      <c r="I1104" s="84">
        <v>73835.16</v>
      </c>
      <c r="J1104" s="136"/>
      <c r="K1104" s="118"/>
      <c r="L1104" s="35"/>
      <c r="M1104" s="85"/>
      <c r="N1104" s="38" t="s">
        <v>643</v>
      </c>
      <c r="O1104" s="69"/>
      <c r="P1104" s="66">
        <v>45383</v>
      </c>
    </row>
    <row r="1105" spans="1:16" ht="15.75" customHeight="1">
      <c r="A1105" s="13">
        <f t="shared" si="22"/>
        <v>1086</v>
      </c>
      <c r="B1105" s="32" t="s">
        <v>1176</v>
      </c>
      <c r="C1105" s="23" t="s">
        <v>1177</v>
      </c>
      <c r="D1105" s="24" t="s">
        <v>1174</v>
      </c>
      <c r="E1105" s="23" t="s">
        <v>19</v>
      </c>
      <c r="F1105" s="46" t="s">
        <v>977</v>
      </c>
      <c r="G1105" s="27"/>
      <c r="H1105" s="34"/>
      <c r="I1105" s="84">
        <v>84913.13</v>
      </c>
      <c r="J1105" s="136"/>
      <c r="K1105" s="118"/>
      <c r="L1105" s="35"/>
      <c r="M1105" s="85"/>
      <c r="N1105" s="38" t="s">
        <v>643</v>
      </c>
      <c r="O1105" s="69"/>
      <c r="P1105" s="66">
        <v>45689</v>
      </c>
    </row>
    <row r="1106" spans="1:16" ht="15.75" customHeight="1">
      <c r="A1106" s="13">
        <f t="shared" si="22"/>
        <v>1087</v>
      </c>
      <c r="B1106" s="156" t="s">
        <v>1175</v>
      </c>
      <c r="C1106" s="23" t="s">
        <v>1177</v>
      </c>
      <c r="D1106" s="24" t="s">
        <v>1174</v>
      </c>
      <c r="E1106" s="23" t="s">
        <v>19</v>
      </c>
      <c r="F1106" s="46">
        <v>20</v>
      </c>
      <c r="G1106" s="27">
        <v>10</v>
      </c>
      <c r="H1106" s="34"/>
      <c r="I1106" s="84">
        <v>2365.5500000000002</v>
      </c>
      <c r="J1106" s="136"/>
      <c r="K1106" s="118">
        <v>3702.4</v>
      </c>
      <c r="L1106" s="35"/>
      <c r="M1106" s="85">
        <v>26737.26</v>
      </c>
      <c r="N1106" s="38" t="s">
        <v>643</v>
      </c>
      <c r="O1106" s="69"/>
      <c r="P1106" s="193">
        <v>46082</v>
      </c>
    </row>
    <row r="1107" spans="1:16" ht="15.75" customHeight="1">
      <c r="A1107" s="13">
        <f t="shared" si="22"/>
        <v>1088</v>
      </c>
      <c r="B1107" s="156" t="s">
        <v>1175</v>
      </c>
      <c r="C1107" s="23" t="s">
        <v>1177</v>
      </c>
      <c r="D1107" s="24" t="s">
        <v>1174</v>
      </c>
      <c r="E1107" s="23" t="s">
        <v>19</v>
      </c>
      <c r="F1107" s="46">
        <v>19</v>
      </c>
      <c r="G1107" s="27">
        <v>11</v>
      </c>
      <c r="H1107" s="34"/>
      <c r="I1107" s="84">
        <v>2435.88</v>
      </c>
      <c r="J1107" s="136"/>
      <c r="K1107" s="118">
        <v>3459.35</v>
      </c>
      <c r="L1107" s="35"/>
      <c r="M1107" s="85"/>
      <c r="N1107" s="38" t="s">
        <v>643</v>
      </c>
      <c r="O1107" s="69"/>
      <c r="P1107" s="193">
        <v>46082</v>
      </c>
    </row>
    <row r="1108" spans="1:16" ht="15.75" customHeight="1">
      <c r="A1108" s="13">
        <f t="shared" si="22"/>
        <v>1089</v>
      </c>
      <c r="B1108" s="156" t="s">
        <v>1175</v>
      </c>
      <c r="C1108" s="23" t="s">
        <v>1177</v>
      </c>
      <c r="D1108" s="24" t="s">
        <v>1174</v>
      </c>
      <c r="E1108" s="23" t="s">
        <v>19</v>
      </c>
      <c r="F1108" s="46">
        <v>18</v>
      </c>
      <c r="G1108" s="27">
        <v>12</v>
      </c>
      <c r="H1108" s="34"/>
      <c r="I1108" s="84">
        <v>2514.06</v>
      </c>
      <c r="J1108" s="136"/>
      <c r="K1108" s="118">
        <v>3256.78</v>
      </c>
      <c r="L1108" s="35"/>
      <c r="M1108" s="85"/>
      <c r="N1108" s="38" t="s">
        <v>643</v>
      </c>
      <c r="O1108" s="69"/>
      <c r="P1108" s="193">
        <v>46082</v>
      </c>
    </row>
    <row r="1109" spans="1:16" ht="15.75" customHeight="1">
      <c r="A1109" s="13">
        <f t="shared" si="22"/>
        <v>1090</v>
      </c>
      <c r="B1109" s="156" t="s">
        <v>1175</v>
      </c>
      <c r="C1109" s="23" t="s">
        <v>1177</v>
      </c>
      <c r="D1109" s="24" t="s">
        <v>1174</v>
      </c>
      <c r="E1109" s="23" t="s">
        <v>19</v>
      </c>
      <c r="F1109" s="46">
        <v>17</v>
      </c>
      <c r="G1109" s="27">
        <v>13</v>
      </c>
      <c r="H1109" s="34"/>
      <c r="I1109" s="84">
        <v>2601.46</v>
      </c>
      <c r="J1109" s="136"/>
      <c r="K1109" s="118">
        <v>3085.4</v>
      </c>
      <c r="L1109" s="35"/>
      <c r="M1109" s="85"/>
      <c r="N1109" s="38" t="s">
        <v>643</v>
      </c>
      <c r="O1109" s="69"/>
      <c r="P1109" s="193">
        <v>46082</v>
      </c>
    </row>
    <row r="1110" spans="1:16" ht="15.75" customHeight="1">
      <c r="A1110" s="13">
        <f t="shared" si="22"/>
        <v>1091</v>
      </c>
      <c r="B1110" s="156" t="s">
        <v>1175</v>
      </c>
      <c r="C1110" s="23" t="s">
        <v>1177</v>
      </c>
      <c r="D1110" s="24" t="s">
        <v>1174</v>
      </c>
      <c r="E1110" s="23" t="s">
        <v>19</v>
      </c>
      <c r="F1110" s="46">
        <v>16</v>
      </c>
      <c r="G1110" s="27">
        <v>14</v>
      </c>
      <c r="H1110" s="34"/>
      <c r="I1110" s="84">
        <v>2699.75</v>
      </c>
      <c r="J1110" s="136"/>
      <c r="K1110" s="118">
        <v>2938.47</v>
      </c>
      <c r="L1110" s="35"/>
      <c r="M1110" s="85"/>
      <c r="N1110" s="38" t="s">
        <v>643</v>
      </c>
      <c r="O1110" s="69"/>
      <c r="P1110" s="193">
        <v>46082</v>
      </c>
    </row>
    <row r="1111" spans="1:16" ht="15.75" customHeight="1">
      <c r="A1111" s="13">
        <f t="shared" si="22"/>
        <v>1092</v>
      </c>
      <c r="B1111" s="156" t="s">
        <v>1175</v>
      </c>
      <c r="C1111" s="23" t="s">
        <v>1177</v>
      </c>
      <c r="D1111" s="24" t="s">
        <v>1174</v>
      </c>
      <c r="E1111" s="23" t="s">
        <v>19</v>
      </c>
      <c r="F1111" s="46">
        <v>15</v>
      </c>
      <c r="G1111" s="27"/>
      <c r="H1111" s="34"/>
      <c r="I1111" s="84">
        <v>2811.16</v>
      </c>
      <c r="J1111" s="136"/>
      <c r="K1111" s="118"/>
      <c r="L1111" s="35"/>
      <c r="M1111" s="85"/>
      <c r="N1111" s="38" t="s">
        <v>643</v>
      </c>
      <c r="O1111" s="69"/>
      <c r="P1111" s="193">
        <v>46082</v>
      </c>
    </row>
    <row r="1112" spans="1:16" ht="15.75" customHeight="1">
      <c r="A1112" s="13">
        <f t="shared" si="22"/>
        <v>1093</v>
      </c>
      <c r="B1112" s="156" t="s">
        <v>1176</v>
      </c>
      <c r="C1112" s="23" t="s">
        <v>1177</v>
      </c>
      <c r="D1112" s="24" t="s">
        <v>1174</v>
      </c>
      <c r="E1112" s="23" t="s">
        <v>19</v>
      </c>
      <c r="F1112" s="46" t="s">
        <v>977</v>
      </c>
      <c r="G1112" s="27"/>
      <c r="H1112" s="34"/>
      <c r="I1112" s="84">
        <v>107577.32</v>
      </c>
      <c r="J1112" s="136"/>
      <c r="K1112" s="118"/>
      <c r="L1112" s="35"/>
      <c r="M1112" s="85"/>
      <c r="N1112" s="38" t="s">
        <v>643</v>
      </c>
      <c r="O1112" s="69"/>
      <c r="P1112" s="193">
        <v>46082</v>
      </c>
    </row>
    <row r="1113" spans="1:16" ht="15.75" customHeight="1">
      <c r="A1113" s="13">
        <f t="shared" si="22"/>
        <v>1094</v>
      </c>
      <c r="B1113" s="32" t="s">
        <v>1178</v>
      </c>
      <c r="C1113" s="23" t="s">
        <v>1177</v>
      </c>
      <c r="D1113" s="24" t="s">
        <v>1179</v>
      </c>
      <c r="E1113" s="23" t="s">
        <v>19</v>
      </c>
      <c r="F1113" s="46">
        <v>20</v>
      </c>
      <c r="G1113" s="27">
        <v>10</v>
      </c>
      <c r="H1113" s="34"/>
      <c r="I1113" s="84">
        <v>3051.98</v>
      </c>
      <c r="J1113" s="136"/>
      <c r="K1113" s="118">
        <v>4110.17</v>
      </c>
      <c r="L1113" s="35"/>
      <c r="M1113" s="85">
        <v>21163.65</v>
      </c>
      <c r="N1113" s="38" t="s">
        <v>643</v>
      </c>
      <c r="O1113" s="69"/>
      <c r="P1113" s="66">
        <v>45383</v>
      </c>
    </row>
    <row r="1114" spans="1:16" ht="15.75" customHeight="1">
      <c r="A1114" s="13">
        <f t="shared" si="22"/>
        <v>1095</v>
      </c>
      <c r="B1114" s="32" t="s">
        <v>1178</v>
      </c>
      <c r="C1114" s="23" t="s">
        <v>1177</v>
      </c>
      <c r="D1114" s="24" t="s">
        <v>1179</v>
      </c>
      <c r="E1114" s="23" t="s">
        <v>19</v>
      </c>
      <c r="F1114" s="46">
        <v>19</v>
      </c>
      <c r="G1114" s="27">
        <v>11</v>
      </c>
      <c r="H1114" s="34"/>
      <c r="I1114" s="84">
        <v>3107.67</v>
      </c>
      <c r="J1114" s="136"/>
      <c r="K1114" s="118">
        <v>3917.75</v>
      </c>
      <c r="L1114" s="35"/>
      <c r="M1114" s="85"/>
      <c r="N1114" s="38" t="s">
        <v>643</v>
      </c>
      <c r="O1114" s="69"/>
      <c r="P1114" s="66">
        <v>45383</v>
      </c>
    </row>
    <row r="1115" spans="1:16" ht="15.75" customHeight="1">
      <c r="A1115" s="13">
        <f t="shared" si="22"/>
        <v>1096</v>
      </c>
      <c r="B1115" s="32" t="s">
        <v>1178</v>
      </c>
      <c r="C1115" s="23" t="s">
        <v>1177</v>
      </c>
      <c r="D1115" s="24" t="s">
        <v>1179</v>
      </c>
      <c r="E1115" s="23" t="s">
        <v>19</v>
      </c>
      <c r="F1115" s="46">
        <v>18</v>
      </c>
      <c r="G1115" s="27">
        <v>12</v>
      </c>
      <c r="H1115" s="34"/>
      <c r="I1115" s="84">
        <v>3169.56</v>
      </c>
      <c r="J1115" s="136"/>
      <c r="K1115" s="118">
        <v>3757.43</v>
      </c>
      <c r="L1115" s="35"/>
      <c r="M1115" s="85"/>
      <c r="N1115" s="38" t="s">
        <v>643</v>
      </c>
      <c r="O1115" s="69"/>
      <c r="P1115" s="66">
        <v>45383</v>
      </c>
    </row>
    <row r="1116" spans="1:16" ht="15.75" customHeight="1">
      <c r="A1116" s="13">
        <f t="shared" si="22"/>
        <v>1097</v>
      </c>
      <c r="B1116" s="32" t="s">
        <v>1178</v>
      </c>
      <c r="C1116" s="23" t="s">
        <v>1177</v>
      </c>
      <c r="D1116" s="24" t="s">
        <v>1179</v>
      </c>
      <c r="E1116" s="23" t="s">
        <v>19</v>
      </c>
      <c r="F1116" s="46">
        <v>17</v>
      </c>
      <c r="G1116" s="27">
        <v>13</v>
      </c>
      <c r="H1116" s="34"/>
      <c r="I1116" s="84">
        <v>3238.73</v>
      </c>
      <c r="J1116" s="136"/>
      <c r="K1116" s="118">
        <v>3621.77</v>
      </c>
      <c r="L1116" s="35"/>
      <c r="M1116" s="85"/>
      <c r="N1116" s="38" t="s">
        <v>643</v>
      </c>
      <c r="O1116" s="69"/>
      <c r="P1116" s="66">
        <v>45383</v>
      </c>
    </row>
    <row r="1117" spans="1:16" ht="15.75" customHeight="1">
      <c r="A1117" s="13">
        <f t="shared" si="22"/>
        <v>1098</v>
      </c>
      <c r="B1117" s="32" t="s">
        <v>1178</v>
      </c>
      <c r="C1117" s="23" t="s">
        <v>1177</v>
      </c>
      <c r="D1117" s="24" t="s">
        <v>1179</v>
      </c>
      <c r="E1117" s="23" t="s">
        <v>19</v>
      </c>
      <c r="F1117" s="46">
        <v>16</v>
      </c>
      <c r="G1117" s="27">
        <v>14</v>
      </c>
      <c r="H1117" s="34"/>
      <c r="I1117" s="84">
        <v>3316.54</v>
      </c>
      <c r="J1117" s="136"/>
      <c r="K1117" s="118">
        <v>3505.47</v>
      </c>
      <c r="L1117" s="35"/>
      <c r="M1117" s="85"/>
      <c r="N1117" s="38" t="s">
        <v>643</v>
      </c>
      <c r="O1117" s="69"/>
      <c r="P1117" s="66">
        <v>45383</v>
      </c>
    </row>
    <row r="1118" spans="1:16" ht="15.75" customHeight="1">
      <c r="A1118" s="13">
        <f t="shared" si="22"/>
        <v>1099</v>
      </c>
      <c r="B1118" s="32" t="s">
        <v>1178</v>
      </c>
      <c r="C1118" s="23" t="s">
        <v>1177</v>
      </c>
      <c r="D1118" s="24" t="s">
        <v>1179</v>
      </c>
      <c r="E1118" s="23" t="s">
        <v>19</v>
      </c>
      <c r="F1118" s="46">
        <v>15</v>
      </c>
      <c r="G1118" s="27"/>
      <c r="H1118" s="34"/>
      <c r="I1118" s="84">
        <v>3404.72</v>
      </c>
      <c r="J1118" s="136"/>
      <c r="K1118" s="118"/>
      <c r="L1118" s="35"/>
      <c r="M1118" s="85"/>
      <c r="N1118" s="38" t="s">
        <v>643</v>
      </c>
      <c r="O1118" s="69"/>
      <c r="P1118" s="66">
        <v>45383</v>
      </c>
    </row>
    <row r="1119" spans="1:16" ht="15.75" customHeight="1">
      <c r="A1119" s="13">
        <f t="shared" si="22"/>
        <v>1100</v>
      </c>
      <c r="B1119" s="32" t="s">
        <v>1178</v>
      </c>
      <c r="C1119" s="23" t="s">
        <v>1177</v>
      </c>
      <c r="D1119" s="24" t="s">
        <v>1179</v>
      </c>
      <c r="E1119" s="23" t="s">
        <v>19</v>
      </c>
      <c r="F1119" s="46">
        <v>20</v>
      </c>
      <c r="G1119" s="27">
        <v>10</v>
      </c>
      <c r="H1119" s="34"/>
      <c r="I1119" s="84">
        <v>2364.33</v>
      </c>
      <c r="J1119" s="136"/>
      <c r="K1119" s="118">
        <v>3581.74</v>
      </c>
      <c r="L1119" s="35"/>
      <c r="M1119" s="85">
        <v>24348.240000000002</v>
      </c>
      <c r="N1119" s="38" t="s">
        <v>643</v>
      </c>
      <c r="O1119" s="69"/>
      <c r="P1119" s="66">
        <v>45689</v>
      </c>
    </row>
    <row r="1120" spans="1:16" ht="15.75" customHeight="1">
      <c r="A1120" s="13">
        <f t="shared" si="22"/>
        <v>1101</v>
      </c>
      <c r="B1120" s="32" t="s">
        <v>1178</v>
      </c>
      <c r="C1120" s="23" t="s">
        <v>1177</v>
      </c>
      <c r="D1120" s="24" t="s">
        <v>1179</v>
      </c>
      <c r="E1120" s="23" t="s">
        <v>19</v>
      </c>
      <c r="F1120" s="46">
        <v>19</v>
      </c>
      <c r="G1120" s="27">
        <v>11</v>
      </c>
      <c r="H1120" s="34"/>
      <c r="I1120" s="84">
        <v>2428.42</v>
      </c>
      <c r="J1120" s="136"/>
      <c r="K1120" s="118">
        <v>3360.41</v>
      </c>
      <c r="L1120" s="35"/>
      <c r="M1120" s="85"/>
      <c r="N1120" s="38" t="s">
        <v>643</v>
      </c>
      <c r="O1120" s="69"/>
      <c r="P1120" s="66">
        <v>45689</v>
      </c>
    </row>
    <row r="1121" spans="1:16" ht="15.75" customHeight="1">
      <c r="A1121" s="13">
        <f t="shared" si="22"/>
        <v>1102</v>
      </c>
      <c r="B1121" s="32" t="s">
        <v>1178</v>
      </c>
      <c r="C1121" s="23" t="s">
        <v>1177</v>
      </c>
      <c r="D1121" s="24" t="s">
        <v>1179</v>
      </c>
      <c r="E1121" s="23" t="s">
        <v>19</v>
      </c>
      <c r="F1121" s="46">
        <v>18</v>
      </c>
      <c r="G1121" s="27">
        <v>12</v>
      </c>
      <c r="H1121" s="34"/>
      <c r="I1121" s="84">
        <v>2499.58</v>
      </c>
      <c r="J1121" s="136"/>
      <c r="K1121" s="118">
        <v>3175.93</v>
      </c>
      <c r="L1121" s="35"/>
      <c r="M1121" s="85"/>
      <c r="N1121" s="38" t="s">
        <v>643</v>
      </c>
      <c r="O1121" s="69"/>
      <c r="P1121" s="66">
        <v>45689</v>
      </c>
    </row>
    <row r="1122" spans="1:16" ht="15.75" customHeight="1">
      <c r="A1122" s="13">
        <f t="shared" si="22"/>
        <v>1103</v>
      </c>
      <c r="B1122" s="32" t="s">
        <v>1178</v>
      </c>
      <c r="C1122" s="23" t="s">
        <v>1177</v>
      </c>
      <c r="D1122" s="24" t="s">
        <v>1179</v>
      </c>
      <c r="E1122" s="23" t="s">
        <v>19</v>
      </c>
      <c r="F1122" s="46">
        <v>17</v>
      </c>
      <c r="G1122" s="27">
        <v>13</v>
      </c>
      <c r="H1122" s="34"/>
      <c r="I1122" s="84">
        <v>2579.16</v>
      </c>
      <c r="J1122" s="136"/>
      <c r="K1122" s="118">
        <v>3019.87</v>
      </c>
      <c r="L1122" s="35"/>
      <c r="M1122" s="85"/>
      <c r="N1122" s="38" t="s">
        <v>643</v>
      </c>
      <c r="O1122" s="69"/>
      <c r="P1122" s="66">
        <v>45689</v>
      </c>
    </row>
    <row r="1123" spans="1:16" ht="15.75" customHeight="1">
      <c r="A1123" s="13">
        <f t="shared" si="22"/>
        <v>1104</v>
      </c>
      <c r="B1123" s="32" t="s">
        <v>1178</v>
      </c>
      <c r="C1123" s="23" t="s">
        <v>1177</v>
      </c>
      <c r="D1123" s="24" t="s">
        <v>1179</v>
      </c>
      <c r="E1123" s="23" t="s">
        <v>19</v>
      </c>
      <c r="F1123" s="46">
        <v>16</v>
      </c>
      <c r="G1123" s="27">
        <v>14</v>
      </c>
      <c r="H1123" s="34"/>
      <c r="I1123" s="84">
        <v>2668.7</v>
      </c>
      <c r="J1123" s="136"/>
      <c r="K1123" s="118">
        <v>2886.08</v>
      </c>
      <c r="L1123" s="35"/>
      <c r="M1123" s="85"/>
      <c r="N1123" s="38" t="s">
        <v>643</v>
      </c>
      <c r="O1123" s="69"/>
      <c r="P1123" s="66">
        <v>45689</v>
      </c>
    </row>
    <row r="1124" spans="1:16" ht="15.75" customHeight="1">
      <c r="A1124" s="13">
        <f t="shared" si="22"/>
        <v>1105</v>
      </c>
      <c r="B1124" s="32" t="s">
        <v>1178</v>
      </c>
      <c r="C1124" s="23" t="s">
        <v>1177</v>
      </c>
      <c r="D1124" s="24" t="s">
        <v>1179</v>
      </c>
      <c r="E1124" s="23" t="s">
        <v>19</v>
      </c>
      <c r="F1124" s="46">
        <v>15</v>
      </c>
      <c r="G1124" s="27"/>
      <c r="H1124" s="34"/>
      <c r="I1124" s="84">
        <v>2770.14</v>
      </c>
      <c r="J1124" s="136"/>
      <c r="K1124" s="118"/>
      <c r="L1124" s="35"/>
      <c r="M1124" s="85"/>
      <c r="N1124" s="38" t="s">
        <v>643</v>
      </c>
      <c r="O1124" s="69"/>
      <c r="P1124" s="66">
        <v>45689</v>
      </c>
    </row>
    <row r="1125" spans="1:16" ht="15.75" customHeight="1">
      <c r="A1125" s="13">
        <f t="shared" si="22"/>
        <v>1106</v>
      </c>
      <c r="B1125" s="32" t="s">
        <v>1200</v>
      </c>
      <c r="C1125" s="23" t="s">
        <v>1177</v>
      </c>
      <c r="D1125" s="24" t="s">
        <v>1179</v>
      </c>
      <c r="E1125" s="23" t="s">
        <v>19</v>
      </c>
      <c r="F1125" s="191" t="s">
        <v>977</v>
      </c>
      <c r="G1125" s="42"/>
      <c r="H1125" s="41"/>
      <c r="I1125" s="179">
        <v>73835.16</v>
      </c>
      <c r="J1125" s="144"/>
      <c r="K1125" s="154"/>
      <c r="L1125" s="53"/>
      <c r="M1125" s="152"/>
      <c r="N1125" s="38" t="s">
        <v>643</v>
      </c>
      <c r="O1125" s="39"/>
      <c r="P1125" s="66">
        <v>45383</v>
      </c>
    </row>
    <row r="1126" spans="1:16" ht="15.75" customHeight="1">
      <c r="A1126" s="13">
        <f t="shared" si="22"/>
        <v>1107</v>
      </c>
      <c r="B1126" s="32" t="s">
        <v>1200</v>
      </c>
      <c r="C1126" s="23" t="s">
        <v>1177</v>
      </c>
      <c r="D1126" s="24" t="s">
        <v>1179</v>
      </c>
      <c r="E1126" s="23" t="s">
        <v>19</v>
      </c>
      <c r="F1126" s="191" t="s">
        <v>977</v>
      </c>
      <c r="G1126" s="42"/>
      <c r="H1126" s="41"/>
      <c r="I1126" s="179">
        <v>84913.13</v>
      </c>
      <c r="J1126" s="144"/>
      <c r="K1126" s="154"/>
      <c r="L1126" s="53"/>
      <c r="M1126" s="152"/>
      <c r="N1126" s="38" t="s">
        <v>643</v>
      </c>
      <c r="O1126" s="39"/>
      <c r="P1126" s="66">
        <v>45689</v>
      </c>
    </row>
    <row r="1127" spans="1:16" ht="15.75" customHeight="1">
      <c r="A1127" s="13">
        <f t="shared" si="22"/>
        <v>1108</v>
      </c>
      <c r="B1127" s="156" t="s">
        <v>1178</v>
      </c>
      <c r="C1127" s="23" t="s">
        <v>1177</v>
      </c>
      <c r="D1127" s="24" t="s">
        <v>1179</v>
      </c>
      <c r="E1127" s="23" t="s">
        <v>19</v>
      </c>
      <c r="F1127" s="191">
        <v>20</v>
      </c>
      <c r="G1127" s="42">
        <v>10</v>
      </c>
      <c r="H1127" s="41"/>
      <c r="I1127" s="179">
        <v>2593.16</v>
      </c>
      <c r="J1127" s="144"/>
      <c r="K1127" s="154">
        <v>3930.01</v>
      </c>
      <c r="L1127" s="53"/>
      <c r="M1127" s="152">
        <v>26737.26</v>
      </c>
      <c r="N1127" s="38" t="s">
        <v>643</v>
      </c>
      <c r="O1127" s="39"/>
      <c r="P1127" s="193">
        <v>46082</v>
      </c>
    </row>
    <row r="1128" spans="1:16" ht="15.75" customHeight="1">
      <c r="A1128" s="13">
        <f t="shared" si="22"/>
        <v>1109</v>
      </c>
      <c r="B1128" s="156" t="s">
        <v>1178</v>
      </c>
      <c r="C1128" s="23" t="s">
        <v>1177</v>
      </c>
      <c r="D1128" s="24" t="s">
        <v>1179</v>
      </c>
      <c r="E1128" s="23" t="s">
        <v>19</v>
      </c>
      <c r="F1128" s="191">
        <v>19</v>
      </c>
      <c r="G1128" s="42">
        <v>11</v>
      </c>
      <c r="H1128" s="41"/>
      <c r="I1128" s="179">
        <v>2663.49</v>
      </c>
      <c r="J1128" s="144"/>
      <c r="K1128" s="154">
        <v>3686.95</v>
      </c>
      <c r="L1128" s="53"/>
      <c r="M1128" s="152"/>
      <c r="N1128" s="38" t="s">
        <v>643</v>
      </c>
      <c r="O1128" s="39"/>
      <c r="P1128" s="193">
        <v>46082</v>
      </c>
    </row>
    <row r="1129" spans="1:16" ht="15.75" customHeight="1">
      <c r="A1129" s="13">
        <f t="shared" si="22"/>
        <v>1110</v>
      </c>
      <c r="B1129" s="156" t="s">
        <v>1178</v>
      </c>
      <c r="C1129" s="23" t="s">
        <v>1177</v>
      </c>
      <c r="D1129" s="24" t="s">
        <v>1179</v>
      </c>
      <c r="E1129" s="23" t="s">
        <v>19</v>
      </c>
      <c r="F1129" s="191">
        <v>18</v>
      </c>
      <c r="G1129" s="42">
        <v>12</v>
      </c>
      <c r="H1129" s="41"/>
      <c r="I1129" s="179">
        <v>2741.67</v>
      </c>
      <c r="J1129" s="144"/>
      <c r="K1129" s="154">
        <v>3484.39</v>
      </c>
      <c r="L1129" s="53"/>
      <c r="M1129" s="152"/>
      <c r="N1129" s="38" t="s">
        <v>643</v>
      </c>
      <c r="O1129" s="39"/>
      <c r="P1129" s="193">
        <v>46082</v>
      </c>
    </row>
    <row r="1130" spans="1:16" ht="15.75" customHeight="1">
      <c r="A1130" s="13">
        <f t="shared" si="22"/>
        <v>1111</v>
      </c>
      <c r="B1130" s="156" t="s">
        <v>1178</v>
      </c>
      <c r="C1130" s="23" t="s">
        <v>1177</v>
      </c>
      <c r="D1130" s="24" t="s">
        <v>1179</v>
      </c>
      <c r="E1130" s="23" t="s">
        <v>19</v>
      </c>
      <c r="F1130" s="191">
        <v>17</v>
      </c>
      <c r="G1130" s="42">
        <v>13</v>
      </c>
      <c r="H1130" s="41"/>
      <c r="I1130" s="179">
        <v>2829.06</v>
      </c>
      <c r="J1130" s="144"/>
      <c r="K1130" s="154">
        <v>3313.01</v>
      </c>
      <c r="L1130" s="53"/>
      <c r="M1130" s="152"/>
      <c r="N1130" s="38" t="s">
        <v>643</v>
      </c>
      <c r="O1130" s="39"/>
      <c r="P1130" s="193">
        <v>46082</v>
      </c>
    </row>
    <row r="1131" spans="1:16" ht="15.75" customHeight="1">
      <c r="A1131" s="13">
        <f t="shared" si="22"/>
        <v>1112</v>
      </c>
      <c r="B1131" s="156" t="s">
        <v>1178</v>
      </c>
      <c r="C1131" s="23" t="s">
        <v>1177</v>
      </c>
      <c r="D1131" s="24" t="s">
        <v>1179</v>
      </c>
      <c r="E1131" s="23" t="s">
        <v>19</v>
      </c>
      <c r="F1131" s="191">
        <v>16</v>
      </c>
      <c r="G1131" s="42">
        <v>14</v>
      </c>
      <c r="H1131" s="41"/>
      <c r="I1131" s="179">
        <v>2927.36</v>
      </c>
      <c r="J1131" s="144"/>
      <c r="K1131" s="154">
        <v>3166.08</v>
      </c>
      <c r="L1131" s="53"/>
      <c r="M1131" s="152"/>
      <c r="N1131" s="38" t="s">
        <v>643</v>
      </c>
      <c r="O1131" s="39"/>
      <c r="P1131" s="193">
        <v>46082</v>
      </c>
    </row>
    <row r="1132" spans="1:16" ht="15.75" customHeight="1">
      <c r="A1132" s="13">
        <f t="shared" ref="A1132:A1133" si="23">A1131+1</f>
        <v>1113</v>
      </c>
      <c r="B1132" s="156" t="s">
        <v>1178</v>
      </c>
      <c r="C1132" s="23" t="s">
        <v>1177</v>
      </c>
      <c r="D1132" s="24" t="s">
        <v>1179</v>
      </c>
      <c r="E1132" s="23" t="s">
        <v>19</v>
      </c>
      <c r="F1132" s="191">
        <v>15</v>
      </c>
      <c r="G1132" s="42"/>
      <c r="H1132" s="41"/>
      <c r="I1132" s="179">
        <v>3038.77</v>
      </c>
      <c r="J1132" s="144"/>
      <c r="K1132" s="154"/>
      <c r="L1132" s="53"/>
      <c r="M1132" s="152"/>
      <c r="N1132" s="38" t="s">
        <v>643</v>
      </c>
      <c r="O1132" s="39"/>
      <c r="P1132" s="193">
        <v>46082</v>
      </c>
    </row>
    <row r="1133" spans="1:16" ht="15.75" customHeight="1">
      <c r="A1133" s="13">
        <f t="shared" si="23"/>
        <v>1114</v>
      </c>
      <c r="B1133" s="156" t="s">
        <v>1200</v>
      </c>
      <c r="C1133" s="23" t="s">
        <v>1177</v>
      </c>
      <c r="D1133" s="24" t="s">
        <v>1179</v>
      </c>
      <c r="E1133" s="23" t="s">
        <v>19</v>
      </c>
      <c r="F1133" s="191" t="s">
        <v>977</v>
      </c>
      <c r="G1133" s="42"/>
      <c r="H1133" s="41"/>
      <c r="I1133" s="179">
        <v>107577.32</v>
      </c>
      <c r="J1133" s="144"/>
      <c r="K1133" s="154"/>
      <c r="L1133" s="53"/>
      <c r="M1133" s="152"/>
      <c r="N1133" s="38" t="s">
        <v>643</v>
      </c>
      <c r="O1133" s="39"/>
      <c r="P1133" s="193">
        <v>46082</v>
      </c>
    </row>
    <row r="1134" spans="1:16" s="98" customFormat="1" ht="15.75" customHeight="1">
      <c r="A1134" s="202" t="s">
        <v>23</v>
      </c>
      <c r="B1134" s="202"/>
      <c r="C1134" s="202"/>
      <c r="D1134" s="202"/>
      <c r="E1134" s="202"/>
      <c r="F1134" s="202"/>
      <c r="G1134" s="202"/>
      <c r="H1134" s="202"/>
      <c r="I1134" s="202"/>
      <c r="J1134" s="202"/>
      <c r="K1134" s="202"/>
      <c r="L1134" s="202"/>
      <c r="M1134" s="202"/>
      <c r="N1134" s="202"/>
      <c r="O1134" s="202"/>
      <c r="P1134" s="202"/>
    </row>
    <row r="1135" spans="1:16" ht="12.75" customHeight="1">
      <c r="A1135" s="110">
        <f>A1133+1</f>
        <v>1115</v>
      </c>
      <c r="B1135" s="32" t="s">
        <v>380</v>
      </c>
      <c r="C1135" s="83" t="s">
        <v>107</v>
      </c>
      <c r="D1135" s="83" t="s">
        <v>798</v>
      </c>
      <c r="E1135" s="83" t="s">
        <v>13</v>
      </c>
      <c r="F1135" s="83">
        <v>10</v>
      </c>
      <c r="G1135" s="83">
        <v>6</v>
      </c>
      <c r="H1135" s="83"/>
      <c r="I1135" s="103">
        <v>1026.8900000000001</v>
      </c>
      <c r="J1135" s="129"/>
      <c r="K1135" s="132">
        <v>1302.5999999999999</v>
      </c>
      <c r="L1135" s="83"/>
      <c r="M1135" s="163"/>
      <c r="N1135" s="38" t="s">
        <v>640</v>
      </c>
      <c r="O1135" s="83"/>
      <c r="P1135" s="109">
        <v>43617</v>
      </c>
    </row>
    <row r="1136" spans="1:16" ht="12.75" customHeight="1">
      <c r="A1136" s="110">
        <f>A1135+1</f>
        <v>1116</v>
      </c>
      <c r="B1136" s="167" t="s">
        <v>380</v>
      </c>
      <c r="C1136" s="83" t="s">
        <v>107</v>
      </c>
      <c r="D1136" s="83" t="s">
        <v>798</v>
      </c>
      <c r="E1136" s="83" t="s">
        <v>13</v>
      </c>
      <c r="F1136" s="83">
        <v>10</v>
      </c>
      <c r="G1136" s="83">
        <v>5</v>
      </c>
      <c r="H1136" s="83"/>
      <c r="I1136" s="103">
        <v>1113.57</v>
      </c>
      <c r="J1136" s="129"/>
      <c r="K1136" s="132">
        <v>1424.24</v>
      </c>
      <c r="L1136" s="83"/>
      <c r="M1136" s="163"/>
      <c r="N1136" s="38" t="s">
        <v>640</v>
      </c>
      <c r="O1136" s="83"/>
      <c r="P1136" s="109">
        <v>44562</v>
      </c>
    </row>
    <row r="1137" spans="1:16" ht="15.75" customHeight="1">
      <c r="A1137" s="110">
        <f t="shared" ref="A1137:A1140" si="24">A1136+1</f>
        <v>1117</v>
      </c>
      <c r="B1137" s="32" t="s">
        <v>380</v>
      </c>
      <c r="C1137" s="14" t="s">
        <v>107</v>
      </c>
      <c r="D1137" s="15" t="s">
        <v>108</v>
      </c>
      <c r="E1137" s="57" t="s">
        <v>13</v>
      </c>
      <c r="F1137" s="26">
        <v>10</v>
      </c>
      <c r="G1137" s="26">
        <v>6</v>
      </c>
      <c r="H1137" s="44"/>
      <c r="I1137" s="103">
        <v>749.2</v>
      </c>
      <c r="J1137" s="131"/>
      <c r="K1137" s="132">
        <v>1106.78</v>
      </c>
      <c r="L1137" s="47"/>
      <c r="M1137" s="103"/>
      <c r="N1137" s="38" t="s">
        <v>640</v>
      </c>
      <c r="O1137" s="68">
        <v>594</v>
      </c>
      <c r="P1137" s="66">
        <v>41275</v>
      </c>
    </row>
    <row r="1138" spans="1:16" ht="15.75" customHeight="1">
      <c r="A1138" s="110">
        <f t="shared" si="24"/>
        <v>1118</v>
      </c>
      <c r="B1138" s="32" t="s">
        <v>380</v>
      </c>
      <c r="C1138" s="14" t="s">
        <v>107</v>
      </c>
      <c r="D1138" s="15" t="s">
        <v>108</v>
      </c>
      <c r="E1138" s="57" t="s">
        <v>13</v>
      </c>
      <c r="F1138" s="26">
        <v>10</v>
      </c>
      <c r="G1138" s="26">
        <v>5</v>
      </c>
      <c r="H1138" s="44"/>
      <c r="I1138" s="103">
        <v>1180.74</v>
      </c>
      <c r="J1138" s="131"/>
      <c r="K1138" s="132">
        <v>1551.19</v>
      </c>
      <c r="L1138" s="47"/>
      <c r="M1138" s="103"/>
      <c r="N1138" s="38" t="s">
        <v>640</v>
      </c>
      <c r="O1138" s="68"/>
      <c r="P1138" s="66">
        <v>44713</v>
      </c>
    </row>
    <row r="1139" spans="1:16" ht="15.75" customHeight="1">
      <c r="A1139" s="110">
        <f t="shared" si="24"/>
        <v>1119</v>
      </c>
      <c r="B1139" s="156" t="s">
        <v>380</v>
      </c>
      <c r="C1139" s="14" t="s">
        <v>107</v>
      </c>
      <c r="D1139" s="15" t="s">
        <v>108</v>
      </c>
      <c r="E1139" s="57" t="s">
        <v>13</v>
      </c>
      <c r="F1139" s="26">
        <v>10</v>
      </c>
      <c r="G1139" s="26">
        <v>5</v>
      </c>
      <c r="H1139" s="44"/>
      <c r="I1139" s="103">
        <v>1364.3</v>
      </c>
      <c r="J1139" s="131"/>
      <c r="K1139" s="132">
        <v>1829.62</v>
      </c>
      <c r="L1139" s="47"/>
      <c r="M1139" s="103"/>
      <c r="N1139" s="38" t="s">
        <v>640</v>
      </c>
      <c r="O1139" s="68"/>
      <c r="P1139" s="66">
        <v>45352</v>
      </c>
    </row>
    <row r="1140" spans="1:16" ht="15.75" customHeight="1">
      <c r="A1140" s="110">
        <f t="shared" si="24"/>
        <v>1120</v>
      </c>
      <c r="B1140" s="156" t="s">
        <v>380</v>
      </c>
      <c r="C1140" s="14" t="s">
        <v>107</v>
      </c>
      <c r="D1140" s="15" t="s">
        <v>108</v>
      </c>
      <c r="E1140" s="57" t="s">
        <v>13</v>
      </c>
      <c r="F1140" s="27">
        <v>8</v>
      </c>
      <c r="G1140" s="27">
        <v>6</v>
      </c>
      <c r="H1140" s="41"/>
      <c r="I1140" s="103">
        <v>1480.64</v>
      </c>
      <c r="J1140" s="144"/>
      <c r="K1140" s="132">
        <v>1674.5</v>
      </c>
      <c r="L1140" s="53"/>
      <c r="M1140" s="152"/>
      <c r="N1140" s="38" t="s">
        <v>640</v>
      </c>
      <c r="O1140" s="68"/>
      <c r="P1140" s="66">
        <v>45352</v>
      </c>
    </row>
    <row r="1141" spans="1:16" ht="12.75" customHeight="1">
      <c r="A1141" s="202" t="s">
        <v>24</v>
      </c>
      <c r="B1141" s="202"/>
      <c r="C1141" s="202"/>
      <c r="D1141" s="202"/>
      <c r="E1141" s="202"/>
      <c r="F1141" s="202"/>
      <c r="G1141" s="202"/>
      <c r="H1141" s="202"/>
      <c r="I1141" s="202"/>
      <c r="J1141" s="202"/>
      <c r="K1141" s="202"/>
      <c r="L1141" s="202"/>
      <c r="M1141" s="202"/>
      <c r="N1141" s="202"/>
      <c r="O1141" s="202"/>
      <c r="P1141" s="202"/>
    </row>
    <row r="1142" spans="1:16" ht="12.75" customHeight="1">
      <c r="A1142" s="110">
        <f>A1140+1</f>
        <v>1121</v>
      </c>
      <c r="B1142" s="54" t="s">
        <v>381</v>
      </c>
      <c r="C1142" s="14" t="s">
        <v>109</v>
      </c>
      <c r="D1142" s="15" t="s">
        <v>110</v>
      </c>
      <c r="E1142" s="57" t="s">
        <v>13</v>
      </c>
      <c r="F1142" s="26">
        <v>20</v>
      </c>
      <c r="G1142" s="26">
        <v>10</v>
      </c>
      <c r="H1142" s="44">
        <v>925.53</v>
      </c>
      <c r="I1142" s="103"/>
      <c r="J1142" s="131">
        <v>1372.16</v>
      </c>
      <c r="K1142" s="132"/>
      <c r="L1142" s="47">
        <v>0</v>
      </c>
      <c r="M1142" s="103"/>
      <c r="N1142" s="99" t="s">
        <v>642</v>
      </c>
      <c r="O1142" s="68">
        <v>585</v>
      </c>
      <c r="P1142" s="66">
        <v>41275</v>
      </c>
    </row>
    <row r="1143" spans="1:16" ht="12.75" customHeight="1">
      <c r="A1143" s="110">
        <f>A1142+1</f>
        <v>1122</v>
      </c>
      <c r="B1143" s="54" t="s">
        <v>382</v>
      </c>
      <c r="C1143" s="14" t="s">
        <v>109</v>
      </c>
      <c r="D1143" s="15" t="s">
        <v>111</v>
      </c>
      <c r="E1143" s="57" t="s">
        <v>13</v>
      </c>
      <c r="F1143" s="26">
        <v>20</v>
      </c>
      <c r="G1143" s="26">
        <v>10</v>
      </c>
      <c r="H1143" s="44">
        <v>949.17</v>
      </c>
      <c r="I1143" s="103"/>
      <c r="J1143" s="131">
        <v>1395.81</v>
      </c>
      <c r="K1143" s="132"/>
      <c r="L1143" s="47">
        <v>0</v>
      </c>
      <c r="M1143" s="103"/>
      <c r="N1143" s="99" t="s">
        <v>642</v>
      </c>
      <c r="O1143" s="68">
        <v>585</v>
      </c>
      <c r="P1143" s="66">
        <v>43435</v>
      </c>
    </row>
    <row r="1144" spans="1:16" ht="12.75" customHeight="1">
      <c r="A1144" s="110">
        <f t="shared" ref="A1144:A1207" si="25">A1143+1</f>
        <v>1123</v>
      </c>
      <c r="B1144" s="54" t="s">
        <v>383</v>
      </c>
      <c r="C1144" s="14" t="s">
        <v>112</v>
      </c>
      <c r="D1144" s="15" t="s">
        <v>113</v>
      </c>
      <c r="E1144" s="57" t="s">
        <v>13</v>
      </c>
      <c r="F1144" s="26">
        <v>14</v>
      </c>
      <c r="G1144" s="26">
        <v>8</v>
      </c>
      <c r="H1144" s="44">
        <v>818.5</v>
      </c>
      <c r="I1144" s="103"/>
      <c r="J1144" s="131">
        <v>1134.22</v>
      </c>
      <c r="K1144" s="132"/>
      <c r="L1144" s="47">
        <v>0</v>
      </c>
      <c r="M1144" s="103"/>
      <c r="N1144" s="99" t="s">
        <v>642</v>
      </c>
      <c r="O1144" s="68">
        <v>585</v>
      </c>
      <c r="P1144" s="66">
        <v>41275</v>
      </c>
    </row>
    <row r="1145" spans="1:16" ht="12.75" customHeight="1">
      <c r="A1145" s="110">
        <f t="shared" si="25"/>
        <v>1124</v>
      </c>
      <c r="B1145" s="54" t="s">
        <v>384</v>
      </c>
      <c r="C1145" s="14" t="s">
        <v>114</v>
      </c>
      <c r="D1145" s="15" t="s">
        <v>115</v>
      </c>
      <c r="E1145" s="57" t="s">
        <v>13</v>
      </c>
      <c r="F1145" s="26">
        <v>16</v>
      </c>
      <c r="G1145" s="26">
        <v>10</v>
      </c>
      <c r="H1145" s="44">
        <v>989.26</v>
      </c>
      <c r="I1145" s="103"/>
      <c r="J1145" s="131">
        <v>1312.35</v>
      </c>
      <c r="K1145" s="132"/>
      <c r="L1145" s="47">
        <v>0</v>
      </c>
      <c r="M1145" s="103"/>
      <c r="N1145" s="99" t="s">
        <v>642</v>
      </c>
      <c r="O1145" s="68">
        <v>585</v>
      </c>
      <c r="P1145" s="66">
        <v>41275</v>
      </c>
    </row>
    <row r="1146" spans="1:16" ht="12.75" customHeight="1">
      <c r="A1146" s="110">
        <f t="shared" si="25"/>
        <v>1125</v>
      </c>
      <c r="B1146" s="54" t="s">
        <v>385</v>
      </c>
      <c r="C1146" s="14" t="s">
        <v>109</v>
      </c>
      <c r="D1146" s="15" t="s">
        <v>116</v>
      </c>
      <c r="E1146" s="57" t="s">
        <v>13</v>
      </c>
      <c r="F1146" s="26">
        <v>20</v>
      </c>
      <c r="G1146" s="26">
        <v>10</v>
      </c>
      <c r="H1146" s="44">
        <v>937.35</v>
      </c>
      <c r="I1146" s="103"/>
      <c r="J1146" s="131">
        <v>1383.99</v>
      </c>
      <c r="K1146" s="132"/>
      <c r="L1146" s="47">
        <v>0</v>
      </c>
      <c r="M1146" s="103"/>
      <c r="N1146" s="99" t="s">
        <v>642</v>
      </c>
      <c r="O1146" s="68">
        <v>585</v>
      </c>
      <c r="P1146" s="66">
        <v>41275</v>
      </c>
    </row>
    <row r="1147" spans="1:16" ht="12.75" customHeight="1">
      <c r="A1147" s="110">
        <f t="shared" si="25"/>
        <v>1126</v>
      </c>
      <c r="B1147" s="54" t="s">
        <v>386</v>
      </c>
      <c r="C1147" s="14" t="s">
        <v>117</v>
      </c>
      <c r="D1147" s="15" t="s">
        <v>118</v>
      </c>
      <c r="E1147" s="57" t="s">
        <v>13</v>
      </c>
      <c r="F1147" s="26">
        <v>20</v>
      </c>
      <c r="G1147" s="26">
        <v>10</v>
      </c>
      <c r="H1147" s="44">
        <v>920.81</v>
      </c>
      <c r="I1147" s="103"/>
      <c r="J1147" s="131">
        <v>1381.5</v>
      </c>
      <c r="K1147" s="132"/>
      <c r="L1147" s="70" t="s">
        <v>262</v>
      </c>
      <c r="M1147" s="165"/>
      <c r="N1147" s="38" t="s">
        <v>796</v>
      </c>
      <c r="O1147" s="69">
        <v>604</v>
      </c>
      <c r="P1147" s="66">
        <v>41275</v>
      </c>
    </row>
    <row r="1148" spans="1:16" ht="12.75" customHeight="1">
      <c r="A1148" s="110">
        <f t="shared" si="25"/>
        <v>1127</v>
      </c>
      <c r="B1148" s="54" t="s">
        <v>387</v>
      </c>
      <c r="C1148" s="14" t="s">
        <v>117</v>
      </c>
      <c r="D1148" s="15" t="s">
        <v>119</v>
      </c>
      <c r="E1148" s="57" t="s">
        <v>13</v>
      </c>
      <c r="F1148" s="26">
        <v>20</v>
      </c>
      <c r="G1148" s="26">
        <v>10</v>
      </c>
      <c r="H1148" s="44">
        <v>940.2</v>
      </c>
      <c r="I1148" s="103"/>
      <c r="J1148" s="131">
        <v>1400.89</v>
      </c>
      <c r="K1148" s="132"/>
      <c r="L1148" s="47">
        <v>0</v>
      </c>
      <c r="M1148" s="103"/>
      <c r="N1148" s="38" t="s">
        <v>796</v>
      </c>
      <c r="O1148" s="69">
        <v>604</v>
      </c>
      <c r="P1148" s="51"/>
    </row>
    <row r="1149" spans="1:16" ht="12.75" customHeight="1">
      <c r="A1149" s="110">
        <f t="shared" si="25"/>
        <v>1128</v>
      </c>
      <c r="B1149" s="54" t="s">
        <v>388</v>
      </c>
      <c r="C1149" s="14" t="s">
        <v>117</v>
      </c>
      <c r="D1149" s="24" t="s">
        <v>120</v>
      </c>
      <c r="E1149" s="57" t="s">
        <v>13</v>
      </c>
      <c r="F1149" s="26">
        <v>20</v>
      </c>
      <c r="G1149" s="26">
        <v>10</v>
      </c>
      <c r="H1149" s="44">
        <v>956.47</v>
      </c>
      <c r="I1149" s="103"/>
      <c r="J1149" s="131">
        <v>1373.1</v>
      </c>
      <c r="K1149" s="132"/>
      <c r="L1149" s="47">
        <v>0</v>
      </c>
      <c r="M1149" s="103"/>
      <c r="N1149" s="38" t="s">
        <v>796</v>
      </c>
      <c r="O1149" s="69">
        <v>604</v>
      </c>
      <c r="P1149" s="66">
        <v>43231</v>
      </c>
    </row>
    <row r="1150" spans="1:16" ht="12.75" customHeight="1">
      <c r="A1150" s="110">
        <f t="shared" si="25"/>
        <v>1129</v>
      </c>
      <c r="B1150" s="54" t="s">
        <v>799</v>
      </c>
      <c r="C1150" s="14" t="s">
        <v>117</v>
      </c>
      <c r="D1150" s="24" t="s">
        <v>550</v>
      </c>
      <c r="E1150" s="57" t="s">
        <v>13</v>
      </c>
      <c r="F1150" s="26">
        <v>20</v>
      </c>
      <c r="G1150" s="26">
        <v>10</v>
      </c>
      <c r="H1150" s="44"/>
      <c r="I1150" s="103">
        <v>1832.7</v>
      </c>
      <c r="J1150" s="131"/>
      <c r="K1150" s="132">
        <v>2498.69</v>
      </c>
      <c r="L1150" s="47"/>
      <c r="M1150" s="103">
        <v>11932.83</v>
      </c>
      <c r="N1150" s="38"/>
      <c r="O1150" s="69">
        <v>604</v>
      </c>
      <c r="P1150" s="66">
        <v>43617</v>
      </c>
    </row>
    <row r="1151" spans="1:16" ht="12.75" customHeight="1">
      <c r="A1151" s="110">
        <f t="shared" si="25"/>
        <v>1130</v>
      </c>
      <c r="B1151" s="54" t="s">
        <v>389</v>
      </c>
      <c r="C1151" s="14" t="s">
        <v>117</v>
      </c>
      <c r="D1151" s="24" t="s">
        <v>550</v>
      </c>
      <c r="E1151" s="57" t="s">
        <v>13</v>
      </c>
      <c r="F1151" s="26">
        <v>20</v>
      </c>
      <c r="G1151" s="26">
        <v>10</v>
      </c>
      <c r="H1151" s="44">
        <v>898</v>
      </c>
      <c r="I1151" s="103"/>
      <c r="J1151" s="131">
        <v>1314.64</v>
      </c>
      <c r="K1151" s="132"/>
      <c r="L1151" s="47">
        <v>0</v>
      </c>
      <c r="M1151" s="103"/>
      <c r="N1151" s="38" t="s">
        <v>796</v>
      </c>
      <c r="O1151" s="69">
        <v>604</v>
      </c>
      <c r="P1151" s="66">
        <v>43231</v>
      </c>
    </row>
    <row r="1152" spans="1:16" ht="12.75" customHeight="1">
      <c r="A1152" s="110">
        <f t="shared" si="25"/>
        <v>1131</v>
      </c>
      <c r="B1152" s="54" t="s">
        <v>390</v>
      </c>
      <c r="C1152" s="14" t="s">
        <v>117</v>
      </c>
      <c r="D1152" s="24" t="s">
        <v>551</v>
      </c>
      <c r="E1152" s="57" t="s">
        <v>13</v>
      </c>
      <c r="F1152" s="26">
        <v>20</v>
      </c>
      <c r="G1152" s="26">
        <v>10</v>
      </c>
      <c r="H1152" s="44">
        <v>927.24</v>
      </c>
      <c r="I1152" s="103"/>
      <c r="J1152" s="131">
        <v>1343.88</v>
      </c>
      <c r="K1152" s="132"/>
      <c r="L1152" s="47">
        <v>0</v>
      </c>
      <c r="M1152" s="103"/>
      <c r="N1152" s="38" t="s">
        <v>796</v>
      </c>
      <c r="O1152" s="69">
        <v>604</v>
      </c>
      <c r="P1152" s="66">
        <v>43231</v>
      </c>
    </row>
    <row r="1153" spans="1:16" ht="12.75" customHeight="1">
      <c r="A1153" s="110">
        <f t="shared" si="25"/>
        <v>1132</v>
      </c>
      <c r="B1153" s="54" t="s">
        <v>391</v>
      </c>
      <c r="C1153" s="14" t="s">
        <v>117</v>
      </c>
      <c r="D1153" s="15" t="s">
        <v>121</v>
      </c>
      <c r="E1153" s="57" t="s">
        <v>13</v>
      </c>
      <c r="F1153" s="26">
        <v>20</v>
      </c>
      <c r="G1153" s="26">
        <v>10</v>
      </c>
      <c r="H1153" s="44">
        <v>930.51</v>
      </c>
      <c r="I1153" s="103"/>
      <c r="J1153" s="131">
        <v>1391.19</v>
      </c>
      <c r="K1153" s="132"/>
      <c r="L1153" s="47">
        <v>0</v>
      </c>
      <c r="M1153" s="103"/>
      <c r="N1153" s="38" t="s">
        <v>796</v>
      </c>
      <c r="O1153" s="69">
        <v>604</v>
      </c>
      <c r="P1153" s="66">
        <v>41275</v>
      </c>
    </row>
    <row r="1154" spans="1:16" ht="12.75" customHeight="1">
      <c r="A1154" s="110">
        <f t="shared" si="25"/>
        <v>1133</v>
      </c>
      <c r="B1154" s="54" t="s">
        <v>392</v>
      </c>
      <c r="C1154" s="14" t="s">
        <v>117</v>
      </c>
      <c r="D1154" s="15" t="s">
        <v>122</v>
      </c>
      <c r="E1154" s="57" t="s">
        <v>13</v>
      </c>
      <c r="F1154" s="26">
        <v>20</v>
      </c>
      <c r="G1154" s="26">
        <v>10</v>
      </c>
      <c r="H1154" s="44">
        <v>959.74</v>
      </c>
      <c r="I1154" s="103"/>
      <c r="J1154" s="131">
        <v>1420.43</v>
      </c>
      <c r="K1154" s="132"/>
      <c r="L1154" s="47">
        <v>0</v>
      </c>
      <c r="M1154" s="103"/>
      <c r="N1154" s="38" t="s">
        <v>796</v>
      </c>
      <c r="O1154" s="69">
        <v>604</v>
      </c>
      <c r="P1154" s="66">
        <v>41275</v>
      </c>
    </row>
    <row r="1155" spans="1:16" ht="12.75" customHeight="1">
      <c r="A1155" s="110">
        <f t="shared" si="25"/>
        <v>1134</v>
      </c>
      <c r="B1155" s="54" t="s">
        <v>393</v>
      </c>
      <c r="C1155" s="14" t="s">
        <v>117</v>
      </c>
      <c r="D1155" s="15" t="s">
        <v>123</v>
      </c>
      <c r="E1155" s="57" t="s">
        <v>13</v>
      </c>
      <c r="F1155" s="26">
        <v>20</v>
      </c>
      <c r="G1155" s="26">
        <v>10</v>
      </c>
      <c r="H1155" s="44">
        <v>969.43</v>
      </c>
      <c r="I1155" s="103"/>
      <c r="J1155" s="131">
        <v>1430.13</v>
      </c>
      <c r="K1155" s="132"/>
      <c r="L1155" s="47">
        <v>0</v>
      </c>
      <c r="M1155" s="103"/>
      <c r="N1155" s="38" t="s">
        <v>796</v>
      </c>
      <c r="O1155" s="69">
        <v>604</v>
      </c>
      <c r="P1155" s="66">
        <v>41275</v>
      </c>
    </row>
    <row r="1156" spans="1:16" ht="12.75" customHeight="1">
      <c r="A1156" s="110">
        <f t="shared" si="25"/>
        <v>1135</v>
      </c>
      <c r="B1156" s="54" t="s">
        <v>394</v>
      </c>
      <c r="C1156" s="14" t="s">
        <v>117</v>
      </c>
      <c r="D1156" s="15" t="s">
        <v>124</v>
      </c>
      <c r="E1156" s="57" t="s">
        <v>13</v>
      </c>
      <c r="F1156" s="26">
        <v>20</v>
      </c>
      <c r="G1156" s="26">
        <v>10</v>
      </c>
      <c r="H1156" s="44">
        <v>897.31</v>
      </c>
      <c r="I1156" s="103"/>
      <c r="J1156" s="131">
        <v>1358</v>
      </c>
      <c r="K1156" s="132"/>
      <c r="L1156" s="47">
        <v>0</v>
      </c>
      <c r="M1156" s="103"/>
      <c r="N1156" s="38" t="s">
        <v>796</v>
      </c>
      <c r="O1156" s="69">
        <v>604</v>
      </c>
      <c r="P1156" s="66">
        <v>41275</v>
      </c>
    </row>
    <row r="1157" spans="1:16" ht="12.75" customHeight="1">
      <c r="A1157" s="110">
        <f t="shared" si="25"/>
        <v>1136</v>
      </c>
      <c r="B1157" s="54" t="s">
        <v>395</v>
      </c>
      <c r="C1157" s="14" t="s">
        <v>114</v>
      </c>
      <c r="D1157" s="15" t="s">
        <v>125</v>
      </c>
      <c r="E1157" s="57" t="s">
        <v>13</v>
      </c>
      <c r="F1157" s="26">
        <v>16</v>
      </c>
      <c r="G1157" s="26">
        <v>10</v>
      </c>
      <c r="H1157" s="44">
        <v>990.07</v>
      </c>
      <c r="I1157" s="103"/>
      <c r="J1157" s="131">
        <v>1306.53</v>
      </c>
      <c r="K1157" s="132"/>
      <c r="L1157" s="47">
        <v>0</v>
      </c>
      <c r="M1157" s="103"/>
      <c r="N1157" s="99" t="s">
        <v>642</v>
      </c>
      <c r="O1157" s="68">
        <v>585</v>
      </c>
      <c r="P1157" s="51" t="s">
        <v>262</v>
      </c>
    </row>
    <row r="1158" spans="1:16" ht="12.75" customHeight="1">
      <c r="A1158" s="110">
        <f t="shared" si="25"/>
        <v>1137</v>
      </c>
      <c r="B1158" s="52" t="s">
        <v>396</v>
      </c>
      <c r="C1158" s="23" t="s">
        <v>260</v>
      </c>
      <c r="D1158" s="24" t="s">
        <v>261</v>
      </c>
      <c r="E1158" s="25" t="s">
        <v>13</v>
      </c>
      <c r="F1158" s="26">
        <v>20</v>
      </c>
      <c r="G1158" s="26">
        <v>10</v>
      </c>
      <c r="H1158" s="44">
        <v>948.18</v>
      </c>
      <c r="I1158" s="103">
        <v>931.67</v>
      </c>
      <c r="J1158" s="131">
        <v>1401.21</v>
      </c>
      <c r="K1158" s="132">
        <v>1368.2</v>
      </c>
      <c r="L1158" s="47" t="s">
        <v>262</v>
      </c>
      <c r="M1158" s="103"/>
      <c r="N1158" s="107" t="s">
        <v>820</v>
      </c>
      <c r="O1158" s="68">
        <v>588</v>
      </c>
      <c r="P1158" s="66">
        <v>43617</v>
      </c>
    </row>
    <row r="1159" spans="1:16" ht="12.75" customHeight="1">
      <c r="A1159" s="110">
        <f t="shared" si="25"/>
        <v>1138</v>
      </c>
      <c r="B1159" s="54" t="s">
        <v>396</v>
      </c>
      <c r="C1159" s="23" t="s">
        <v>260</v>
      </c>
      <c r="D1159" s="24" t="s">
        <v>261</v>
      </c>
      <c r="E1159" s="25" t="s">
        <v>13</v>
      </c>
      <c r="F1159" s="26">
        <v>20</v>
      </c>
      <c r="G1159" s="26">
        <v>10</v>
      </c>
      <c r="H1159" s="44"/>
      <c r="I1159" s="103">
        <v>1115.75</v>
      </c>
      <c r="J1159" s="131"/>
      <c r="K1159" s="132">
        <v>1630.03</v>
      </c>
      <c r="L1159" s="47"/>
      <c r="M1159" s="103"/>
      <c r="N1159" s="107" t="s">
        <v>820</v>
      </c>
      <c r="O1159" s="68"/>
      <c r="P1159" s="66">
        <v>44562</v>
      </c>
    </row>
    <row r="1160" spans="1:16" s="18" customFormat="1" ht="12.75" customHeight="1">
      <c r="A1160" s="110">
        <f t="shared" si="25"/>
        <v>1139</v>
      </c>
      <c r="B1160" s="52" t="s">
        <v>397</v>
      </c>
      <c r="C1160" s="23" t="s">
        <v>260</v>
      </c>
      <c r="D1160" s="52" t="s">
        <v>263</v>
      </c>
      <c r="E1160" s="23" t="s">
        <v>13</v>
      </c>
      <c r="F1160" s="27">
        <v>20</v>
      </c>
      <c r="G1160" s="27">
        <v>10</v>
      </c>
      <c r="H1160" s="44">
        <v>906.8</v>
      </c>
      <c r="I1160" s="47">
        <v>899.38</v>
      </c>
      <c r="J1160" s="131">
        <v>1359.83</v>
      </c>
      <c r="K1160" s="131">
        <v>1344.99</v>
      </c>
      <c r="L1160" s="70" t="s">
        <v>262</v>
      </c>
      <c r="M1160" s="70"/>
      <c r="N1160" s="169" t="s">
        <v>820</v>
      </c>
      <c r="O1160" s="68">
        <v>588</v>
      </c>
      <c r="P1160" s="67">
        <v>43617</v>
      </c>
    </row>
    <row r="1161" spans="1:16" ht="12.75" customHeight="1">
      <c r="A1161" s="110">
        <f t="shared" si="25"/>
        <v>1140</v>
      </c>
      <c r="B1161" s="54" t="s">
        <v>397</v>
      </c>
      <c r="C1161" s="23" t="s">
        <v>260</v>
      </c>
      <c r="D1161" s="24" t="s">
        <v>263</v>
      </c>
      <c r="E1161" s="25" t="s">
        <v>13</v>
      </c>
      <c r="F1161" s="26">
        <v>20</v>
      </c>
      <c r="G1161" s="26">
        <v>10</v>
      </c>
      <c r="H1161" s="44"/>
      <c r="I1161" s="103">
        <v>987.16</v>
      </c>
      <c r="J1161" s="131"/>
      <c r="K1161" s="132">
        <v>1501.46</v>
      </c>
      <c r="L1161" s="70"/>
      <c r="M1161" s="165"/>
      <c r="N1161" s="107" t="s">
        <v>820</v>
      </c>
      <c r="O1161" s="68"/>
      <c r="P1161" s="66">
        <v>44562</v>
      </c>
    </row>
    <row r="1162" spans="1:16" ht="12.75" customHeight="1">
      <c r="A1162" s="110">
        <f t="shared" si="25"/>
        <v>1141</v>
      </c>
      <c r="B1162" s="32" t="s">
        <v>398</v>
      </c>
      <c r="C1162" s="14" t="s">
        <v>126</v>
      </c>
      <c r="D1162" s="15" t="s">
        <v>127</v>
      </c>
      <c r="E1162" s="57" t="s">
        <v>13</v>
      </c>
      <c r="F1162" s="26">
        <v>20</v>
      </c>
      <c r="G1162" s="26">
        <v>10</v>
      </c>
      <c r="H1162" s="44">
        <v>846.07</v>
      </c>
      <c r="I1162" s="103">
        <v>849.09</v>
      </c>
      <c r="J1162" s="131">
        <v>1258.68</v>
      </c>
      <c r="K1162" s="132">
        <v>1264.71</v>
      </c>
      <c r="L1162" s="47">
        <v>0</v>
      </c>
      <c r="M1162" s="103"/>
      <c r="N1162" s="38" t="s">
        <v>641</v>
      </c>
      <c r="O1162" s="68">
        <v>591</v>
      </c>
      <c r="P1162" s="66">
        <v>43617</v>
      </c>
    </row>
    <row r="1163" spans="1:16" ht="12.75" customHeight="1">
      <c r="A1163" s="110">
        <f t="shared" si="25"/>
        <v>1142</v>
      </c>
      <c r="B1163" s="32" t="s">
        <v>398</v>
      </c>
      <c r="C1163" s="14" t="s">
        <v>126</v>
      </c>
      <c r="D1163" s="24" t="s">
        <v>935</v>
      </c>
      <c r="E1163" s="57" t="s">
        <v>13</v>
      </c>
      <c r="F1163" s="26">
        <v>20</v>
      </c>
      <c r="G1163" s="26">
        <v>10</v>
      </c>
      <c r="H1163" s="44"/>
      <c r="I1163" s="103">
        <v>916.41</v>
      </c>
      <c r="J1163" s="131"/>
      <c r="K1163" s="132">
        <v>1369.16</v>
      </c>
      <c r="L1163" s="47"/>
      <c r="M1163" s="103"/>
      <c r="N1163" s="38" t="s">
        <v>641</v>
      </c>
      <c r="O1163" s="68"/>
      <c r="P1163" s="66">
        <v>44562</v>
      </c>
    </row>
    <row r="1164" spans="1:16" ht="12.75" customHeight="1">
      <c r="A1164" s="110">
        <f t="shared" si="25"/>
        <v>1143</v>
      </c>
      <c r="B1164" s="32" t="s">
        <v>398</v>
      </c>
      <c r="C1164" s="14" t="s">
        <v>126</v>
      </c>
      <c r="D1164" s="15" t="s">
        <v>127</v>
      </c>
      <c r="E1164" s="57" t="s">
        <v>13</v>
      </c>
      <c r="F1164" s="26">
        <v>12</v>
      </c>
      <c r="G1164" s="26">
        <v>6</v>
      </c>
      <c r="H1164" s="44"/>
      <c r="I1164" s="103">
        <v>1126.22</v>
      </c>
      <c r="J1164" s="131"/>
      <c r="K1164" s="132">
        <v>1818.95</v>
      </c>
      <c r="L1164" s="47"/>
      <c r="M1164" s="103"/>
      <c r="N1164" s="38" t="s">
        <v>641</v>
      </c>
      <c r="O1164" s="68">
        <v>591</v>
      </c>
      <c r="P1164" s="66">
        <v>43647</v>
      </c>
    </row>
    <row r="1165" spans="1:16" ht="12.75" customHeight="1">
      <c r="A1165" s="110">
        <f t="shared" si="25"/>
        <v>1144</v>
      </c>
      <c r="B1165" s="32" t="s">
        <v>398</v>
      </c>
      <c r="C1165" s="32" t="s">
        <v>126</v>
      </c>
      <c r="D1165" s="15" t="s">
        <v>127</v>
      </c>
      <c r="E1165" s="57" t="s">
        <v>13</v>
      </c>
      <c r="F1165" s="26">
        <v>6</v>
      </c>
      <c r="G1165" s="26">
        <v>3</v>
      </c>
      <c r="H1165" s="44"/>
      <c r="I1165" s="103">
        <v>2199.0100000000002</v>
      </c>
      <c r="J1165" s="131"/>
      <c r="K1165" s="132">
        <v>3911.14</v>
      </c>
      <c r="L1165" s="47"/>
      <c r="M1165" s="103"/>
      <c r="N1165" s="38" t="s">
        <v>641</v>
      </c>
      <c r="O1165" s="68"/>
      <c r="P1165" s="66">
        <v>45170</v>
      </c>
    </row>
    <row r="1166" spans="1:16" ht="12.75" customHeight="1">
      <c r="A1166" s="110">
        <f t="shared" si="25"/>
        <v>1145</v>
      </c>
      <c r="B1166" s="32" t="s">
        <v>398</v>
      </c>
      <c r="C1166" s="14" t="s">
        <v>126</v>
      </c>
      <c r="D1166" s="15" t="s">
        <v>127</v>
      </c>
      <c r="E1166" s="57" t="s">
        <v>13</v>
      </c>
      <c r="F1166" s="26">
        <v>20</v>
      </c>
      <c r="G1166" s="26">
        <v>3</v>
      </c>
      <c r="H1166" s="44"/>
      <c r="I1166" s="103">
        <v>916.41</v>
      </c>
      <c r="J1166" s="131"/>
      <c r="K1166" s="132">
        <v>3481.88</v>
      </c>
      <c r="L1166" s="47"/>
      <c r="M1166" s="103"/>
      <c r="N1166" s="38" t="s">
        <v>641</v>
      </c>
      <c r="O1166" s="68"/>
      <c r="P1166" s="66">
        <v>44562</v>
      </c>
    </row>
    <row r="1167" spans="1:16" ht="12.75" customHeight="1">
      <c r="A1167" s="110">
        <f t="shared" si="25"/>
        <v>1146</v>
      </c>
      <c r="B1167" s="32" t="s">
        <v>398</v>
      </c>
      <c r="C1167" s="14" t="s">
        <v>126</v>
      </c>
      <c r="D1167" s="24" t="s">
        <v>935</v>
      </c>
      <c r="E1167" s="57" t="s">
        <v>13</v>
      </c>
      <c r="F1167" s="26">
        <v>20</v>
      </c>
      <c r="G1167" s="26">
        <v>10</v>
      </c>
      <c r="H1167" s="44"/>
      <c r="I1167" s="103">
        <v>1144.04</v>
      </c>
      <c r="J1167" s="131"/>
      <c r="K1167" s="132">
        <v>1728.3</v>
      </c>
      <c r="L1167" s="47"/>
      <c r="M1167" s="103"/>
      <c r="N1167" s="38" t="s">
        <v>1162</v>
      </c>
      <c r="O1167" s="68"/>
      <c r="P1167" s="66">
        <v>45352</v>
      </c>
    </row>
    <row r="1168" spans="1:16" ht="12.75" customHeight="1">
      <c r="A1168" s="110">
        <f t="shared" si="25"/>
        <v>1147</v>
      </c>
      <c r="B1168" s="32" t="s">
        <v>398</v>
      </c>
      <c r="C1168" s="14" t="s">
        <v>126</v>
      </c>
      <c r="D1168" s="24" t="s">
        <v>935</v>
      </c>
      <c r="E1168" s="57" t="s">
        <v>13</v>
      </c>
      <c r="F1168" s="27">
        <v>16</v>
      </c>
      <c r="G1168" s="27">
        <v>14</v>
      </c>
      <c r="H1168" s="41"/>
      <c r="I1168" s="103">
        <v>1290.0999999999999</v>
      </c>
      <c r="J1168" s="144"/>
      <c r="K1168" s="132">
        <v>1394.44</v>
      </c>
      <c r="L1168" s="53"/>
      <c r="M1168" s="152"/>
      <c r="N1168" s="38" t="s">
        <v>1162</v>
      </c>
      <c r="O1168" s="68"/>
      <c r="P1168" s="66">
        <v>45352</v>
      </c>
    </row>
    <row r="1169" spans="1:16" ht="12.75" customHeight="1">
      <c r="A1169" s="110">
        <f t="shared" si="25"/>
        <v>1148</v>
      </c>
      <c r="B1169" s="32" t="s">
        <v>398</v>
      </c>
      <c r="C1169" s="14" t="s">
        <v>126</v>
      </c>
      <c r="D1169" s="24" t="s">
        <v>935</v>
      </c>
      <c r="E1169" s="57" t="s">
        <v>13</v>
      </c>
      <c r="F1169" s="26">
        <v>20</v>
      </c>
      <c r="G1169" s="26">
        <v>10</v>
      </c>
      <c r="H1169" s="41"/>
      <c r="I1169" s="103">
        <v>1358.32</v>
      </c>
      <c r="J1169" s="144"/>
      <c r="K1169" s="132">
        <v>2061.14</v>
      </c>
      <c r="L1169" s="53"/>
      <c r="M1169" s="152"/>
      <c r="N1169" s="38" t="s">
        <v>1181</v>
      </c>
      <c r="O1169" s="68"/>
      <c r="P1169" s="66">
        <v>45689</v>
      </c>
    </row>
    <row r="1170" spans="1:16" ht="12.75" customHeight="1">
      <c r="A1170" s="110">
        <f t="shared" si="25"/>
        <v>1149</v>
      </c>
      <c r="B1170" s="32" t="s">
        <v>398</v>
      </c>
      <c r="C1170" s="14" t="s">
        <v>126</v>
      </c>
      <c r="D1170" s="24" t="s">
        <v>935</v>
      </c>
      <c r="E1170" s="57" t="s">
        <v>13</v>
      </c>
      <c r="F1170" s="27">
        <v>16</v>
      </c>
      <c r="G1170" s="27">
        <v>14</v>
      </c>
      <c r="H1170" s="41"/>
      <c r="I1170" s="103">
        <v>1534</v>
      </c>
      <c r="J1170" s="144"/>
      <c r="K1170" s="132">
        <v>1659.51</v>
      </c>
      <c r="L1170" s="53"/>
      <c r="M1170" s="152"/>
      <c r="N1170" s="38" t="s">
        <v>1181</v>
      </c>
      <c r="O1170" s="68"/>
      <c r="P1170" s="66">
        <v>45689</v>
      </c>
    </row>
    <row r="1171" spans="1:16" ht="12.75" customHeight="1">
      <c r="A1171" s="110">
        <f t="shared" si="25"/>
        <v>1150</v>
      </c>
      <c r="B1171" s="156" t="s">
        <v>398</v>
      </c>
      <c r="C1171" s="14" t="s">
        <v>126</v>
      </c>
      <c r="D1171" s="24" t="s">
        <v>935</v>
      </c>
      <c r="E1171" s="57" t="s">
        <v>13</v>
      </c>
      <c r="F1171" s="26">
        <v>20</v>
      </c>
      <c r="G1171" s="26">
        <v>10</v>
      </c>
      <c r="H1171" s="41"/>
      <c r="I1171" s="103">
        <v>1531.32</v>
      </c>
      <c r="J1171" s="144"/>
      <c r="K1171" s="132">
        <v>2311.31</v>
      </c>
      <c r="L1171" s="53"/>
      <c r="M1171" s="152"/>
      <c r="N1171" s="38" t="s">
        <v>1181</v>
      </c>
      <c r="O1171" s="68"/>
      <c r="P1171" s="193">
        <v>46082</v>
      </c>
    </row>
    <row r="1172" spans="1:16" ht="12.75" customHeight="1">
      <c r="A1172" s="110">
        <f t="shared" si="25"/>
        <v>1151</v>
      </c>
      <c r="B1172" s="156" t="s">
        <v>398</v>
      </c>
      <c r="C1172" s="14" t="s">
        <v>126</v>
      </c>
      <c r="D1172" s="24" t="s">
        <v>935</v>
      </c>
      <c r="E1172" s="57" t="s">
        <v>13</v>
      </c>
      <c r="F1172" s="27">
        <v>16</v>
      </c>
      <c r="G1172" s="27">
        <v>14</v>
      </c>
      <c r="H1172" s="41"/>
      <c r="I1172" s="103">
        <v>1726.33</v>
      </c>
      <c r="J1172" s="144"/>
      <c r="K1172" s="132">
        <v>1865.61</v>
      </c>
      <c r="L1172" s="53"/>
      <c r="M1172" s="152"/>
      <c r="N1172" s="38" t="s">
        <v>1181</v>
      </c>
      <c r="O1172" s="68"/>
      <c r="P1172" s="193">
        <v>46082</v>
      </c>
    </row>
    <row r="1173" spans="1:16" ht="12.75" customHeight="1">
      <c r="A1173" s="110">
        <f t="shared" si="25"/>
        <v>1152</v>
      </c>
      <c r="B1173" s="52" t="s">
        <v>399</v>
      </c>
      <c r="C1173" s="14" t="s">
        <v>126</v>
      </c>
      <c r="D1173" s="15" t="s">
        <v>128</v>
      </c>
      <c r="E1173" s="57" t="s">
        <v>13</v>
      </c>
      <c r="F1173" s="26">
        <v>20</v>
      </c>
      <c r="G1173" s="26">
        <v>10</v>
      </c>
      <c r="H1173" s="44">
        <v>919.33</v>
      </c>
      <c r="I1173" s="103">
        <v>1026.29</v>
      </c>
      <c r="J1173" s="131">
        <v>1331.94</v>
      </c>
      <c r="K1173" s="132">
        <v>1337.98</v>
      </c>
      <c r="L1173" s="47">
        <v>0</v>
      </c>
      <c r="M1173" s="103"/>
      <c r="N1173" s="38" t="s">
        <v>641</v>
      </c>
      <c r="O1173" s="68">
        <v>591</v>
      </c>
      <c r="P1173" s="66">
        <v>43617</v>
      </c>
    </row>
    <row r="1174" spans="1:16" ht="12.75" customHeight="1">
      <c r="A1174" s="110">
        <f t="shared" si="25"/>
        <v>1153</v>
      </c>
      <c r="B1174" s="14" t="s">
        <v>399</v>
      </c>
      <c r="C1174" s="14" t="s">
        <v>126</v>
      </c>
      <c r="D1174" s="24" t="s">
        <v>128</v>
      </c>
      <c r="E1174" s="57" t="s">
        <v>13</v>
      </c>
      <c r="F1174" s="26">
        <v>20</v>
      </c>
      <c r="G1174" s="26">
        <v>10</v>
      </c>
      <c r="H1174" s="44"/>
      <c r="I1174" s="103">
        <v>1040.25</v>
      </c>
      <c r="J1174" s="131"/>
      <c r="K1174" s="132">
        <v>1492.99</v>
      </c>
      <c r="L1174" s="47"/>
      <c r="M1174" s="103"/>
      <c r="N1174" s="38" t="s">
        <v>641</v>
      </c>
      <c r="O1174" s="68"/>
      <c r="P1174" s="66">
        <v>44713</v>
      </c>
    </row>
    <row r="1175" spans="1:16" ht="12.75" customHeight="1">
      <c r="A1175" s="110">
        <f t="shared" si="25"/>
        <v>1154</v>
      </c>
      <c r="B1175" s="14" t="s">
        <v>399</v>
      </c>
      <c r="C1175" s="14" t="s">
        <v>126</v>
      </c>
      <c r="D1175" s="24" t="s">
        <v>128</v>
      </c>
      <c r="E1175" s="57" t="s">
        <v>13</v>
      </c>
      <c r="F1175" s="26">
        <v>20</v>
      </c>
      <c r="G1175" s="26">
        <v>3</v>
      </c>
      <c r="H1175" s="44"/>
      <c r="I1175" s="103">
        <v>1040.25</v>
      </c>
      <c r="J1175" s="131"/>
      <c r="K1175" s="132">
        <v>3605.71</v>
      </c>
      <c r="L1175" s="47"/>
      <c r="M1175" s="103"/>
      <c r="N1175" s="38" t="s">
        <v>641</v>
      </c>
      <c r="O1175" s="68"/>
      <c r="P1175" s="160">
        <v>44835</v>
      </c>
    </row>
    <row r="1176" spans="1:16" ht="12.75" customHeight="1">
      <c r="A1176" s="110">
        <f t="shared" si="25"/>
        <v>1155</v>
      </c>
      <c r="B1176" s="14" t="s">
        <v>399</v>
      </c>
      <c r="C1176" s="14" t="s">
        <v>126</v>
      </c>
      <c r="D1176" s="24" t="s">
        <v>128</v>
      </c>
      <c r="E1176" s="57" t="s">
        <v>13</v>
      </c>
      <c r="F1176" s="26">
        <v>20</v>
      </c>
      <c r="G1176" s="26">
        <v>10</v>
      </c>
      <c r="H1176" s="44"/>
      <c r="I1176" s="103">
        <v>1130.52</v>
      </c>
      <c r="J1176" s="131"/>
      <c r="K1176" s="132">
        <v>1644.16</v>
      </c>
      <c r="L1176" s="47"/>
      <c r="M1176" s="103"/>
      <c r="N1176" s="38" t="s">
        <v>641</v>
      </c>
      <c r="O1176" s="68"/>
      <c r="P1176" s="66">
        <v>45170</v>
      </c>
    </row>
    <row r="1177" spans="1:16" ht="12.75" customHeight="1">
      <c r="A1177" s="110">
        <f t="shared" si="25"/>
        <v>1156</v>
      </c>
      <c r="B1177" s="14" t="s">
        <v>399</v>
      </c>
      <c r="C1177" s="14" t="s">
        <v>126</v>
      </c>
      <c r="D1177" s="24" t="s">
        <v>884</v>
      </c>
      <c r="E1177" s="57" t="s">
        <v>13</v>
      </c>
      <c r="F1177" s="26">
        <v>19</v>
      </c>
      <c r="G1177" s="26">
        <v>16</v>
      </c>
      <c r="H1177" s="44"/>
      <c r="I1177" s="103">
        <v>944.27</v>
      </c>
      <c r="J1177" s="131"/>
      <c r="K1177" s="132">
        <v>1026.29</v>
      </c>
      <c r="L1177" s="47"/>
      <c r="M1177" s="103"/>
      <c r="N1177" s="38" t="s">
        <v>641</v>
      </c>
      <c r="O1177" s="68"/>
      <c r="P1177" s="66">
        <v>43770</v>
      </c>
    </row>
    <row r="1178" spans="1:16" ht="12.75" customHeight="1">
      <c r="A1178" s="110">
        <f t="shared" si="25"/>
        <v>1157</v>
      </c>
      <c r="B1178" s="14" t="s">
        <v>399</v>
      </c>
      <c r="C1178" s="14" t="s">
        <v>126</v>
      </c>
      <c r="D1178" s="24" t="s">
        <v>884</v>
      </c>
      <c r="E1178" s="57" t="s">
        <v>13</v>
      </c>
      <c r="F1178" s="26">
        <v>16</v>
      </c>
      <c r="G1178" s="26">
        <v>10</v>
      </c>
      <c r="H1178" s="44"/>
      <c r="I1178" s="103">
        <v>1026.29</v>
      </c>
      <c r="J1178" s="131"/>
      <c r="K1178" s="132">
        <v>1337.98</v>
      </c>
      <c r="L1178" s="47"/>
      <c r="M1178" s="103"/>
      <c r="N1178" s="38" t="s">
        <v>641</v>
      </c>
      <c r="O1178" s="68"/>
      <c r="P1178" s="66">
        <v>43617</v>
      </c>
    </row>
    <row r="1179" spans="1:16" ht="12.75" customHeight="1">
      <c r="A1179" s="110">
        <f t="shared" si="25"/>
        <v>1158</v>
      </c>
      <c r="B1179" s="14" t="s">
        <v>399</v>
      </c>
      <c r="C1179" s="14" t="s">
        <v>126</v>
      </c>
      <c r="D1179" s="24" t="s">
        <v>884</v>
      </c>
      <c r="E1179" s="57" t="s">
        <v>13</v>
      </c>
      <c r="F1179" s="26">
        <v>20</v>
      </c>
      <c r="G1179" s="26">
        <v>10</v>
      </c>
      <c r="H1179" s="44"/>
      <c r="I1179" s="103">
        <v>1130.52</v>
      </c>
      <c r="J1179" s="131"/>
      <c r="K1179" s="132">
        <v>1644.16</v>
      </c>
      <c r="L1179" s="47"/>
      <c r="M1179" s="103"/>
      <c r="N1179" s="38" t="s">
        <v>641</v>
      </c>
      <c r="O1179" s="68"/>
      <c r="P1179" s="66">
        <v>43617</v>
      </c>
    </row>
    <row r="1180" spans="1:16" ht="12.75" customHeight="1">
      <c r="A1180" s="110">
        <f t="shared" si="25"/>
        <v>1159</v>
      </c>
      <c r="B1180" s="32" t="s">
        <v>399</v>
      </c>
      <c r="C1180" s="14" t="s">
        <v>126</v>
      </c>
      <c r="D1180" s="24" t="s">
        <v>884</v>
      </c>
      <c r="E1180" s="57" t="s">
        <v>13</v>
      </c>
      <c r="F1180" s="26">
        <v>20</v>
      </c>
      <c r="G1180" s="26">
        <v>10</v>
      </c>
      <c r="H1180" s="44"/>
      <c r="I1180" s="103">
        <v>1293.5899999999999</v>
      </c>
      <c r="J1180" s="131"/>
      <c r="K1180" s="132">
        <v>1877.84</v>
      </c>
      <c r="L1180" s="47"/>
      <c r="M1180" s="103"/>
      <c r="N1180" s="38" t="s">
        <v>1162</v>
      </c>
      <c r="O1180" s="68"/>
      <c r="P1180" s="66">
        <v>45352</v>
      </c>
    </row>
    <row r="1181" spans="1:16" ht="12.75" customHeight="1">
      <c r="A1181" s="110">
        <f t="shared" si="25"/>
        <v>1160</v>
      </c>
      <c r="B1181" s="32" t="s">
        <v>399</v>
      </c>
      <c r="C1181" s="14" t="s">
        <v>126</v>
      </c>
      <c r="D1181" s="24" t="s">
        <v>884</v>
      </c>
      <c r="E1181" s="57" t="s">
        <v>13</v>
      </c>
      <c r="F1181" s="26">
        <v>18</v>
      </c>
      <c r="G1181" s="26">
        <v>14</v>
      </c>
      <c r="H1181" s="44"/>
      <c r="I1181" s="103">
        <v>1358.5</v>
      </c>
      <c r="J1181" s="131"/>
      <c r="K1181" s="132">
        <v>1543.99</v>
      </c>
      <c r="L1181" s="47"/>
      <c r="M1181" s="103"/>
      <c r="N1181" s="38" t="s">
        <v>1162</v>
      </c>
      <c r="O1181" s="68"/>
      <c r="P1181" s="66">
        <v>45352</v>
      </c>
    </row>
    <row r="1182" spans="1:16" ht="12.75" customHeight="1">
      <c r="A1182" s="110">
        <f t="shared" si="25"/>
        <v>1161</v>
      </c>
      <c r="B1182" s="156" t="s">
        <v>399</v>
      </c>
      <c r="C1182" s="14" t="s">
        <v>126</v>
      </c>
      <c r="D1182" s="24" t="s">
        <v>884</v>
      </c>
      <c r="E1182" s="57" t="s">
        <v>13</v>
      </c>
      <c r="F1182" s="26">
        <v>16</v>
      </c>
      <c r="G1182" s="26">
        <v>12</v>
      </c>
      <c r="H1182" s="44"/>
      <c r="I1182" s="103">
        <v>1439.64</v>
      </c>
      <c r="J1182" s="131"/>
      <c r="K1182" s="132">
        <v>1683.05</v>
      </c>
      <c r="L1182" s="47"/>
      <c r="M1182" s="103"/>
      <c r="N1182" s="38" t="s">
        <v>1162</v>
      </c>
      <c r="O1182" s="68"/>
      <c r="P1182" s="66">
        <v>45352</v>
      </c>
    </row>
    <row r="1183" spans="1:16" ht="12.75" customHeight="1">
      <c r="A1183" s="110">
        <f t="shared" si="25"/>
        <v>1162</v>
      </c>
      <c r="B1183" s="156" t="s">
        <v>399</v>
      </c>
      <c r="C1183" s="14" t="s">
        <v>126</v>
      </c>
      <c r="D1183" s="24" t="s">
        <v>884</v>
      </c>
      <c r="E1183" s="57" t="s">
        <v>13</v>
      </c>
      <c r="F1183" s="26">
        <v>8</v>
      </c>
      <c r="G1183" s="26">
        <v>4</v>
      </c>
      <c r="H1183" s="44"/>
      <c r="I1183" s="103">
        <v>2169.96</v>
      </c>
      <c r="J1183" s="131"/>
      <c r="K1183" s="132">
        <v>3630.54</v>
      </c>
      <c r="L1183" s="47"/>
      <c r="M1183" s="103"/>
      <c r="N1183" s="38" t="s">
        <v>1162</v>
      </c>
      <c r="O1183" s="68"/>
      <c r="P1183" s="66">
        <v>45352</v>
      </c>
    </row>
    <row r="1184" spans="1:16" ht="12.75" customHeight="1">
      <c r="A1184" s="110">
        <f t="shared" si="25"/>
        <v>1163</v>
      </c>
      <c r="B1184" s="156" t="s">
        <v>399</v>
      </c>
      <c r="C1184" s="14" t="s">
        <v>126</v>
      </c>
      <c r="D1184" s="24" t="s">
        <v>884</v>
      </c>
      <c r="E1184" s="57" t="s">
        <v>13</v>
      </c>
      <c r="F1184" s="26">
        <v>6</v>
      </c>
      <c r="G1184" s="26">
        <v>5</v>
      </c>
      <c r="H1184" s="44"/>
      <c r="I1184" s="103">
        <v>2656.83</v>
      </c>
      <c r="J1184" s="131"/>
      <c r="K1184" s="132">
        <v>3046.29</v>
      </c>
      <c r="L1184" s="47"/>
      <c r="M1184" s="103"/>
      <c r="N1184" s="38" t="s">
        <v>1162</v>
      </c>
      <c r="O1184" s="68"/>
      <c r="P1184" s="66">
        <v>45352</v>
      </c>
    </row>
    <row r="1185" spans="1:16" ht="12.75" customHeight="1">
      <c r="A1185" s="110">
        <f t="shared" si="25"/>
        <v>1164</v>
      </c>
      <c r="B1185" s="32" t="s">
        <v>399</v>
      </c>
      <c r="C1185" s="14" t="s">
        <v>126</v>
      </c>
      <c r="D1185" s="24" t="s">
        <v>884</v>
      </c>
      <c r="E1185" s="57" t="s">
        <v>13</v>
      </c>
      <c r="F1185" s="26">
        <v>20</v>
      </c>
      <c r="G1185" s="26">
        <v>10</v>
      </c>
      <c r="H1185" s="44"/>
      <c r="I1185" s="103">
        <v>1565.65</v>
      </c>
      <c r="J1185" s="131"/>
      <c r="K1185" s="132">
        <v>2268.48</v>
      </c>
      <c r="L1185" s="47"/>
      <c r="M1185" s="103"/>
      <c r="N1185" s="38" t="s">
        <v>1181</v>
      </c>
      <c r="O1185" s="68"/>
      <c r="P1185" s="66">
        <v>45689</v>
      </c>
    </row>
    <row r="1186" spans="1:16" ht="12.75" customHeight="1">
      <c r="A1186" s="110">
        <f t="shared" si="25"/>
        <v>1165</v>
      </c>
      <c r="B1186" s="32" t="s">
        <v>399</v>
      </c>
      <c r="C1186" s="14" t="s">
        <v>126</v>
      </c>
      <c r="D1186" s="24" t="s">
        <v>884</v>
      </c>
      <c r="E1186" s="57" t="s">
        <v>13</v>
      </c>
      <c r="F1186" s="26">
        <v>18</v>
      </c>
      <c r="G1186" s="26">
        <v>14</v>
      </c>
      <c r="H1186" s="44"/>
      <c r="I1186" s="103">
        <v>1643.7</v>
      </c>
      <c r="J1186" s="131"/>
      <c r="K1186" s="132">
        <v>1866.86</v>
      </c>
      <c r="L1186" s="47"/>
      <c r="M1186" s="103"/>
      <c r="N1186" s="38" t="s">
        <v>1181</v>
      </c>
      <c r="O1186" s="68"/>
      <c r="P1186" s="66">
        <v>45689</v>
      </c>
    </row>
    <row r="1187" spans="1:16" ht="12.75" customHeight="1">
      <c r="A1187" s="110">
        <f t="shared" si="25"/>
        <v>1166</v>
      </c>
      <c r="B1187" s="156" t="s">
        <v>399</v>
      </c>
      <c r="C1187" s="14" t="s">
        <v>126</v>
      </c>
      <c r="D1187" s="24" t="s">
        <v>884</v>
      </c>
      <c r="E1187" s="57" t="s">
        <v>13</v>
      </c>
      <c r="F1187" s="26">
        <v>20</v>
      </c>
      <c r="G1187" s="26">
        <v>10</v>
      </c>
      <c r="H1187" s="44"/>
      <c r="I1187" s="103">
        <v>1799</v>
      </c>
      <c r="J1187" s="131"/>
      <c r="K1187" s="132">
        <v>2578.9899999999998</v>
      </c>
      <c r="L1187" s="47"/>
      <c r="M1187" s="103"/>
      <c r="N1187" s="38" t="s">
        <v>1181</v>
      </c>
      <c r="O1187" s="68"/>
      <c r="P1187" s="193">
        <v>46082</v>
      </c>
    </row>
    <row r="1188" spans="1:16" ht="12.75" customHeight="1">
      <c r="A1188" s="110">
        <f t="shared" si="25"/>
        <v>1167</v>
      </c>
      <c r="B1188" s="156" t="s">
        <v>399</v>
      </c>
      <c r="C1188" s="14" t="s">
        <v>126</v>
      </c>
      <c r="D1188" s="24" t="s">
        <v>884</v>
      </c>
      <c r="E1188" s="57" t="s">
        <v>13</v>
      </c>
      <c r="F1188" s="26">
        <v>18</v>
      </c>
      <c r="G1188" s="26">
        <v>14</v>
      </c>
      <c r="H1188" s="44"/>
      <c r="I1188" s="103">
        <v>1885.67</v>
      </c>
      <c r="J1188" s="131"/>
      <c r="K1188" s="132">
        <v>2133.2800000000002</v>
      </c>
      <c r="L1188" s="47"/>
      <c r="M1188" s="103"/>
      <c r="N1188" s="38" t="s">
        <v>1181</v>
      </c>
      <c r="O1188" s="68"/>
      <c r="P1188" s="193">
        <v>46082</v>
      </c>
    </row>
    <row r="1189" spans="1:16" ht="12.75" customHeight="1">
      <c r="A1189" s="110">
        <f t="shared" si="25"/>
        <v>1168</v>
      </c>
      <c r="B1189" s="52" t="s">
        <v>400</v>
      </c>
      <c r="C1189" s="14" t="s">
        <v>126</v>
      </c>
      <c r="D1189" s="15" t="s">
        <v>129</v>
      </c>
      <c r="E1189" s="57" t="s">
        <v>13</v>
      </c>
      <c r="F1189" s="26">
        <v>20</v>
      </c>
      <c r="G1189" s="26">
        <v>10</v>
      </c>
      <c r="H1189" s="44">
        <v>846.07</v>
      </c>
      <c r="I1189" s="103">
        <v>849.09</v>
      </c>
      <c r="J1189" s="131">
        <v>1258.68</v>
      </c>
      <c r="K1189" s="132">
        <v>1264.71</v>
      </c>
      <c r="L1189" s="47">
        <v>0</v>
      </c>
      <c r="M1189" s="103"/>
      <c r="N1189" s="38" t="s">
        <v>641</v>
      </c>
      <c r="O1189" s="68">
        <v>591</v>
      </c>
      <c r="P1189" s="66">
        <v>43617</v>
      </c>
    </row>
    <row r="1190" spans="1:16" ht="12.75" customHeight="1">
      <c r="A1190" s="110">
        <f t="shared" si="25"/>
        <v>1169</v>
      </c>
      <c r="B1190" s="14" t="s">
        <v>400</v>
      </c>
      <c r="C1190" s="14" t="s">
        <v>126</v>
      </c>
      <c r="D1190" s="24" t="s">
        <v>129</v>
      </c>
      <c r="E1190" s="57" t="s">
        <v>13</v>
      </c>
      <c r="F1190" s="26">
        <v>20</v>
      </c>
      <c r="G1190" s="26">
        <v>10</v>
      </c>
      <c r="H1190" s="44"/>
      <c r="I1190" s="103">
        <v>955.26</v>
      </c>
      <c r="J1190" s="131"/>
      <c r="K1190" s="132">
        <v>1408.02</v>
      </c>
      <c r="L1190" s="47"/>
      <c r="M1190" s="103"/>
      <c r="N1190" s="38" t="s">
        <v>641</v>
      </c>
      <c r="O1190" s="68"/>
      <c r="P1190" s="66">
        <v>44562</v>
      </c>
    </row>
    <row r="1191" spans="1:16" ht="12.75" customHeight="1">
      <c r="A1191" s="110">
        <f t="shared" si="25"/>
        <v>1170</v>
      </c>
      <c r="B1191" s="14" t="s">
        <v>400</v>
      </c>
      <c r="C1191" s="14" t="s">
        <v>126</v>
      </c>
      <c r="D1191" s="24" t="s">
        <v>129</v>
      </c>
      <c r="E1191" s="57" t="s">
        <v>13</v>
      </c>
      <c r="F1191" s="26">
        <v>20</v>
      </c>
      <c r="G1191" s="26">
        <v>10</v>
      </c>
      <c r="H1191" s="44"/>
      <c r="I1191" s="103">
        <v>1041.28</v>
      </c>
      <c r="J1191" s="131"/>
      <c r="K1191" s="132">
        <v>1554.92</v>
      </c>
      <c r="L1191" s="47"/>
      <c r="M1191" s="103"/>
      <c r="N1191" s="38" t="s">
        <v>641</v>
      </c>
      <c r="O1191" s="68"/>
      <c r="P1191" s="66">
        <v>45170</v>
      </c>
    </row>
    <row r="1192" spans="1:16" ht="12.75" customHeight="1">
      <c r="A1192" s="110">
        <f t="shared" si="25"/>
        <v>1171</v>
      </c>
      <c r="B1192" s="32" t="s">
        <v>400</v>
      </c>
      <c r="C1192" s="14" t="s">
        <v>126</v>
      </c>
      <c r="D1192" s="24" t="s">
        <v>129</v>
      </c>
      <c r="E1192" s="57" t="s">
        <v>13</v>
      </c>
      <c r="F1192" s="26">
        <v>20</v>
      </c>
      <c r="G1192" s="26">
        <v>10</v>
      </c>
      <c r="H1192" s="44"/>
      <c r="I1192" s="103">
        <v>1190.96</v>
      </c>
      <c r="J1192" s="131"/>
      <c r="K1192" s="132">
        <v>1775.22</v>
      </c>
      <c r="L1192" s="47"/>
      <c r="M1192" s="103"/>
      <c r="N1192" s="38" t="s">
        <v>1162</v>
      </c>
      <c r="O1192" s="68"/>
      <c r="P1192" s="66">
        <v>45352</v>
      </c>
    </row>
    <row r="1193" spans="1:16" ht="12.75" customHeight="1">
      <c r="A1193" s="110">
        <f t="shared" si="25"/>
        <v>1172</v>
      </c>
      <c r="B1193" s="32" t="s">
        <v>400</v>
      </c>
      <c r="C1193" s="14" t="s">
        <v>126</v>
      </c>
      <c r="D1193" s="24" t="s">
        <v>129</v>
      </c>
      <c r="E1193" s="57" t="s">
        <v>13</v>
      </c>
      <c r="F1193" s="27">
        <v>18</v>
      </c>
      <c r="G1193" s="27">
        <v>16</v>
      </c>
      <c r="H1193" s="41"/>
      <c r="I1193" s="179">
        <v>1255.8800000000001</v>
      </c>
      <c r="J1193" s="144"/>
      <c r="K1193" s="151">
        <v>1337.02</v>
      </c>
      <c r="L1193" s="53"/>
      <c r="M1193" s="152"/>
      <c r="N1193" s="38" t="s">
        <v>1162</v>
      </c>
      <c r="O1193" s="68"/>
      <c r="P1193" s="66">
        <v>45352</v>
      </c>
    </row>
    <row r="1194" spans="1:16" ht="12.75" customHeight="1">
      <c r="A1194" s="110">
        <f t="shared" si="25"/>
        <v>1173</v>
      </c>
      <c r="B1194" s="32" t="s">
        <v>400</v>
      </c>
      <c r="C1194" s="14" t="s">
        <v>126</v>
      </c>
      <c r="D1194" s="24" t="s">
        <v>129</v>
      </c>
      <c r="E1194" s="57" t="s">
        <v>13</v>
      </c>
      <c r="F1194" s="26">
        <v>20</v>
      </c>
      <c r="G1194" s="26">
        <v>10</v>
      </c>
      <c r="H1194" s="41"/>
      <c r="I1194" s="179">
        <v>1430.4</v>
      </c>
      <c r="J1194" s="144"/>
      <c r="K1194" s="151">
        <v>2133.23</v>
      </c>
      <c r="L1194" s="53"/>
      <c r="M1194" s="152"/>
      <c r="N1194" s="38" t="s">
        <v>1181</v>
      </c>
      <c r="O1194" s="68"/>
      <c r="P1194" s="66">
        <v>45689</v>
      </c>
    </row>
    <row r="1195" spans="1:16" ht="12.75" customHeight="1">
      <c r="A1195" s="110">
        <f t="shared" si="25"/>
        <v>1174</v>
      </c>
      <c r="B1195" s="32" t="s">
        <v>400</v>
      </c>
      <c r="C1195" s="14" t="s">
        <v>126</v>
      </c>
      <c r="D1195" s="24" t="s">
        <v>129</v>
      </c>
      <c r="E1195" s="57" t="s">
        <v>13</v>
      </c>
      <c r="F1195" s="27">
        <v>18</v>
      </c>
      <c r="G1195" s="27">
        <v>16</v>
      </c>
      <c r="H1195" s="41"/>
      <c r="I1195" s="179">
        <v>1508.46</v>
      </c>
      <c r="J1195" s="144"/>
      <c r="K1195" s="151">
        <v>1609.09</v>
      </c>
      <c r="L1195" s="53"/>
      <c r="M1195" s="152"/>
      <c r="N1195" s="38" t="s">
        <v>1181</v>
      </c>
      <c r="O1195" s="68"/>
      <c r="P1195" s="66">
        <v>45689</v>
      </c>
    </row>
    <row r="1196" spans="1:16" ht="12.75" customHeight="1">
      <c r="A1196" s="110">
        <f t="shared" si="25"/>
        <v>1175</v>
      </c>
      <c r="B1196" s="156" t="s">
        <v>400</v>
      </c>
      <c r="C1196" s="14" t="s">
        <v>126</v>
      </c>
      <c r="D1196" s="24" t="s">
        <v>129</v>
      </c>
      <c r="E1196" s="57" t="s">
        <v>13</v>
      </c>
      <c r="F1196" s="26">
        <v>20</v>
      </c>
      <c r="G1196" s="26">
        <v>10</v>
      </c>
      <c r="H1196" s="41"/>
      <c r="I1196" s="179">
        <v>1636.85</v>
      </c>
      <c r="J1196" s="144"/>
      <c r="K1196" s="151">
        <v>2416.83</v>
      </c>
      <c r="L1196" s="53"/>
      <c r="M1196" s="152"/>
      <c r="N1196" s="38" t="s">
        <v>1181</v>
      </c>
      <c r="O1196" s="68"/>
      <c r="P1196" s="193">
        <v>46082</v>
      </c>
    </row>
    <row r="1197" spans="1:16" ht="12.75" customHeight="1">
      <c r="A1197" s="110">
        <f t="shared" si="25"/>
        <v>1176</v>
      </c>
      <c r="B1197" s="156" t="s">
        <v>400</v>
      </c>
      <c r="C1197" s="14" t="s">
        <v>126</v>
      </c>
      <c r="D1197" s="24" t="s">
        <v>129</v>
      </c>
      <c r="E1197" s="57" t="s">
        <v>13</v>
      </c>
      <c r="F1197" s="27">
        <v>18</v>
      </c>
      <c r="G1197" s="27">
        <v>16</v>
      </c>
      <c r="H1197" s="41"/>
      <c r="I1197" s="179">
        <v>1723.51</v>
      </c>
      <c r="J1197" s="144"/>
      <c r="K1197" s="151">
        <v>1831.85</v>
      </c>
      <c r="L1197" s="53"/>
      <c r="M1197" s="152"/>
      <c r="N1197" s="38" t="s">
        <v>1181</v>
      </c>
      <c r="O1197" s="68"/>
      <c r="P1197" s="193">
        <v>46082</v>
      </c>
    </row>
    <row r="1198" spans="1:16" ht="12.75" customHeight="1">
      <c r="A1198" s="110">
        <f t="shared" si="25"/>
        <v>1177</v>
      </c>
      <c r="B1198" s="52" t="s">
        <v>401</v>
      </c>
      <c r="C1198" s="14" t="s">
        <v>126</v>
      </c>
      <c r="D1198" s="24" t="s">
        <v>552</v>
      </c>
      <c r="E1198" s="57" t="s">
        <v>13</v>
      </c>
      <c r="F1198" s="26">
        <v>20</v>
      </c>
      <c r="G1198" s="26">
        <v>10</v>
      </c>
      <c r="H1198" s="44">
        <v>882.72</v>
      </c>
      <c r="I1198" s="103">
        <v>885.72</v>
      </c>
      <c r="J1198" s="131">
        <v>1295.32</v>
      </c>
      <c r="K1198" s="132">
        <v>1301.3699999999999</v>
      </c>
      <c r="L1198" s="47">
        <v>0</v>
      </c>
      <c r="M1198" s="103"/>
      <c r="N1198" s="38" t="s">
        <v>641</v>
      </c>
      <c r="O1198" s="68">
        <v>591</v>
      </c>
      <c r="P1198" s="66">
        <v>43617</v>
      </c>
    </row>
    <row r="1199" spans="1:16" ht="12.75" customHeight="1">
      <c r="A1199" s="110">
        <f t="shared" si="25"/>
        <v>1178</v>
      </c>
      <c r="B1199" s="14" t="s">
        <v>401</v>
      </c>
      <c r="C1199" s="14" t="s">
        <v>126</v>
      </c>
      <c r="D1199" s="24" t="s">
        <v>552</v>
      </c>
      <c r="E1199" s="57" t="s">
        <v>13</v>
      </c>
      <c r="F1199" s="26">
        <v>20</v>
      </c>
      <c r="G1199" s="26">
        <v>10</v>
      </c>
      <c r="H1199" s="44"/>
      <c r="I1199" s="103">
        <v>1065.5</v>
      </c>
      <c r="J1199" s="131"/>
      <c r="K1199" s="132">
        <v>1579.15</v>
      </c>
      <c r="L1199" s="47"/>
      <c r="M1199" s="103"/>
      <c r="N1199" s="38"/>
      <c r="O1199" s="68"/>
      <c r="P1199" s="66">
        <v>45170</v>
      </c>
    </row>
    <row r="1200" spans="1:16" ht="12.75" customHeight="1">
      <c r="A1200" s="110">
        <f t="shared" si="25"/>
        <v>1179</v>
      </c>
      <c r="B1200" s="14" t="s">
        <v>401</v>
      </c>
      <c r="C1200" s="14" t="s">
        <v>126</v>
      </c>
      <c r="D1200" s="24" t="s">
        <v>933</v>
      </c>
      <c r="E1200" s="57" t="s">
        <v>13</v>
      </c>
      <c r="F1200" s="26">
        <v>20</v>
      </c>
      <c r="G1200" s="26">
        <v>10</v>
      </c>
      <c r="H1200" s="44"/>
      <c r="I1200" s="103">
        <v>978.34</v>
      </c>
      <c r="J1200" s="131"/>
      <c r="K1200" s="132">
        <v>1431.09</v>
      </c>
      <c r="L1200" s="47"/>
      <c r="M1200" s="103"/>
      <c r="N1200" s="38" t="s">
        <v>641</v>
      </c>
      <c r="O1200" s="68"/>
      <c r="P1200" s="66">
        <v>44562</v>
      </c>
    </row>
    <row r="1201" spans="1:16" ht="12.75" customHeight="1">
      <c r="A1201" s="110">
        <f t="shared" si="25"/>
        <v>1180</v>
      </c>
      <c r="B1201" s="32" t="s">
        <v>401</v>
      </c>
      <c r="C1201" s="14" t="s">
        <v>126</v>
      </c>
      <c r="D1201" s="24" t="s">
        <v>933</v>
      </c>
      <c r="E1201" s="57" t="s">
        <v>13</v>
      </c>
      <c r="F1201" s="26">
        <v>20</v>
      </c>
      <c r="G1201" s="26">
        <v>10</v>
      </c>
      <c r="H1201" s="44"/>
      <c r="I1201" s="103">
        <v>1218.81</v>
      </c>
      <c r="J1201" s="131"/>
      <c r="K1201" s="132">
        <v>1803.07</v>
      </c>
      <c r="L1201" s="47"/>
      <c r="M1201" s="103"/>
      <c r="N1201" s="38" t="s">
        <v>1162</v>
      </c>
      <c r="O1201" s="68"/>
      <c r="P1201" s="66">
        <v>45352</v>
      </c>
    </row>
    <row r="1202" spans="1:16" ht="12.75" customHeight="1">
      <c r="A1202" s="110">
        <f t="shared" si="25"/>
        <v>1181</v>
      </c>
      <c r="B1202" s="32" t="s">
        <v>401</v>
      </c>
      <c r="C1202" s="14" t="s">
        <v>126</v>
      </c>
      <c r="D1202" s="24" t="s">
        <v>933</v>
      </c>
      <c r="E1202" s="57" t="s">
        <v>13</v>
      </c>
      <c r="F1202" s="27">
        <v>16</v>
      </c>
      <c r="G1202" s="27">
        <v>14</v>
      </c>
      <c r="H1202" s="41"/>
      <c r="I1202" s="103">
        <v>1364.87</v>
      </c>
      <c r="J1202" s="144"/>
      <c r="K1202" s="132">
        <v>1469.21</v>
      </c>
      <c r="L1202" s="53"/>
      <c r="M1202" s="152"/>
      <c r="N1202" s="38" t="s">
        <v>1162</v>
      </c>
      <c r="O1202" s="68"/>
      <c r="P1202" s="66">
        <v>45352</v>
      </c>
    </row>
    <row r="1203" spans="1:16" ht="12.75" customHeight="1">
      <c r="A1203" s="110">
        <f t="shared" si="25"/>
        <v>1182</v>
      </c>
      <c r="B1203" s="156" t="s">
        <v>401</v>
      </c>
      <c r="C1203" s="14" t="s">
        <v>126</v>
      </c>
      <c r="D1203" s="24" t="s">
        <v>933</v>
      </c>
      <c r="E1203" s="57" t="s">
        <v>13</v>
      </c>
      <c r="F1203" s="27">
        <v>18</v>
      </c>
      <c r="G1203" s="27">
        <v>12</v>
      </c>
      <c r="H1203" s="41"/>
      <c r="I1203" s="103">
        <v>1283.73</v>
      </c>
      <c r="J1203" s="144"/>
      <c r="K1203" s="132">
        <v>1608.28</v>
      </c>
      <c r="L1203" s="53"/>
      <c r="M1203" s="152"/>
      <c r="N1203" s="38" t="s">
        <v>1162</v>
      </c>
      <c r="O1203" s="68"/>
      <c r="P1203" s="66">
        <v>45352</v>
      </c>
    </row>
    <row r="1204" spans="1:16" ht="12.75" customHeight="1">
      <c r="A1204" s="110">
        <f t="shared" si="25"/>
        <v>1183</v>
      </c>
      <c r="B1204" s="156" t="s">
        <v>401</v>
      </c>
      <c r="C1204" s="14" t="s">
        <v>126</v>
      </c>
      <c r="D1204" s="24" t="s">
        <v>933</v>
      </c>
      <c r="E1204" s="57" t="s">
        <v>13</v>
      </c>
      <c r="F1204" s="27">
        <v>8</v>
      </c>
      <c r="G1204" s="27">
        <v>6</v>
      </c>
      <c r="H1204" s="41"/>
      <c r="I1204" s="103">
        <v>2095.1799999999998</v>
      </c>
      <c r="J1204" s="144"/>
      <c r="K1204" s="132">
        <v>2582.0500000000002</v>
      </c>
      <c r="L1204" s="53"/>
      <c r="M1204" s="152"/>
      <c r="N1204" s="38" t="s">
        <v>1162</v>
      </c>
      <c r="O1204" s="68"/>
      <c r="P1204" s="66">
        <v>45352</v>
      </c>
    </row>
    <row r="1205" spans="1:16" ht="12.75" customHeight="1">
      <c r="A1205" s="110">
        <f t="shared" si="25"/>
        <v>1184</v>
      </c>
      <c r="B1205" s="32" t="s">
        <v>401</v>
      </c>
      <c r="C1205" s="14" t="s">
        <v>126</v>
      </c>
      <c r="D1205" s="24" t="s">
        <v>933</v>
      </c>
      <c r="E1205" s="57" t="s">
        <v>13</v>
      </c>
      <c r="F1205" s="26">
        <v>20</v>
      </c>
      <c r="G1205" s="26">
        <v>10</v>
      </c>
      <c r="H1205" s="41"/>
      <c r="I1205" s="103">
        <v>1461.99</v>
      </c>
      <c r="J1205" s="144"/>
      <c r="K1205" s="132">
        <v>2164.81</v>
      </c>
      <c r="L1205" s="53"/>
      <c r="M1205" s="152"/>
      <c r="N1205" s="38" t="s">
        <v>1181</v>
      </c>
      <c r="O1205" s="68"/>
      <c r="P1205" s="66">
        <v>45689</v>
      </c>
    </row>
    <row r="1206" spans="1:16" ht="12.75" customHeight="1">
      <c r="A1206" s="110">
        <f t="shared" si="25"/>
        <v>1185</v>
      </c>
      <c r="B1206" s="32" t="s">
        <v>401</v>
      </c>
      <c r="C1206" s="14" t="s">
        <v>126</v>
      </c>
      <c r="D1206" s="24" t="s">
        <v>933</v>
      </c>
      <c r="E1206" s="57" t="s">
        <v>13</v>
      </c>
      <c r="F1206" s="27">
        <v>16</v>
      </c>
      <c r="G1206" s="27">
        <v>14</v>
      </c>
      <c r="H1206" s="41"/>
      <c r="I1206" s="103">
        <v>1637.68</v>
      </c>
      <c r="J1206" s="144"/>
      <c r="K1206" s="132">
        <v>1763.18</v>
      </c>
      <c r="L1206" s="53"/>
      <c r="M1206" s="152"/>
      <c r="N1206" s="38" t="s">
        <v>1181</v>
      </c>
      <c r="O1206" s="68"/>
      <c r="P1206" s="66">
        <v>45689</v>
      </c>
    </row>
    <row r="1207" spans="1:16" ht="12.75" customHeight="1">
      <c r="A1207" s="110">
        <f t="shared" si="25"/>
        <v>1186</v>
      </c>
      <c r="B1207" s="156" t="s">
        <v>401</v>
      </c>
      <c r="C1207" s="14" t="s">
        <v>126</v>
      </c>
      <c r="D1207" s="24" t="s">
        <v>933</v>
      </c>
      <c r="E1207" s="57" t="s">
        <v>13</v>
      </c>
      <c r="F1207" s="26">
        <v>20</v>
      </c>
      <c r="G1207" s="26">
        <v>10</v>
      </c>
      <c r="H1207" s="41"/>
      <c r="I1207" s="103">
        <v>1665.17</v>
      </c>
      <c r="J1207" s="144"/>
      <c r="K1207" s="132">
        <v>2445.15</v>
      </c>
      <c r="L1207" s="53"/>
      <c r="M1207" s="152"/>
      <c r="N1207" s="38" t="s">
        <v>1181</v>
      </c>
      <c r="O1207" s="68"/>
      <c r="P1207" s="193">
        <v>46082</v>
      </c>
    </row>
    <row r="1208" spans="1:16" ht="12.75" customHeight="1">
      <c r="A1208" s="110">
        <f t="shared" ref="A1208:A1271" si="26">A1207+1</f>
        <v>1187</v>
      </c>
      <c r="B1208" s="156" t="s">
        <v>401</v>
      </c>
      <c r="C1208" s="14" t="s">
        <v>126</v>
      </c>
      <c r="D1208" s="24" t="s">
        <v>933</v>
      </c>
      <c r="E1208" s="57" t="s">
        <v>13</v>
      </c>
      <c r="F1208" s="27">
        <v>16</v>
      </c>
      <c r="G1208" s="27">
        <v>14</v>
      </c>
      <c r="H1208" s="41"/>
      <c r="I1208" s="103">
        <v>1860.17</v>
      </c>
      <c r="J1208" s="144"/>
      <c r="K1208" s="132">
        <v>1999.46</v>
      </c>
      <c r="L1208" s="53"/>
      <c r="M1208" s="152"/>
      <c r="N1208" s="38" t="s">
        <v>1181</v>
      </c>
      <c r="O1208" s="68"/>
      <c r="P1208" s="193">
        <v>46082</v>
      </c>
    </row>
    <row r="1209" spans="1:16" ht="12.75" customHeight="1">
      <c r="A1209" s="110">
        <f t="shared" si="26"/>
        <v>1188</v>
      </c>
      <c r="B1209" s="54" t="s">
        <v>402</v>
      </c>
      <c r="C1209" s="14" t="s">
        <v>130</v>
      </c>
      <c r="D1209" s="15" t="s">
        <v>131</v>
      </c>
      <c r="E1209" s="57" t="s">
        <v>13</v>
      </c>
      <c r="F1209" s="26">
        <v>20</v>
      </c>
      <c r="G1209" s="26">
        <v>10</v>
      </c>
      <c r="H1209" s="44">
        <v>835.61</v>
      </c>
      <c r="I1209" s="103"/>
      <c r="J1209" s="131">
        <v>1316.49</v>
      </c>
      <c r="K1209" s="132"/>
      <c r="L1209" s="47">
        <v>0</v>
      </c>
      <c r="M1209" s="103"/>
      <c r="N1209" s="99" t="s">
        <v>642</v>
      </c>
      <c r="O1209" s="68">
        <v>601</v>
      </c>
      <c r="P1209" s="66">
        <v>41275</v>
      </c>
    </row>
    <row r="1210" spans="1:16" ht="12.75" customHeight="1">
      <c r="A1210" s="110">
        <f t="shared" si="26"/>
        <v>1189</v>
      </c>
      <c r="B1210" s="54" t="s">
        <v>403</v>
      </c>
      <c r="C1210" s="14" t="s">
        <v>130</v>
      </c>
      <c r="D1210" s="15" t="s">
        <v>132</v>
      </c>
      <c r="E1210" s="57" t="s">
        <v>13</v>
      </c>
      <c r="F1210" s="26">
        <v>20</v>
      </c>
      <c r="G1210" s="26">
        <v>10</v>
      </c>
      <c r="H1210" s="44">
        <v>879.94</v>
      </c>
      <c r="I1210" s="103"/>
      <c r="J1210" s="131">
        <v>1360.82</v>
      </c>
      <c r="K1210" s="132"/>
      <c r="L1210" s="47">
        <v>0</v>
      </c>
      <c r="M1210" s="103"/>
      <c r="N1210" s="99" t="s">
        <v>642</v>
      </c>
      <c r="O1210" s="68">
        <v>601</v>
      </c>
      <c r="P1210" s="66">
        <v>41275</v>
      </c>
    </row>
    <row r="1211" spans="1:16" s="8" customFormat="1" ht="12.75" customHeight="1">
      <c r="A1211" s="110">
        <f t="shared" si="26"/>
        <v>1190</v>
      </c>
      <c r="B1211" s="52" t="s">
        <v>404</v>
      </c>
      <c r="C1211" s="14" t="s">
        <v>133</v>
      </c>
      <c r="D1211" s="24" t="s">
        <v>553</v>
      </c>
      <c r="E1211" s="57" t="s">
        <v>13</v>
      </c>
      <c r="F1211" s="26">
        <v>20</v>
      </c>
      <c r="G1211" s="26">
        <v>10</v>
      </c>
      <c r="H1211" s="44">
        <v>850.01</v>
      </c>
      <c r="I1211" s="103">
        <v>837.49</v>
      </c>
      <c r="J1211" s="131">
        <v>1294.07</v>
      </c>
      <c r="K1211" s="132">
        <v>1265.49</v>
      </c>
      <c r="L1211" s="70" t="s">
        <v>262</v>
      </c>
      <c r="M1211" s="165"/>
      <c r="N1211" s="38" t="s">
        <v>640</v>
      </c>
      <c r="O1211" s="69">
        <v>588</v>
      </c>
      <c r="P1211" s="66">
        <v>43252</v>
      </c>
    </row>
    <row r="1212" spans="1:16" s="8" customFormat="1" ht="12.75" customHeight="1">
      <c r="A1212" s="110">
        <f t="shared" si="26"/>
        <v>1191</v>
      </c>
      <c r="B1212" s="23" t="s">
        <v>404</v>
      </c>
      <c r="C1212" s="23" t="s">
        <v>133</v>
      </c>
      <c r="D1212" s="24" t="s">
        <v>553</v>
      </c>
      <c r="E1212" s="57" t="s">
        <v>13</v>
      </c>
      <c r="F1212" s="26">
        <v>19</v>
      </c>
      <c r="G1212" s="26">
        <v>10</v>
      </c>
      <c r="H1212" s="44"/>
      <c r="I1212" s="103">
        <v>859.99</v>
      </c>
      <c r="J1212" s="131"/>
      <c r="K1212" s="132">
        <v>1265.49</v>
      </c>
      <c r="L1212" s="70"/>
      <c r="M1212" s="165"/>
      <c r="N1212" s="38" t="s">
        <v>640</v>
      </c>
      <c r="O1212" s="69"/>
      <c r="P1212" s="66">
        <v>43891</v>
      </c>
    </row>
    <row r="1213" spans="1:16" s="8" customFormat="1">
      <c r="A1213" s="110">
        <f t="shared" si="26"/>
        <v>1192</v>
      </c>
      <c r="B1213" s="23" t="s">
        <v>404</v>
      </c>
      <c r="C1213" s="23" t="s">
        <v>133</v>
      </c>
      <c r="D1213" s="24" t="s">
        <v>553</v>
      </c>
      <c r="E1213" s="25" t="s">
        <v>13</v>
      </c>
      <c r="F1213" s="26">
        <v>20</v>
      </c>
      <c r="G1213" s="26">
        <v>10</v>
      </c>
      <c r="H1213" s="44"/>
      <c r="I1213" s="103">
        <v>984.36</v>
      </c>
      <c r="J1213" s="131"/>
      <c r="K1213" s="132">
        <v>1510.54</v>
      </c>
      <c r="L1213" s="70"/>
      <c r="M1213" s="165"/>
      <c r="N1213" s="38" t="s">
        <v>640</v>
      </c>
      <c r="O1213" s="69"/>
      <c r="P1213" s="66">
        <v>44562</v>
      </c>
    </row>
    <row r="1214" spans="1:16" s="8" customFormat="1" ht="12.75" customHeight="1">
      <c r="A1214" s="110">
        <f t="shared" si="26"/>
        <v>1193</v>
      </c>
      <c r="B1214" s="23" t="s">
        <v>404</v>
      </c>
      <c r="C1214" s="23" t="s">
        <v>133</v>
      </c>
      <c r="D1214" s="24" t="s">
        <v>553</v>
      </c>
      <c r="E1214" s="23" t="s">
        <v>13</v>
      </c>
      <c r="F1214" s="26">
        <v>20</v>
      </c>
      <c r="G1214" s="26">
        <v>10</v>
      </c>
      <c r="H1214" s="34"/>
      <c r="I1214" s="84">
        <v>1024.5999999999999</v>
      </c>
      <c r="J1214" s="136"/>
      <c r="K1214" s="118">
        <v>1568.84</v>
      </c>
      <c r="L1214" s="35"/>
      <c r="M1214" s="85"/>
      <c r="N1214" s="38" t="s">
        <v>640</v>
      </c>
      <c r="O1214" s="40"/>
      <c r="P1214" s="66">
        <v>45078</v>
      </c>
    </row>
    <row r="1215" spans="1:16" s="8" customFormat="1" ht="12.75" customHeight="1">
      <c r="A1215" s="110">
        <f t="shared" si="26"/>
        <v>1194</v>
      </c>
      <c r="B1215" s="180" t="s">
        <v>404</v>
      </c>
      <c r="C1215" s="14" t="s">
        <v>133</v>
      </c>
      <c r="D1215" s="24" t="s">
        <v>553</v>
      </c>
      <c r="E1215" s="23" t="s">
        <v>13</v>
      </c>
      <c r="F1215" s="26">
        <v>20</v>
      </c>
      <c r="G1215" s="26">
        <v>10</v>
      </c>
      <c r="H1215" s="34"/>
      <c r="I1215" s="84">
        <v>1134.25</v>
      </c>
      <c r="J1215" s="136"/>
      <c r="K1215" s="118">
        <v>1715.6</v>
      </c>
      <c r="L1215" s="35"/>
      <c r="M1215" s="85"/>
      <c r="N1215" s="38" t="s">
        <v>640</v>
      </c>
      <c r="O1215" s="40"/>
      <c r="P1215" s="66">
        <v>45352</v>
      </c>
    </row>
    <row r="1216" spans="1:16" s="8" customFormat="1" ht="12.75" customHeight="1">
      <c r="A1216" s="110">
        <f t="shared" si="26"/>
        <v>1195</v>
      </c>
      <c r="B1216" s="180" t="s">
        <v>404</v>
      </c>
      <c r="C1216" s="14" t="s">
        <v>133</v>
      </c>
      <c r="D1216" s="24" t="s">
        <v>553</v>
      </c>
      <c r="E1216" s="23" t="s">
        <v>13</v>
      </c>
      <c r="F1216" s="26">
        <v>18</v>
      </c>
      <c r="G1216" s="26">
        <v>12</v>
      </c>
      <c r="H1216" s="34"/>
      <c r="I1216" s="84">
        <v>1198.8499999999999</v>
      </c>
      <c r="J1216" s="136"/>
      <c r="K1216" s="118">
        <v>1521.7</v>
      </c>
      <c r="L1216" s="35"/>
      <c r="M1216" s="85"/>
      <c r="N1216" s="38" t="s">
        <v>640</v>
      </c>
      <c r="O1216" s="40"/>
      <c r="P1216" s="66">
        <v>45352</v>
      </c>
    </row>
    <row r="1217" spans="1:16" s="8" customFormat="1" ht="12.75" customHeight="1">
      <c r="A1217" s="110">
        <f t="shared" si="26"/>
        <v>1196</v>
      </c>
      <c r="B1217" s="32" t="s">
        <v>404</v>
      </c>
      <c r="C1217" s="14" t="s">
        <v>133</v>
      </c>
      <c r="D1217" s="24" t="s">
        <v>553</v>
      </c>
      <c r="E1217" s="23" t="s">
        <v>13</v>
      </c>
      <c r="F1217" s="26">
        <v>20</v>
      </c>
      <c r="G1217" s="26">
        <v>10</v>
      </c>
      <c r="H1217" s="34"/>
      <c r="I1217" s="84">
        <v>1378.47</v>
      </c>
      <c r="J1217" s="136"/>
      <c r="K1217" s="118">
        <v>2069.61</v>
      </c>
      <c r="L1217" s="35"/>
      <c r="M1217" s="85"/>
      <c r="N1217" s="38" t="s">
        <v>640</v>
      </c>
      <c r="O1217" s="40"/>
      <c r="P1217" s="66">
        <v>45689</v>
      </c>
    </row>
    <row r="1218" spans="1:16" s="8" customFormat="1" ht="12.75" customHeight="1">
      <c r="A1218" s="110">
        <f t="shared" si="26"/>
        <v>1197</v>
      </c>
      <c r="B1218" s="32" t="s">
        <v>404</v>
      </c>
      <c r="C1218" s="14" t="s">
        <v>133</v>
      </c>
      <c r="D1218" s="24" t="s">
        <v>553</v>
      </c>
      <c r="E1218" s="23" t="s">
        <v>13</v>
      </c>
      <c r="F1218" s="26">
        <v>18</v>
      </c>
      <c r="G1218" s="26">
        <v>12</v>
      </c>
      <c r="H1218" s="34"/>
      <c r="I1218" s="84">
        <v>1455.27</v>
      </c>
      <c r="J1218" s="136"/>
      <c r="K1218" s="118">
        <v>1839.24</v>
      </c>
      <c r="L1218" s="35"/>
      <c r="M1218" s="85"/>
      <c r="N1218" s="38" t="s">
        <v>640</v>
      </c>
      <c r="O1218" s="40"/>
      <c r="P1218" s="66">
        <v>45689</v>
      </c>
    </row>
    <row r="1219" spans="1:16" s="8" customFormat="1" ht="12.75" customHeight="1">
      <c r="A1219" s="110">
        <f t="shared" si="26"/>
        <v>1198</v>
      </c>
      <c r="B1219" s="32" t="s">
        <v>426</v>
      </c>
      <c r="C1219" s="14" t="s">
        <v>267</v>
      </c>
      <c r="D1219" s="24" t="s">
        <v>88</v>
      </c>
      <c r="E1219" s="23" t="s">
        <v>13</v>
      </c>
      <c r="F1219" s="26">
        <v>20</v>
      </c>
      <c r="G1219" s="26">
        <v>10</v>
      </c>
      <c r="H1219" s="34">
        <v>960.58</v>
      </c>
      <c r="I1219" s="84">
        <v>967.94</v>
      </c>
      <c r="J1219" s="136">
        <v>1516.7</v>
      </c>
      <c r="K1219" s="118">
        <v>1531.41</v>
      </c>
      <c r="L1219" s="35" t="s">
        <v>747</v>
      </c>
      <c r="M1219" s="85"/>
      <c r="N1219" s="38" t="s">
        <v>643</v>
      </c>
      <c r="O1219" s="40">
        <v>609</v>
      </c>
      <c r="P1219" s="66">
        <v>43617</v>
      </c>
    </row>
    <row r="1220" spans="1:16" s="8" customFormat="1" ht="12.75" customHeight="1">
      <c r="A1220" s="110">
        <f t="shared" si="26"/>
        <v>1199</v>
      </c>
      <c r="B1220" s="52" t="s">
        <v>530</v>
      </c>
      <c r="C1220" s="14" t="s">
        <v>529</v>
      </c>
      <c r="D1220" s="24" t="s">
        <v>531</v>
      </c>
      <c r="E1220" s="23" t="s">
        <v>13</v>
      </c>
      <c r="F1220" s="28" t="s">
        <v>554</v>
      </c>
      <c r="G1220" s="26">
        <v>10</v>
      </c>
      <c r="H1220" s="35" t="s">
        <v>555</v>
      </c>
      <c r="I1220" s="85">
        <v>893.11</v>
      </c>
      <c r="J1220" s="136">
        <v>1319.44</v>
      </c>
      <c r="K1220" s="118">
        <v>1273.77</v>
      </c>
      <c r="L1220" s="35" t="s">
        <v>747</v>
      </c>
      <c r="M1220" s="85"/>
      <c r="N1220" s="38" t="s">
        <v>643</v>
      </c>
      <c r="O1220" s="68">
        <v>610</v>
      </c>
      <c r="P1220" s="66">
        <v>43617</v>
      </c>
    </row>
    <row r="1221" spans="1:16" s="8" customFormat="1" ht="12.75" customHeight="1">
      <c r="A1221" s="110">
        <f t="shared" si="26"/>
        <v>1200</v>
      </c>
      <c r="B1221" s="32" t="s">
        <v>530</v>
      </c>
      <c r="C1221" s="14" t="s">
        <v>529</v>
      </c>
      <c r="D1221" s="24" t="s">
        <v>531</v>
      </c>
      <c r="E1221" s="23" t="s">
        <v>13</v>
      </c>
      <c r="F1221" s="28" t="s">
        <v>951</v>
      </c>
      <c r="G1221" s="26">
        <v>10</v>
      </c>
      <c r="H1221" s="35"/>
      <c r="I1221" s="85">
        <v>990.95</v>
      </c>
      <c r="J1221" s="136"/>
      <c r="K1221" s="118">
        <v>1403.62</v>
      </c>
      <c r="L1221" s="35"/>
      <c r="M1221" s="85"/>
      <c r="N1221" s="38" t="s">
        <v>643</v>
      </c>
      <c r="O1221" s="68"/>
      <c r="P1221" s="66">
        <v>44562</v>
      </c>
    </row>
    <row r="1222" spans="1:16" s="8" customFormat="1" ht="12.75" customHeight="1">
      <c r="A1222" s="110">
        <f t="shared" si="26"/>
        <v>1201</v>
      </c>
      <c r="B1222" s="180" t="s">
        <v>530</v>
      </c>
      <c r="C1222" s="14" t="s">
        <v>529</v>
      </c>
      <c r="D1222" s="24" t="s">
        <v>531</v>
      </c>
      <c r="E1222" s="23" t="s">
        <v>13</v>
      </c>
      <c r="F1222" s="28" t="s">
        <v>951</v>
      </c>
      <c r="G1222" s="26">
        <v>10</v>
      </c>
      <c r="H1222" s="35"/>
      <c r="I1222" s="85">
        <v>1094.43</v>
      </c>
      <c r="J1222" s="136"/>
      <c r="K1222" s="118">
        <v>1554.24</v>
      </c>
      <c r="L1222" s="35"/>
      <c r="M1222" s="85"/>
      <c r="N1222" s="38" t="s">
        <v>643</v>
      </c>
      <c r="O1222" s="68"/>
      <c r="P1222" s="66">
        <v>45078</v>
      </c>
    </row>
    <row r="1223" spans="1:16" s="8" customFormat="1" ht="12.75" customHeight="1">
      <c r="A1223" s="110">
        <f t="shared" si="26"/>
        <v>1202</v>
      </c>
      <c r="B1223" s="180" t="s">
        <v>530</v>
      </c>
      <c r="C1223" s="14" t="s">
        <v>529</v>
      </c>
      <c r="D1223" s="24" t="s">
        <v>531</v>
      </c>
      <c r="E1223" s="23" t="s">
        <v>13</v>
      </c>
      <c r="F1223" s="28" t="s">
        <v>951</v>
      </c>
      <c r="G1223" s="26">
        <v>10</v>
      </c>
      <c r="H1223" s="35"/>
      <c r="I1223" s="85">
        <v>1259.1099999999999</v>
      </c>
      <c r="J1223" s="136"/>
      <c r="K1223" s="118">
        <v>1788.11</v>
      </c>
      <c r="L1223" s="35"/>
      <c r="M1223" s="85"/>
      <c r="N1223" s="38" t="s">
        <v>643</v>
      </c>
      <c r="O1223" s="68"/>
      <c r="P1223" s="66">
        <v>45352</v>
      </c>
    </row>
    <row r="1224" spans="1:16">
      <c r="A1224" s="110">
        <f t="shared" si="26"/>
        <v>1203</v>
      </c>
      <c r="B1224" s="180" t="s">
        <v>530</v>
      </c>
      <c r="C1224" s="14" t="s">
        <v>529</v>
      </c>
      <c r="D1224" s="24" t="s">
        <v>531</v>
      </c>
      <c r="E1224" s="23" t="s">
        <v>13</v>
      </c>
      <c r="F1224" s="28">
        <v>16</v>
      </c>
      <c r="G1224" s="28">
        <v>14</v>
      </c>
      <c r="H1224" s="41"/>
      <c r="I1224" s="85">
        <v>1391.34</v>
      </c>
      <c r="J1224" s="144"/>
      <c r="K1224" s="118">
        <v>1485.81</v>
      </c>
      <c r="L1224" s="53"/>
      <c r="M1224" s="152"/>
      <c r="N1224" s="38" t="s">
        <v>643</v>
      </c>
      <c r="O1224" s="68"/>
      <c r="P1224" s="66">
        <v>45352</v>
      </c>
    </row>
    <row r="1225" spans="1:16">
      <c r="A1225" s="110">
        <f t="shared" si="26"/>
        <v>1204</v>
      </c>
      <c r="B1225" s="180" t="s">
        <v>530</v>
      </c>
      <c r="C1225" s="14" t="s">
        <v>529</v>
      </c>
      <c r="D1225" s="24" t="s">
        <v>531</v>
      </c>
      <c r="E1225" s="23" t="s">
        <v>13</v>
      </c>
      <c r="F1225" s="28" t="s">
        <v>951</v>
      </c>
      <c r="G1225" s="26">
        <v>10</v>
      </c>
      <c r="H1225" s="41"/>
      <c r="I1225" s="85">
        <v>1448.24</v>
      </c>
      <c r="J1225" s="144"/>
      <c r="K1225" s="118">
        <v>2056.6999999999998</v>
      </c>
      <c r="L1225" s="53"/>
      <c r="M1225" s="152"/>
      <c r="N1225" s="38" t="s">
        <v>643</v>
      </c>
      <c r="O1225" s="68"/>
      <c r="P1225" s="66">
        <v>45689</v>
      </c>
    </row>
    <row r="1226" spans="1:16">
      <c r="A1226" s="110">
        <f t="shared" si="26"/>
        <v>1205</v>
      </c>
      <c r="B1226" s="180" t="s">
        <v>530</v>
      </c>
      <c r="C1226" s="14" t="s">
        <v>529</v>
      </c>
      <c r="D1226" s="24" t="s">
        <v>531</v>
      </c>
      <c r="E1226" s="23" t="s">
        <v>13</v>
      </c>
      <c r="F1226" s="28">
        <v>16</v>
      </c>
      <c r="G1226" s="28">
        <v>14</v>
      </c>
      <c r="H1226" s="41"/>
      <c r="I1226" s="85">
        <v>1600.34</v>
      </c>
      <c r="J1226" s="144"/>
      <c r="K1226" s="118">
        <v>1709.01</v>
      </c>
      <c r="L1226" s="53"/>
      <c r="M1226" s="152"/>
      <c r="N1226" s="38" t="s">
        <v>643</v>
      </c>
      <c r="O1226" s="68"/>
      <c r="P1226" s="66">
        <v>45689</v>
      </c>
    </row>
    <row r="1227" spans="1:16">
      <c r="A1227" s="110">
        <f t="shared" si="26"/>
        <v>1206</v>
      </c>
      <c r="B1227" s="156" t="s">
        <v>530</v>
      </c>
      <c r="C1227" s="14" t="s">
        <v>529</v>
      </c>
      <c r="D1227" s="24" t="s">
        <v>531</v>
      </c>
      <c r="E1227" s="23" t="s">
        <v>13</v>
      </c>
      <c r="F1227" s="28" t="s">
        <v>951</v>
      </c>
      <c r="G1227" s="26">
        <v>10</v>
      </c>
      <c r="H1227" s="41"/>
      <c r="I1227" s="85">
        <v>1606.15</v>
      </c>
      <c r="J1227" s="144"/>
      <c r="K1227" s="118">
        <v>2292.67</v>
      </c>
      <c r="L1227" s="53"/>
      <c r="M1227" s="152"/>
      <c r="N1227" s="38" t="s">
        <v>643</v>
      </c>
      <c r="O1227" s="68"/>
      <c r="P1227" s="193">
        <v>46082</v>
      </c>
    </row>
    <row r="1228" spans="1:16">
      <c r="A1228" s="110">
        <f t="shared" si="26"/>
        <v>1207</v>
      </c>
      <c r="B1228" s="156" t="s">
        <v>530</v>
      </c>
      <c r="C1228" s="14" t="s">
        <v>529</v>
      </c>
      <c r="D1228" s="24" t="s">
        <v>531</v>
      </c>
      <c r="E1228" s="23" t="s">
        <v>13</v>
      </c>
      <c r="F1228" s="28">
        <v>16</v>
      </c>
      <c r="G1228" s="28">
        <v>14</v>
      </c>
      <c r="H1228" s="41"/>
      <c r="I1228" s="85">
        <v>1777.79</v>
      </c>
      <c r="J1228" s="144"/>
      <c r="K1228" s="118">
        <v>1900.37</v>
      </c>
      <c r="L1228" s="53"/>
      <c r="M1228" s="152"/>
      <c r="N1228" s="38" t="s">
        <v>643</v>
      </c>
      <c r="O1228" s="68"/>
      <c r="P1228" s="193">
        <v>46082</v>
      </c>
    </row>
    <row r="1229" spans="1:16" ht="12.75" customHeight="1">
      <c r="A1229" s="110">
        <f t="shared" si="26"/>
        <v>1208</v>
      </c>
      <c r="B1229" s="52" t="s">
        <v>528</v>
      </c>
      <c r="C1229" s="14" t="s">
        <v>529</v>
      </c>
      <c r="D1229" s="24" t="s">
        <v>556</v>
      </c>
      <c r="E1229" s="23" t="s">
        <v>13</v>
      </c>
      <c r="F1229" s="26">
        <v>20</v>
      </c>
      <c r="G1229" s="26">
        <v>10</v>
      </c>
      <c r="H1229" s="34">
        <v>912.25</v>
      </c>
      <c r="I1229" s="84">
        <v>910.27</v>
      </c>
      <c r="J1229" s="136">
        <v>1315.74</v>
      </c>
      <c r="K1229" s="118">
        <v>1311.75</v>
      </c>
      <c r="L1229" s="35" t="s">
        <v>747</v>
      </c>
      <c r="M1229" s="85"/>
      <c r="N1229" s="38" t="s">
        <v>643</v>
      </c>
      <c r="O1229" s="68">
        <v>610</v>
      </c>
      <c r="P1229" s="66">
        <v>43617</v>
      </c>
    </row>
    <row r="1230" spans="1:16" ht="12.75" customHeight="1">
      <c r="A1230" s="110">
        <f t="shared" si="26"/>
        <v>1209</v>
      </c>
      <c r="B1230" s="23" t="s">
        <v>528</v>
      </c>
      <c r="C1230" s="14" t="s">
        <v>529</v>
      </c>
      <c r="D1230" s="24" t="s">
        <v>556</v>
      </c>
      <c r="E1230" s="23" t="s">
        <v>13</v>
      </c>
      <c r="F1230" s="26">
        <v>20</v>
      </c>
      <c r="G1230" s="26">
        <v>10</v>
      </c>
      <c r="H1230" s="34"/>
      <c r="I1230" s="84">
        <v>962.29</v>
      </c>
      <c r="J1230" s="136"/>
      <c r="K1230" s="118">
        <v>1374.96</v>
      </c>
      <c r="L1230" s="35"/>
      <c r="M1230" s="85"/>
      <c r="N1230" s="38" t="s">
        <v>643</v>
      </c>
      <c r="O1230" s="68"/>
      <c r="P1230" s="66">
        <v>44562</v>
      </c>
    </row>
    <row r="1231" spans="1:16" ht="12.75" customHeight="1">
      <c r="A1231" s="110">
        <f t="shared" si="26"/>
        <v>1210</v>
      </c>
      <c r="B1231" s="23" t="s">
        <v>528</v>
      </c>
      <c r="C1231" s="14" t="s">
        <v>529</v>
      </c>
      <c r="D1231" s="24" t="s">
        <v>556</v>
      </c>
      <c r="E1231" s="23" t="s">
        <v>13</v>
      </c>
      <c r="F1231" s="26">
        <v>20</v>
      </c>
      <c r="G1231" s="26">
        <v>10</v>
      </c>
      <c r="H1231" s="34"/>
      <c r="I1231" s="84">
        <v>1062.6600000000001</v>
      </c>
      <c r="J1231" s="136"/>
      <c r="K1231" s="118">
        <v>1522.47</v>
      </c>
      <c r="L1231" s="35"/>
      <c r="M1231" s="85"/>
      <c r="N1231" s="38" t="s">
        <v>643</v>
      </c>
      <c r="O1231" s="68"/>
      <c r="P1231" s="66">
        <v>45078</v>
      </c>
    </row>
    <row r="1232" spans="1:16" ht="12.75" customHeight="1">
      <c r="A1232" s="110">
        <f t="shared" si="26"/>
        <v>1211</v>
      </c>
      <c r="B1232" s="180" t="s">
        <v>528</v>
      </c>
      <c r="C1232" s="14" t="s">
        <v>529</v>
      </c>
      <c r="D1232" s="24" t="s">
        <v>556</v>
      </c>
      <c r="E1232" s="23" t="s">
        <v>13</v>
      </c>
      <c r="F1232" s="26">
        <v>20</v>
      </c>
      <c r="G1232" s="26">
        <v>10</v>
      </c>
      <c r="H1232" s="34"/>
      <c r="I1232" s="84">
        <v>1222.8900000000001</v>
      </c>
      <c r="J1232" s="136"/>
      <c r="K1232" s="118">
        <v>1751.89</v>
      </c>
      <c r="L1232" s="35"/>
      <c r="M1232" s="85"/>
      <c r="N1232" s="38" t="s">
        <v>643</v>
      </c>
      <c r="O1232" s="68"/>
      <c r="P1232" s="66">
        <v>45352</v>
      </c>
    </row>
    <row r="1233" spans="1:16" ht="12.75" customHeight="1">
      <c r="A1233" s="110">
        <f t="shared" si="26"/>
        <v>1212</v>
      </c>
      <c r="B1233" s="180" t="s">
        <v>528</v>
      </c>
      <c r="C1233" s="14" t="s">
        <v>529</v>
      </c>
      <c r="D1233" s="24" t="s">
        <v>556</v>
      </c>
      <c r="E1233" s="23" t="s">
        <v>13</v>
      </c>
      <c r="F1233" s="26">
        <v>16</v>
      </c>
      <c r="G1233" s="26">
        <v>5</v>
      </c>
      <c r="H1233" s="34"/>
      <c r="I1233" s="84">
        <v>1355.13</v>
      </c>
      <c r="J1233" s="136"/>
      <c r="K1233" s="118">
        <v>2809.92</v>
      </c>
      <c r="L1233" s="35"/>
      <c r="M1233" s="85"/>
      <c r="N1233" s="38" t="s">
        <v>643</v>
      </c>
      <c r="O1233" s="68"/>
      <c r="P1233" s="66">
        <v>45352</v>
      </c>
    </row>
    <row r="1234" spans="1:16" ht="12.75" customHeight="1">
      <c r="A1234" s="110">
        <f t="shared" si="26"/>
        <v>1213</v>
      </c>
      <c r="B1234" s="180" t="s">
        <v>528</v>
      </c>
      <c r="C1234" s="14" t="s">
        <v>529</v>
      </c>
      <c r="D1234" s="24" t="s">
        <v>556</v>
      </c>
      <c r="E1234" s="23" t="s">
        <v>13</v>
      </c>
      <c r="F1234" s="26">
        <v>20</v>
      </c>
      <c r="G1234" s="26">
        <v>10</v>
      </c>
      <c r="H1234" s="34"/>
      <c r="I1234" s="84">
        <v>1406.85</v>
      </c>
      <c r="J1234" s="136"/>
      <c r="K1234" s="118">
        <v>2015.32</v>
      </c>
      <c r="L1234" s="35"/>
      <c r="M1234" s="85"/>
      <c r="N1234" s="38" t="s">
        <v>643</v>
      </c>
      <c r="O1234" s="68"/>
      <c r="P1234" s="66">
        <v>45689</v>
      </c>
    </row>
    <row r="1235" spans="1:16" ht="12.75" customHeight="1">
      <c r="A1235" s="110">
        <f t="shared" si="26"/>
        <v>1214</v>
      </c>
      <c r="B1235" s="180" t="s">
        <v>528</v>
      </c>
      <c r="C1235" s="14" t="s">
        <v>529</v>
      </c>
      <c r="D1235" s="24" t="s">
        <v>556</v>
      </c>
      <c r="E1235" s="23" t="s">
        <v>13</v>
      </c>
      <c r="F1235" s="26">
        <v>16</v>
      </c>
      <c r="G1235" s="26">
        <v>5</v>
      </c>
      <c r="H1235" s="34"/>
      <c r="I1235" s="84">
        <v>1588.96</v>
      </c>
      <c r="J1235" s="136"/>
      <c r="K1235" s="118">
        <v>3232.27</v>
      </c>
      <c r="L1235" s="35"/>
      <c r="M1235" s="85"/>
      <c r="N1235" s="38" t="s">
        <v>643</v>
      </c>
      <c r="O1235" s="68"/>
      <c r="P1235" s="66">
        <v>45689</v>
      </c>
    </row>
    <row r="1236" spans="1:16" ht="12.75" customHeight="1">
      <c r="A1236" s="110">
        <f t="shared" si="26"/>
        <v>1215</v>
      </c>
      <c r="B1236" s="156" t="s">
        <v>528</v>
      </c>
      <c r="C1236" s="14" t="s">
        <v>529</v>
      </c>
      <c r="D1236" s="24" t="s">
        <v>556</v>
      </c>
      <c r="E1236" s="23" t="s">
        <v>13</v>
      </c>
      <c r="F1236" s="26">
        <v>20</v>
      </c>
      <c r="G1236" s="26">
        <v>10</v>
      </c>
      <c r="H1236" s="34"/>
      <c r="I1236" s="84">
        <v>1561.08</v>
      </c>
      <c r="J1236" s="136"/>
      <c r="K1236" s="118">
        <v>2247.6</v>
      </c>
      <c r="L1236" s="35"/>
      <c r="M1236" s="85"/>
      <c r="N1236" s="38" t="s">
        <v>643</v>
      </c>
      <c r="O1236" s="68"/>
      <c r="P1236" s="193">
        <v>46082</v>
      </c>
    </row>
    <row r="1237" spans="1:16" ht="12.75" customHeight="1">
      <c r="A1237" s="110">
        <f t="shared" si="26"/>
        <v>1216</v>
      </c>
      <c r="B1237" s="156" t="s">
        <v>528</v>
      </c>
      <c r="C1237" s="14" t="s">
        <v>529</v>
      </c>
      <c r="D1237" s="24" t="s">
        <v>556</v>
      </c>
      <c r="E1237" s="23" t="s">
        <v>13</v>
      </c>
      <c r="F1237" s="26">
        <v>16</v>
      </c>
      <c r="G1237" s="26">
        <v>12</v>
      </c>
      <c r="H1237" s="34"/>
      <c r="I1237" s="84">
        <v>1732.72</v>
      </c>
      <c r="J1237" s="136"/>
      <c r="K1237" s="118">
        <v>2018.76</v>
      </c>
      <c r="L1237" s="35"/>
      <c r="M1237" s="85"/>
      <c r="N1237" s="38" t="s">
        <v>643</v>
      </c>
      <c r="O1237" s="68"/>
      <c r="P1237" s="193">
        <v>46082</v>
      </c>
    </row>
    <row r="1238" spans="1:16" ht="12.75" customHeight="1">
      <c r="A1238" s="110">
        <f t="shared" si="26"/>
        <v>1217</v>
      </c>
      <c r="B1238" s="54" t="s">
        <v>405</v>
      </c>
      <c r="C1238" s="14" t="s">
        <v>134</v>
      </c>
      <c r="D1238" s="15" t="s">
        <v>110</v>
      </c>
      <c r="E1238" s="14" t="s">
        <v>19</v>
      </c>
      <c r="F1238" s="26">
        <v>16</v>
      </c>
      <c r="G1238" s="26">
        <v>10</v>
      </c>
      <c r="H1238" s="34">
        <v>1576.43</v>
      </c>
      <c r="I1238" s="84"/>
      <c r="J1238" s="136">
        <v>2004.09</v>
      </c>
      <c r="K1238" s="118"/>
      <c r="L1238" s="34">
        <v>9744.02</v>
      </c>
      <c r="M1238" s="84"/>
      <c r="N1238" s="99" t="s">
        <v>642</v>
      </c>
      <c r="O1238" s="68">
        <v>590</v>
      </c>
      <c r="P1238" s="66">
        <v>41306</v>
      </c>
    </row>
    <row r="1239" spans="1:16" ht="12.75" customHeight="1">
      <c r="A1239" s="110">
        <f t="shared" si="26"/>
        <v>1218</v>
      </c>
      <c r="B1239" s="54" t="s">
        <v>406</v>
      </c>
      <c r="C1239" s="14" t="s">
        <v>135</v>
      </c>
      <c r="D1239" s="15" t="s">
        <v>110</v>
      </c>
      <c r="E1239" s="14" t="s">
        <v>19</v>
      </c>
      <c r="F1239" s="26">
        <v>20</v>
      </c>
      <c r="G1239" s="26">
        <v>10</v>
      </c>
      <c r="H1239" s="34">
        <v>1509.35</v>
      </c>
      <c r="I1239" s="84"/>
      <c r="J1239" s="136">
        <v>2220.2199999999998</v>
      </c>
      <c r="K1239" s="118"/>
      <c r="L1239" s="34">
        <v>10320.44</v>
      </c>
      <c r="M1239" s="84"/>
      <c r="N1239" s="99" t="s">
        <v>642</v>
      </c>
      <c r="O1239" s="68">
        <v>590</v>
      </c>
      <c r="P1239" s="66">
        <v>41306</v>
      </c>
    </row>
    <row r="1240" spans="1:16" ht="12.75" customHeight="1">
      <c r="A1240" s="110">
        <f t="shared" si="26"/>
        <v>1219</v>
      </c>
      <c r="B1240" s="54" t="s">
        <v>407</v>
      </c>
      <c r="C1240" s="14" t="s">
        <v>135</v>
      </c>
      <c r="D1240" s="15" t="s">
        <v>136</v>
      </c>
      <c r="E1240" s="14" t="s">
        <v>19</v>
      </c>
      <c r="F1240" s="26">
        <v>20</v>
      </c>
      <c r="G1240" s="26">
        <v>10</v>
      </c>
      <c r="H1240" s="34">
        <v>1533.01</v>
      </c>
      <c r="I1240" s="84"/>
      <c r="J1240" s="136">
        <v>2243.87</v>
      </c>
      <c r="K1240" s="118"/>
      <c r="L1240" s="34">
        <v>10320.44</v>
      </c>
      <c r="M1240" s="84"/>
      <c r="N1240" s="99" t="s">
        <v>642</v>
      </c>
      <c r="O1240" s="68">
        <v>590</v>
      </c>
      <c r="P1240" s="66">
        <v>41306</v>
      </c>
    </row>
    <row r="1241" spans="1:16" ht="12.75" customHeight="1">
      <c r="A1241" s="110">
        <f t="shared" si="26"/>
        <v>1220</v>
      </c>
      <c r="B1241" s="54" t="s">
        <v>408</v>
      </c>
      <c r="C1241" s="14" t="s">
        <v>137</v>
      </c>
      <c r="D1241" s="15" t="s">
        <v>138</v>
      </c>
      <c r="E1241" s="14" t="s">
        <v>19</v>
      </c>
      <c r="F1241" s="26">
        <v>16</v>
      </c>
      <c r="G1241" s="26">
        <v>10</v>
      </c>
      <c r="H1241" s="34">
        <v>1658.99</v>
      </c>
      <c r="I1241" s="84"/>
      <c r="J1241" s="136">
        <v>2192.14</v>
      </c>
      <c r="K1241" s="118"/>
      <c r="L1241" s="34">
        <v>10320.44</v>
      </c>
      <c r="M1241" s="84"/>
      <c r="N1241" s="99" t="s">
        <v>642</v>
      </c>
      <c r="O1241" s="68">
        <v>590</v>
      </c>
      <c r="P1241" s="66">
        <v>41306</v>
      </c>
    </row>
    <row r="1242" spans="1:16" s="8" customFormat="1" ht="12.75" customHeight="1">
      <c r="A1242" s="110">
        <f t="shared" si="26"/>
        <v>1221</v>
      </c>
      <c r="B1242" s="54" t="s">
        <v>409</v>
      </c>
      <c r="C1242" s="14" t="s">
        <v>135</v>
      </c>
      <c r="D1242" s="17" t="s">
        <v>139</v>
      </c>
      <c r="E1242" s="14" t="s">
        <v>19</v>
      </c>
      <c r="F1242" s="26">
        <v>20</v>
      </c>
      <c r="G1242" s="26">
        <v>10</v>
      </c>
      <c r="H1242" s="34">
        <v>1521.18</v>
      </c>
      <c r="I1242" s="84"/>
      <c r="J1242" s="136">
        <v>2232.0500000000002</v>
      </c>
      <c r="K1242" s="118"/>
      <c r="L1242" s="34">
        <v>10320.44</v>
      </c>
      <c r="M1242" s="84"/>
      <c r="N1242" s="99" t="s">
        <v>642</v>
      </c>
      <c r="O1242" s="68">
        <v>590</v>
      </c>
      <c r="P1242" s="66">
        <v>41306</v>
      </c>
    </row>
    <row r="1243" spans="1:16" s="8" customFormat="1" ht="12.75" customHeight="1">
      <c r="A1243" s="110">
        <f t="shared" si="26"/>
        <v>1222</v>
      </c>
      <c r="B1243" s="54" t="s">
        <v>410</v>
      </c>
      <c r="C1243" s="14" t="s">
        <v>140</v>
      </c>
      <c r="D1243" s="15" t="s">
        <v>141</v>
      </c>
      <c r="E1243" s="14" t="s">
        <v>19</v>
      </c>
      <c r="F1243" s="26">
        <v>20</v>
      </c>
      <c r="G1243" s="26">
        <v>10</v>
      </c>
      <c r="H1243" s="34">
        <v>1853.31</v>
      </c>
      <c r="I1243" s="84"/>
      <c r="J1243" s="136">
        <v>2356.4499999999998</v>
      </c>
      <c r="K1243" s="118"/>
      <c r="L1243" s="34">
        <v>12107.09</v>
      </c>
      <c r="M1243" s="84"/>
      <c r="N1243" s="38" t="s">
        <v>796</v>
      </c>
      <c r="O1243" s="69">
        <v>604</v>
      </c>
      <c r="P1243" s="66">
        <v>41306</v>
      </c>
    </row>
    <row r="1244" spans="1:16" s="8" customFormat="1" ht="12.75" customHeight="1">
      <c r="A1244" s="110">
        <f t="shared" si="26"/>
        <v>1223</v>
      </c>
      <c r="B1244" s="54" t="s">
        <v>411</v>
      </c>
      <c r="C1244" s="14" t="s">
        <v>140</v>
      </c>
      <c r="D1244" s="15" t="s">
        <v>142</v>
      </c>
      <c r="E1244" s="14" t="s">
        <v>19</v>
      </c>
      <c r="F1244" s="26">
        <v>20</v>
      </c>
      <c r="G1244" s="26">
        <v>10</v>
      </c>
      <c r="H1244" s="34">
        <v>1794.86</v>
      </c>
      <c r="I1244" s="84"/>
      <c r="J1244" s="136">
        <v>2298</v>
      </c>
      <c r="K1244" s="118"/>
      <c r="L1244" s="34">
        <v>12107.09</v>
      </c>
      <c r="M1244" s="84"/>
      <c r="N1244" s="38" t="s">
        <v>796</v>
      </c>
      <c r="O1244" s="69">
        <v>604</v>
      </c>
      <c r="P1244" s="66">
        <v>41306</v>
      </c>
    </row>
    <row r="1245" spans="1:16" s="8" customFormat="1" ht="12.75" customHeight="1">
      <c r="A1245" s="110">
        <f t="shared" si="26"/>
        <v>1224</v>
      </c>
      <c r="B1245" s="54" t="s">
        <v>412</v>
      </c>
      <c r="C1245" s="14" t="s">
        <v>140</v>
      </c>
      <c r="D1245" s="15" t="s">
        <v>143</v>
      </c>
      <c r="E1245" s="14" t="s">
        <v>19</v>
      </c>
      <c r="F1245" s="26">
        <v>20</v>
      </c>
      <c r="G1245" s="26">
        <v>10</v>
      </c>
      <c r="H1245" s="34">
        <v>1794.86</v>
      </c>
      <c r="I1245" s="84"/>
      <c r="J1245" s="136">
        <v>2298</v>
      </c>
      <c r="K1245" s="118"/>
      <c r="L1245" s="34">
        <v>12107.09</v>
      </c>
      <c r="M1245" s="84"/>
      <c r="N1245" s="38" t="s">
        <v>796</v>
      </c>
      <c r="O1245" s="69">
        <v>604</v>
      </c>
      <c r="P1245" s="66">
        <v>41306</v>
      </c>
    </row>
    <row r="1246" spans="1:16" s="8" customFormat="1" ht="12.75" customHeight="1">
      <c r="A1246" s="110">
        <f t="shared" si="26"/>
        <v>1225</v>
      </c>
      <c r="B1246" s="54" t="s">
        <v>413</v>
      </c>
      <c r="C1246" s="14" t="s">
        <v>140</v>
      </c>
      <c r="D1246" s="15" t="s">
        <v>144</v>
      </c>
      <c r="E1246" s="14" t="s">
        <v>19</v>
      </c>
      <c r="F1246" s="26">
        <v>20</v>
      </c>
      <c r="G1246" s="26">
        <v>10</v>
      </c>
      <c r="H1246" s="34">
        <v>1794.86</v>
      </c>
      <c r="I1246" s="84"/>
      <c r="J1246" s="136">
        <v>2298</v>
      </c>
      <c r="K1246" s="118"/>
      <c r="L1246" s="34">
        <v>12107.09</v>
      </c>
      <c r="M1246" s="84"/>
      <c r="N1246" s="38" t="s">
        <v>796</v>
      </c>
      <c r="O1246" s="69">
        <v>604</v>
      </c>
      <c r="P1246" s="66">
        <v>41306</v>
      </c>
    </row>
    <row r="1247" spans="1:16" s="8" customFormat="1" ht="12.75" customHeight="1">
      <c r="A1247" s="110">
        <f t="shared" si="26"/>
        <v>1226</v>
      </c>
      <c r="B1247" s="54" t="s">
        <v>414</v>
      </c>
      <c r="C1247" s="14" t="s">
        <v>140</v>
      </c>
      <c r="D1247" s="15" t="s">
        <v>145</v>
      </c>
      <c r="E1247" s="14" t="s">
        <v>19</v>
      </c>
      <c r="F1247" s="26">
        <v>20</v>
      </c>
      <c r="G1247" s="26">
        <v>10</v>
      </c>
      <c r="H1247" s="34">
        <v>1785.16</v>
      </c>
      <c r="I1247" s="84"/>
      <c r="J1247" s="136">
        <v>2288.29</v>
      </c>
      <c r="K1247" s="118"/>
      <c r="L1247" s="34">
        <v>12107.09</v>
      </c>
      <c r="M1247" s="84"/>
      <c r="N1247" s="38" t="s">
        <v>796</v>
      </c>
      <c r="O1247" s="69">
        <v>604</v>
      </c>
      <c r="P1247" s="66">
        <v>41306</v>
      </c>
    </row>
    <row r="1248" spans="1:16" s="8" customFormat="1" ht="12.75" customHeight="1">
      <c r="A1248" s="110">
        <f t="shared" si="26"/>
        <v>1227</v>
      </c>
      <c r="B1248" s="54" t="s">
        <v>415</v>
      </c>
      <c r="C1248" s="14" t="s">
        <v>140</v>
      </c>
      <c r="D1248" s="24" t="s">
        <v>557</v>
      </c>
      <c r="E1248" s="14" t="s">
        <v>19</v>
      </c>
      <c r="F1248" s="26">
        <v>20</v>
      </c>
      <c r="G1248" s="26">
        <v>10</v>
      </c>
      <c r="H1248" s="34">
        <v>1796.21</v>
      </c>
      <c r="I1248" s="84"/>
      <c r="J1248" s="136">
        <v>2457.7199999999998</v>
      </c>
      <c r="K1248" s="118"/>
      <c r="L1248" s="34">
        <v>11798.27</v>
      </c>
      <c r="M1248" s="84"/>
      <c r="N1248" s="38" t="s">
        <v>796</v>
      </c>
      <c r="O1248" s="69">
        <v>604</v>
      </c>
      <c r="P1248" s="66">
        <v>43231</v>
      </c>
    </row>
    <row r="1249" spans="1:16" s="8" customFormat="1" ht="12.75" customHeight="1">
      <c r="A1249" s="110">
        <f t="shared" si="26"/>
        <v>1228</v>
      </c>
      <c r="B1249" s="54" t="s">
        <v>416</v>
      </c>
      <c r="C1249" s="14" t="s">
        <v>140</v>
      </c>
      <c r="D1249" s="24" t="s">
        <v>558</v>
      </c>
      <c r="E1249" s="14" t="s">
        <v>19</v>
      </c>
      <c r="F1249" s="26">
        <v>20</v>
      </c>
      <c r="G1249" s="26">
        <v>10</v>
      </c>
      <c r="H1249" s="34">
        <v>1854.68</v>
      </c>
      <c r="I1249" s="84">
        <v>1891.14</v>
      </c>
      <c r="J1249" s="136">
        <v>2516.17</v>
      </c>
      <c r="K1249" s="118">
        <v>2557.14</v>
      </c>
      <c r="L1249" s="34">
        <v>11798.27</v>
      </c>
      <c r="M1249" s="84">
        <v>11932.83</v>
      </c>
      <c r="N1249" s="38" t="s">
        <v>796</v>
      </c>
      <c r="O1249" s="69">
        <v>604</v>
      </c>
      <c r="P1249" s="66">
        <v>43617</v>
      </c>
    </row>
    <row r="1250" spans="1:16" s="8" customFormat="1" ht="12.75" customHeight="1">
      <c r="A1250" s="110">
        <f t="shared" si="26"/>
        <v>1229</v>
      </c>
      <c r="B1250" s="54" t="s">
        <v>417</v>
      </c>
      <c r="C1250" s="14" t="s">
        <v>140</v>
      </c>
      <c r="D1250" s="15" t="s">
        <v>146</v>
      </c>
      <c r="E1250" s="14" t="s">
        <v>19</v>
      </c>
      <c r="F1250" s="26">
        <v>20</v>
      </c>
      <c r="G1250" s="26">
        <v>10</v>
      </c>
      <c r="H1250" s="34">
        <v>1814.4</v>
      </c>
      <c r="I1250" s="84"/>
      <c r="J1250" s="136">
        <v>2317.54</v>
      </c>
      <c r="K1250" s="118"/>
      <c r="L1250" s="34">
        <v>12107.09</v>
      </c>
      <c r="M1250" s="84"/>
      <c r="N1250" s="38" t="s">
        <v>796</v>
      </c>
      <c r="O1250" s="69">
        <v>604</v>
      </c>
      <c r="P1250" s="66">
        <v>41306</v>
      </c>
    </row>
    <row r="1251" spans="1:16" s="8" customFormat="1" ht="12.75" customHeight="1">
      <c r="A1251" s="110">
        <f t="shared" si="26"/>
        <v>1230</v>
      </c>
      <c r="B1251" s="54" t="s">
        <v>800</v>
      </c>
      <c r="C1251" s="14" t="s">
        <v>140</v>
      </c>
      <c r="D1251" s="24" t="s">
        <v>559</v>
      </c>
      <c r="E1251" s="14" t="s">
        <v>19</v>
      </c>
      <c r="F1251" s="26">
        <v>20</v>
      </c>
      <c r="G1251" s="26">
        <v>10</v>
      </c>
      <c r="H1251" s="34"/>
      <c r="I1251" s="84">
        <v>1861.93</v>
      </c>
      <c r="J1251" s="136"/>
      <c r="K1251" s="118">
        <v>2527.91</v>
      </c>
      <c r="L1251" s="34"/>
      <c r="M1251" s="84">
        <v>11932.83</v>
      </c>
      <c r="N1251" s="38" t="s">
        <v>796</v>
      </c>
      <c r="O1251" s="69">
        <v>604</v>
      </c>
      <c r="P1251" s="66">
        <v>43617</v>
      </c>
    </row>
    <row r="1252" spans="1:16" s="8" customFormat="1" ht="12.75" customHeight="1">
      <c r="A1252" s="110">
        <f t="shared" si="26"/>
        <v>1231</v>
      </c>
      <c r="B1252" s="54" t="s">
        <v>418</v>
      </c>
      <c r="C1252" s="14" t="s">
        <v>117</v>
      </c>
      <c r="D1252" s="24" t="s">
        <v>559</v>
      </c>
      <c r="E1252" s="14" t="s">
        <v>19</v>
      </c>
      <c r="F1252" s="26">
        <v>20</v>
      </c>
      <c r="G1252" s="26">
        <v>10</v>
      </c>
      <c r="H1252" s="34">
        <v>1825.46</v>
      </c>
      <c r="I1252" s="84"/>
      <c r="J1252" s="136">
        <v>2486.96</v>
      </c>
      <c r="K1252" s="118"/>
      <c r="L1252" s="34">
        <v>11798.27</v>
      </c>
      <c r="M1252" s="84"/>
      <c r="N1252" s="38" t="s">
        <v>796</v>
      </c>
      <c r="O1252" s="69">
        <v>604</v>
      </c>
      <c r="P1252" s="66">
        <v>43231</v>
      </c>
    </row>
    <row r="1253" spans="1:16" s="8" customFormat="1" ht="12.75" customHeight="1">
      <c r="A1253" s="110">
        <f t="shared" si="26"/>
        <v>1232</v>
      </c>
      <c r="B1253" s="32" t="s">
        <v>1021</v>
      </c>
      <c r="C1253" s="14" t="s">
        <v>140</v>
      </c>
      <c r="D1253" s="24" t="s">
        <v>557</v>
      </c>
      <c r="E1253" s="23" t="s">
        <v>19</v>
      </c>
      <c r="F1253" s="26">
        <v>20</v>
      </c>
      <c r="G1253" s="26">
        <v>10</v>
      </c>
      <c r="H1253" s="34"/>
      <c r="I1253" s="84">
        <v>1308.8399999999999</v>
      </c>
      <c r="J1253" s="136"/>
      <c r="K1253" s="118">
        <v>2138.15</v>
      </c>
      <c r="L1253" s="34"/>
      <c r="M1253" s="84">
        <v>16586.2</v>
      </c>
      <c r="N1253" s="38" t="s">
        <v>796</v>
      </c>
      <c r="O1253" s="69"/>
      <c r="P1253" s="66">
        <v>44562</v>
      </c>
    </row>
    <row r="1254" spans="1:16" s="8" customFormat="1" ht="12.75" customHeight="1">
      <c r="A1254" s="110">
        <f t="shared" si="26"/>
        <v>1233</v>
      </c>
      <c r="B1254" s="32" t="s">
        <v>1022</v>
      </c>
      <c r="C1254" s="14" t="s">
        <v>117</v>
      </c>
      <c r="D1254" s="24" t="s">
        <v>557</v>
      </c>
      <c r="E1254" s="23" t="s">
        <v>19</v>
      </c>
      <c r="F1254" s="46" t="s">
        <v>977</v>
      </c>
      <c r="G1254" s="26"/>
      <c r="H1254" s="34"/>
      <c r="I1254" s="84">
        <v>56043.03</v>
      </c>
      <c r="J1254" s="136"/>
      <c r="K1254" s="118"/>
      <c r="L1254" s="34"/>
      <c r="M1254" s="84"/>
      <c r="N1254" s="38" t="s">
        <v>796</v>
      </c>
      <c r="O1254" s="69"/>
      <c r="P1254" s="66">
        <v>44562</v>
      </c>
    </row>
    <row r="1255" spans="1:16" s="8" customFormat="1" ht="12.75" customHeight="1">
      <c r="A1255" s="110">
        <f t="shared" si="26"/>
        <v>1234</v>
      </c>
      <c r="B1255" s="32" t="s">
        <v>1021</v>
      </c>
      <c r="C1255" s="14" t="s">
        <v>140</v>
      </c>
      <c r="D1255" s="24" t="s">
        <v>557</v>
      </c>
      <c r="E1255" s="23" t="s">
        <v>19</v>
      </c>
      <c r="F1255" s="26">
        <v>20</v>
      </c>
      <c r="G1255" s="26">
        <v>10</v>
      </c>
      <c r="H1255" s="34"/>
      <c r="I1255" s="84">
        <v>1377.19</v>
      </c>
      <c r="J1255" s="136"/>
      <c r="K1255" s="118">
        <v>2255.66</v>
      </c>
      <c r="L1255" s="34"/>
      <c r="M1255" s="84"/>
      <c r="N1255" s="38" t="s">
        <v>796</v>
      </c>
      <c r="O1255" s="69"/>
      <c r="P1255" s="66">
        <v>45078</v>
      </c>
    </row>
    <row r="1256" spans="1:16" s="8" customFormat="1" ht="12.75" customHeight="1">
      <c r="A1256" s="110">
        <f t="shared" si="26"/>
        <v>1235</v>
      </c>
      <c r="B1256" s="32" t="s">
        <v>1022</v>
      </c>
      <c r="C1256" s="14" t="s">
        <v>117</v>
      </c>
      <c r="D1256" s="24" t="s">
        <v>557</v>
      </c>
      <c r="E1256" s="23" t="s">
        <v>19</v>
      </c>
      <c r="F1256" s="46" t="s">
        <v>977</v>
      </c>
      <c r="G1256" s="26"/>
      <c r="H1256" s="34"/>
      <c r="I1256" s="84">
        <v>56617.38</v>
      </c>
      <c r="J1256" s="140" t="s">
        <v>885</v>
      </c>
      <c r="K1256" s="118"/>
      <c r="L1256" s="34"/>
      <c r="M1256" s="84"/>
      <c r="N1256" s="38" t="s">
        <v>796</v>
      </c>
      <c r="O1256" s="69"/>
      <c r="P1256" s="66">
        <v>45078</v>
      </c>
    </row>
    <row r="1257" spans="1:16" s="8" customFormat="1" ht="12.75" customHeight="1">
      <c r="A1257" s="110">
        <f t="shared" si="26"/>
        <v>1236</v>
      </c>
      <c r="B1257" s="32" t="s">
        <v>1021</v>
      </c>
      <c r="C1257" s="14" t="s">
        <v>140</v>
      </c>
      <c r="D1257" s="24" t="s">
        <v>557</v>
      </c>
      <c r="E1257" s="23" t="s">
        <v>19</v>
      </c>
      <c r="F1257" s="26">
        <v>20</v>
      </c>
      <c r="G1257" s="26">
        <v>10</v>
      </c>
      <c r="H1257" s="34"/>
      <c r="I1257" s="84">
        <v>1583.94</v>
      </c>
      <c r="J1257" s="136"/>
      <c r="K1257" s="118">
        <v>2594.34</v>
      </c>
      <c r="L1257" s="34"/>
      <c r="M1257" s="84">
        <v>20208.36</v>
      </c>
      <c r="N1257" s="38" t="s">
        <v>796</v>
      </c>
      <c r="O1257" s="69"/>
      <c r="P1257" s="66">
        <v>45352</v>
      </c>
    </row>
    <row r="1258" spans="1:16" s="8" customFormat="1" ht="12.75" customHeight="1">
      <c r="A1258" s="110">
        <f t="shared" si="26"/>
        <v>1237</v>
      </c>
      <c r="B1258" s="32" t="s">
        <v>1021</v>
      </c>
      <c r="C1258" s="14" t="s">
        <v>140</v>
      </c>
      <c r="D1258" s="24" t="s">
        <v>557</v>
      </c>
      <c r="E1258" s="23" t="s">
        <v>19</v>
      </c>
      <c r="F1258" s="26">
        <v>19</v>
      </c>
      <c r="G1258" s="26">
        <v>11</v>
      </c>
      <c r="H1258" s="34"/>
      <c r="I1258" s="84">
        <v>1637.11</v>
      </c>
      <c r="J1258" s="136"/>
      <c r="K1258" s="118">
        <v>2410.65</v>
      </c>
      <c r="L1258" s="34"/>
      <c r="M1258" s="84"/>
      <c r="N1258" s="38" t="s">
        <v>796</v>
      </c>
      <c r="O1258" s="69"/>
      <c r="P1258" s="66">
        <v>45352</v>
      </c>
    </row>
    <row r="1259" spans="1:16" s="8" customFormat="1" ht="12.75" customHeight="1">
      <c r="A1259" s="110">
        <f t="shared" si="26"/>
        <v>1238</v>
      </c>
      <c r="B1259" s="32" t="s">
        <v>1021</v>
      </c>
      <c r="C1259" s="14" t="s">
        <v>140</v>
      </c>
      <c r="D1259" s="24" t="s">
        <v>557</v>
      </c>
      <c r="E1259" s="23" t="s">
        <v>19</v>
      </c>
      <c r="F1259" s="26">
        <v>18</v>
      </c>
      <c r="G1259" s="26">
        <v>12</v>
      </c>
      <c r="H1259" s="34"/>
      <c r="I1259" s="84">
        <v>1696.2</v>
      </c>
      <c r="J1259" s="136"/>
      <c r="K1259" s="118">
        <v>2257.52</v>
      </c>
      <c r="L1259" s="34"/>
      <c r="M1259" s="84"/>
      <c r="N1259" s="38" t="s">
        <v>796</v>
      </c>
      <c r="O1259" s="69"/>
      <c r="P1259" s="66">
        <v>45352</v>
      </c>
    </row>
    <row r="1260" spans="1:16" s="8" customFormat="1" ht="12.75" customHeight="1">
      <c r="A1260" s="110">
        <f t="shared" si="26"/>
        <v>1239</v>
      </c>
      <c r="B1260" s="32" t="s">
        <v>1021</v>
      </c>
      <c r="C1260" s="14" t="s">
        <v>140</v>
      </c>
      <c r="D1260" s="24" t="s">
        <v>557</v>
      </c>
      <c r="E1260" s="23" t="s">
        <v>19</v>
      </c>
      <c r="F1260" s="26">
        <v>17</v>
      </c>
      <c r="G1260" s="26">
        <v>13</v>
      </c>
      <c r="H1260" s="34"/>
      <c r="I1260" s="84">
        <v>1762.24</v>
      </c>
      <c r="J1260" s="136"/>
      <c r="K1260" s="118">
        <v>2127.9899999999998</v>
      </c>
      <c r="L1260" s="34"/>
      <c r="M1260" s="84"/>
      <c r="N1260" s="38" t="s">
        <v>796</v>
      </c>
      <c r="O1260" s="69"/>
      <c r="P1260" s="66">
        <v>45352</v>
      </c>
    </row>
    <row r="1261" spans="1:16" s="8" customFormat="1" ht="12.75" customHeight="1">
      <c r="A1261" s="110">
        <f t="shared" si="26"/>
        <v>1240</v>
      </c>
      <c r="B1261" s="32" t="s">
        <v>1021</v>
      </c>
      <c r="C1261" s="14" t="s">
        <v>140</v>
      </c>
      <c r="D1261" s="24" t="s">
        <v>557</v>
      </c>
      <c r="E1261" s="23" t="s">
        <v>19</v>
      </c>
      <c r="F1261" s="26">
        <v>16</v>
      </c>
      <c r="G1261" s="26">
        <v>14</v>
      </c>
      <c r="H1261" s="34"/>
      <c r="I1261" s="84">
        <v>1836.53</v>
      </c>
      <c r="J1261" s="136"/>
      <c r="K1261" s="118">
        <v>2016.95</v>
      </c>
      <c r="L1261" s="34"/>
      <c r="M1261" s="84"/>
      <c r="N1261" s="38" t="s">
        <v>796</v>
      </c>
      <c r="O1261" s="69"/>
      <c r="P1261" s="66">
        <v>45352</v>
      </c>
    </row>
    <row r="1262" spans="1:16" s="8" customFormat="1" ht="12.75" customHeight="1">
      <c r="A1262" s="110">
        <f t="shared" si="26"/>
        <v>1241</v>
      </c>
      <c r="B1262" s="32" t="s">
        <v>1021</v>
      </c>
      <c r="C1262" s="14" t="s">
        <v>140</v>
      </c>
      <c r="D1262" s="24" t="s">
        <v>557</v>
      </c>
      <c r="E1262" s="23" t="s">
        <v>19</v>
      </c>
      <c r="F1262" s="26">
        <v>15</v>
      </c>
      <c r="G1262" s="26"/>
      <c r="H1262" s="34"/>
      <c r="I1262" s="84">
        <v>1920.74</v>
      </c>
      <c r="J1262" s="136"/>
      <c r="K1262" s="118"/>
      <c r="L1262" s="34"/>
      <c r="M1262" s="84"/>
      <c r="N1262" s="38" t="s">
        <v>796</v>
      </c>
      <c r="O1262" s="69"/>
      <c r="P1262" s="66">
        <v>45352</v>
      </c>
    </row>
    <row r="1263" spans="1:16" s="8" customFormat="1" ht="12.75" customHeight="1">
      <c r="A1263" s="110">
        <f t="shared" si="26"/>
        <v>1242</v>
      </c>
      <c r="B1263" s="32" t="s">
        <v>1021</v>
      </c>
      <c r="C1263" s="14" t="s">
        <v>140</v>
      </c>
      <c r="D1263" s="24" t="s">
        <v>557</v>
      </c>
      <c r="E1263" s="23" t="s">
        <v>19</v>
      </c>
      <c r="F1263" s="26">
        <v>20</v>
      </c>
      <c r="G1263" s="26">
        <v>10</v>
      </c>
      <c r="H1263" s="34"/>
      <c r="I1263" s="84">
        <v>1865.26</v>
      </c>
      <c r="J1263" s="136"/>
      <c r="K1263" s="118">
        <v>3053.73</v>
      </c>
      <c r="L1263" s="34"/>
      <c r="M1263" s="84">
        <v>23769.81</v>
      </c>
      <c r="N1263" s="38" t="s">
        <v>796</v>
      </c>
      <c r="O1263" s="69"/>
      <c r="P1263" s="66">
        <v>45689</v>
      </c>
    </row>
    <row r="1264" spans="1:16" s="8" customFormat="1" ht="12.75" customHeight="1">
      <c r="A1264" s="110">
        <f t="shared" si="26"/>
        <v>1243</v>
      </c>
      <c r="B1264" s="32" t="s">
        <v>1021</v>
      </c>
      <c r="C1264" s="14" t="s">
        <v>140</v>
      </c>
      <c r="D1264" s="24" t="s">
        <v>557</v>
      </c>
      <c r="E1264" s="23" t="s">
        <v>19</v>
      </c>
      <c r="F1264" s="26">
        <v>19</v>
      </c>
      <c r="G1264" s="26">
        <v>11</v>
      </c>
      <c r="H1264" s="34"/>
      <c r="I1264" s="84">
        <v>1927.81</v>
      </c>
      <c r="J1264" s="136"/>
      <c r="K1264" s="118">
        <v>2837.65</v>
      </c>
      <c r="L1264" s="34"/>
      <c r="M1264" s="84"/>
      <c r="N1264" s="38" t="s">
        <v>796</v>
      </c>
      <c r="O1264" s="69"/>
      <c r="P1264" s="66">
        <v>45689</v>
      </c>
    </row>
    <row r="1265" spans="1:16" s="8" customFormat="1" ht="12.75" customHeight="1">
      <c r="A1265" s="110">
        <f t="shared" si="26"/>
        <v>1244</v>
      </c>
      <c r="B1265" s="32" t="s">
        <v>1021</v>
      </c>
      <c r="C1265" s="14" t="s">
        <v>140</v>
      </c>
      <c r="D1265" s="24" t="s">
        <v>557</v>
      </c>
      <c r="E1265" s="23" t="s">
        <v>19</v>
      </c>
      <c r="F1265" s="26">
        <v>18</v>
      </c>
      <c r="G1265" s="26">
        <v>12</v>
      </c>
      <c r="H1265" s="34"/>
      <c r="I1265" s="84">
        <v>1997.3</v>
      </c>
      <c r="J1265" s="136"/>
      <c r="K1265" s="118">
        <v>2657.57</v>
      </c>
      <c r="L1265" s="34"/>
      <c r="M1265" s="84"/>
      <c r="N1265" s="38" t="s">
        <v>796</v>
      </c>
      <c r="O1265" s="69"/>
      <c r="P1265" s="66">
        <v>45689</v>
      </c>
    </row>
    <row r="1266" spans="1:16" s="8" customFormat="1" ht="12.75" customHeight="1">
      <c r="A1266" s="110">
        <f t="shared" si="26"/>
        <v>1245</v>
      </c>
      <c r="B1266" s="32" t="s">
        <v>1021</v>
      </c>
      <c r="C1266" s="14" t="s">
        <v>140</v>
      </c>
      <c r="D1266" s="24" t="s">
        <v>557</v>
      </c>
      <c r="E1266" s="23" t="s">
        <v>19</v>
      </c>
      <c r="F1266" s="26">
        <v>17</v>
      </c>
      <c r="G1266" s="26">
        <v>13</v>
      </c>
      <c r="H1266" s="34"/>
      <c r="I1266" s="84">
        <v>2074.98</v>
      </c>
      <c r="J1266" s="136"/>
      <c r="K1266" s="118">
        <v>2505.1999999999998</v>
      </c>
      <c r="L1266" s="34"/>
      <c r="M1266" s="84"/>
      <c r="N1266" s="38" t="s">
        <v>796</v>
      </c>
      <c r="O1266" s="69"/>
      <c r="P1266" s="66">
        <v>45689</v>
      </c>
    </row>
    <row r="1267" spans="1:16" s="8" customFormat="1" ht="12.75" customHeight="1">
      <c r="A1267" s="110">
        <f t="shared" si="26"/>
        <v>1246</v>
      </c>
      <c r="B1267" s="32" t="s">
        <v>1021</v>
      </c>
      <c r="C1267" s="14" t="s">
        <v>140</v>
      </c>
      <c r="D1267" s="24" t="s">
        <v>557</v>
      </c>
      <c r="E1267" s="23" t="s">
        <v>19</v>
      </c>
      <c r="F1267" s="26">
        <v>16</v>
      </c>
      <c r="G1267" s="26">
        <v>14</v>
      </c>
      <c r="H1267" s="34"/>
      <c r="I1267" s="84">
        <v>2162.38</v>
      </c>
      <c r="J1267" s="136"/>
      <c r="K1267" s="118">
        <v>2374.62</v>
      </c>
      <c r="L1267" s="34"/>
      <c r="M1267" s="84"/>
      <c r="N1267" s="38" t="s">
        <v>796</v>
      </c>
      <c r="O1267" s="69"/>
      <c r="P1267" s="66">
        <v>45689</v>
      </c>
    </row>
    <row r="1268" spans="1:16" s="8" customFormat="1" ht="12.75" customHeight="1">
      <c r="A1268" s="110">
        <f t="shared" si="26"/>
        <v>1247</v>
      </c>
      <c r="B1268" s="32" t="s">
        <v>1021</v>
      </c>
      <c r="C1268" s="14" t="s">
        <v>140</v>
      </c>
      <c r="D1268" s="24" t="s">
        <v>557</v>
      </c>
      <c r="E1268" s="23" t="s">
        <v>19</v>
      </c>
      <c r="F1268" s="26">
        <v>15</v>
      </c>
      <c r="G1268" s="26"/>
      <c r="H1268" s="34"/>
      <c r="I1268" s="84">
        <v>2261.4</v>
      </c>
      <c r="J1268" s="136"/>
      <c r="K1268" s="118"/>
      <c r="L1268" s="34"/>
      <c r="M1268" s="84"/>
      <c r="N1268" s="38" t="s">
        <v>796</v>
      </c>
      <c r="O1268" s="69"/>
      <c r="P1268" s="66">
        <v>45689</v>
      </c>
    </row>
    <row r="1269" spans="1:16" s="8" customFormat="1" ht="12.75" customHeight="1">
      <c r="A1269" s="110">
        <f t="shared" si="26"/>
        <v>1248</v>
      </c>
      <c r="B1269" s="32" t="s">
        <v>1022</v>
      </c>
      <c r="C1269" s="14" t="s">
        <v>117</v>
      </c>
      <c r="D1269" s="24" t="s">
        <v>557</v>
      </c>
      <c r="E1269" s="23" t="s">
        <v>19</v>
      </c>
      <c r="F1269" s="46" t="s">
        <v>977</v>
      </c>
      <c r="G1269" s="26"/>
      <c r="H1269" s="34"/>
      <c r="I1269" s="84">
        <v>78707.37</v>
      </c>
      <c r="J1269" s="140" t="s">
        <v>885</v>
      </c>
      <c r="K1269" s="118"/>
      <c r="L1269" s="34"/>
      <c r="M1269" s="84"/>
      <c r="N1269" s="38" t="s">
        <v>796</v>
      </c>
      <c r="O1269" s="69"/>
      <c r="P1269" s="66">
        <v>45352</v>
      </c>
    </row>
    <row r="1270" spans="1:16" s="8" customFormat="1" ht="12.75" customHeight="1">
      <c r="A1270" s="110">
        <f t="shared" si="26"/>
        <v>1249</v>
      </c>
      <c r="B1270" s="32" t="s">
        <v>1022</v>
      </c>
      <c r="C1270" s="14" t="s">
        <v>117</v>
      </c>
      <c r="D1270" s="24" t="s">
        <v>557</v>
      </c>
      <c r="E1270" s="23" t="s">
        <v>19</v>
      </c>
      <c r="F1270" s="46" t="s">
        <v>977</v>
      </c>
      <c r="G1270" s="26"/>
      <c r="H1270" s="34"/>
      <c r="I1270" s="84">
        <v>90878.26</v>
      </c>
      <c r="J1270" s="140" t="s">
        <v>885</v>
      </c>
      <c r="K1270" s="118"/>
      <c r="L1270" s="34"/>
      <c r="M1270" s="84"/>
      <c r="N1270" s="38" t="s">
        <v>796</v>
      </c>
      <c r="O1270" s="69"/>
      <c r="P1270" s="66">
        <v>45689</v>
      </c>
    </row>
    <row r="1271" spans="1:16" s="8" customFormat="1" ht="12.75" customHeight="1">
      <c r="A1271" s="110">
        <f t="shared" si="26"/>
        <v>1250</v>
      </c>
      <c r="B1271" s="156" t="s">
        <v>1021</v>
      </c>
      <c r="C1271" s="14" t="s">
        <v>117</v>
      </c>
      <c r="D1271" s="24" t="s">
        <v>557</v>
      </c>
      <c r="E1271" s="23" t="s">
        <v>19</v>
      </c>
      <c r="F1271" s="46">
        <v>20</v>
      </c>
      <c r="G1271" s="26">
        <v>10</v>
      </c>
      <c r="H1271" s="34"/>
      <c r="I1271" s="84">
        <v>2183.5</v>
      </c>
      <c r="J1271" s="140"/>
      <c r="K1271" s="118">
        <v>3570.47</v>
      </c>
      <c r="L1271" s="34"/>
      <c r="M1271" s="84">
        <v>27739.1</v>
      </c>
      <c r="N1271" s="38" t="s">
        <v>796</v>
      </c>
      <c r="O1271" s="69"/>
      <c r="P1271" s="193">
        <v>46082</v>
      </c>
    </row>
    <row r="1272" spans="1:16" s="8" customFormat="1" ht="12.75" customHeight="1">
      <c r="A1272" s="110">
        <f t="shared" ref="A1272:A1335" si="27">A1271+1</f>
        <v>1251</v>
      </c>
      <c r="B1272" s="156" t="s">
        <v>1021</v>
      </c>
      <c r="C1272" s="14" t="s">
        <v>117</v>
      </c>
      <c r="D1272" s="24" t="s">
        <v>557</v>
      </c>
      <c r="E1272" s="23" t="s">
        <v>19</v>
      </c>
      <c r="F1272" s="46">
        <v>19</v>
      </c>
      <c r="G1272" s="26">
        <v>11</v>
      </c>
      <c r="H1272" s="34"/>
      <c r="I1272" s="84">
        <v>2256.5</v>
      </c>
      <c r="J1272" s="140"/>
      <c r="K1272" s="118">
        <v>3318.29</v>
      </c>
      <c r="L1272" s="34"/>
      <c r="M1272" s="84"/>
      <c r="N1272" s="38" t="s">
        <v>796</v>
      </c>
      <c r="O1272" s="69"/>
      <c r="P1272" s="193">
        <v>46082</v>
      </c>
    </row>
    <row r="1273" spans="1:16" s="8" customFormat="1" ht="12.75" customHeight="1">
      <c r="A1273" s="110">
        <f t="shared" si="27"/>
        <v>1252</v>
      </c>
      <c r="B1273" s="156" t="s">
        <v>1021</v>
      </c>
      <c r="C1273" s="14" t="s">
        <v>117</v>
      </c>
      <c r="D1273" s="24" t="s">
        <v>557</v>
      </c>
      <c r="E1273" s="23" t="s">
        <v>19</v>
      </c>
      <c r="F1273" s="46">
        <v>18</v>
      </c>
      <c r="G1273" s="26">
        <v>12</v>
      </c>
      <c r="H1273" s="34"/>
      <c r="I1273" s="84">
        <v>2337.62</v>
      </c>
      <c r="J1273" s="140"/>
      <c r="K1273" s="118">
        <v>3108.13</v>
      </c>
      <c r="L1273" s="34"/>
      <c r="M1273" s="84"/>
      <c r="N1273" s="38" t="s">
        <v>796</v>
      </c>
      <c r="O1273" s="69"/>
      <c r="P1273" s="193">
        <v>46082</v>
      </c>
    </row>
    <row r="1274" spans="1:16" s="8" customFormat="1" ht="12.75" customHeight="1">
      <c r="A1274" s="110">
        <f t="shared" si="27"/>
        <v>1253</v>
      </c>
      <c r="B1274" s="156" t="s">
        <v>1021</v>
      </c>
      <c r="C1274" s="14" t="s">
        <v>117</v>
      </c>
      <c r="D1274" s="24" t="s">
        <v>557</v>
      </c>
      <c r="E1274" s="23" t="s">
        <v>19</v>
      </c>
      <c r="F1274" s="46">
        <v>17</v>
      </c>
      <c r="G1274" s="26">
        <v>13</v>
      </c>
      <c r="H1274" s="34"/>
      <c r="I1274" s="84">
        <v>2428.2399999999998</v>
      </c>
      <c r="J1274" s="140"/>
      <c r="K1274" s="118">
        <v>2930.31</v>
      </c>
      <c r="L1274" s="34"/>
      <c r="M1274" s="84"/>
      <c r="N1274" s="38" t="s">
        <v>796</v>
      </c>
      <c r="O1274" s="69"/>
      <c r="P1274" s="193">
        <v>46082</v>
      </c>
    </row>
    <row r="1275" spans="1:16" s="8" customFormat="1" ht="12.75" customHeight="1">
      <c r="A1275" s="110">
        <f t="shared" si="27"/>
        <v>1254</v>
      </c>
      <c r="B1275" s="156" t="s">
        <v>1021</v>
      </c>
      <c r="C1275" s="14" t="s">
        <v>117</v>
      </c>
      <c r="D1275" s="24" t="s">
        <v>557</v>
      </c>
      <c r="E1275" s="23" t="s">
        <v>19</v>
      </c>
      <c r="F1275" s="46">
        <v>16</v>
      </c>
      <c r="G1275" s="26">
        <v>14</v>
      </c>
      <c r="H1275" s="34"/>
      <c r="I1275" s="84">
        <v>2530.2600000000002</v>
      </c>
      <c r="J1275" s="140"/>
      <c r="K1275" s="118">
        <v>2777.91</v>
      </c>
      <c r="L1275" s="34"/>
      <c r="M1275" s="84"/>
      <c r="N1275" s="38" t="s">
        <v>796</v>
      </c>
      <c r="O1275" s="69"/>
      <c r="P1275" s="193">
        <v>46082</v>
      </c>
    </row>
    <row r="1276" spans="1:16" s="8" customFormat="1" ht="12.75" customHeight="1">
      <c r="A1276" s="110">
        <f t="shared" si="27"/>
        <v>1255</v>
      </c>
      <c r="B1276" s="156" t="s">
        <v>1021</v>
      </c>
      <c r="C1276" s="14" t="s">
        <v>117</v>
      </c>
      <c r="D1276" s="24" t="s">
        <v>557</v>
      </c>
      <c r="E1276" s="23" t="s">
        <v>19</v>
      </c>
      <c r="F1276" s="46">
        <v>15</v>
      </c>
      <c r="G1276" s="26"/>
      <c r="H1276" s="34"/>
      <c r="I1276" s="84">
        <v>2645.84</v>
      </c>
      <c r="J1276" s="140"/>
      <c r="K1276" s="118"/>
      <c r="L1276" s="34"/>
      <c r="M1276" s="84"/>
      <c r="N1276" s="38" t="s">
        <v>796</v>
      </c>
      <c r="O1276" s="69"/>
      <c r="P1276" s="193">
        <v>46082</v>
      </c>
    </row>
    <row r="1277" spans="1:16" s="8" customFormat="1" ht="12.75" customHeight="1">
      <c r="A1277" s="110">
        <f t="shared" si="27"/>
        <v>1256</v>
      </c>
      <c r="B1277" s="156" t="s">
        <v>1022</v>
      </c>
      <c r="C1277" s="14" t="s">
        <v>117</v>
      </c>
      <c r="D1277" s="24" t="s">
        <v>557</v>
      </c>
      <c r="E1277" s="23" t="s">
        <v>19</v>
      </c>
      <c r="F1277" s="46" t="s">
        <v>977</v>
      </c>
      <c r="G1277" s="26"/>
      <c r="H1277" s="34"/>
      <c r="I1277" s="84">
        <v>114391.35</v>
      </c>
      <c r="J1277" s="140"/>
      <c r="K1277" s="118"/>
      <c r="L1277" s="34"/>
      <c r="M1277" s="84"/>
      <c r="N1277" s="38" t="s">
        <v>796</v>
      </c>
      <c r="O1277" s="69"/>
      <c r="P1277" s="193">
        <v>46082</v>
      </c>
    </row>
    <row r="1278" spans="1:16" s="8" customFormat="1" ht="12.75" customHeight="1">
      <c r="A1278" s="110">
        <f t="shared" si="27"/>
        <v>1257</v>
      </c>
      <c r="B1278" s="32" t="s">
        <v>1019</v>
      </c>
      <c r="C1278" s="14" t="s">
        <v>117</v>
      </c>
      <c r="D1278" s="24" t="s">
        <v>559</v>
      </c>
      <c r="E1278" s="23" t="s">
        <v>19</v>
      </c>
      <c r="F1278" s="26">
        <v>20</v>
      </c>
      <c r="G1278" s="26">
        <v>10</v>
      </c>
      <c r="H1278" s="34"/>
      <c r="I1278" s="84">
        <v>1308.8399999999999</v>
      </c>
      <c r="J1278" s="136"/>
      <c r="K1278" s="118">
        <v>2138.15</v>
      </c>
      <c r="L1278" s="34"/>
      <c r="M1278" s="84">
        <v>16586.2</v>
      </c>
      <c r="N1278" s="38" t="s">
        <v>796</v>
      </c>
      <c r="O1278" s="69"/>
      <c r="P1278" s="66">
        <v>44562</v>
      </c>
    </row>
    <row r="1279" spans="1:16" s="8" customFormat="1" ht="12.75" customHeight="1">
      <c r="A1279" s="110">
        <f t="shared" si="27"/>
        <v>1258</v>
      </c>
      <c r="B1279" s="32" t="s">
        <v>1020</v>
      </c>
      <c r="C1279" s="14" t="s">
        <v>117</v>
      </c>
      <c r="D1279" s="24" t="s">
        <v>559</v>
      </c>
      <c r="E1279" s="23" t="s">
        <v>19</v>
      </c>
      <c r="F1279" s="46" t="s">
        <v>977</v>
      </c>
      <c r="G1279" s="26"/>
      <c r="H1279" s="34"/>
      <c r="I1279" s="84">
        <v>38099.11</v>
      </c>
      <c r="J1279" s="136"/>
      <c r="K1279" s="118"/>
      <c r="L1279" s="34"/>
      <c r="M1279" s="84"/>
      <c r="N1279" s="38" t="s">
        <v>796</v>
      </c>
      <c r="O1279" s="69"/>
      <c r="P1279" s="66">
        <v>44562</v>
      </c>
    </row>
    <row r="1280" spans="1:16" s="8" customFormat="1" ht="12.75" customHeight="1">
      <c r="A1280" s="110">
        <f t="shared" si="27"/>
        <v>1259</v>
      </c>
      <c r="B1280" s="32" t="s">
        <v>1019</v>
      </c>
      <c r="C1280" s="14" t="s">
        <v>117</v>
      </c>
      <c r="D1280" s="24" t="s">
        <v>559</v>
      </c>
      <c r="E1280" s="23" t="s">
        <v>19</v>
      </c>
      <c r="F1280" s="26">
        <v>20</v>
      </c>
      <c r="G1280" s="26">
        <v>10</v>
      </c>
      <c r="H1280" s="34"/>
      <c r="I1280" s="84">
        <v>1421.58</v>
      </c>
      <c r="J1280" s="136"/>
      <c r="K1280" s="118">
        <v>2300.04</v>
      </c>
      <c r="L1280" s="34"/>
      <c r="M1280" s="84"/>
      <c r="N1280" s="38" t="s">
        <v>796</v>
      </c>
      <c r="O1280" s="69"/>
      <c r="P1280" s="66">
        <v>45078</v>
      </c>
    </row>
    <row r="1281" spans="1:16" s="8" customFormat="1" ht="13.5" customHeight="1">
      <c r="A1281" s="110">
        <f t="shared" si="27"/>
        <v>1260</v>
      </c>
      <c r="B1281" s="32" t="s">
        <v>1020</v>
      </c>
      <c r="C1281" s="14" t="s">
        <v>117</v>
      </c>
      <c r="D1281" s="24" t="s">
        <v>559</v>
      </c>
      <c r="E1281" s="23" t="s">
        <v>19</v>
      </c>
      <c r="F1281" s="46" t="s">
        <v>977</v>
      </c>
      <c r="G1281" s="26"/>
      <c r="H1281" s="34"/>
      <c r="I1281" s="84">
        <v>64022.11</v>
      </c>
      <c r="J1281" s="136"/>
      <c r="K1281" s="118"/>
      <c r="L1281" s="34"/>
      <c r="M1281" s="84"/>
      <c r="N1281" s="38" t="s">
        <v>796</v>
      </c>
      <c r="O1281" s="69"/>
      <c r="P1281" s="66">
        <v>45078</v>
      </c>
    </row>
    <row r="1282" spans="1:16" s="8" customFormat="1" ht="12.75" customHeight="1">
      <c r="A1282" s="110">
        <f t="shared" si="27"/>
        <v>1261</v>
      </c>
      <c r="B1282" s="32" t="s">
        <v>1019</v>
      </c>
      <c r="C1282" s="14" t="s">
        <v>117</v>
      </c>
      <c r="D1282" s="24" t="s">
        <v>559</v>
      </c>
      <c r="E1282" s="23" t="s">
        <v>19</v>
      </c>
      <c r="F1282" s="26">
        <v>20</v>
      </c>
      <c r="G1282" s="26">
        <v>10</v>
      </c>
      <c r="H1282" s="34"/>
      <c r="I1282" s="84">
        <v>1634.98</v>
      </c>
      <c r="J1282" s="136"/>
      <c r="K1282" s="118">
        <v>2645.4</v>
      </c>
      <c r="L1282" s="34"/>
      <c r="M1282" s="84">
        <v>20208.36</v>
      </c>
      <c r="N1282" s="38" t="s">
        <v>796</v>
      </c>
      <c r="O1282" s="69"/>
      <c r="P1282" s="66">
        <v>45352</v>
      </c>
    </row>
    <row r="1283" spans="1:16" s="8" customFormat="1" ht="12.75" customHeight="1">
      <c r="A1283" s="110">
        <f t="shared" si="27"/>
        <v>1262</v>
      </c>
      <c r="B1283" s="32" t="s">
        <v>1019</v>
      </c>
      <c r="C1283" s="14" t="s">
        <v>117</v>
      </c>
      <c r="D1283" s="24" t="s">
        <v>559</v>
      </c>
      <c r="E1283" s="23" t="s">
        <v>19</v>
      </c>
      <c r="F1283" s="26">
        <v>19</v>
      </c>
      <c r="G1283" s="26">
        <v>11</v>
      </c>
      <c r="H1283" s="34"/>
      <c r="I1283" s="84">
        <v>1688.15</v>
      </c>
      <c r="J1283" s="136"/>
      <c r="K1283" s="118">
        <v>2461.6999999999998</v>
      </c>
      <c r="L1283" s="34"/>
      <c r="M1283" s="84"/>
      <c r="N1283" s="38" t="s">
        <v>796</v>
      </c>
      <c r="O1283" s="69"/>
      <c r="P1283" s="66">
        <v>45352</v>
      </c>
    </row>
    <row r="1284" spans="1:16" s="8" customFormat="1" ht="12.75" customHeight="1">
      <c r="A1284" s="110">
        <f t="shared" si="27"/>
        <v>1263</v>
      </c>
      <c r="B1284" s="32" t="s">
        <v>1019</v>
      </c>
      <c r="C1284" s="14" t="s">
        <v>117</v>
      </c>
      <c r="D1284" s="24" t="s">
        <v>559</v>
      </c>
      <c r="E1284" s="23" t="s">
        <v>19</v>
      </c>
      <c r="F1284" s="26">
        <v>18</v>
      </c>
      <c r="G1284" s="26">
        <v>12</v>
      </c>
      <c r="H1284" s="34"/>
      <c r="I1284" s="84">
        <v>1747.36</v>
      </c>
      <c r="J1284" s="136"/>
      <c r="K1284" s="118">
        <v>2308.58</v>
      </c>
      <c r="L1284" s="34"/>
      <c r="M1284" s="84"/>
      <c r="N1284" s="38" t="s">
        <v>796</v>
      </c>
      <c r="O1284" s="69"/>
      <c r="P1284" s="66">
        <v>45352</v>
      </c>
    </row>
    <row r="1285" spans="1:16" s="8" customFormat="1" ht="12.75" customHeight="1">
      <c r="A1285" s="110">
        <f t="shared" si="27"/>
        <v>1264</v>
      </c>
      <c r="B1285" s="32" t="s">
        <v>1019</v>
      </c>
      <c r="C1285" s="14" t="s">
        <v>117</v>
      </c>
      <c r="D1285" s="24" t="s">
        <v>559</v>
      </c>
      <c r="E1285" s="23" t="s">
        <v>19</v>
      </c>
      <c r="F1285" s="26">
        <v>17</v>
      </c>
      <c r="G1285" s="26">
        <v>13</v>
      </c>
      <c r="H1285" s="34"/>
      <c r="I1285" s="84">
        <v>1813.3</v>
      </c>
      <c r="J1285" s="136"/>
      <c r="K1285" s="118">
        <v>2179.04</v>
      </c>
      <c r="L1285" s="34"/>
      <c r="M1285" s="84"/>
      <c r="N1285" s="38" t="s">
        <v>796</v>
      </c>
      <c r="O1285" s="69"/>
      <c r="P1285" s="66">
        <v>45352</v>
      </c>
    </row>
    <row r="1286" spans="1:16" s="8" customFormat="1" ht="12.75" customHeight="1">
      <c r="A1286" s="110">
        <f t="shared" si="27"/>
        <v>1265</v>
      </c>
      <c r="B1286" s="32" t="s">
        <v>1019</v>
      </c>
      <c r="C1286" s="14" t="s">
        <v>117</v>
      </c>
      <c r="D1286" s="24" t="s">
        <v>559</v>
      </c>
      <c r="E1286" s="23" t="s">
        <v>19</v>
      </c>
      <c r="F1286" s="26">
        <v>16</v>
      </c>
      <c r="G1286" s="26">
        <v>14</v>
      </c>
      <c r="H1286" s="34"/>
      <c r="I1286" s="84">
        <v>1887.59</v>
      </c>
      <c r="J1286" s="136"/>
      <c r="K1286" s="118">
        <v>2068.0100000000002</v>
      </c>
      <c r="L1286" s="34"/>
      <c r="M1286" s="84"/>
      <c r="N1286" s="38" t="s">
        <v>796</v>
      </c>
      <c r="O1286" s="69"/>
      <c r="P1286" s="66">
        <v>45352</v>
      </c>
    </row>
    <row r="1287" spans="1:16" s="8" customFormat="1" ht="12.75" customHeight="1">
      <c r="A1287" s="110">
        <f t="shared" si="27"/>
        <v>1266</v>
      </c>
      <c r="B1287" s="32" t="s">
        <v>1019</v>
      </c>
      <c r="C1287" s="14" t="s">
        <v>117</v>
      </c>
      <c r="D1287" s="24" t="s">
        <v>559</v>
      </c>
      <c r="E1287" s="23" t="s">
        <v>19</v>
      </c>
      <c r="F1287" s="26">
        <v>15</v>
      </c>
      <c r="G1287" s="26"/>
      <c r="H1287" s="34"/>
      <c r="I1287" s="84">
        <v>1971.79</v>
      </c>
      <c r="J1287" s="136"/>
      <c r="K1287" s="118"/>
      <c r="L1287" s="34"/>
      <c r="M1287" s="84"/>
      <c r="N1287" s="38" t="s">
        <v>796</v>
      </c>
      <c r="O1287" s="69"/>
      <c r="P1287" s="66">
        <v>45352</v>
      </c>
    </row>
    <row r="1288" spans="1:16" s="8" customFormat="1" ht="12.75" customHeight="1">
      <c r="A1288" s="110">
        <f t="shared" si="27"/>
        <v>1267</v>
      </c>
      <c r="B1288" s="32" t="s">
        <v>1019</v>
      </c>
      <c r="C1288" s="14" t="s">
        <v>117</v>
      </c>
      <c r="D1288" s="24" t="s">
        <v>559</v>
      </c>
      <c r="E1288" s="23" t="s">
        <v>19</v>
      </c>
      <c r="F1288" s="26">
        <v>20</v>
      </c>
      <c r="G1288" s="26">
        <v>10</v>
      </c>
      <c r="H1288" s="34"/>
      <c r="I1288" s="84">
        <v>1925.49</v>
      </c>
      <c r="J1288" s="136"/>
      <c r="K1288" s="118">
        <v>3113.95</v>
      </c>
      <c r="L1288" s="34"/>
      <c r="M1288" s="84">
        <v>23769.81</v>
      </c>
      <c r="N1288" s="38" t="s">
        <v>796</v>
      </c>
      <c r="O1288" s="69"/>
      <c r="P1288" s="66">
        <v>45689</v>
      </c>
    </row>
    <row r="1289" spans="1:16" s="8" customFormat="1" ht="12.75" customHeight="1">
      <c r="A1289" s="110">
        <f t="shared" si="27"/>
        <v>1268</v>
      </c>
      <c r="B1289" s="32" t="s">
        <v>1019</v>
      </c>
      <c r="C1289" s="14" t="s">
        <v>117</v>
      </c>
      <c r="D1289" s="24" t="s">
        <v>559</v>
      </c>
      <c r="E1289" s="23" t="s">
        <v>19</v>
      </c>
      <c r="F1289" s="26">
        <v>19</v>
      </c>
      <c r="G1289" s="26">
        <v>11</v>
      </c>
      <c r="H1289" s="34"/>
      <c r="I1289" s="84">
        <v>1988.03</v>
      </c>
      <c r="J1289" s="136"/>
      <c r="K1289" s="118">
        <v>2897.87</v>
      </c>
      <c r="L1289" s="34"/>
      <c r="M1289" s="84"/>
      <c r="N1289" s="38" t="s">
        <v>796</v>
      </c>
      <c r="O1289" s="69"/>
      <c r="P1289" s="66">
        <v>45689</v>
      </c>
    </row>
    <row r="1290" spans="1:16" s="8" customFormat="1" ht="12.75" customHeight="1">
      <c r="A1290" s="110">
        <f t="shared" si="27"/>
        <v>1269</v>
      </c>
      <c r="B1290" s="32" t="s">
        <v>1019</v>
      </c>
      <c r="C1290" s="14" t="s">
        <v>117</v>
      </c>
      <c r="D1290" s="24" t="s">
        <v>559</v>
      </c>
      <c r="E1290" s="23" t="s">
        <v>19</v>
      </c>
      <c r="F1290" s="26">
        <v>18</v>
      </c>
      <c r="G1290" s="26">
        <v>12</v>
      </c>
      <c r="H1290" s="34"/>
      <c r="I1290" s="84">
        <v>2057.52</v>
      </c>
      <c r="J1290" s="136"/>
      <c r="K1290" s="118">
        <v>2717.8</v>
      </c>
      <c r="L1290" s="34"/>
      <c r="M1290" s="84"/>
      <c r="N1290" s="38" t="s">
        <v>796</v>
      </c>
      <c r="O1290" s="69"/>
      <c r="P1290" s="66">
        <v>45689</v>
      </c>
    </row>
    <row r="1291" spans="1:16" s="8" customFormat="1" ht="12.75" customHeight="1">
      <c r="A1291" s="110">
        <f t="shared" si="27"/>
        <v>1270</v>
      </c>
      <c r="B1291" s="32" t="s">
        <v>1019</v>
      </c>
      <c r="C1291" s="14" t="s">
        <v>117</v>
      </c>
      <c r="D1291" s="24" t="s">
        <v>559</v>
      </c>
      <c r="E1291" s="23" t="s">
        <v>19</v>
      </c>
      <c r="F1291" s="26">
        <v>17</v>
      </c>
      <c r="G1291" s="26">
        <v>13</v>
      </c>
      <c r="H1291" s="34"/>
      <c r="I1291" s="84">
        <v>2135.21</v>
      </c>
      <c r="J1291" s="136"/>
      <c r="K1291" s="118">
        <v>2565.44</v>
      </c>
      <c r="L1291" s="34"/>
      <c r="M1291" s="84"/>
      <c r="N1291" s="38" t="s">
        <v>796</v>
      </c>
      <c r="O1291" s="69"/>
      <c r="P1291" s="66">
        <v>45689</v>
      </c>
    </row>
    <row r="1292" spans="1:16" s="8" customFormat="1" ht="12.75" customHeight="1">
      <c r="A1292" s="110">
        <f t="shared" si="27"/>
        <v>1271</v>
      </c>
      <c r="B1292" s="32" t="s">
        <v>1019</v>
      </c>
      <c r="C1292" s="14" t="s">
        <v>117</v>
      </c>
      <c r="D1292" s="24" t="s">
        <v>559</v>
      </c>
      <c r="E1292" s="23" t="s">
        <v>19</v>
      </c>
      <c r="F1292" s="26">
        <v>16</v>
      </c>
      <c r="G1292" s="26">
        <v>14</v>
      </c>
      <c r="H1292" s="34"/>
      <c r="I1292" s="84">
        <v>2222.6</v>
      </c>
      <c r="J1292" s="136"/>
      <c r="K1292" s="118">
        <v>2434.84</v>
      </c>
      <c r="L1292" s="34"/>
      <c r="M1292" s="84"/>
      <c r="N1292" s="38" t="s">
        <v>796</v>
      </c>
      <c r="O1292" s="69"/>
      <c r="P1292" s="66">
        <v>45689</v>
      </c>
    </row>
    <row r="1293" spans="1:16" s="8" customFormat="1" ht="12.75" customHeight="1">
      <c r="A1293" s="110">
        <f t="shared" si="27"/>
        <v>1272</v>
      </c>
      <c r="B1293" s="32" t="s">
        <v>1019</v>
      </c>
      <c r="C1293" s="14" t="s">
        <v>117</v>
      </c>
      <c r="D1293" s="24" t="s">
        <v>559</v>
      </c>
      <c r="E1293" s="23" t="s">
        <v>19</v>
      </c>
      <c r="F1293" s="26">
        <v>15</v>
      </c>
      <c r="G1293" s="26"/>
      <c r="H1293" s="34"/>
      <c r="I1293" s="84">
        <v>2321.62</v>
      </c>
      <c r="J1293" s="136"/>
      <c r="K1293" s="118"/>
      <c r="L1293" s="34"/>
      <c r="M1293" s="84"/>
      <c r="N1293" s="38" t="s">
        <v>796</v>
      </c>
      <c r="O1293" s="69"/>
      <c r="P1293" s="66">
        <v>45689</v>
      </c>
    </row>
    <row r="1294" spans="1:16" s="8" customFormat="1" ht="12.75" customHeight="1">
      <c r="A1294" s="110">
        <f t="shared" si="27"/>
        <v>1273</v>
      </c>
      <c r="B1294" s="32" t="s">
        <v>1020</v>
      </c>
      <c r="C1294" s="14" t="s">
        <v>117</v>
      </c>
      <c r="D1294" s="24" t="s">
        <v>559</v>
      </c>
      <c r="E1294" s="23" t="s">
        <v>19</v>
      </c>
      <c r="F1294" s="46" t="s">
        <v>977</v>
      </c>
      <c r="G1294" s="26"/>
      <c r="H1294" s="34"/>
      <c r="I1294" s="84">
        <v>78707.37</v>
      </c>
      <c r="J1294" s="136"/>
      <c r="K1294" s="118"/>
      <c r="L1294" s="34"/>
      <c r="M1294" s="84"/>
      <c r="N1294" s="38" t="s">
        <v>796</v>
      </c>
      <c r="O1294" s="69"/>
      <c r="P1294" s="66">
        <v>45352</v>
      </c>
    </row>
    <row r="1295" spans="1:16" s="8" customFormat="1" ht="12.75" customHeight="1">
      <c r="A1295" s="110">
        <f t="shared" si="27"/>
        <v>1274</v>
      </c>
      <c r="B1295" s="32" t="s">
        <v>1020</v>
      </c>
      <c r="C1295" s="14" t="s">
        <v>117</v>
      </c>
      <c r="D1295" s="24" t="s">
        <v>559</v>
      </c>
      <c r="E1295" s="23" t="s">
        <v>19</v>
      </c>
      <c r="F1295" s="46" t="s">
        <v>977</v>
      </c>
      <c r="G1295" s="26"/>
      <c r="H1295" s="34"/>
      <c r="I1295" s="84">
        <v>90878.26</v>
      </c>
      <c r="J1295" s="136"/>
      <c r="K1295" s="118"/>
      <c r="L1295" s="34"/>
      <c r="M1295" s="84"/>
      <c r="N1295" s="38" t="s">
        <v>796</v>
      </c>
      <c r="O1295" s="69"/>
      <c r="P1295" s="66">
        <v>45689</v>
      </c>
    </row>
    <row r="1296" spans="1:16" s="8" customFormat="1" ht="12.75" customHeight="1">
      <c r="A1296" s="110">
        <f t="shared" si="27"/>
        <v>1275</v>
      </c>
      <c r="B1296" s="156" t="s">
        <v>1019</v>
      </c>
      <c r="C1296" s="14" t="s">
        <v>117</v>
      </c>
      <c r="D1296" s="24" t="s">
        <v>559</v>
      </c>
      <c r="E1296" s="23" t="s">
        <v>19</v>
      </c>
      <c r="F1296" s="46">
        <v>20</v>
      </c>
      <c r="G1296" s="26">
        <v>10</v>
      </c>
      <c r="H1296" s="34"/>
      <c r="I1296" s="84">
        <v>2337.69</v>
      </c>
      <c r="J1296" s="136"/>
      <c r="K1296" s="118">
        <v>3724.66</v>
      </c>
      <c r="L1296" s="34"/>
      <c r="M1296" s="84">
        <v>27739.1</v>
      </c>
      <c r="N1296" s="38" t="s">
        <v>796</v>
      </c>
      <c r="O1296" s="69"/>
      <c r="P1296" s="193">
        <v>46082</v>
      </c>
    </row>
    <row r="1297" spans="1:16" s="8" customFormat="1" ht="12.75" customHeight="1">
      <c r="A1297" s="110">
        <f t="shared" si="27"/>
        <v>1276</v>
      </c>
      <c r="B1297" s="156" t="s">
        <v>1019</v>
      </c>
      <c r="C1297" s="14" t="s">
        <v>117</v>
      </c>
      <c r="D1297" s="24" t="s">
        <v>559</v>
      </c>
      <c r="E1297" s="23" t="s">
        <v>19</v>
      </c>
      <c r="F1297" s="46">
        <v>19</v>
      </c>
      <c r="G1297" s="26">
        <v>11</v>
      </c>
      <c r="H1297" s="34"/>
      <c r="I1297" s="84">
        <v>2410.71</v>
      </c>
      <c r="J1297" s="136"/>
      <c r="K1297" s="118">
        <v>3472.48</v>
      </c>
      <c r="L1297" s="34"/>
      <c r="M1297" s="84"/>
      <c r="N1297" s="38" t="s">
        <v>796</v>
      </c>
      <c r="O1297" s="69"/>
      <c r="P1297" s="193">
        <v>46082</v>
      </c>
    </row>
    <row r="1298" spans="1:16" s="8" customFormat="1" ht="12.75" customHeight="1">
      <c r="A1298" s="110">
        <f t="shared" si="27"/>
        <v>1277</v>
      </c>
      <c r="B1298" s="156" t="s">
        <v>1019</v>
      </c>
      <c r="C1298" s="14" t="s">
        <v>117</v>
      </c>
      <c r="D1298" s="24" t="s">
        <v>559</v>
      </c>
      <c r="E1298" s="23" t="s">
        <v>19</v>
      </c>
      <c r="F1298" s="46">
        <v>18</v>
      </c>
      <c r="G1298" s="26">
        <v>12</v>
      </c>
      <c r="H1298" s="34"/>
      <c r="I1298" s="84">
        <v>2491.81</v>
      </c>
      <c r="J1298" s="136"/>
      <c r="K1298" s="118">
        <v>3262.33</v>
      </c>
      <c r="L1298" s="34"/>
      <c r="M1298" s="84"/>
      <c r="N1298" s="38" t="s">
        <v>796</v>
      </c>
      <c r="O1298" s="69"/>
      <c r="P1298" s="193">
        <v>46082</v>
      </c>
    </row>
    <row r="1299" spans="1:16" s="8" customFormat="1" ht="12.75" customHeight="1">
      <c r="A1299" s="110">
        <f t="shared" si="27"/>
        <v>1278</v>
      </c>
      <c r="B1299" s="156" t="s">
        <v>1019</v>
      </c>
      <c r="C1299" s="14" t="s">
        <v>117</v>
      </c>
      <c r="D1299" s="24" t="s">
        <v>559</v>
      </c>
      <c r="E1299" s="23" t="s">
        <v>19</v>
      </c>
      <c r="F1299" s="46">
        <v>17</v>
      </c>
      <c r="G1299" s="26">
        <v>13</v>
      </c>
      <c r="H1299" s="34"/>
      <c r="I1299" s="84">
        <v>2582.4299999999998</v>
      </c>
      <c r="J1299" s="136"/>
      <c r="K1299" s="118">
        <v>3084.52</v>
      </c>
      <c r="L1299" s="34"/>
      <c r="M1299" s="84"/>
      <c r="N1299" s="38" t="s">
        <v>796</v>
      </c>
      <c r="O1299" s="69"/>
      <c r="P1299" s="193">
        <v>46082</v>
      </c>
    </row>
    <row r="1300" spans="1:16" s="8" customFormat="1" ht="12.75" customHeight="1">
      <c r="A1300" s="110">
        <f t="shared" si="27"/>
        <v>1279</v>
      </c>
      <c r="B1300" s="156" t="s">
        <v>1019</v>
      </c>
      <c r="C1300" s="14" t="s">
        <v>117</v>
      </c>
      <c r="D1300" s="24" t="s">
        <v>559</v>
      </c>
      <c r="E1300" s="23" t="s">
        <v>19</v>
      </c>
      <c r="F1300" s="46">
        <v>16</v>
      </c>
      <c r="G1300" s="26">
        <v>14</v>
      </c>
      <c r="H1300" s="34"/>
      <c r="I1300" s="84">
        <v>2684.46</v>
      </c>
      <c r="J1300" s="136"/>
      <c r="K1300" s="118">
        <v>2932.1</v>
      </c>
      <c r="L1300" s="34"/>
      <c r="M1300" s="84"/>
      <c r="N1300" s="38" t="s">
        <v>796</v>
      </c>
      <c r="O1300" s="69"/>
      <c r="P1300" s="193">
        <v>46082</v>
      </c>
    </row>
    <row r="1301" spans="1:16" s="8" customFormat="1" ht="12.75" customHeight="1">
      <c r="A1301" s="110">
        <f t="shared" si="27"/>
        <v>1280</v>
      </c>
      <c r="B1301" s="156" t="s">
        <v>1019</v>
      </c>
      <c r="C1301" s="14" t="s">
        <v>117</v>
      </c>
      <c r="D1301" s="24" t="s">
        <v>559</v>
      </c>
      <c r="E1301" s="23" t="s">
        <v>19</v>
      </c>
      <c r="F1301" s="46">
        <v>15</v>
      </c>
      <c r="G1301" s="26"/>
      <c r="H1301" s="34"/>
      <c r="I1301" s="84">
        <v>2800.04</v>
      </c>
      <c r="J1301" s="136"/>
      <c r="K1301" s="118"/>
      <c r="L1301" s="34"/>
      <c r="M1301" s="84"/>
      <c r="N1301" s="38" t="s">
        <v>796</v>
      </c>
      <c r="O1301" s="69"/>
      <c r="P1301" s="193">
        <v>46082</v>
      </c>
    </row>
    <row r="1302" spans="1:16" s="8" customFormat="1" ht="12.75" customHeight="1">
      <c r="A1302" s="110">
        <f t="shared" si="27"/>
        <v>1281</v>
      </c>
      <c r="B1302" s="156" t="s">
        <v>1020</v>
      </c>
      <c r="C1302" s="14" t="s">
        <v>117</v>
      </c>
      <c r="D1302" s="24" t="s">
        <v>559</v>
      </c>
      <c r="E1302" s="23" t="s">
        <v>19</v>
      </c>
      <c r="F1302" s="46" t="s">
        <v>977</v>
      </c>
      <c r="G1302" s="26"/>
      <c r="H1302" s="34"/>
      <c r="I1302" s="84">
        <v>114391.35</v>
      </c>
      <c r="J1302" s="136"/>
      <c r="K1302" s="118"/>
      <c r="L1302" s="34"/>
      <c r="M1302" s="84"/>
      <c r="N1302" s="38" t="s">
        <v>796</v>
      </c>
      <c r="O1302" s="69"/>
      <c r="P1302" s="193">
        <v>46082</v>
      </c>
    </row>
    <row r="1303" spans="1:16" s="8" customFormat="1" ht="12.75" customHeight="1">
      <c r="A1303" s="110">
        <f t="shared" si="27"/>
        <v>1282</v>
      </c>
      <c r="B1303" s="52" t="s">
        <v>669</v>
      </c>
      <c r="C1303" s="14" t="s">
        <v>148</v>
      </c>
      <c r="D1303" s="15" t="s">
        <v>127</v>
      </c>
      <c r="E1303" s="14" t="s">
        <v>19</v>
      </c>
      <c r="F1303" s="26">
        <v>20</v>
      </c>
      <c r="G1303" s="26">
        <v>10</v>
      </c>
      <c r="H1303" s="34">
        <v>1583.87</v>
      </c>
      <c r="I1303" s="84">
        <v>1620.35</v>
      </c>
      <c r="J1303" s="136">
        <v>2703.76</v>
      </c>
      <c r="K1303" s="118">
        <v>2776.72</v>
      </c>
      <c r="L1303" s="34">
        <v>11412.74</v>
      </c>
      <c r="M1303" s="84">
        <v>11502.44</v>
      </c>
      <c r="N1303" s="38" t="s">
        <v>641</v>
      </c>
      <c r="O1303" s="68">
        <v>591</v>
      </c>
      <c r="P1303" s="66">
        <v>43617</v>
      </c>
    </row>
    <row r="1304" spans="1:16" s="8" customFormat="1" ht="12.75" customHeight="1">
      <c r="A1304" s="110">
        <f t="shared" si="27"/>
        <v>1283</v>
      </c>
      <c r="B1304" s="52" t="s">
        <v>1046</v>
      </c>
      <c r="C1304" s="23" t="s">
        <v>938</v>
      </c>
      <c r="D1304" s="24" t="s">
        <v>127</v>
      </c>
      <c r="E1304" s="23" t="s">
        <v>19</v>
      </c>
      <c r="F1304" s="31" t="s">
        <v>977</v>
      </c>
      <c r="G1304" s="26"/>
      <c r="H1304" s="34"/>
      <c r="I1304" s="84">
        <v>56888.54</v>
      </c>
      <c r="J1304" s="136"/>
      <c r="K1304" s="118"/>
      <c r="L1304" s="34"/>
      <c r="M1304" s="84"/>
      <c r="N1304" s="38" t="s">
        <v>641</v>
      </c>
      <c r="O1304" s="68"/>
      <c r="P1304" s="66">
        <v>44562</v>
      </c>
    </row>
    <row r="1305" spans="1:16" s="8" customFormat="1" ht="12.75" customHeight="1">
      <c r="A1305" s="110">
        <f t="shared" si="27"/>
        <v>1284</v>
      </c>
      <c r="B1305" s="32" t="s">
        <v>669</v>
      </c>
      <c r="C1305" s="23" t="s">
        <v>938</v>
      </c>
      <c r="D1305" s="24" t="s">
        <v>127</v>
      </c>
      <c r="E1305" s="14" t="s">
        <v>19</v>
      </c>
      <c r="F1305" s="26">
        <v>20</v>
      </c>
      <c r="G1305" s="26">
        <v>10</v>
      </c>
      <c r="H1305" s="34"/>
      <c r="I1305" s="84">
        <v>1313.73</v>
      </c>
      <c r="J1305" s="136"/>
      <c r="K1305" s="118">
        <v>2165.48</v>
      </c>
      <c r="L1305" s="34"/>
      <c r="M1305" s="84"/>
      <c r="N1305" s="38" t="s">
        <v>641</v>
      </c>
      <c r="O1305" s="68"/>
      <c r="P1305" s="66">
        <v>44562</v>
      </c>
    </row>
    <row r="1306" spans="1:16" s="8" customFormat="1" ht="12.75" customHeight="1">
      <c r="A1306" s="110">
        <f t="shared" si="27"/>
        <v>1285</v>
      </c>
      <c r="B1306" s="32" t="s">
        <v>669</v>
      </c>
      <c r="C1306" s="23" t="s">
        <v>938</v>
      </c>
      <c r="D1306" s="24" t="s">
        <v>127</v>
      </c>
      <c r="E1306" s="14" t="s">
        <v>19</v>
      </c>
      <c r="F1306" s="26">
        <v>20</v>
      </c>
      <c r="G1306" s="26">
        <v>10</v>
      </c>
      <c r="H1306" s="34"/>
      <c r="I1306" s="84">
        <v>1406.87</v>
      </c>
      <c r="J1306" s="136"/>
      <c r="K1306" s="118">
        <v>2328.6999999999998</v>
      </c>
      <c r="L1306" s="34"/>
      <c r="M1306" s="84"/>
      <c r="N1306" s="38" t="s">
        <v>641</v>
      </c>
      <c r="O1306" s="68"/>
      <c r="P1306" s="66">
        <v>45170</v>
      </c>
    </row>
    <row r="1307" spans="1:16" s="8" customFormat="1" ht="12.75" customHeight="1">
      <c r="A1307" s="110">
        <f t="shared" si="27"/>
        <v>1286</v>
      </c>
      <c r="B1307" s="52" t="s">
        <v>1046</v>
      </c>
      <c r="C1307" s="23" t="s">
        <v>938</v>
      </c>
      <c r="D1307" s="24" t="s">
        <v>127</v>
      </c>
      <c r="E1307" s="23" t="s">
        <v>19</v>
      </c>
      <c r="F1307" s="31" t="s">
        <v>977</v>
      </c>
      <c r="G1307" s="26"/>
      <c r="H1307" s="34"/>
      <c r="I1307" s="84">
        <v>59192.79</v>
      </c>
      <c r="J1307" s="136"/>
      <c r="K1307" s="118"/>
      <c r="L1307" s="34"/>
      <c r="M1307" s="84"/>
      <c r="N1307" s="38" t="s">
        <v>641</v>
      </c>
      <c r="O1307" s="68"/>
      <c r="P1307" s="66">
        <v>45170</v>
      </c>
    </row>
    <row r="1308" spans="1:16" s="8" customFormat="1" ht="12.75" customHeight="1">
      <c r="A1308" s="110">
        <f t="shared" si="27"/>
        <v>1287</v>
      </c>
      <c r="B1308" s="32" t="s">
        <v>669</v>
      </c>
      <c r="C1308" s="23" t="s">
        <v>938</v>
      </c>
      <c r="D1308" s="24" t="s">
        <v>127</v>
      </c>
      <c r="E1308" s="14" t="s">
        <v>19</v>
      </c>
      <c r="F1308" s="26">
        <v>20</v>
      </c>
      <c r="G1308" s="26">
        <v>10</v>
      </c>
      <c r="H1308" s="34"/>
      <c r="I1308" s="84">
        <v>1605.63</v>
      </c>
      <c r="J1308" s="136"/>
      <c r="K1308" s="118">
        <v>2653.41</v>
      </c>
      <c r="L1308" s="34"/>
      <c r="M1308" s="84">
        <v>20955.55</v>
      </c>
      <c r="N1308" s="38" t="s">
        <v>1162</v>
      </c>
      <c r="O1308" s="68"/>
      <c r="P1308" s="66">
        <v>45352</v>
      </c>
    </row>
    <row r="1309" spans="1:16" s="8" customFormat="1" ht="12.75" customHeight="1">
      <c r="A1309" s="110">
        <f t="shared" si="27"/>
        <v>1288</v>
      </c>
      <c r="B1309" s="32" t="s">
        <v>669</v>
      </c>
      <c r="C1309" s="23" t="s">
        <v>938</v>
      </c>
      <c r="D1309" s="24" t="s">
        <v>127</v>
      </c>
      <c r="E1309" s="14" t="s">
        <v>19</v>
      </c>
      <c r="F1309" s="26">
        <v>19</v>
      </c>
      <c r="G1309" s="26">
        <v>11</v>
      </c>
      <c r="H1309" s="34"/>
      <c r="I1309" s="84">
        <v>1660.78</v>
      </c>
      <c r="J1309" s="136"/>
      <c r="K1309" s="118">
        <v>2462.91</v>
      </c>
      <c r="L1309" s="34"/>
      <c r="M1309" s="84"/>
      <c r="N1309" s="38" t="s">
        <v>1162</v>
      </c>
      <c r="O1309" s="68"/>
      <c r="P1309" s="66">
        <v>45352</v>
      </c>
    </row>
    <row r="1310" spans="1:16" s="8" customFormat="1" ht="12.75" customHeight="1">
      <c r="A1310" s="110">
        <f t="shared" si="27"/>
        <v>1289</v>
      </c>
      <c r="B1310" s="32" t="s">
        <v>669</v>
      </c>
      <c r="C1310" s="23" t="s">
        <v>938</v>
      </c>
      <c r="D1310" s="24" t="s">
        <v>127</v>
      </c>
      <c r="E1310" s="14" t="s">
        <v>19</v>
      </c>
      <c r="F1310" s="26">
        <v>18</v>
      </c>
      <c r="G1310" s="26">
        <v>12</v>
      </c>
      <c r="H1310" s="34"/>
      <c r="I1310" s="84">
        <v>1722.04</v>
      </c>
      <c r="J1310" s="136"/>
      <c r="K1310" s="118">
        <v>2304.15</v>
      </c>
      <c r="L1310" s="34"/>
      <c r="M1310" s="84"/>
      <c r="N1310" s="38" t="s">
        <v>1162</v>
      </c>
      <c r="O1310" s="68"/>
      <c r="P1310" s="66">
        <v>45352</v>
      </c>
    </row>
    <row r="1311" spans="1:16" s="8" customFormat="1" ht="12.75" customHeight="1">
      <c r="A1311" s="110">
        <f t="shared" si="27"/>
        <v>1290</v>
      </c>
      <c r="B1311" s="32" t="s">
        <v>669</v>
      </c>
      <c r="C1311" s="23" t="s">
        <v>938</v>
      </c>
      <c r="D1311" s="24" t="s">
        <v>127</v>
      </c>
      <c r="E1311" s="14" t="s">
        <v>19</v>
      </c>
      <c r="F1311" s="26">
        <v>17</v>
      </c>
      <c r="G1311" s="26">
        <v>13</v>
      </c>
      <c r="H1311" s="34"/>
      <c r="I1311" s="84">
        <v>1790.54</v>
      </c>
      <c r="J1311" s="136"/>
      <c r="K1311" s="118">
        <v>2169.81</v>
      </c>
      <c r="L1311" s="34"/>
      <c r="M1311" s="84"/>
      <c r="N1311" s="38" t="s">
        <v>1162</v>
      </c>
      <c r="O1311" s="68"/>
      <c r="P1311" s="66">
        <v>45352</v>
      </c>
    </row>
    <row r="1312" spans="1:16" s="8" customFormat="1" ht="12.75" customHeight="1">
      <c r="A1312" s="110">
        <f t="shared" si="27"/>
        <v>1291</v>
      </c>
      <c r="B1312" s="32" t="s">
        <v>669</v>
      </c>
      <c r="C1312" s="23" t="s">
        <v>938</v>
      </c>
      <c r="D1312" s="24" t="s">
        <v>127</v>
      </c>
      <c r="E1312" s="14" t="s">
        <v>19</v>
      </c>
      <c r="F1312" s="26">
        <v>16</v>
      </c>
      <c r="G1312" s="26">
        <v>14</v>
      </c>
      <c r="H1312" s="34"/>
      <c r="I1312" s="84">
        <v>1867.56</v>
      </c>
      <c r="J1312" s="136"/>
      <c r="K1312" s="118">
        <v>2054.6799999999998</v>
      </c>
      <c r="L1312" s="34"/>
      <c r="M1312" s="84"/>
      <c r="N1312" s="38" t="s">
        <v>1162</v>
      </c>
      <c r="O1312" s="68"/>
      <c r="P1312" s="66">
        <v>45352</v>
      </c>
    </row>
    <row r="1313" spans="1:16" s="8" customFormat="1" ht="12.75" customHeight="1">
      <c r="A1313" s="110">
        <f t="shared" si="27"/>
        <v>1292</v>
      </c>
      <c r="B1313" s="32" t="s">
        <v>669</v>
      </c>
      <c r="C1313" s="23" t="s">
        <v>938</v>
      </c>
      <c r="D1313" s="24" t="s">
        <v>127</v>
      </c>
      <c r="E1313" s="14" t="s">
        <v>19</v>
      </c>
      <c r="F1313" s="26">
        <v>15</v>
      </c>
      <c r="G1313" s="26"/>
      <c r="H1313" s="34"/>
      <c r="I1313" s="84">
        <v>1954.88</v>
      </c>
      <c r="J1313" s="136"/>
      <c r="K1313" s="118"/>
      <c r="L1313" s="34"/>
      <c r="M1313" s="84"/>
      <c r="N1313" s="38" t="s">
        <v>1162</v>
      </c>
      <c r="O1313" s="68"/>
      <c r="P1313" s="66">
        <v>45352</v>
      </c>
    </row>
    <row r="1314" spans="1:16" s="8" customFormat="1" ht="12.75" customHeight="1">
      <c r="A1314" s="110">
        <f t="shared" si="27"/>
        <v>1293</v>
      </c>
      <c r="B1314" s="32" t="s">
        <v>669</v>
      </c>
      <c r="C1314" s="23" t="s">
        <v>938</v>
      </c>
      <c r="D1314" s="24" t="s">
        <v>127</v>
      </c>
      <c r="E1314" s="14" t="s">
        <v>19</v>
      </c>
      <c r="F1314" s="26">
        <v>20</v>
      </c>
      <c r="G1314" s="26">
        <v>10</v>
      </c>
      <c r="H1314" s="34"/>
      <c r="I1314" s="84">
        <v>1855.72</v>
      </c>
      <c r="J1314" s="136"/>
      <c r="K1314" s="118">
        <v>3069.94</v>
      </c>
      <c r="L1314" s="34"/>
      <c r="M1314" s="84">
        <v>24284.47</v>
      </c>
      <c r="N1314" s="38" t="s">
        <v>1162</v>
      </c>
      <c r="O1314" s="68"/>
      <c r="P1314" s="66">
        <v>45689</v>
      </c>
    </row>
    <row r="1315" spans="1:16" s="8" customFormat="1" ht="12.75" customHeight="1">
      <c r="A1315" s="110">
        <f t="shared" si="27"/>
        <v>1294</v>
      </c>
      <c r="B1315" s="32" t="s">
        <v>669</v>
      </c>
      <c r="C1315" s="23" t="s">
        <v>938</v>
      </c>
      <c r="D1315" s="24" t="s">
        <v>127</v>
      </c>
      <c r="E1315" s="14" t="s">
        <v>19</v>
      </c>
      <c r="F1315" s="26">
        <v>19</v>
      </c>
      <c r="G1315" s="26">
        <v>11</v>
      </c>
      <c r="H1315" s="34"/>
      <c r="I1315" s="84">
        <v>1919.61</v>
      </c>
      <c r="J1315" s="136"/>
      <c r="K1315" s="118">
        <v>2849.17</v>
      </c>
      <c r="L1315" s="34"/>
      <c r="M1315" s="84"/>
      <c r="N1315" s="38" t="s">
        <v>1162</v>
      </c>
      <c r="O1315" s="68"/>
      <c r="P1315" s="66">
        <v>45689</v>
      </c>
    </row>
    <row r="1316" spans="1:16" s="8" customFormat="1" ht="12.75" customHeight="1">
      <c r="A1316" s="110">
        <f t="shared" si="27"/>
        <v>1295</v>
      </c>
      <c r="B1316" s="32" t="s">
        <v>669</v>
      </c>
      <c r="C1316" s="23" t="s">
        <v>938</v>
      </c>
      <c r="D1316" s="24" t="s">
        <v>127</v>
      </c>
      <c r="E1316" s="14" t="s">
        <v>19</v>
      </c>
      <c r="F1316" s="26">
        <v>18</v>
      </c>
      <c r="G1316" s="26">
        <v>12</v>
      </c>
      <c r="H1316" s="34"/>
      <c r="I1316" s="84">
        <v>1990.62</v>
      </c>
      <c r="J1316" s="136"/>
      <c r="K1316" s="118">
        <v>2665.21</v>
      </c>
      <c r="L1316" s="34"/>
      <c r="M1316" s="84"/>
      <c r="N1316" s="38" t="s">
        <v>1162</v>
      </c>
      <c r="O1316" s="68"/>
      <c r="P1316" s="66">
        <v>45689</v>
      </c>
    </row>
    <row r="1317" spans="1:16" s="8" customFormat="1" ht="12.75" customHeight="1">
      <c r="A1317" s="110">
        <f t="shared" si="27"/>
        <v>1296</v>
      </c>
      <c r="B1317" s="32" t="s">
        <v>669</v>
      </c>
      <c r="C1317" s="23" t="s">
        <v>938</v>
      </c>
      <c r="D1317" s="24" t="s">
        <v>127</v>
      </c>
      <c r="E1317" s="14" t="s">
        <v>19</v>
      </c>
      <c r="F1317" s="26">
        <v>17</v>
      </c>
      <c r="G1317" s="26">
        <v>13</v>
      </c>
      <c r="H1317" s="34"/>
      <c r="I1317" s="84">
        <v>2070</v>
      </c>
      <c r="J1317" s="136"/>
      <c r="K1317" s="118">
        <v>2509.5300000000002</v>
      </c>
      <c r="L1317" s="34"/>
      <c r="M1317" s="84"/>
      <c r="N1317" s="38" t="s">
        <v>1162</v>
      </c>
      <c r="O1317" s="68"/>
      <c r="P1317" s="66">
        <v>45689</v>
      </c>
    </row>
    <row r="1318" spans="1:16" s="8" customFormat="1" ht="12.75" customHeight="1">
      <c r="A1318" s="110">
        <f t="shared" si="27"/>
        <v>1297</v>
      </c>
      <c r="B1318" s="32" t="s">
        <v>669</v>
      </c>
      <c r="C1318" s="23" t="s">
        <v>938</v>
      </c>
      <c r="D1318" s="24" t="s">
        <v>127</v>
      </c>
      <c r="E1318" s="14" t="s">
        <v>19</v>
      </c>
      <c r="F1318" s="26">
        <v>16</v>
      </c>
      <c r="G1318" s="26">
        <v>14</v>
      </c>
      <c r="H1318" s="34"/>
      <c r="I1318" s="84">
        <v>2159.31</v>
      </c>
      <c r="J1318" s="136"/>
      <c r="K1318" s="118">
        <v>2376.13</v>
      </c>
      <c r="L1318" s="34"/>
      <c r="M1318" s="84"/>
      <c r="N1318" s="38" t="s">
        <v>1162</v>
      </c>
      <c r="O1318" s="68"/>
      <c r="P1318" s="66">
        <v>45689</v>
      </c>
    </row>
    <row r="1319" spans="1:16" s="8" customFormat="1" ht="12.75" customHeight="1">
      <c r="A1319" s="110">
        <f t="shared" si="27"/>
        <v>1298</v>
      </c>
      <c r="B1319" s="32" t="s">
        <v>669</v>
      </c>
      <c r="C1319" s="23" t="s">
        <v>938</v>
      </c>
      <c r="D1319" s="24" t="s">
        <v>127</v>
      </c>
      <c r="E1319" s="14" t="s">
        <v>19</v>
      </c>
      <c r="F1319" s="26">
        <v>15</v>
      </c>
      <c r="G1319" s="26"/>
      <c r="H1319" s="34"/>
      <c r="I1319" s="84">
        <v>2260.4499999999998</v>
      </c>
      <c r="J1319" s="136"/>
      <c r="K1319" s="118"/>
      <c r="L1319" s="34"/>
      <c r="M1319" s="84"/>
      <c r="N1319" s="38" t="s">
        <v>1162</v>
      </c>
      <c r="O1319" s="68"/>
      <c r="P1319" s="66">
        <v>45689</v>
      </c>
    </row>
    <row r="1320" spans="1:16" s="8" customFormat="1" ht="12.75" customHeight="1">
      <c r="A1320" s="110">
        <f t="shared" si="27"/>
        <v>1299</v>
      </c>
      <c r="B1320" s="32" t="s">
        <v>1046</v>
      </c>
      <c r="C1320" s="23" t="s">
        <v>938</v>
      </c>
      <c r="D1320" s="24" t="s">
        <v>127</v>
      </c>
      <c r="E1320" s="23" t="s">
        <v>19</v>
      </c>
      <c r="F1320" s="31" t="s">
        <v>977</v>
      </c>
      <c r="G1320" s="26"/>
      <c r="H1320" s="34"/>
      <c r="I1320" s="84">
        <v>71453.399999999994</v>
      </c>
      <c r="J1320" s="136"/>
      <c r="K1320" s="118"/>
      <c r="L1320" s="34"/>
      <c r="M1320" s="84"/>
      <c r="N1320" s="38" t="s">
        <v>1162</v>
      </c>
      <c r="O1320" s="68"/>
      <c r="P1320" s="66">
        <v>45352</v>
      </c>
    </row>
    <row r="1321" spans="1:16" s="8" customFormat="1" ht="12.75" customHeight="1">
      <c r="A1321" s="110">
        <f t="shared" si="27"/>
        <v>1300</v>
      </c>
      <c r="B1321" s="32" t="s">
        <v>1046</v>
      </c>
      <c r="C1321" s="23" t="s">
        <v>938</v>
      </c>
      <c r="D1321" s="24" t="s">
        <v>127</v>
      </c>
      <c r="E1321" s="23" t="s">
        <v>19</v>
      </c>
      <c r="F1321" s="31" t="s">
        <v>977</v>
      </c>
      <c r="G1321" s="26"/>
      <c r="H1321" s="34"/>
      <c r="I1321" s="84">
        <v>85827.97</v>
      </c>
      <c r="J1321" s="136"/>
      <c r="K1321" s="118"/>
      <c r="L1321" s="34"/>
      <c r="M1321" s="84"/>
      <c r="N1321" s="38" t="s">
        <v>1162</v>
      </c>
      <c r="O1321" s="68"/>
      <c r="P1321" s="66">
        <v>45689</v>
      </c>
    </row>
    <row r="1322" spans="1:16" s="8" customFormat="1" ht="12.75" customHeight="1">
      <c r="A1322" s="110">
        <f t="shared" si="27"/>
        <v>1301</v>
      </c>
      <c r="B1322" s="155" t="s">
        <v>669</v>
      </c>
      <c r="C1322" s="23" t="s">
        <v>938</v>
      </c>
      <c r="D1322" s="24" t="s">
        <v>127</v>
      </c>
      <c r="E1322" s="23" t="s">
        <v>19</v>
      </c>
      <c r="F1322" s="31">
        <v>20</v>
      </c>
      <c r="G1322" s="26">
        <v>10</v>
      </c>
      <c r="H1322" s="34"/>
      <c r="I1322" s="84">
        <v>2053.7800000000002</v>
      </c>
      <c r="J1322" s="136"/>
      <c r="K1322" s="118">
        <v>3371.14</v>
      </c>
      <c r="L1322" s="34"/>
      <c r="M1322" s="84">
        <v>26347.59</v>
      </c>
      <c r="N1322" s="38" t="s">
        <v>1162</v>
      </c>
      <c r="O1322" s="68"/>
      <c r="P1322" s="193">
        <v>46082</v>
      </c>
    </row>
    <row r="1323" spans="1:16" s="8" customFormat="1" ht="12.75" customHeight="1">
      <c r="A1323" s="110">
        <f t="shared" si="27"/>
        <v>1302</v>
      </c>
      <c r="B1323" s="155" t="s">
        <v>669</v>
      </c>
      <c r="C1323" s="23" t="s">
        <v>938</v>
      </c>
      <c r="D1323" s="24" t="s">
        <v>127</v>
      </c>
      <c r="E1323" s="23" t="s">
        <v>19</v>
      </c>
      <c r="F1323" s="31">
        <v>19</v>
      </c>
      <c r="G1323" s="26">
        <v>11</v>
      </c>
      <c r="H1323" s="34"/>
      <c r="I1323" s="84">
        <v>2123.13</v>
      </c>
      <c r="J1323" s="136"/>
      <c r="K1323" s="118">
        <v>3131.61</v>
      </c>
      <c r="L1323" s="34"/>
      <c r="M1323" s="84"/>
      <c r="N1323" s="38" t="s">
        <v>1162</v>
      </c>
      <c r="O1323" s="68"/>
      <c r="P1323" s="193">
        <v>46082</v>
      </c>
    </row>
    <row r="1324" spans="1:16" s="8" customFormat="1" ht="12.75" customHeight="1">
      <c r="A1324" s="110">
        <f t="shared" si="27"/>
        <v>1303</v>
      </c>
      <c r="B1324" s="155" t="s">
        <v>669</v>
      </c>
      <c r="C1324" s="23" t="s">
        <v>938</v>
      </c>
      <c r="D1324" s="24" t="s">
        <v>127</v>
      </c>
      <c r="E1324" s="23" t="s">
        <v>19</v>
      </c>
      <c r="F1324" s="31">
        <v>18</v>
      </c>
      <c r="G1324" s="26">
        <v>12</v>
      </c>
      <c r="H1324" s="34"/>
      <c r="I1324" s="84">
        <v>2200.17</v>
      </c>
      <c r="J1324" s="136"/>
      <c r="K1324" s="118">
        <v>2932.06</v>
      </c>
      <c r="L1324" s="34"/>
      <c r="M1324" s="84"/>
      <c r="N1324" s="38" t="s">
        <v>1162</v>
      </c>
      <c r="O1324" s="68"/>
      <c r="P1324" s="193">
        <v>46082</v>
      </c>
    </row>
    <row r="1325" spans="1:16" s="8" customFormat="1" ht="12.75" customHeight="1">
      <c r="A1325" s="110">
        <f t="shared" si="27"/>
        <v>1304</v>
      </c>
      <c r="B1325" s="155" t="s">
        <v>669</v>
      </c>
      <c r="C1325" s="23" t="s">
        <v>938</v>
      </c>
      <c r="D1325" s="24" t="s">
        <v>127</v>
      </c>
      <c r="E1325" s="23" t="s">
        <v>19</v>
      </c>
      <c r="F1325" s="31">
        <v>17</v>
      </c>
      <c r="G1325" s="26">
        <v>13</v>
      </c>
      <c r="H1325" s="34"/>
      <c r="I1325" s="84">
        <v>2286.2600000000002</v>
      </c>
      <c r="J1325" s="136"/>
      <c r="K1325" s="118">
        <v>2763.13</v>
      </c>
      <c r="L1325" s="34"/>
      <c r="M1325" s="84"/>
      <c r="N1325" s="38" t="s">
        <v>1162</v>
      </c>
      <c r="O1325" s="68"/>
      <c r="P1325" s="193">
        <v>46082</v>
      </c>
    </row>
    <row r="1326" spans="1:16" s="8" customFormat="1" ht="12.75" customHeight="1">
      <c r="A1326" s="110">
        <f t="shared" si="27"/>
        <v>1305</v>
      </c>
      <c r="B1326" s="155" t="s">
        <v>669</v>
      </c>
      <c r="C1326" s="23" t="s">
        <v>938</v>
      </c>
      <c r="D1326" s="24" t="s">
        <v>127</v>
      </c>
      <c r="E1326" s="23" t="s">
        <v>19</v>
      </c>
      <c r="F1326" s="31">
        <v>16</v>
      </c>
      <c r="G1326" s="26">
        <v>14</v>
      </c>
      <c r="H1326" s="34"/>
      <c r="I1326" s="84">
        <v>2383.14</v>
      </c>
      <c r="J1326" s="136"/>
      <c r="K1326" s="118">
        <v>2618.37</v>
      </c>
      <c r="L1326" s="34"/>
      <c r="M1326" s="84"/>
      <c r="N1326" s="38" t="s">
        <v>1162</v>
      </c>
      <c r="O1326" s="68"/>
      <c r="P1326" s="193">
        <v>46082</v>
      </c>
    </row>
    <row r="1327" spans="1:16" s="8" customFormat="1" ht="12.75" customHeight="1">
      <c r="A1327" s="110">
        <f t="shared" si="27"/>
        <v>1306</v>
      </c>
      <c r="B1327" s="155" t="s">
        <v>669</v>
      </c>
      <c r="C1327" s="23" t="s">
        <v>938</v>
      </c>
      <c r="D1327" s="24" t="s">
        <v>127</v>
      </c>
      <c r="E1327" s="23" t="s">
        <v>19</v>
      </c>
      <c r="F1327" s="31">
        <v>15</v>
      </c>
      <c r="G1327" s="26"/>
      <c r="H1327" s="34"/>
      <c r="I1327" s="84">
        <v>2492.91</v>
      </c>
      <c r="J1327" s="136"/>
      <c r="K1327" s="118"/>
      <c r="L1327" s="34"/>
      <c r="M1327" s="84"/>
      <c r="N1327" s="38" t="s">
        <v>1162</v>
      </c>
      <c r="O1327" s="68"/>
      <c r="P1327" s="193">
        <v>46082</v>
      </c>
    </row>
    <row r="1328" spans="1:16" s="8" customFormat="1" ht="12.75" customHeight="1">
      <c r="A1328" s="110">
        <f t="shared" si="27"/>
        <v>1307</v>
      </c>
      <c r="B1328" s="155" t="s">
        <v>1046</v>
      </c>
      <c r="C1328" s="23" t="s">
        <v>938</v>
      </c>
      <c r="D1328" s="24" t="s">
        <v>127</v>
      </c>
      <c r="E1328" s="23" t="s">
        <v>19</v>
      </c>
      <c r="F1328" s="31" t="s">
        <v>977</v>
      </c>
      <c r="G1328" s="26"/>
      <c r="H1328" s="34"/>
      <c r="I1328" s="84">
        <v>93935.58</v>
      </c>
      <c r="J1328" s="136"/>
      <c r="K1328" s="118"/>
      <c r="L1328" s="34"/>
      <c r="M1328" s="84"/>
      <c r="N1328" s="38" t="s">
        <v>1162</v>
      </c>
      <c r="O1328" s="68"/>
      <c r="P1328" s="193">
        <v>46082</v>
      </c>
    </row>
    <row r="1329" spans="1:16" s="8" customFormat="1" ht="12.75" customHeight="1">
      <c r="A1329" s="110">
        <f t="shared" si="27"/>
        <v>1308</v>
      </c>
      <c r="B1329" s="52" t="s">
        <v>670</v>
      </c>
      <c r="C1329" s="14" t="s">
        <v>148</v>
      </c>
      <c r="D1329" s="15" t="s">
        <v>128</v>
      </c>
      <c r="E1329" s="14" t="s">
        <v>19</v>
      </c>
      <c r="F1329" s="26">
        <v>20</v>
      </c>
      <c r="G1329" s="26">
        <v>10</v>
      </c>
      <c r="H1329" s="34">
        <v>1657.14</v>
      </c>
      <c r="I1329" s="84">
        <v>1693.61</v>
      </c>
      <c r="J1329" s="136">
        <v>2777.03</v>
      </c>
      <c r="K1329" s="118">
        <v>2849.99</v>
      </c>
      <c r="L1329" s="34">
        <v>11412.74</v>
      </c>
      <c r="M1329" s="84">
        <v>11502.44</v>
      </c>
      <c r="N1329" s="38" t="s">
        <v>641</v>
      </c>
      <c r="O1329" s="68">
        <v>591</v>
      </c>
      <c r="P1329" s="66">
        <v>43617</v>
      </c>
    </row>
    <row r="1330" spans="1:16" s="8" customFormat="1" ht="12.75" customHeight="1">
      <c r="A1330" s="110">
        <f t="shared" si="27"/>
        <v>1309</v>
      </c>
      <c r="B1330" s="32" t="s">
        <v>1047</v>
      </c>
      <c r="C1330" s="23" t="s">
        <v>938</v>
      </c>
      <c r="D1330" s="24" t="s">
        <v>128</v>
      </c>
      <c r="E1330" s="23" t="s">
        <v>19</v>
      </c>
      <c r="F1330" s="31" t="s">
        <v>977</v>
      </c>
      <c r="G1330" s="26"/>
      <c r="H1330" s="34"/>
      <c r="I1330" s="84">
        <v>56888.54</v>
      </c>
      <c r="J1330" s="136"/>
      <c r="K1330" s="118"/>
      <c r="L1330" s="34"/>
      <c r="M1330" s="84"/>
      <c r="N1330" s="38" t="s">
        <v>641</v>
      </c>
      <c r="O1330" s="68"/>
      <c r="P1330" s="66">
        <v>44562</v>
      </c>
    </row>
    <row r="1331" spans="1:16" s="8" customFormat="1" ht="12.75" customHeight="1">
      <c r="A1331" s="110">
        <f t="shared" si="27"/>
        <v>1310</v>
      </c>
      <c r="B1331" s="32" t="s">
        <v>670</v>
      </c>
      <c r="C1331" s="23" t="s">
        <v>938</v>
      </c>
      <c r="D1331" s="24" t="s">
        <v>128</v>
      </c>
      <c r="E1331" s="14" t="s">
        <v>19</v>
      </c>
      <c r="F1331" s="26">
        <v>20</v>
      </c>
      <c r="G1331" s="26">
        <v>10</v>
      </c>
      <c r="H1331" s="34"/>
      <c r="I1331" s="84">
        <v>1437.58</v>
      </c>
      <c r="J1331" s="136"/>
      <c r="K1331" s="118">
        <v>2289.3200000000002</v>
      </c>
      <c r="L1331" s="34"/>
      <c r="M1331" s="84"/>
      <c r="N1331" s="38" t="s">
        <v>641</v>
      </c>
      <c r="O1331" s="68"/>
      <c r="P1331" s="66">
        <v>44562</v>
      </c>
    </row>
    <row r="1332" spans="1:16" s="8" customFormat="1" ht="12.75" customHeight="1">
      <c r="A1332" s="110">
        <f t="shared" si="27"/>
        <v>1311</v>
      </c>
      <c r="B1332" s="52" t="s">
        <v>670</v>
      </c>
      <c r="C1332" s="14" t="s">
        <v>148</v>
      </c>
      <c r="D1332" s="15" t="s">
        <v>128</v>
      </c>
      <c r="E1332" s="14" t="s">
        <v>19</v>
      </c>
      <c r="F1332" s="26">
        <v>20</v>
      </c>
      <c r="G1332" s="26">
        <v>10</v>
      </c>
      <c r="H1332" s="34"/>
      <c r="I1332" s="84">
        <v>1536.92</v>
      </c>
      <c r="J1332" s="136"/>
      <c r="K1332" s="118">
        <v>2458.7399999999998</v>
      </c>
      <c r="L1332" s="34"/>
      <c r="M1332" s="84"/>
      <c r="N1332" s="38" t="s">
        <v>641</v>
      </c>
      <c r="O1332" s="68"/>
      <c r="P1332" s="66">
        <v>45170</v>
      </c>
    </row>
    <row r="1333" spans="1:16" s="8" customFormat="1" ht="12.75" customHeight="1">
      <c r="A1333" s="110">
        <f t="shared" si="27"/>
        <v>1312</v>
      </c>
      <c r="B1333" s="32" t="s">
        <v>1047</v>
      </c>
      <c r="C1333" s="23" t="s">
        <v>938</v>
      </c>
      <c r="D1333" s="24" t="s">
        <v>128</v>
      </c>
      <c r="E1333" s="23" t="s">
        <v>19</v>
      </c>
      <c r="F1333" s="31" t="s">
        <v>977</v>
      </c>
      <c r="G1333" s="26"/>
      <c r="H1333" s="34"/>
      <c r="I1333" s="84">
        <v>59192.79</v>
      </c>
      <c r="J1333" s="136"/>
      <c r="K1333" s="118"/>
      <c r="L1333" s="34"/>
      <c r="M1333" s="84"/>
      <c r="N1333" s="38" t="s">
        <v>641</v>
      </c>
      <c r="O1333" s="68"/>
      <c r="P1333" s="66">
        <v>45170</v>
      </c>
    </row>
    <row r="1334" spans="1:16" s="8" customFormat="1" ht="12.75" customHeight="1">
      <c r="A1334" s="110">
        <f t="shared" si="27"/>
        <v>1313</v>
      </c>
      <c r="B1334" s="52" t="s">
        <v>670</v>
      </c>
      <c r="C1334" s="14" t="s">
        <v>148</v>
      </c>
      <c r="D1334" s="15" t="s">
        <v>128</v>
      </c>
      <c r="E1334" s="14" t="s">
        <v>19</v>
      </c>
      <c r="F1334" s="26">
        <v>20</v>
      </c>
      <c r="G1334" s="26">
        <v>10</v>
      </c>
      <c r="H1334" s="34"/>
      <c r="I1334" s="84" t="s">
        <v>1147</v>
      </c>
      <c r="J1334" s="136"/>
      <c r="K1334" s="118" t="s">
        <v>1148</v>
      </c>
      <c r="L1334" s="34"/>
      <c r="M1334" s="84">
        <v>20955.349999999999</v>
      </c>
      <c r="N1334" s="38" t="s">
        <v>1162</v>
      </c>
      <c r="O1334" s="68"/>
      <c r="P1334" s="66">
        <v>45352</v>
      </c>
    </row>
    <row r="1335" spans="1:16" s="8" customFormat="1" ht="12.75" customHeight="1">
      <c r="A1335" s="110">
        <f t="shared" si="27"/>
        <v>1314</v>
      </c>
      <c r="B1335" s="52" t="s">
        <v>670</v>
      </c>
      <c r="C1335" s="14" t="s">
        <v>148</v>
      </c>
      <c r="D1335" s="15" t="s">
        <v>128</v>
      </c>
      <c r="E1335" s="14" t="s">
        <v>19</v>
      </c>
      <c r="F1335" s="26">
        <v>19</v>
      </c>
      <c r="G1335" s="26">
        <v>11</v>
      </c>
      <c r="H1335" s="34"/>
      <c r="I1335" s="84">
        <v>1810.32</v>
      </c>
      <c r="J1335" s="136"/>
      <c r="K1335" s="118">
        <v>2612.44</v>
      </c>
      <c r="L1335" s="34"/>
      <c r="M1335" s="84"/>
      <c r="N1335" s="38" t="s">
        <v>1162</v>
      </c>
      <c r="O1335" s="68"/>
      <c r="P1335" s="66">
        <v>45352</v>
      </c>
    </row>
    <row r="1336" spans="1:16" s="8" customFormat="1" ht="12.75" customHeight="1">
      <c r="A1336" s="110">
        <f t="shared" ref="A1336:A1399" si="28">A1335+1</f>
        <v>1315</v>
      </c>
      <c r="B1336" s="52" t="s">
        <v>670</v>
      </c>
      <c r="C1336" s="14" t="s">
        <v>148</v>
      </c>
      <c r="D1336" s="15" t="s">
        <v>128</v>
      </c>
      <c r="E1336" s="14" t="s">
        <v>19</v>
      </c>
      <c r="F1336" s="26">
        <v>18</v>
      </c>
      <c r="G1336" s="26">
        <v>12</v>
      </c>
      <c r="H1336" s="34"/>
      <c r="I1336" s="84">
        <v>1871.59</v>
      </c>
      <c r="J1336" s="136"/>
      <c r="K1336" s="118">
        <v>2453.6799999999998</v>
      </c>
      <c r="L1336" s="34"/>
      <c r="M1336" s="84"/>
      <c r="N1336" s="38" t="s">
        <v>1162</v>
      </c>
      <c r="O1336" s="68"/>
      <c r="P1336" s="66">
        <v>45352</v>
      </c>
    </row>
    <row r="1337" spans="1:16" s="8" customFormat="1" ht="12.75" customHeight="1">
      <c r="A1337" s="110">
        <f t="shared" si="28"/>
        <v>1316</v>
      </c>
      <c r="B1337" s="52" t="s">
        <v>670</v>
      </c>
      <c r="C1337" s="14" t="s">
        <v>148</v>
      </c>
      <c r="D1337" s="15" t="s">
        <v>128</v>
      </c>
      <c r="E1337" s="14" t="s">
        <v>19</v>
      </c>
      <c r="F1337" s="26">
        <v>17</v>
      </c>
      <c r="G1337" s="26">
        <v>13</v>
      </c>
      <c r="H1337" s="34"/>
      <c r="I1337" s="84">
        <v>1940.09</v>
      </c>
      <c r="J1337" s="136"/>
      <c r="K1337" s="118">
        <v>2319.34</v>
      </c>
      <c r="L1337" s="34"/>
      <c r="M1337" s="84"/>
      <c r="N1337" s="38" t="s">
        <v>1162</v>
      </c>
      <c r="O1337" s="68"/>
      <c r="P1337" s="66">
        <v>45352</v>
      </c>
    </row>
    <row r="1338" spans="1:16" s="8" customFormat="1" ht="12.75" customHeight="1">
      <c r="A1338" s="110">
        <f t="shared" si="28"/>
        <v>1317</v>
      </c>
      <c r="B1338" s="52" t="s">
        <v>670</v>
      </c>
      <c r="C1338" s="14" t="s">
        <v>148</v>
      </c>
      <c r="D1338" s="15" t="s">
        <v>128</v>
      </c>
      <c r="E1338" s="14" t="s">
        <v>19</v>
      </c>
      <c r="F1338" s="26">
        <v>16</v>
      </c>
      <c r="G1338" s="26">
        <v>14</v>
      </c>
      <c r="H1338" s="34"/>
      <c r="I1338" s="84">
        <v>2017.11</v>
      </c>
      <c r="J1338" s="136"/>
      <c r="K1338" s="118">
        <v>2204.2199999999998</v>
      </c>
      <c r="L1338" s="34"/>
      <c r="M1338" s="84"/>
      <c r="N1338" s="38" t="s">
        <v>1162</v>
      </c>
      <c r="O1338" s="68"/>
      <c r="P1338" s="66">
        <v>45352</v>
      </c>
    </row>
    <row r="1339" spans="1:16" s="8" customFormat="1" ht="12.75" customHeight="1">
      <c r="A1339" s="110">
        <f t="shared" si="28"/>
        <v>1318</v>
      </c>
      <c r="B1339" s="52" t="s">
        <v>670</v>
      </c>
      <c r="C1339" s="14" t="s">
        <v>148</v>
      </c>
      <c r="D1339" s="15" t="s">
        <v>128</v>
      </c>
      <c r="E1339" s="14" t="s">
        <v>19</v>
      </c>
      <c r="F1339" s="26">
        <v>15</v>
      </c>
      <c r="G1339" s="26"/>
      <c r="H1339" s="34"/>
      <c r="I1339" s="84">
        <v>2104.41</v>
      </c>
      <c r="J1339" s="136"/>
      <c r="K1339" s="118"/>
      <c r="L1339" s="34"/>
      <c r="M1339" s="84"/>
      <c r="N1339" s="38" t="s">
        <v>1162</v>
      </c>
      <c r="O1339" s="68"/>
      <c r="P1339" s="66">
        <v>45352</v>
      </c>
    </row>
    <row r="1340" spans="1:16" s="8" customFormat="1" ht="12.75" customHeight="1">
      <c r="A1340" s="110">
        <f t="shared" si="28"/>
        <v>1319</v>
      </c>
      <c r="B1340" s="52" t="s">
        <v>670</v>
      </c>
      <c r="C1340" s="14" t="s">
        <v>148</v>
      </c>
      <c r="D1340" s="15" t="s">
        <v>128</v>
      </c>
      <c r="E1340" s="14" t="s">
        <v>19</v>
      </c>
      <c r="F1340" s="26">
        <v>20</v>
      </c>
      <c r="G1340" s="26">
        <v>10</v>
      </c>
      <c r="H1340" s="34"/>
      <c r="I1340" s="84">
        <v>2063.0700000000002</v>
      </c>
      <c r="J1340" s="136"/>
      <c r="K1340" s="118">
        <v>3277.29</v>
      </c>
      <c r="L1340" s="34"/>
      <c r="M1340" s="84">
        <v>24284.47</v>
      </c>
      <c r="N1340" s="38" t="s">
        <v>1162</v>
      </c>
      <c r="O1340" s="68"/>
      <c r="P1340" s="66">
        <v>45689</v>
      </c>
    </row>
    <row r="1341" spans="1:16" s="8" customFormat="1" ht="12.75" customHeight="1">
      <c r="A1341" s="110">
        <f t="shared" si="28"/>
        <v>1320</v>
      </c>
      <c r="B1341" s="52" t="s">
        <v>670</v>
      </c>
      <c r="C1341" s="14" t="s">
        <v>148</v>
      </c>
      <c r="D1341" s="15" t="s">
        <v>128</v>
      </c>
      <c r="E1341" s="14" t="s">
        <v>19</v>
      </c>
      <c r="F1341" s="26">
        <v>19</v>
      </c>
      <c r="G1341" s="26">
        <v>11</v>
      </c>
      <c r="H1341" s="34"/>
      <c r="I1341" s="84">
        <v>2126.96</v>
      </c>
      <c r="J1341" s="136"/>
      <c r="K1341" s="118">
        <v>3056.53</v>
      </c>
      <c r="L1341" s="34"/>
      <c r="M1341" s="84"/>
      <c r="N1341" s="38" t="s">
        <v>1162</v>
      </c>
      <c r="O1341" s="68"/>
      <c r="P1341" s="66">
        <v>45689</v>
      </c>
    </row>
    <row r="1342" spans="1:16" s="8" customFormat="1" ht="12.75" customHeight="1">
      <c r="A1342" s="110">
        <f t="shared" si="28"/>
        <v>1321</v>
      </c>
      <c r="B1342" s="52" t="s">
        <v>670</v>
      </c>
      <c r="C1342" s="14" t="s">
        <v>148</v>
      </c>
      <c r="D1342" s="15" t="s">
        <v>128</v>
      </c>
      <c r="E1342" s="14" t="s">
        <v>19</v>
      </c>
      <c r="F1342" s="26">
        <v>18</v>
      </c>
      <c r="G1342" s="26">
        <v>12</v>
      </c>
      <c r="H1342" s="34"/>
      <c r="I1342" s="84">
        <v>2197.98</v>
      </c>
      <c r="J1342" s="136"/>
      <c r="K1342" s="118">
        <v>2872.56</v>
      </c>
      <c r="L1342" s="34"/>
      <c r="M1342" s="84"/>
      <c r="N1342" s="38" t="s">
        <v>1162</v>
      </c>
      <c r="O1342" s="68"/>
      <c r="P1342" s="66">
        <v>45689</v>
      </c>
    </row>
    <row r="1343" spans="1:16" s="8" customFormat="1" ht="12.75" customHeight="1">
      <c r="A1343" s="110">
        <f t="shared" si="28"/>
        <v>1322</v>
      </c>
      <c r="B1343" s="52" t="s">
        <v>670</v>
      </c>
      <c r="C1343" s="14" t="s">
        <v>148</v>
      </c>
      <c r="D1343" s="15" t="s">
        <v>128</v>
      </c>
      <c r="E1343" s="14" t="s">
        <v>19</v>
      </c>
      <c r="F1343" s="26">
        <v>17</v>
      </c>
      <c r="G1343" s="26">
        <v>13</v>
      </c>
      <c r="H1343" s="34"/>
      <c r="I1343" s="84">
        <v>2277.34</v>
      </c>
      <c r="J1343" s="136"/>
      <c r="K1343" s="118">
        <v>2716.89</v>
      </c>
      <c r="L1343" s="34"/>
      <c r="M1343" s="84"/>
      <c r="N1343" s="38" t="s">
        <v>1162</v>
      </c>
      <c r="O1343" s="68"/>
      <c r="P1343" s="66">
        <v>45689</v>
      </c>
    </row>
    <row r="1344" spans="1:16" s="8" customFormat="1" ht="12.75" customHeight="1">
      <c r="A1344" s="110">
        <f t="shared" si="28"/>
        <v>1323</v>
      </c>
      <c r="B1344" s="52" t="s">
        <v>670</v>
      </c>
      <c r="C1344" s="14" t="s">
        <v>148</v>
      </c>
      <c r="D1344" s="15" t="s">
        <v>128</v>
      </c>
      <c r="E1344" s="14" t="s">
        <v>19</v>
      </c>
      <c r="F1344" s="26">
        <v>16</v>
      </c>
      <c r="G1344" s="26">
        <v>14</v>
      </c>
      <c r="H1344" s="34"/>
      <c r="I1344" s="84">
        <v>2366.65</v>
      </c>
      <c r="J1344" s="136"/>
      <c r="K1344" s="118">
        <v>2583.4899999999998</v>
      </c>
      <c r="L1344" s="34"/>
      <c r="M1344" s="84"/>
      <c r="N1344" s="38" t="s">
        <v>1162</v>
      </c>
      <c r="O1344" s="68"/>
      <c r="P1344" s="66">
        <v>45689</v>
      </c>
    </row>
    <row r="1345" spans="1:16" s="8" customFormat="1" ht="12.75" customHeight="1">
      <c r="A1345" s="110">
        <f t="shared" si="28"/>
        <v>1324</v>
      </c>
      <c r="B1345" s="52" t="s">
        <v>670</v>
      </c>
      <c r="C1345" s="14" t="s">
        <v>148</v>
      </c>
      <c r="D1345" s="15" t="s">
        <v>128</v>
      </c>
      <c r="E1345" s="14" t="s">
        <v>19</v>
      </c>
      <c r="F1345" s="26">
        <v>15</v>
      </c>
      <c r="G1345" s="26"/>
      <c r="H1345" s="34"/>
      <c r="I1345" s="84">
        <v>2467.79</v>
      </c>
      <c r="J1345" s="136"/>
      <c r="K1345" s="118"/>
      <c r="L1345" s="34"/>
      <c r="M1345" s="84"/>
      <c r="N1345" s="38" t="s">
        <v>1162</v>
      </c>
      <c r="O1345" s="68"/>
      <c r="P1345" s="66">
        <v>45689</v>
      </c>
    </row>
    <row r="1346" spans="1:16" s="8" customFormat="1" ht="12.75" customHeight="1">
      <c r="A1346" s="110">
        <f t="shared" si="28"/>
        <v>1325</v>
      </c>
      <c r="B1346" s="52" t="s">
        <v>1047</v>
      </c>
      <c r="C1346" s="23" t="s">
        <v>938</v>
      </c>
      <c r="D1346" s="24" t="s">
        <v>128</v>
      </c>
      <c r="E1346" s="23" t="s">
        <v>19</v>
      </c>
      <c r="F1346" s="31" t="s">
        <v>977</v>
      </c>
      <c r="G1346" s="26"/>
      <c r="H1346" s="34"/>
      <c r="I1346" s="84">
        <v>71453.399999999994</v>
      </c>
      <c r="J1346" s="136"/>
      <c r="K1346" s="118"/>
      <c r="L1346" s="34"/>
      <c r="M1346" s="84"/>
      <c r="N1346" s="38" t="s">
        <v>1162</v>
      </c>
      <c r="O1346" s="68"/>
      <c r="P1346" s="66">
        <v>45352</v>
      </c>
    </row>
    <row r="1347" spans="1:16" s="8" customFormat="1" ht="12.75" customHeight="1">
      <c r="A1347" s="110">
        <f t="shared" si="28"/>
        <v>1326</v>
      </c>
      <c r="B1347" s="52" t="s">
        <v>1047</v>
      </c>
      <c r="C1347" s="23" t="s">
        <v>938</v>
      </c>
      <c r="D1347" s="24" t="s">
        <v>128</v>
      </c>
      <c r="E1347" s="23" t="s">
        <v>19</v>
      </c>
      <c r="F1347" s="31" t="s">
        <v>977</v>
      </c>
      <c r="G1347" s="26"/>
      <c r="H1347" s="34"/>
      <c r="I1347" s="84">
        <v>85827.97</v>
      </c>
      <c r="J1347" s="136"/>
      <c r="K1347" s="118"/>
      <c r="L1347" s="34"/>
      <c r="M1347" s="84"/>
      <c r="N1347" s="38" t="s">
        <v>1162</v>
      </c>
      <c r="O1347" s="68"/>
      <c r="P1347" s="66">
        <v>45689</v>
      </c>
    </row>
    <row r="1348" spans="1:16" s="8" customFormat="1" ht="12.75" customHeight="1">
      <c r="A1348" s="110">
        <f t="shared" si="28"/>
        <v>1327</v>
      </c>
      <c r="B1348" s="156" t="s">
        <v>670</v>
      </c>
      <c r="C1348" s="23" t="s">
        <v>938</v>
      </c>
      <c r="D1348" s="24" t="s">
        <v>128</v>
      </c>
      <c r="E1348" s="23" t="s">
        <v>19</v>
      </c>
      <c r="F1348" s="31">
        <v>20</v>
      </c>
      <c r="G1348" s="26">
        <v>10</v>
      </c>
      <c r="H1348" s="34"/>
      <c r="I1348" s="84">
        <v>2321.46</v>
      </c>
      <c r="J1348" s="136"/>
      <c r="K1348" s="118">
        <v>3638.83</v>
      </c>
      <c r="L1348" s="34"/>
      <c r="M1348" s="84">
        <v>26347.59</v>
      </c>
      <c r="N1348" s="38" t="s">
        <v>1162</v>
      </c>
      <c r="O1348" s="68"/>
      <c r="P1348" s="193">
        <v>46082</v>
      </c>
    </row>
    <row r="1349" spans="1:16" s="8" customFormat="1" ht="12.75" customHeight="1">
      <c r="A1349" s="110">
        <f t="shared" si="28"/>
        <v>1328</v>
      </c>
      <c r="B1349" s="156" t="s">
        <v>670</v>
      </c>
      <c r="C1349" s="23" t="s">
        <v>938</v>
      </c>
      <c r="D1349" s="24" t="s">
        <v>128</v>
      </c>
      <c r="E1349" s="23" t="s">
        <v>19</v>
      </c>
      <c r="F1349" s="31">
        <v>19</v>
      </c>
      <c r="G1349" s="26">
        <v>11</v>
      </c>
      <c r="H1349" s="34"/>
      <c r="I1349" s="84">
        <v>2390.8000000000002</v>
      </c>
      <c r="J1349" s="136"/>
      <c r="K1349" s="118">
        <v>3399.29</v>
      </c>
      <c r="L1349" s="34"/>
      <c r="M1349" s="84"/>
      <c r="N1349" s="38" t="s">
        <v>1162</v>
      </c>
      <c r="O1349" s="68"/>
      <c r="P1349" s="193">
        <v>46082</v>
      </c>
    </row>
    <row r="1350" spans="1:16" s="8" customFormat="1" ht="12.75" customHeight="1">
      <c r="A1350" s="110">
        <f t="shared" si="28"/>
        <v>1329</v>
      </c>
      <c r="B1350" s="156" t="s">
        <v>670</v>
      </c>
      <c r="C1350" s="23" t="s">
        <v>938</v>
      </c>
      <c r="D1350" s="24" t="s">
        <v>128</v>
      </c>
      <c r="E1350" s="23" t="s">
        <v>19</v>
      </c>
      <c r="F1350" s="31">
        <v>18</v>
      </c>
      <c r="G1350" s="26">
        <v>12</v>
      </c>
      <c r="H1350" s="34"/>
      <c r="I1350" s="84">
        <v>2467.84</v>
      </c>
      <c r="J1350" s="136"/>
      <c r="K1350" s="118">
        <v>3199.74</v>
      </c>
      <c r="L1350" s="34"/>
      <c r="M1350" s="84"/>
      <c r="N1350" s="38" t="s">
        <v>1162</v>
      </c>
      <c r="O1350" s="68"/>
      <c r="P1350" s="193">
        <v>46082</v>
      </c>
    </row>
    <row r="1351" spans="1:16" s="8" customFormat="1" ht="12.75" customHeight="1">
      <c r="A1351" s="110">
        <f t="shared" si="28"/>
        <v>1330</v>
      </c>
      <c r="B1351" s="156" t="s">
        <v>670</v>
      </c>
      <c r="C1351" s="23" t="s">
        <v>938</v>
      </c>
      <c r="D1351" s="24" t="s">
        <v>128</v>
      </c>
      <c r="E1351" s="23" t="s">
        <v>19</v>
      </c>
      <c r="F1351" s="31">
        <v>17</v>
      </c>
      <c r="G1351" s="26">
        <v>13</v>
      </c>
      <c r="H1351" s="34"/>
      <c r="I1351" s="84">
        <v>2553.94</v>
      </c>
      <c r="J1351" s="136"/>
      <c r="K1351" s="118">
        <v>3030.8</v>
      </c>
      <c r="L1351" s="34"/>
      <c r="M1351" s="84"/>
      <c r="N1351" s="38" t="s">
        <v>1162</v>
      </c>
      <c r="O1351" s="68"/>
      <c r="P1351" s="193">
        <v>46082</v>
      </c>
    </row>
    <row r="1352" spans="1:16" s="8" customFormat="1" ht="12.75" customHeight="1">
      <c r="A1352" s="110">
        <f t="shared" si="28"/>
        <v>1331</v>
      </c>
      <c r="B1352" s="156" t="s">
        <v>670</v>
      </c>
      <c r="C1352" s="23" t="s">
        <v>938</v>
      </c>
      <c r="D1352" s="24" t="s">
        <v>128</v>
      </c>
      <c r="E1352" s="23" t="s">
        <v>19</v>
      </c>
      <c r="F1352" s="31">
        <v>16</v>
      </c>
      <c r="G1352" s="26">
        <v>14</v>
      </c>
      <c r="H1352" s="34"/>
      <c r="I1352" s="84">
        <v>2650.82</v>
      </c>
      <c r="J1352" s="136"/>
      <c r="K1352" s="118">
        <v>2886.05</v>
      </c>
      <c r="L1352" s="34"/>
      <c r="M1352" s="84"/>
      <c r="N1352" s="38" t="s">
        <v>1162</v>
      </c>
      <c r="O1352" s="68"/>
      <c r="P1352" s="193">
        <v>46082</v>
      </c>
    </row>
    <row r="1353" spans="1:16" s="8" customFormat="1" ht="12.75" customHeight="1">
      <c r="A1353" s="110">
        <f t="shared" si="28"/>
        <v>1332</v>
      </c>
      <c r="B1353" s="156" t="s">
        <v>670</v>
      </c>
      <c r="C1353" s="23" t="s">
        <v>938</v>
      </c>
      <c r="D1353" s="24" t="s">
        <v>128</v>
      </c>
      <c r="E1353" s="23" t="s">
        <v>19</v>
      </c>
      <c r="F1353" s="31">
        <v>15</v>
      </c>
      <c r="G1353" s="26"/>
      <c r="H1353" s="34"/>
      <c r="I1353" s="84">
        <v>2760.58</v>
      </c>
      <c r="J1353" s="136"/>
      <c r="K1353" s="118"/>
      <c r="L1353" s="34"/>
      <c r="M1353" s="84"/>
      <c r="N1353" s="38" t="s">
        <v>1162</v>
      </c>
      <c r="O1353" s="68"/>
      <c r="P1353" s="193">
        <v>46082</v>
      </c>
    </row>
    <row r="1354" spans="1:16" s="8" customFormat="1" ht="12.75" customHeight="1">
      <c r="A1354" s="110">
        <f t="shared" si="28"/>
        <v>1333</v>
      </c>
      <c r="B1354" s="156" t="s">
        <v>1047</v>
      </c>
      <c r="C1354" s="23" t="s">
        <v>938</v>
      </c>
      <c r="D1354" s="24" t="s">
        <v>128</v>
      </c>
      <c r="E1354" s="23" t="s">
        <v>19</v>
      </c>
      <c r="F1354" s="31" t="s">
        <v>977</v>
      </c>
      <c r="G1354" s="26"/>
      <c r="H1354" s="34"/>
      <c r="I1354" s="84">
        <v>93935.58</v>
      </c>
      <c r="J1354" s="136"/>
      <c r="K1354" s="118"/>
      <c r="L1354" s="34"/>
      <c r="M1354" s="84"/>
      <c r="N1354" s="38" t="s">
        <v>1162</v>
      </c>
      <c r="O1354" s="68"/>
      <c r="P1354" s="193">
        <v>46082</v>
      </c>
    </row>
    <row r="1355" spans="1:16" s="8" customFormat="1" ht="12.75" customHeight="1">
      <c r="A1355" s="110">
        <f t="shared" si="28"/>
        <v>1334</v>
      </c>
      <c r="B1355" s="52" t="s">
        <v>671</v>
      </c>
      <c r="C1355" s="14" t="s">
        <v>148</v>
      </c>
      <c r="D1355" s="15" t="s">
        <v>129</v>
      </c>
      <c r="E1355" s="14" t="s">
        <v>19</v>
      </c>
      <c r="F1355" s="26">
        <v>20</v>
      </c>
      <c r="G1355" s="26">
        <v>10</v>
      </c>
      <c r="H1355" s="34">
        <v>1583.87</v>
      </c>
      <c r="I1355" s="84">
        <v>1620.35</v>
      </c>
      <c r="J1355" s="136">
        <v>2703.76</v>
      </c>
      <c r="K1355" s="118">
        <v>2776.72</v>
      </c>
      <c r="L1355" s="34">
        <v>11412.74</v>
      </c>
      <c r="M1355" s="84">
        <v>11502.44</v>
      </c>
      <c r="N1355" s="38" t="s">
        <v>641</v>
      </c>
      <c r="O1355" s="68">
        <v>591</v>
      </c>
      <c r="P1355" s="66">
        <v>43617</v>
      </c>
    </row>
    <row r="1356" spans="1:16" s="8" customFormat="1" ht="12.75" customHeight="1">
      <c r="A1356" s="110">
        <f t="shared" si="28"/>
        <v>1335</v>
      </c>
      <c r="B1356" s="32" t="s">
        <v>671</v>
      </c>
      <c r="C1356" s="23" t="s">
        <v>938</v>
      </c>
      <c r="D1356" s="15" t="s">
        <v>934</v>
      </c>
      <c r="E1356" s="23" t="s">
        <v>19</v>
      </c>
      <c r="F1356" s="31" t="s">
        <v>977</v>
      </c>
      <c r="G1356" s="26"/>
      <c r="H1356" s="34"/>
      <c r="I1356" s="84">
        <v>56888.54</v>
      </c>
      <c r="J1356" s="136"/>
      <c r="K1356" s="118"/>
      <c r="L1356" s="34"/>
      <c r="M1356" s="84"/>
      <c r="N1356" s="38" t="s">
        <v>641</v>
      </c>
      <c r="O1356" s="68"/>
      <c r="P1356" s="66">
        <v>44562</v>
      </c>
    </row>
    <row r="1357" spans="1:16" s="8" customFormat="1" ht="12.75" customHeight="1">
      <c r="A1357" s="110">
        <f t="shared" si="28"/>
        <v>1336</v>
      </c>
      <c r="B1357" s="32" t="s">
        <v>671</v>
      </c>
      <c r="C1357" s="23" t="s">
        <v>938</v>
      </c>
      <c r="D1357" s="15" t="s">
        <v>934</v>
      </c>
      <c r="E1357" s="14" t="s">
        <v>19</v>
      </c>
      <c r="F1357" s="26">
        <v>20</v>
      </c>
      <c r="G1357" s="26">
        <v>10</v>
      </c>
      <c r="H1357" s="34"/>
      <c r="I1357" s="84">
        <v>1352.59</v>
      </c>
      <c r="J1357" s="136"/>
      <c r="K1357" s="118">
        <v>2204.33</v>
      </c>
      <c r="L1357" s="34"/>
      <c r="M1357" s="84"/>
      <c r="N1357" s="38" t="s">
        <v>641</v>
      </c>
      <c r="O1357" s="68"/>
      <c r="P1357" s="66">
        <v>44562</v>
      </c>
    </row>
    <row r="1358" spans="1:16" s="8" customFormat="1" ht="12.75" customHeight="1">
      <c r="A1358" s="110">
        <f t="shared" si="28"/>
        <v>1337</v>
      </c>
      <c r="B1358" s="52" t="s">
        <v>671</v>
      </c>
      <c r="C1358" s="14" t="s">
        <v>148</v>
      </c>
      <c r="D1358" s="15" t="s">
        <v>129</v>
      </c>
      <c r="E1358" s="14" t="s">
        <v>19</v>
      </c>
      <c r="F1358" s="26">
        <v>20</v>
      </c>
      <c r="G1358" s="26">
        <v>10</v>
      </c>
      <c r="H1358" s="34"/>
      <c r="I1358" s="84">
        <v>1447.66</v>
      </c>
      <c r="J1358" s="136"/>
      <c r="K1358" s="118">
        <v>2369.5</v>
      </c>
      <c r="L1358" s="34"/>
      <c r="M1358" s="84"/>
      <c r="N1358" s="38" t="s">
        <v>641</v>
      </c>
      <c r="O1358" s="68"/>
      <c r="P1358" s="66">
        <v>45170</v>
      </c>
    </row>
    <row r="1359" spans="1:16" s="8" customFormat="1" ht="12.75" customHeight="1">
      <c r="A1359" s="110">
        <f t="shared" si="28"/>
        <v>1338</v>
      </c>
      <c r="B1359" s="32" t="s">
        <v>1118</v>
      </c>
      <c r="C1359" s="23" t="s">
        <v>938</v>
      </c>
      <c r="D1359" s="15" t="s">
        <v>934</v>
      </c>
      <c r="E1359" s="23" t="s">
        <v>19</v>
      </c>
      <c r="F1359" s="31" t="s">
        <v>977</v>
      </c>
      <c r="G1359" s="26"/>
      <c r="H1359" s="34"/>
      <c r="I1359" s="84">
        <v>59192.79</v>
      </c>
      <c r="J1359" s="136"/>
      <c r="K1359" s="118"/>
      <c r="L1359" s="34"/>
      <c r="M1359" s="84"/>
      <c r="N1359" s="38" t="s">
        <v>641</v>
      </c>
      <c r="O1359" s="68"/>
      <c r="P1359" s="66">
        <v>45170</v>
      </c>
    </row>
    <row r="1360" spans="1:16" s="8" customFormat="1" ht="12.75" customHeight="1">
      <c r="A1360" s="110">
        <f t="shared" si="28"/>
        <v>1339</v>
      </c>
      <c r="B1360" s="52" t="s">
        <v>671</v>
      </c>
      <c r="C1360" s="14" t="s">
        <v>148</v>
      </c>
      <c r="D1360" s="15" t="s">
        <v>129</v>
      </c>
      <c r="E1360" s="14" t="s">
        <v>19</v>
      </c>
      <c r="F1360" s="26">
        <v>20</v>
      </c>
      <c r="G1360" s="26">
        <v>10</v>
      </c>
      <c r="H1360" s="34"/>
      <c r="I1360" s="84">
        <v>1652.53</v>
      </c>
      <c r="J1360" s="136"/>
      <c r="K1360" s="118">
        <v>2700.32</v>
      </c>
      <c r="L1360" s="34"/>
      <c r="M1360" s="84"/>
      <c r="N1360" s="38" t="s">
        <v>1162</v>
      </c>
      <c r="O1360" s="68"/>
      <c r="P1360" s="66">
        <v>45352</v>
      </c>
    </row>
    <row r="1361" spans="1:16" s="8" customFormat="1" ht="12.75" customHeight="1">
      <c r="A1361" s="110">
        <f t="shared" si="28"/>
        <v>1340</v>
      </c>
      <c r="B1361" s="52" t="s">
        <v>671</v>
      </c>
      <c r="C1361" s="14" t="s">
        <v>148</v>
      </c>
      <c r="D1361" s="15" t="s">
        <v>129</v>
      </c>
      <c r="E1361" s="14" t="s">
        <v>19</v>
      </c>
      <c r="F1361" s="26">
        <v>19</v>
      </c>
      <c r="G1361" s="26">
        <v>11</v>
      </c>
      <c r="H1361" s="34"/>
      <c r="I1361" s="84">
        <v>1707.69</v>
      </c>
      <c r="J1361" s="136"/>
      <c r="K1361" s="118">
        <v>2509.8200000000002</v>
      </c>
      <c r="L1361" s="34"/>
      <c r="M1361" s="84"/>
      <c r="N1361" s="38" t="s">
        <v>1162</v>
      </c>
      <c r="O1361" s="68"/>
      <c r="P1361" s="66">
        <v>45352</v>
      </c>
    </row>
    <row r="1362" spans="1:16" s="8" customFormat="1" ht="12.75" customHeight="1">
      <c r="A1362" s="110">
        <f t="shared" si="28"/>
        <v>1341</v>
      </c>
      <c r="B1362" s="52" t="s">
        <v>671</v>
      </c>
      <c r="C1362" s="14" t="s">
        <v>148</v>
      </c>
      <c r="D1362" s="15" t="s">
        <v>129</v>
      </c>
      <c r="E1362" s="14" t="s">
        <v>19</v>
      </c>
      <c r="F1362" s="26">
        <v>18</v>
      </c>
      <c r="G1362" s="26">
        <v>12</v>
      </c>
      <c r="H1362" s="34"/>
      <c r="I1362" s="84">
        <v>1768.95</v>
      </c>
      <c r="J1362" s="136"/>
      <c r="K1362" s="118">
        <v>2351.0500000000002</v>
      </c>
      <c r="L1362" s="34"/>
      <c r="M1362" s="84"/>
      <c r="N1362" s="38" t="s">
        <v>1162</v>
      </c>
      <c r="O1362" s="68"/>
      <c r="P1362" s="66">
        <v>45352</v>
      </c>
    </row>
    <row r="1363" spans="1:16" s="8" customFormat="1" ht="12.75" customHeight="1">
      <c r="A1363" s="110">
        <f t="shared" si="28"/>
        <v>1342</v>
      </c>
      <c r="B1363" s="52" t="s">
        <v>671</v>
      </c>
      <c r="C1363" s="14" t="s">
        <v>148</v>
      </c>
      <c r="D1363" s="15" t="s">
        <v>129</v>
      </c>
      <c r="E1363" s="14" t="s">
        <v>19</v>
      </c>
      <c r="F1363" s="26">
        <v>17</v>
      </c>
      <c r="G1363" s="26">
        <v>13</v>
      </c>
      <c r="H1363" s="34"/>
      <c r="I1363" s="84">
        <v>1837.45</v>
      </c>
      <c r="J1363" s="136"/>
      <c r="K1363" s="118">
        <v>2216.7199999999998</v>
      </c>
      <c r="L1363" s="34"/>
      <c r="M1363" s="84"/>
      <c r="N1363" s="38" t="s">
        <v>1162</v>
      </c>
      <c r="O1363" s="68"/>
      <c r="P1363" s="66">
        <v>45352</v>
      </c>
    </row>
    <row r="1364" spans="1:16" s="8" customFormat="1" ht="12.75" customHeight="1">
      <c r="A1364" s="110">
        <f t="shared" si="28"/>
        <v>1343</v>
      </c>
      <c r="B1364" s="52" t="s">
        <v>671</v>
      </c>
      <c r="C1364" s="14" t="s">
        <v>148</v>
      </c>
      <c r="D1364" s="15" t="s">
        <v>129</v>
      </c>
      <c r="E1364" s="14" t="s">
        <v>19</v>
      </c>
      <c r="F1364" s="26">
        <v>16</v>
      </c>
      <c r="G1364" s="26">
        <v>14</v>
      </c>
      <c r="H1364" s="34"/>
      <c r="I1364" s="84">
        <v>1914.47</v>
      </c>
      <c r="J1364" s="136"/>
      <c r="K1364" s="118">
        <v>2101.59</v>
      </c>
      <c r="L1364" s="34"/>
      <c r="M1364" s="84"/>
      <c r="N1364" s="38" t="s">
        <v>1162</v>
      </c>
      <c r="O1364" s="68"/>
      <c r="P1364" s="66">
        <v>45352</v>
      </c>
    </row>
    <row r="1365" spans="1:16" s="8" customFormat="1" ht="12.75" customHeight="1">
      <c r="A1365" s="110">
        <f t="shared" si="28"/>
        <v>1344</v>
      </c>
      <c r="B1365" s="52" t="s">
        <v>671</v>
      </c>
      <c r="C1365" s="14" t="s">
        <v>148</v>
      </c>
      <c r="D1365" s="15" t="s">
        <v>129</v>
      </c>
      <c r="E1365" s="14" t="s">
        <v>19</v>
      </c>
      <c r="F1365" s="26">
        <v>15</v>
      </c>
      <c r="G1365" s="26"/>
      <c r="H1365" s="34"/>
      <c r="I1365" s="84">
        <v>2001.78</v>
      </c>
      <c r="J1365" s="136"/>
      <c r="K1365" s="118"/>
      <c r="L1365" s="34"/>
      <c r="M1365" s="84"/>
      <c r="N1365" s="38" t="s">
        <v>1162</v>
      </c>
      <c r="O1365" s="68"/>
      <c r="P1365" s="66">
        <v>45352</v>
      </c>
    </row>
    <row r="1366" spans="1:16" s="8" customFormat="1" ht="12.75" customHeight="1">
      <c r="A1366" s="110">
        <f t="shared" si="28"/>
        <v>1345</v>
      </c>
      <c r="B1366" s="52" t="s">
        <v>671</v>
      </c>
      <c r="C1366" s="14" t="s">
        <v>148</v>
      </c>
      <c r="D1366" s="15" t="s">
        <v>129</v>
      </c>
      <c r="E1366" s="14" t="s">
        <v>19</v>
      </c>
      <c r="F1366" s="26">
        <v>20</v>
      </c>
      <c r="G1366" s="26">
        <v>10</v>
      </c>
      <c r="H1366" s="34"/>
      <c r="I1366" s="84">
        <v>1927.82</v>
      </c>
      <c r="J1366" s="136"/>
      <c r="K1366" s="118">
        <v>3142.03</v>
      </c>
      <c r="L1366" s="34"/>
      <c r="M1366" s="84">
        <v>24284.47</v>
      </c>
      <c r="N1366" s="38" t="s">
        <v>1162</v>
      </c>
      <c r="O1366" s="68"/>
      <c r="P1366" s="66">
        <v>45689</v>
      </c>
    </row>
    <row r="1367" spans="1:16" s="8" customFormat="1" ht="12.75" customHeight="1">
      <c r="A1367" s="110">
        <f t="shared" si="28"/>
        <v>1346</v>
      </c>
      <c r="B1367" s="52" t="s">
        <v>671</v>
      </c>
      <c r="C1367" s="14" t="s">
        <v>148</v>
      </c>
      <c r="D1367" s="15" t="s">
        <v>129</v>
      </c>
      <c r="E1367" s="14" t="s">
        <v>19</v>
      </c>
      <c r="F1367" s="26">
        <v>19</v>
      </c>
      <c r="G1367" s="26">
        <v>11</v>
      </c>
      <c r="H1367" s="34"/>
      <c r="I1367" s="84">
        <v>1991.7</v>
      </c>
      <c r="J1367" s="136"/>
      <c r="K1367" s="118">
        <v>2921.27</v>
      </c>
      <c r="L1367" s="34"/>
      <c r="M1367" s="84"/>
      <c r="N1367" s="38" t="s">
        <v>1162</v>
      </c>
      <c r="O1367" s="68"/>
      <c r="P1367" s="66">
        <v>45689</v>
      </c>
    </row>
    <row r="1368" spans="1:16" s="8" customFormat="1" ht="12.75" customHeight="1">
      <c r="A1368" s="110">
        <f t="shared" si="28"/>
        <v>1347</v>
      </c>
      <c r="B1368" s="52" t="s">
        <v>671</v>
      </c>
      <c r="C1368" s="14" t="s">
        <v>148</v>
      </c>
      <c r="D1368" s="15" t="s">
        <v>129</v>
      </c>
      <c r="E1368" s="14" t="s">
        <v>19</v>
      </c>
      <c r="F1368" s="26">
        <v>18</v>
      </c>
      <c r="G1368" s="26">
        <v>12</v>
      </c>
      <c r="H1368" s="34"/>
      <c r="I1368" s="84">
        <v>2062.7199999999998</v>
      </c>
      <c r="J1368" s="136"/>
      <c r="K1368" s="118">
        <v>2737.3</v>
      </c>
      <c r="L1368" s="34"/>
      <c r="M1368" s="84"/>
      <c r="N1368" s="38" t="s">
        <v>1162</v>
      </c>
      <c r="O1368" s="68"/>
      <c r="P1368" s="66">
        <v>45689</v>
      </c>
    </row>
    <row r="1369" spans="1:16" s="8" customFormat="1" ht="12.75" customHeight="1">
      <c r="A1369" s="110">
        <f t="shared" si="28"/>
        <v>1348</v>
      </c>
      <c r="B1369" s="52" t="s">
        <v>671</v>
      </c>
      <c r="C1369" s="14" t="s">
        <v>148</v>
      </c>
      <c r="D1369" s="15" t="s">
        <v>129</v>
      </c>
      <c r="E1369" s="14" t="s">
        <v>19</v>
      </c>
      <c r="F1369" s="26">
        <v>17</v>
      </c>
      <c r="G1369" s="26">
        <v>13</v>
      </c>
      <c r="H1369" s="34"/>
      <c r="I1369" s="84">
        <v>2142.09</v>
      </c>
      <c r="J1369" s="136"/>
      <c r="K1369" s="118">
        <v>2581.63</v>
      </c>
      <c r="L1369" s="34"/>
      <c r="M1369" s="84"/>
      <c r="N1369" s="38" t="s">
        <v>1162</v>
      </c>
      <c r="O1369" s="68"/>
      <c r="P1369" s="66">
        <v>45689</v>
      </c>
    </row>
    <row r="1370" spans="1:16" s="8" customFormat="1" ht="12.75" customHeight="1">
      <c r="A1370" s="110">
        <f t="shared" si="28"/>
        <v>1349</v>
      </c>
      <c r="B1370" s="52" t="s">
        <v>671</v>
      </c>
      <c r="C1370" s="14" t="s">
        <v>148</v>
      </c>
      <c r="D1370" s="15" t="s">
        <v>129</v>
      </c>
      <c r="E1370" s="14" t="s">
        <v>19</v>
      </c>
      <c r="F1370" s="26">
        <v>16</v>
      </c>
      <c r="G1370" s="26">
        <v>14</v>
      </c>
      <c r="H1370" s="34"/>
      <c r="I1370" s="84">
        <v>2231.39</v>
      </c>
      <c r="J1370" s="136"/>
      <c r="K1370" s="118">
        <v>2448.23</v>
      </c>
      <c r="L1370" s="34"/>
      <c r="M1370" s="84"/>
      <c r="N1370" s="38" t="s">
        <v>1162</v>
      </c>
      <c r="O1370" s="68"/>
      <c r="P1370" s="66">
        <v>45689</v>
      </c>
    </row>
    <row r="1371" spans="1:16" s="8" customFormat="1" ht="12.75" customHeight="1">
      <c r="A1371" s="110">
        <f t="shared" si="28"/>
        <v>1350</v>
      </c>
      <c r="B1371" s="52" t="s">
        <v>671</v>
      </c>
      <c r="C1371" s="14" t="s">
        <v>148</v>
      </c>
      <c r="D1371" s="15" t="s">
        <v>129</v>
      </c>
      <c r="E1371" s="14" t="s">
        <v>19</v>
      </c>
      <c r="F1371" s="26">
        <v>15</v>
      </c>
      <c r="G1371" s="26"/>
      <c r="H1371" s="34"/>
      <c r="I1371" s="84">
        <v>2332.5500000000002</v>
      </c>
      <c r="J1371" s="136"/>
      <c r="K1371" s="118"/>
      <c r="L1371" s="34"/>
      <c r="M1371" s="84"/>
      <c r="N1371" s="38" t="s">
        <v>1162</v>
      </c>
      <c r="O1371" s="68"/>
      <c r="P1371" s="66">
        <v>45689</v>
      </c>
    </row>
    <row r="1372" spans="1:16" s="8" customFormat="1" ht="12.75" customHeight="1">
      <c r="A1372" s="110">
        <f t="shared" si="28"/>
        <v>1351</v>
      </c>
      <c r="B1372" s="52" t="s">
        <v>1118</v>
      </c>
      <c r="C1372" s="23" t="s">
        <v>938</v>
      </c>
      <c r="D1372" s="15" t="s">
        <v>934</v>
      </c>
      <c r="E1372" s="23" t="s">
        <v>19</v>
      </c>
      <c r="F1372" s="31" t="s">
        <v>977</v>
      </c>
      <c r="G1372" s="26"/>
      <c r="H1372" s="34"/>
      <c r="I1372" s="84">
        <v>71453.399999999994</v>
      </c>
      <c r="J1372" s="136"/>
      <c r="K1372" s="118"/>
      <c r="L1372" s="34"/>
      <c r="M1372" s="84"/>
      <c r="N1372" s="38" t="s">
        <v>1162</v>
      </c>
      <c r="O1372" s="68"/>
      <c r="P1372" s="66">
        <v>45352</v>
      </c>
    </row>
    <row r="1373" spans="1:16" s="8" customFormat="1" ht="12.75" customHeight="1">
      <c r="A1373" s="110">
        <f t="shared" si="28"/>
        <v>1352</v>
      </c>
      <c r="B1373" s="52" t="s">
        <v>1118</v>
      </c>
      <c r="C1373" s="23" t="s">
        <v>938</v>
      </c>
      <c r="D1373" s="15" t="s">
        <v>934</v>
      </c>
      <c r="E1373" s="23" t="s">
        <v>19</v>
      </c>
      <c r="F1373" s="31" t="s">
        <v>977</v>
      </c>
      <c r="G1373" s="26"/>
      <c r="H1373" s="34"/>
      <c r="I1373" s="84">
        <v>85827.97</v>
      </c>
      <c r="J1373" s="136"/>
      <c r="K1373" s="118"/>
      <c r="L1373" s="34"/>
      <c r="M1373" s="84"/>
      <c r="N1373" s="38" t="s">
        <v>1162</v>
      </c>
      <c r="O1373" s="68"/>
      <c r="P1373" s="66">
        <v>45689</v>
      </c>
    </row>
    <row r="1374" spans="1:16" s="8" customFormat="1" ht="12.75" customHeight="1">
      <c r="A1374" s="110">
        <f t="shared" si="28"/>
        <v>1353</v>
      </c>
      <c r="B1374" s="156" t="s">
        <v>671</v>
      </c>
      <c r="C1374" s="23" t="s">
        <v>938</v>
      </c>
      <c r="D1374" s="15" t="s">
        <v>129</v>
      </c>
      <c r="E1374" s="23" t="s">
        <v>19</v>
      </c>
      <c r="F1374" s="31">
        <v>20</v>
      </c>
      <c r="G1374" s="26">
        <v>10</v>
      </c>
      <c r="H1374" s="34"/>
      <c r="I1374" s="84">
        <v>2159.3200000000002</v>
      </c>
      <c r="J1374" s="136"/>
      <c r="K1374" s="118">
        <v>3476.68</v>
      </c>
      <c r="L1374" s="34"/>
      <c r="M1374" s="84">
        <v>26347.59</v>
      </c>
      <c r="N1374" s="38" t="s">
        <v>1162</v>
      </c>
      <c r="O1374" s="68"/>
      <c r="P1374" s="193">
        <v>46082</v>
      </c>
    </row>
    <row r="1375" spans="1:16" s="8" customFormat="1" ht="12.75" customHeight="1">
      <c r="A1375" s="110">
        <f t="shared" si="28"/>
        <v>1354</v>
      </c>
      <c r="B1375" s="156" t="s">
        <v>671</v>
      </c>
      <c r="C1375" s="23" t="s">
        <v>938</v>
      </c>
      <c r="D1375" s="15" t="s">
        <v>129</v>
      </c>
      <c r="E1375" s="23" t="s">
        <v>19</v>
      </c>
      <c r="F1375" s="31">
        <v>19</v>
      </c>
      <c r="G1375" s="26">
        <v>11</v>
      </c>
      <c r="H1375" s="34"/>
      <c r="I1375" s="84">
        <v>2228.64</v>
      </c>
      <c r="J1375" s="136"/>
      <c r="K1375" s="118">
        <v>3237.15</v>
      </c>
      <c r="L1375" s="34"/>
      <c r="M1375" s="84"/>
      <c r="N1375" s="38" t="s">
        <v>1162</v>
      </c>
      <c r="O1375" s="68"/>
      <c r="P1375" s="193">
        <v>46082</v>
      </c>
    </row>
    <row r="1376" spans="1:16" s="8" customFormat="1" ht="12.75" customHeight="1">
      <c r="A1376" s="110">
        <f t="shared" si="28"/>
        <v>1355</v>
      </c>
      <c r="B1376" s="156" t="s">
        <v>671</v>
      </c>
      <c r="C1376" s="23" t="s">
        <v>938</v>
      </c>
      <c r="D1376" s="15" t="s">
        <v>129</v>
      </c>
      <c r="E1376" s="23" t="s">
        <v>19</v>
      </c>
      <c r="F1376" s="31">
        <v>18</v>
      </c>
      <c r="G1376" s="26">
        <v>12</v>
      </c>
      <c r="H1376" s="34"/>
      <c r="I1376" s="84">
        <v>2305.6999999999998</v>
      </c>
      <c r="J1376" s="136"/>
      <c r="K1376" s="118">
        <v>3037.59</v>
      </c>
      <c r="L1376" s="34"/>
      <c r="M1376" s="84"/>
      <c r="N1376" s="38" t="s">
        <v>1162</v>
      </c>
      <c r="O1376" s="68"/>
      <c r="P1376" s="193">
        <v>46082</v>
      </c>
    </row>
    <row r="1377" spans="1:16" s="8" customFormat="1" ht="12.75" customHeight="1">
      <c r="A1377" s="110">
        <f t="shared" si="28"/>
        <v>1356</v>
      </c>
      <c r="B1377" s="156" t="s">
        <v>671</v>
      </c>
      <c r="C1377" s="23" t="s">
        <v>938</v>
      </c>
      <c r="D1377" s="15" t="s">
        <v>129</v>
      </c>
      <c r="E1377" s="23" t="s">
        <v>19</v>
      </c>
      <c r="F1377" s="31">
        <v>17</v>
      </c>
      <c r="G1377" s="26">
        <v>13</v>
      </c>
      <c r="H1377" s="34"/>
      <c r="I1377" s="84">
        <v>2391.7800000000002</v>
      </c>
      <c r="J1377" s="136"/>
      <c r="K1377" s="118">
        <v>2868.66</v>
      </c>
      <c r="L1377" s="34"/>
      <c r="M1377" s="84"/>
      <c r="N1377" s="38" t="s">
        <v>1162</v>
      </c>
      <c r="O1377" s="68"/>
      <c r="P1377" s="193">
        <v>46082</v>
      </c>
    </row>
    <row r="1378" spans="1:16" s="8" customFormat="1" ht="12.75" customHeight="1">
      <c r="A1378" s="110">
        <f t="shared" si="28"/>
        <v>1357</v>
      </c>
      <c r="B1378" s="156" t="s">
        <v>671</v>
      </c>
      <c r="C1378" s="23" t="s">
        <v>938</v>
      </c>
      <c r="D1378" s="15" t="s">
        <v>129</v>
      </c>
      <c r="E1378" s="23" t="s">
        <v>19</v>
      </c>
      <c r="F1378" s="31">
        <v>16</v>
      </c>
      <c r="G1378" s="26">
        <v>14</v>
      </c>
      <c r="H1378" s="34"/>
      <c r="I1378" s="84">
        <v>2488.67</v>
      </c>
      <c r="J1378" s="136"/>
      <c r="K1378" s="118">
        <v>2723.9</v>
      </c>
      <c r="L1378" s="34"/>
      <c r="M1378" s="84"/>
      <c r="N1378" s="38" t="s">
        <v>1162</v>
      </c>
      <c r="O1378" s="68"/>
      <c r="P1378" s="193">
        <v>46082</v>
      </c>
    </row>
    <row r="1379" spans="1:16" s="8" customFormat="1" ht="12.75" customHeight="1">
      <c r="A1379" s="110">
        <f t="shared" si="28"/>
        <v>1358</v>
      </c>
      <c r="B1379" s="156" t="s">
        <v>671</v>
      </c>
      <c r="C1379" s="23" t="s">
        <v>938</v>
      </c>
      <c r="D1379" s="15" t="s">
        <v>129</v>
      </c>
      <c r="E1379" s="23" t="s">
        <v>19</v>
      </c>
      <c r="F1379" s="31">
        <v>15</v>
      </c>
      <c r="G1379" s="26"/>
      <c r="H1379" s="34"/>
      <c r="I1379" s="84">
        <v>2598.44</v>
      </c>
      <c r="J1379" s="136"/>
      <c r="K1379" s="118"/>
      <c r="L1379" s="34"/>
      <c r="M1379" s="84"/>
      <c r="N1379" s="38" t="s">
        <v>1162</v>
      </c>
      <c r="O1379" s="68"/>
      <c r="P1379" s="193">
        <v>46082</v>
      </c>
    </row>
    <row r="1380" spans="1:16" s="8" customFormat="1" ht="12.75" customHeight="1">
      <c r="A1380" s="110">
        <f t="shared" si="28"/>
        <v>1359</v>
      </c>
      <c r="B1380" s="156" t="s">
        <v>1118</v>
      </c>
      <c r="C1380" s="23" t="s">
        <v>938</v>
      </c>
      <c r="D1380" s="15" t="s">
        <v>129</v>
      </c>
      <c r="E1380" s="23" t="s">
        <v>19</v>
      </c>
      <c r="F1380" s="31" t="s">
        <v>977</v>
      </c>
      <c r="G1380" s="26"/>
      <c r="H1380" s="34"/>
      <c r="I1380" s="84">
        <v>93935.58</v>
      </c>
      <c r="J1380" s="136"/>
      <c r="K1380" s="118"/>
      <c r="L1380" s="34"/>
      <c r="M1380" s="84"/>
      <c r="N1380" s="38" t="s">
        <v>1162</v>
      </c>
      <c r="O1380" s="68"/>
      <c r="P1380" s="193">
        <v>46082</v>
      </c>
    </row>
    <row r="1381" spans="1:16" s="8" customFormat="1" ht="12.75" customHeight="1">
      <c r="A1381" s="110">
        <f t="shared" si="28"/>
        <v>1360</v>
      </c>
      <c r="B1381" s="52" t="s">
        <v>672</v>
      </c>
      <c r="C1381" s="14" t="s">
        <v>148</v>
      </c>
      <c r="D1381" s="24" t="s">
        <v>560</v>
      </c>
      <c r="E1381" s="14" t="s">
        <v>19</v>
      </c>
      <c r="F1381" s="26">
        <v>20</v>
      </c>
      <c r="G1381" s="26">
        <v>10</v>
      </c>
      <c r="H1381" s="34">
        <v>1620.51</v>
      </c>
      <c r="I1381" s="84">
        <v>1656.99</v>
      </c>
      <c r="J1381" s="136">
        <v>2740.4</v>
      </c>
      <c r="K1381" s="118">
        <v>2813.37</v>
      </c>
      <c r="L1381" s="34">
        <v>11412.74</v>
      </c>
      <c r="M1381" s="84">
        <v>11502.44</v>
      </c>
      <c r="N1381" s="38" t="s">
        <v>641</v>
      </c>
      <c r="O1381" s="68">
        <v>591</v>
      </c>
      <c r="P1381" s="66">
        <v>43617</v>
      </c>
    </row>
    <row r="1382" spans="1:16" s="8" customFormat="1" ht="12.75" customHeight="1">
      <c r="A1382" s="110">
        <f t="shared" si="28"/>
        <v>1361</v>
      </c>
      <c r="B1382" s="32" t="s">
        <v>1048</v>
      </c>
      <c r="C1382" s="23" t="s">
        <v>938</v>
      </c>
      <c r="D1382" s="24" t="s">
        <v>560</v>
      </c>
      <c r="E1382" s="14" t="s">
        <v>19</v>
      </c>
      <c r="F1382" s="31" t="s">
        <v>977</v>
      </c>
      <c r="G1382" s="26"/>
      <c r="H1382" s="34"/>
      <c r="I1382" s="84">
        <v>56888.54</v>
      </c>
      <c r="J1382" s="136"/>
      <c r="K1382" s="118"/>
      <c r="L1382" s="34"/>
      <c r="M1382" s="84"/>
      <c r="N1382" s="38" t="s">
        <v>641</v>
      </c>
      <c r="O1382" s="68"/>
      <c r="P1382" s="66">
        <v>44562</v>
      </c>
    </row>
    <row r="1383" spans="1:16" s="8" customFormat="1" ht="12.75" customHeight="1">
      <c r="A1383" s="110">
        <f t="shared" si="28"/>
        <v>1362</v>
      </c>
      <c r="B1383" s="32" t="s">
        <v>672</v>
      </c>
      <c r="C1383" s="23" t="s">
        <v>938</v>
      </c>
      <c r="D1383" s="24" t="s">
        <v>560</v>
      </c>
      <c r="E1383" s="14" t="s">
        <v>19</v>
      </c>
      <c r="F1383" s="26">
        <v>20</v>
      </c>
      <c r="G1383" s="26">
        <v>10</v>
      </c>
      <c r="H1383" s="34"/>
      <c r="I1383" s="84">
        <v>1375.66</v>
      </c>
      <c r="J1383" s="136"/>
      <c r="K1383" s="118">
        <v>2227.4</v>
      </c>
      <c r="L1383" s="34"/>
      <c r="M1383" s="84"/>
      <c r="N1383" s="38" t="s">
        <v>641</v>
      </c>
      <c r="O1383" s="68"/>
      <c r="P1383" s="66">
        <v>44562</v>
      </c>
    </row>
    <row r="1384" spans="1:16" s="8" customFormat="1" ht="12.75" customHeight="1">
      <c r="A1384" s="110">
        <f t="shared" si="28"/>
        <v>1363</v>
      </c>
      <c r="B1384" s="52" t="s">
        <v>672</v>
      </c>
      <c r="C1384" s="14" t="s">
        <v>148</v>
      </c>
      <c r="D1384" s="24" t="s">
        <v>560</v>
      </c>
      <c r="E1384" s="14" t="s">
        <v>19</v>
      </c>
      <c r="F1384" s="26">
        <v>20</v>
      </c>
      <c r="G1384" s="26">
        <v>10</v>
      </c>
      <c r="H1384" s="34"/>
      <c r="I1384" s="84">
        <v>1471.9</v>
      </c>
      <c r="J1384" s="136"/>
      <c r="K1384" s="118">
        <v>2393.7199999999998</v>
      </c>
      <c r="L1384" s="34"/>
      <c r="M1384" s="84"/>
      <c r="N1384" s="38" t="s">
        <v>641</v>
      </c>
      <c r="O1384" s="68"/>
      <c r="P1384" s="66">
        <v>45170</v>
      </c>
    </row>
    <row r="1385" spans="1:16" s="8" customFormat="1" ht="12.75" customHeight="1">
      <c r="A1385" s="110">
        <f t="shared" si="28"/>
        <v>1364</v>
      </c>
      <c r="B1385" s="32" t="s">
        <v>1048</v>
      </c>
      <c r="C1385" s="23" t="s">
        <v>938</v>
      </c>
      <c r="D1385" s="24" t="s">
        <v>560</v>
      </c>
      <c r="E1385" s="14" t="s">
        <v>19</v>
      </c>
      <c r="F1385" s="31" t="s">
        <v>977</v>
      </c>
      <c r="G1385" s="26"/>
      <c r="H1385" s="34"/>
      <c r="I1385" s="84">
        <v>59192.79</v>
      </c>
      <c r="J1385" s="136"/>
      <c r="K1385" s="118"/>
      <c r="L1385" s="34"/>
      <c r="M1385" s="84"/>
      <c r="N1385" s="38" t="s">
        <v>641</v>
      </c>
      <c r="O1385" s="68"/>
      <c r="P1385" s="66">
        <v>45170</v>
      </c>
    </row>
    <row r="1386" spans="1:16" s="8" customFormat="1" ht="12.75" customHeight="1">
      <c r="A1386" s="110">
        <f t="shared" si="28"/>
        <v>1365</v>
      </c>
      <c r="B1386" s="52" t="s">
        <v>672</v>
      </c>
      <c r="C1386" s="14" t="s">
        <v>148</v>
      </c>
      <c r="D1386" s="24" t="s">
        <v>560</v>
      </c>
      <c r="E1386" s="14" t="s">
        <v>19</v>
      </c>
      <c r="F1386" s="26">
        <v>20</v>
      </c>
      <c r="G1386" s="26">
        <v>10</v>
      </c>
      <c r="H1386" s="34"/>
      <c r="I1386" s="84">
        <v>1680.39</v>
      </c>
      <c r="J1386" s="136"/>
      <c r="K1386" s="118">
        <v>2728.18</v>
      </c>
      <c r="L1386" s="34"/>
      <c r="M1386" s="84">
        <v>20955.55</v>
      </c>
      <c r="N1386" s="38" t="s">
        <v>1162</v>
      </c>
      <c r="O1386" s="68"/>
      <c r="P1386" s="66">
        <v>45352</v>
      </c>
    </row>
    <row r="1387" spans="1:16" s="8" customFormat="1" ht="12.75" customHeight="1">
      <c r="A1387" s="110">
        <f t="shared" si="28"/>
        <v>1366</v>
      </c>
      <c r="B1387" s="52" t="s">
        <v>672</v>
      </c>
      <c r="C1387" s="14" t="s">
        <v>148</v>
      </c>
      <c r="D1387" s="24" t="s">
        <v>560</v>
      </c>
      <c r="E1387" s="14" t="s">
        <v>19</v>
      </c>
      <c r="F1387" s="26">
        <v>19</v>
      </c>
      <c r="G1387" s="26">
        <v>11</v>
      </c>
      <c r="H1387" s="34"/>
      <c r="I1387" s="84">
        <v>1735.55</v>
      </c>
      <c r="J1387" s="136"/>
      <c r="K1387" s="118">
        <v>2537.6799999999998</v>
      </c>
      <c r="L1387" s="34"/>
      <c r="M1387" s="84"/>
      <c r="N1387" s="38" t="s">
        <v>1162</v>
      </c>
      <c r="O1387" s="68"/>
      <c r="P1387" s="66">
        <v>45352</v>
      </c>
    </row>
    <row r="1388" spans="1:16" s="8" customFormat="1" ht="12.75" customHeight="1">
      <c r="A1388" s="110">
        <f t="shared" si="28"/>
        <v>1367</v>
      </c>
      <c r="B1388" s="52" t="s">
        <v>672</v>
      </c>
      <c r="C1388" s="14" t="s">
        <v>148</v>
      </c>
      <c r="D1388" s="24" t="s">
        <v>560</v>
      </c>
      <c r="E1388" s="14" t="s">
        <v>19</v>
      </c>
      <c r="F1388" s="26">
        <v>18</v>
      </c>
      <c r="G1388" s="26">
        <v>12</v>
      </c>
      <c r="H1388" s="34"/>
      <c r="I1388" s="84">
        <v>1796.82</v>
      </c>
      <c r="J1388" s="136"/>
      <c r="K1388" s="118">
        <v>2378.92</v>
      </c>
      <c r="L1388" s="34"/>
      <c r="M1388" s="84"/>
      <c r="N1388" s="38" t="s">
        <v>1162</v>
      </c>
      <c r="O1388" s="68"/>
      <c r="P1388" s="66">
        <v>45352</v>
      </c>
    </row>
    <row r="1389" spans="1:16" s="8" customFormat="1" ht="12.75" customHeight="1">
      <c r="A1389" s="110">
        <f t="shared" si="28"/>
        <v>1368</v>
      </c>
      <c r="B1389" s="52" t="s">
        <v>672</v>
      </c>
      <c r="C1389" s="14" t="s">
        <v>148</v>
      </c>
      <c r="D1389" s="24" t="s">
        <v>560</v>
      </c>
      <c r="E1389" s="14" t="s">
        <v>19</v>
      </c>
      <c r="F1389" s="26">
        <v>17</v>
      </c>
      <c r="G1389" s="26">
        <v>13</v>
      </c>
      <c r="H1389" s="34"/>
      <c r="I1389" s="84">
        <v>1865.31</v>
      </c>
      <c r="J1389" s="136"/>
      <c r="K1389" s="118">
        <v>2244.5700000000002</v>
      </c>
      <c r="L1389" s="34"/>
      <c r="M1389" s="84"/>
      <c r="N1389" s="38" t="s">
        <v>1162</v>
      </c>
      <c r="O1389" s="68"/>
      <c r="P1389" s="66">
        <v>45352</v>
      </c>
    </row>
    <row r="1390" spans="1:16" s="8" customFormat="1" ht="12.75" customHeight="1">
      <c r="A1390" s="110">
        <f t="shared" si="28"/>
        <v>1369</v>
      </c>
      <c r="B1390" s="52" t="s">
        <v>672</v>
      </c>
      <c r="C1390" s="14" t="s">
        <v>148</v>
      </c>
      <c r="D1390" s="24" t="s">
        <v>560</v>
      </c>
      <c r="E1390" s="14" t="s">
        <v>19</v>
      </c>
      <c r="F1390" s="26">
        <v>16</v>
      </c>
      <c r="G1390" s="26">
        <v>14</v>
      </c>
      <c r="H1390" s="34"/>
      <c r="I1390" s="84">
        <v>1942.33</v>
      </c>
      <c r="J1390" s="136"/>
      <c r="K1390" s="118">
        <v>2129.4499999999998</v>
      </c>
      <c r="L1390" s="34"/>
      <c r="M1390" s="84"/>
      <c r="N1390" s="38" t="s">
        <v>1162</v>
      </c>
      <c r="O1390" s="68"/>
      <c r="P1390" s="66">
        <v>45352</v>
      </c>
    </row>
    <row r="1391" spans="1:16" s="8" customFormat="1" ht="12.75" customHeight="1">
      <c r="A1391" s="110">
        <f t="shared" si="28"/>
        <v>1370</v>
      </c>
      <c r="B1391" s="52" t="s">
        <v>672</v>
      </c>
      <c r="C1391" s="14" t="s">
        <v>148</v>
      </c>
      <c r="D1391" s="24" t="s">
        <v>560</v>
      </c>
      <c r="E1391" s="14" t="s">
        <v>19</v>
      </c>
      <c r="F1391" s="26">
        <v>15</v>
      </c>
      <c r="G1391" s="26"/>
      <c r="H1391" s="34"/>
      <c r="I1391" s="84">
        <v>2029.64</v>
      </c>
      <c r="J1391" s="136"/>
      <c r="K1391" s="118"/>
      <c r="L1391" s="34"/>
      <c r="M1391" s="84"/>
      <c r="N1391" s="38" t="s">
        <v>1162</v>
      </c>
      <c r="O1391" s="68"/>
      <c r="P1391" s="66">
        <v>45352</v>
      </c>
    </row>
    <row r="1392" spans="1:16" s="8" customFormat="1" ht="12.75" customHeight="1">
      <c r="A1392" s="110">
        <f t="shared" si="28"/>
        <v>1371</v>
      </c>
      <c r="B1392" s="52" t="s">
        <v>672</v>
      </c>
      <c r="C1392" s="14" t="s">
        <v>148</v>
      </c>
      <c r="D1392" s="24" t="s">
        <v>560</v>
      </c>
      <c r="E1392" s="14" t="s">
        <v>19</v>
      </c>
      <c r="F1392" s="26">
        <v>20</v>
      </c>
      <c r="G1392" s="26">
        <v>10</v>
      </c>
      <c r="H1392" s="34"/>
      <c r="I1392" s="84">
        <v>1959.4</v>
      </c>
      <c r="J1392" s="136"/>
      <c r="K1392" s="118">
        <v>3173.62</v>
      </c>
      <c r="L1392" s="34"/>
      <c r="M1392" s="84">
        <v>24284.47</v>
      </c>
      <c r="N1392" s="38" t="s">
        <v>1162</v>
      </c>
      <c r="O1392" s="68"/>
      <c r="P1392" s="66">
        <v>45689</v>
      </c>
    </row>
    <row r="1393" spans="1:16" s="8" customFormat="1" ht="12.75" customHeight="1">
      <c r="A1393" s="110">
        <f t="shared" si="28"/>
        <v>1372</v>
      </c>
      <c r="B1393" s="52" t="s">
        <v>672</v>
      </c>
      <c r="C1393" s="14" t="s">
        <v>148</v>
      </c>
      <c r="D1393" s="24" t="s">
        <v>560</v>
      </c>
      <c r="E1393" s="14" t="s">
        <v>19</v>
      </c>
      <c r="F1393" s="26">
        <v>19</v>
      </c>
      <c r="G1393" s="26">
        <v>11</v>
      </c>
      <c r="H1393" s="34"/>
      <c r="I1393" s="84">
        <v>2023.29</v>
      </c>
      <c r="J1393" s="136"/>
      <c r="K1393" s="118">
        <v>2952.86</v>
      </c>
      <c r="L1393" s="34"/>
      <c r="M1393" s="84"/>
      <c r="N1393" s="38" t="s">
        <v>1162</v>
      </c>
      <c r="O1393" s="68"/>
      <c r="P1393" s="66">
        <v>45689</v>
      </c>
    </row>
    <row r="1394" spans="1:16" s="8" customFormat="1" ht="12.75" customHeight="1">
      <c r="A1394" s="110">
        <f t="shared" si="28"/>
        <v>1373</v>
      </c>
      <c r="B1394" s="52" t="s">
        <v>672</v>
      </c>
      <c r="C1394" s="14" t="s">
        <v>148</v>
      </c>
      <c r="D1394" s="24" t="s">
        <v>560</v>
      </c>
      <c r="E1394" s="14" t="s">
        <v>19</v>
      </c>
      <c r="F1394" s="26">
        <v>18</v>
      </c>
      <c r="G1394" s="26">
        <v>12</v>
      </c>
      <c r="H1394" s="34"/>
      <c r="I1394" s="84">
        <v>2094.31</v>
      </c>
      <c r="J1394" s="136"/>
      <c r="K1394" s="118">
        <v>2768.89</v>
      </c>
      <c r="L1394" s="34"/>
      <c r="M1394" s="84"/>
      <c r="N1394" s="38" t="s">
        <v>1162</v>
      </c>
      <c r="O1394" s="68"/>
      <c r="P1394" s="66">
        <v>45689</v>
      </c>
    </row>
    <row r="1395" spans="1:16" s="8" customFormat="1" ht="12.75" customHeight="1">
      <c r="A1395" s="110">
        <f t="shared" si="28"/>
        <v>1374</v>
      </c>
      <c r="B1395" s="52" t="s">
        <v>672</v>
      </c>
      <c r="C1395" s="14" t="s">
        <v>148</v>
      </c>
      <c r="D1395" s="24" t="s">
        <v>560</v>
      </c>
      <c r="E1395" s="14" t="s">
        <v>19</v>
      </c>
      <c r="F1395" s="26">
        <v>17</v>
      </c>
      <c r="G1395" s="26">
        <v>13</v>
      </c>
      <c r="H1395" s="34"/>
      <c r="I1395" s="84">
        <v>2173.67</v>
      </c>
      <c r="J1395" s="136"/>
      <c r="K1395" s="118">
        <v>2613.2199999999998</v>
      </c>
      <c r="L1395" s="34"/>
      <c r="M1395" s="84"/>
      <c r="N1395" s="38" t="s">
        <v>1162</v>
      </c>
      <c r="O1395" s="68"/>
      <c r="P1395" s="66">
        <v>45689</v>
      </c>
    </row>
    <row r="1396" spans="1:16" s="8" customFormat="1" ht="12.75" customHeight="1">
      <c r="A1396" s="110">
        <f t="shared" si="28"/>
        <v>1375</v>
      </c>
      <c r="B1396" s="52" t="s">
        <v>672</v>
      </c>
      <c r="C1396" s="14" t="s">
        <v>148</v>
      </c>
      <c r="D1396" s="24" t="s">
        <v>560</v>
      </c>
      <c r="E1396" s="14" t="s">
        <v>19</v>
      </c>
      <c r="F1396" s="26">
        <v>16</v>
      </c>
      <c r="G1396" s="26">
        <v>14</v>
      </c>
      <c r="H1396" s="34"/>
      <c r="I1396" s="84">
        <v>2262.98</v>
      </c>
      <c r="J1396" s="136"/>
      <c r="K1396" s="118">
        <v>2479.81</v>
      </c>
      <c r="L1396" s="34"/>
      <c r="M1396" s="84"/>
      <c r="N1396" s="38" t="s">
        <v>1162</v>
      </c>
      <c r="O1396" s="68"/>
      <c r="P1396" s="66">
        <v>45689</v>
      </c>
    </row>
    <row r="1397" spans="1:16" s="8" customFormat="1" ht="12.75" customHeight="1">
      <c r="A1397" s="110">
        <f t="shared" si="28"/>
        <v>1376</v>
      </c>
      <c r="B1397" s="52" t="s">
        <v>672</v>
      </c>
      <c r="C1397" s="14" t="s">
        <v>148</v>
      </c>
      <c r="D1397" s="24" t="s">
        <v>560</v>
      </c>
      <c r="E1397" s="14" t="s">
        <v>19</v>
      </c>
      <c r="F1397" s="26">
        <v>15</v>
      </c>
      <c r="G1397" s="26"/>
      <c r="H1397" s="34"/>
      <c r="I1397" s="84">
        <v>2364.13</v>
      </c>
      <c r="J1397" s="136"/>
      <c r="K1397" s="118"/>
      <c r="L1397" s="34"/>
      <c r="M1397" s="84"/>
      <c r="N1397" s="38" t="s">
        <v>1162</v>
      </c>
      <c r="O1397" s="68"/>
      <c r="P1397" s="66">
        <v>45689</v>
      </c>
    </row>
    <row r="1398" spans="1:16" s="8" customFormat="1" ht="12.75" customHeight="1">
      <c r="A1398" s="110">
        <f t="shared" si="28"/>
        <v>1377</v>
      </c>
      <c r="B1398" s="52" t="s">
        <v>1048</v>
      </c>
      <c r="C1398" s="23" t="s">
        <v>938</v>
      </c>
      <c r="D1398" s="24" t="s">
        <v>560</v>
      </c>
      <c r="E1398" s="14" t="s">
        <v>19</v>
      </c>
      <c r="F1398" s="31" t="s">
        <v>977</v>
      </c>
      <c r="G1398" s="26"/>
      <c r="H1398" s="34"/>
      <c r="I1398" s="84">
        <v>71453.399999999994</v>
      </c>
      <c r="J1398" s="136"/>
      <c r="K1398" s="118"/>
      <c r="L1398" s="34"/>
      <c r="M1398" s="84"/>
      <c r="N1398" s="38" t="s">
        <v>1162</v>
      </c>
      <c r="O1398" s="68"/>
      <c r="P1398" s="66">
        <v>45352</v>
      </c>
    </row>
    <row r="1399" spans="1:16" s="8" customFormat="1" ht="12.75" customHeight="1">
      <c r="A1399" s="110">
        <f t="shared" si="28"/>
        <v>1378</v>
      </c>
      <c r="B1399" s="52" t="s">
        <v>1048</v>
      </c>
      <c r="C1399" s="23" t="s">
        <v>938</v>
      </c>
      <c r="D1399" s="24" t="s">
        <v>560</v>
      </c>
      <c r="E1399" s="14" t="s">
        <v>19</v>
      </c>
      <c r="F1399" s="31" t="s">
        <v>977</v>
      </c>
      <c r="G1399" s="26"/>
      <c r="H1399" s="34"/>
      <c r="I1399" s="84">
        <v>85827.97</v>
      </c>
      <c r="J1399" s="136"/>
      <c r="K1399" s="118"/>
      <c r="L1399" s="34"/>
      <c r="M1399" s="84"/>
      <c r="N1399" s="38" t="s">
        <v>1162</v>
      </c>
      <c r="O1399" s="68"/>
      <c r="P1399" s="66">
        <v>45689</v>
      </c>
    </row>
    <row r="1400" spans="1:16" s="8" customFormat="1" ht="12.75" customHeight="1">
      <c r="A1400" s="110">
        <f t="shared" ref="A1400:A1463" si="29">A1399+1</f>
        <v>1379</v>
      </c>
      <c r="B1400" s="156" t="s">
        <v>672</v>
      </c>
      <c r="C1400" s="23" t="s">
        <v>938</v>
      </c>
      <c r="D1400" s="24" t="s">
        <v>560</v>
      </c>
      <c r="E1400" s="14" t="s">
        <v>19</v>
      </c>
      <c r="F1400" s="31">
        <v>20</v>
      </c>
      <c r="G1400" s="26">
        <v>10</v>
      </c>
      <c r="H1400" s="34"/>
      <c r="I1400" s="84">
        <v>2187.64</v>
      </c>
      <c r="J1400" s="136"/>
      <c r="K1400" s="118">
        <v>3505</v>
      </c>
      <c r="L1400" s="34"/>
      <c r="M1400" s="84">
        <v>26347.59</v>
      </c>
      <c r="N1400" s="38" t="s">
        <v>1162</v>
      </c>
      <c r="O1400" s="68"/>
      <c r="P1400" s="193">
        <v>46082</v>
      </c>
    </row>
    <row r="1401" spans="1:16" s="8" customFormat="1" ht="12.75" customHeight="1">
      <c r="A1401" s="110">
        <f t="shared" si="29"/>
        <v>1380</v>
      </c>
      <c r="B1401" s="156" t="s">
        <v>672</v>
      </c>
      <c r="C1401" s="23" t="s">
        <v>938</v>
      </c>
      <c r="D1401" s="24" t="s">
        <v>560</v>
      </c>
      <c r="E1401" s="14" t="s">
        <v>19</v>
      </c>
      <c r="F1401" s="31">
        <v>19</v>
      </c>
      <c r="G1401" s="26">
        <v>11</v>
      </c>
      <c r="H1401" s="34"/>
      <c r="I1401" s="84">
        <v>2256.96</v>
      </c>
      <c r="J1401" s="136"/>
      <c r="K1401" s="118">
        <v>3265.47</v>
      </c>
      <c r="L1401" s="34"/>
      <c r="M1401" s="84"/>
      <c r="N1401" s="38" t="s">
        <v>1162</v>
      </c>
      <c r="O1401" s="68"/>
      <c r="P1401" s="193">
        <v>46082</v>
      </c>
    </row>
    <row r="1402" spans="1:16" s="8" customFormat="1" ht="12.75" customHeight="1">
      <c r="A1402" s="110">
        <f t="shared" si="29"/>
        <v>1381</v>
      </c>
      <c r="B1402" s="156" t="s">
        <v>672</v>
      </c>
      <c r="C1402" s="23" t="s">
        <v>938</v>
      </c>
      <c r="D1402" s="24" t="s">
        <v>560</v>
      </c>
      <c r="E1402" s="14" t="s">
        <v>19</v>
      </c>
      <c r="F1402" s="31">
        <v>18</v>
      </c>
      <c r="G1402" s="26">
        <v>12</v>
      </c>
      <c r="H1402" s="34"/>
      <c r="I1402" s="84">
        <v>2334.02</v>
      </c>
      <c r="J1402" s="136"/>
      <c r="K1402" s="118">
        <v>3065.9</v>
      </c>
      <c r="L1402" s="34"/>
      <c r="M1402" s="84"/>
      <c r="N1402" s="38" t="s">
        <v>1162</v>
      </c>
      <c r="O1402" s="68"/>
      <c r="P1402" s="193">
        <v>46082</v>
      </c>
    </row>
    <row r="1403" spans="1:16" s="8" customFormat="1" ht="12.75" customHeight="1">
      <c r="A1403" s="110">
        <f t="shared" si="29"/>
        <v>1382</v>
      </c>
      <c r="B1403" s="156" t="s">
        <v>672</v>
      </c>
      <c r="C1403" s="23" t="s">
        <v>938</v>
      </c>
      <c r="D1403" s="24" t="s">
        <v>560</v>
      </c>
      <c r="E1403" s="14" t="s">
        <v>19</v>
      </c>
      <c r="F1403" s="31">
        <v>17</v>
      </c>
      <c r="G1403" s="26">
        <v>13</v>
      </c>
      <c r="H1403" s="34"/>
      <c r="I1403" s="84">
        <v>2420.1</v>
      </c>
      <c r="J1403" s="136"/>
      <c r="K1403" s="118">
        <v>2896.98</v>
      </c>
      <c r="L1403" s="34"/>
      <c r="M1403" s="84"/>
      <c r="N1403" s="38" t="s">
        <v>1162</v>
      </c>
      <c r="O1403" s="68"/>
      <c r="P1403" s="193">
        <v>46082</v>
      </c>
    </row>
    <row r="1404" spans="1:16" s="8" customFormat="1" ht="12.75" customHeight="1">
      <c r="A1404" s="110">
        <f t="shared" si="29"/>
        <v>1383</v>
      </c>
      <c r="B1404" s="156" t="s">
        <v>672</v>
      </c>
      <c r="C1404" s="23" t="s">
        <v>938</v>
      </c>
      <c r="D1404" s="24" t="s">
        <v>560</v>
      </c>
      <c r="E1404" s="14" t="s">
        <v>19</v>
      </c>
      <c r="F1404" s="31">
        <v>16</v>
      </c>
      <c r="G1404" s="26">
        <v>14</v>
      </c>
      <c r="H1404" s="34"/>
      <c r="I1404" s="84">
        <v>2516.98</v>
      </c>
      <c r="J1404" s="136"/>
      <c r="K1404" s="118">
        <v>2752.22</v>
      </c>
      <c r="L1404" s="34"/>
      <c r="M1404" s="84"/>
      <c r="N1404" s="38" t="s">
        <v>1162</v>
      </c>
      <c r="O1404" s="68"/>
      <c r="P1404" s="193">
        <v>46082</v>
      </c>
    </row>
    <row r="1405" spans="1:16" s="8" customFormat="1" ht="12.75" customHeight="1">
      <c r="A1405" s="110">
        <f t="shared" si="29"/>
        <v>1384</v>
      </c>
      <c r="B1405" s="156" t="s">
        <v>672</v>
      </c>
      <c r="C1405" s="23" t="s">
        <v>938</v>
      </c>
      <c r="D1405" s="24" t="s">
        <v>560</v>
      </c>
      <c r="E1405" s="14" t="s">
        <v>19</v>
      </c>
      <c r="F1405" s="31">
        <v>15</v>
      </c>
      <c r="G1405" s="26"/>
      <c r="H1405" s="34"/>
      <c r="I1405" s="84">
        <v>2626.75</v>
      </c>
      <c r="J1405" s="136"/>
      <c r="K1405" s="118"/>
      <c r="L1405" s="34"/>
      <c r="M1405" s="84"/>
      <c r="N1405" s="38" t="s">
        <v>1162</v>
      </c>
      <c r="O1405" s="68"/>
      <c r="P1405" s="193">
        <v>46082</v>
      </c>
    </row>
    <row r="1406" spans="1:16" s="8" customFormat="1" ht="12.75" customHeight="1">
      <c r="A1406" s="110">
        <f t="shared" si="29"/>
        <v>1385</v>
      </c>
      <c r="B1406" s="156" t="s">
        <v>1048</v>
      </c>
      <c r="C1406" s="23" t="s">
        <v>938</v>
      </c>
      <c r="D1406" s="24" t="s">
        <v>560</v>
      </c>
      <c r="E1406" s="14" t="s">
        <v>19</v>
      </c>
      <c r="F1406" s="31" t="s">
        <v>977</v>
      </c>
      <c r="G1406" s="26"/>
      <c r="H1406" s="34"/>
      <c r="I1406" s="84">
        <v>93935.58</v>
      </c>
      <c r="J1406" s="136"/>
      <c r="K1406" s="118"/>
      <c r="L1406" s="34"/>
      <c r="M1406" s="84"/>
      <c r="N1406" s="38" t="s">
        <v>1162</v>
      </c>
      <c r="O1406" s="68"/>
      <c r="P1406" s="193">
        <v>46082</v>
      </c>
    </row>
    <row r="1407" spans="1:16" s="8" customFormat="1" ht="12.75" customHeight="1">
      <c r="A1407" s="110">
        <f t="shared" si="29"/>
        <v>1386</v>
      </c>
      <c r="B1407" s="54" t="s">
        <v>423</v>
      </c>
      <c r="C1407" s="14" t="s">
        <v>149</v>
      </c>
      <c r="D1407" s="15" t="s">
        <v>150</v>
      </c>
      <c r="E1407" s="14" t="s">
        <v>19</v>
      </c>
      <c r="F1407" s="26">
        <v>20</v>
      </c>
      <c r="G1407" s="26">
        <v>10</v>
      </c>
      <c r="H1407" s="34">
        <v>1237.2</v>
      </c>
      <c r="I1407" s="84"/>
      <c r="J1407" s="136">
        <v>1939.54</v>
      </c>
      <c r="K1407" s="118"/>
      <c r="L1407" s="34">
        <v>13037.34</v>
      </c>
      <c r="M1407" s="84"/>
      <c r="N1407" s="99" t="s">
        <v>642</v>
      </c>
      <c r="O1407" s="68">
        <v>601</v>
      </c>
      <c r="P1407" s="66">
        <v>41306</v>
      </c>
    </row>
    <row r="1408" spans="1:16" s="8" customFormat="1" ht="12.75" customHeight="1">
      <c r="A1408" s="110">
        <f t="shared" si="29"/>
        <v>1387</v>
      </c>
      <c r="B1408" s="54" t="s">
        <v>424</v>
      </c>
      <c r="C1408" s="14" t="s">
        <v>149</v>
      </c>
      <c r="D1408" s="15" t="s">
        <v>151</v>
      </c>
      <c r="E1408" s="14" t="s">
        <v>19</v>
      </c>
      <c r="F1408" s="26">
        <v>20</v>
      </c>
      <c r="G1408" s="26">
        <v>10</v>
      </c>
      <c r="H1408" s="34">
        <v>1281.55</v>
      </c>
      <c r="I1408" s="84"/>
      <c r="J1408" s="136">
        <v>1983.88</v>
      </c>
      <c r="K1408" s="118"/>
      <c r="L1408" s="34">
        <v>13037.34</v>
      </c>
      <c r="M1408" s="84"/>
      <c r="N1408" s="99" t="s">
        <v>642</v>
      </c>
      <c r="O1408" s="68">
        <v>601</v>
      </c>
      <c r="P1408" s="66">
        <v>41306</v>
      </c>
    </row>
    <row r="1409" spans="1:16" s="8" customFormat="1" ht="12.75" customHeight="1">
      <c r="A1409" s="110">
        <f t="shared" si="29"/>
        <v>1388</v>
      </c>
      <c r="B1409" s="32" t="s">
        <v>673</v>
      </c>
      <c r="C1409" s="14" t="s">
        <v>133</v>
      </c>
      <c r="D1409" s="52" t="s">
        <v>553</v>
      </c>
      <c r="E1409" s="14" t="s">
        <v>19</v>
      </c>
      <c r="F1409" s="26">
        <v>20</v>
      </c>
      <c r="G1409" s="26">
        <v>10</v>
      </c>
      <c r="H1409" s="34">
        <v>1835.52</v>
      </c>
      <c r="I1409" s="84">
        <v>1872.01</v>
      </c>
      <c r="J1409" s="136">
        <v>3244.98</v>
      </c>
      <c r="K1409" s="118">
        <v>3317.94</v>
      </c>
      <c r="L1409" s="34">
        <v>12402.61</v>
      </c>
      <c r="M1409" s="84">
        <v>12537.18</v>
      </c>
      <c r="N1409" s="38" t="s">
        <v>640</v>
      </c>
      <c r="O1409" s="69">
        <v>588</v>
      </c>
      <c r="P1409" s="66">
        <v>43617</v>
      </c>
    </row>
    <row r="1410" spans="1:16" s="8" customFormat="1" ht="12.75" customHeight="1">
      <c r="A1410" s="110">
        <f t="shared" si="29"/>
        <v>1389</v>
      </c>
      <c r="B1410" s="32" t="s">
        <v>673</v>
      </c>
      <c r="C1410" s="14" t="s">
        <v>133</v>
      </c>
      <c r="D1410" s="52" t="s">
        <v>553</v>
      </c>
      <c r="E1410" s="14" t="s">
        <v>19</v>
      </c>
      <c r="F1410" s="26">
        <v>20</v>
      </c>
      <c r="G1410" s="26">
        <v>10</v>
      </c>
      <c r="H1410" s="34"/>
      <c r="I1410" s="84">
        <v>975.39</v>
      </c>
      <c r="J1410" s="136"/>
      <c r="K1410" s="118">
        <v>1470.44</v>
      </c>
      <c r="L1410" s="34"/>
      <c r="M1410" s="84"/>
      <c r="N1410" s="38" t="s">
        <v>640</v>
      </c>
      <c r="O1410" s="69"/>
      <c r="P1410" s="66">
        <v>45078</v>
      </c>
    </row>
    <row r="1411" spans="1:16" s="8" customFormat="1" ht="12.75" customHeight="1">
      <c r="A1411" s="110">
        <f t="shared" si="29"/>
        <v>1390</v>
      </c>
      <c r="B1411" s="32" t="s">
        <v>1105</v>
      </c>
      <c r="C1411" s="14" t="s">
        <v>133</v>
      </c>
      <c r="D1411" s="52" t="s">
        <v>553</v>
      </c>
      <c r="E1411" s="14" t="s">
        <v>19</v>
      </c>
      <c r="F1411" s="31" t="s">
        <v>977</v>
      </c>
      <c r="G1411" s="26"/>
      <c r="H1411" s="34"/>
      <c r="I1411" s="84">
        <v>55794.720000000001</v>
      </c>
      <c r="J1411" s="136"/>
      <c r="K1411" s="118"/>
      <c r="L1411" s="34"/>
      <c r="M1411" s="84"/>
      <c r="N1411" s="38" t="s">
        <v>640</v>
      </c>
      <c r="O1411" s="69"/>
      <c r="P1411" s="66">
        <v>45078</v>
      </c>
    </row>
    <row r="1412" spans="1:16" s="8" customFormat="1" ht="12.75" customHeight="1">
      <c r="A1412" s="110">
        <f t="shared" si="29"/>
        <v>1391</v>
      </c>
      <c r="B1412" s="32" t="s">
        <v>673</v>
      </c>
      <c r="C1412" s="14" t="s">
        <v>133</v>
      </c>
      <c r="D1412" s="24" t="s">
        <v>553</v>
      </c>
      <c r="E1412" s="14" t="s">
        <v>19</v>
      </c>
      <c r="F1412" s="26">
        <v>20</v>
      </c>
      <c r="G1412" s="26">
        <v>10</v>
      </c>
      <c r="H1412" s="34"/>
      <c r="I1412" s="84">
        <v>1157.44</v>
      </c>
      <c r="J1412" s="136"/>
      <c r="K1412" s="118">
        <v>1768.02</v>
      </c>
      <c r="L1412" s="34"/>
      <c r="M1412" s="84">
        <v>12211.67</v>
      </c>
      <c r="N1412" s="38" t="s">
        <v>640</v>
      </c>
      <c r="O1412" s="69"/>
      <c r="P1412" s="66">
        <v>45352</v>
      </c>
    </row>
    <row r="1413" spans="1:16" s="8" customFormat="1" ht="12.75" customHeight="1">
      <c r="A1413" s="110">
        <f t="shared" si="29"/>
        <v>1392</v>
      </c>
      <c r="B1413" s="32" t="s">
        <v>673</v>
      </c>
      <c r="C1413" s="14" t="s">
        <v>133</v>
      </c>
      <c r="D1413" s="24" t="s">
        <v>553</v>
      </c>
      <c r="E1413" s="14" t="s">
        <v>19</v>
      </c>
      <c r="F1413" s="26">
        <v>19</v>
      </c>
      <c r="G1413" s="26">
        <v>11</v>
      </c>
      <c r="H1413" s="34"/>
      <c r="I1413" s="84">
        <v>1189.5899999999999</v>
      </c>
      <c r="J1413" s="136"/>
      <c r="K1413" s="118">
        <v>1657</v>
      </c>
      <c r="L1413" s="34"/>
      <c r="M1413" s="84"/>
      <c r="N1413" s="38" t="s">
        <v>640</v>
      </c>
      <c r="O1413" s="69"/>
      <c r="P1413" s="66">
        <v>45352</v>
      </c>
    </row>
    <row r="1414" spans="1:16" s="8" customFormat="1" ht="12.75" customHeight="1">
      <c r="A1414" s="110">
        <f t="shared" si="29"/>
        <v>1393</v>
      </c>
      <c r="B1414" s="32" t="s">
        <v>673</v>
      </c>
      <c r="C1414" s="14" t="s">
        <v>133</v>
      </c>
      <c r="D1414" s="24" t="s">
        <v>553</v>
      </c>
      <c r="E1414" s="14" t="s">
        <v>19</v>
      </c>
      <c r="F1414" s="26">
        <v>18</v>
      </c>
      <c r="G1414" s="26">
        <v>12</v>
      </c>
      <c r="H1414" s="34"/>
      <c r="I1414" s="84">
        <v>1225.27</v>
      </c>
      <c r="J1414" s="136"/>
      <c r="K1414" s="118">
        <v>1564.49</v>
      </c>
      <c r="L1414" s="34"/>
      <c r="M1414" s="84"/>
      <c r="N1414" s="38" t="s">
        <v>640</v>
      </c>
      <c r="O1414" s="69"/>
      <c r="P1414" s="66">
        <v>45352</v>
      </c>
    </row>
    <row r="1415" spans="1:16" s="8" customFormat="1" ht="12.75" customHeight="1">
      <c r="A1415" s="110">
        <f t="shared" si="29"/>
        <v>1394</v>
      </c>
      <c r="B1415" s="32" t="s">
        <v>673</v>
      </c>
      <c r="C1415" s="14" t="s">
        <v>133</v>
      </c>
      <c r="D1415" s="24" t="s">
        <v>553</v>
      </c>
      <c r="E1415" s="14" t="s">
        <v>19</v>
      </c>
      <c r="F1415" s="26">
        <v>17</v>
      </c>
      <c r="G1415" s="26">
        <v>13</v>
      </c>
      <c r="H1415" s="34"/>
      <c r="I1415" s="84">
        <v>1265.18</v>
      </c>
      <c r="J1415" s="136"/>
      <c r="K1415" s="118">
        <v>1486.21</v>
      </c>
      <c r="L1415" s="34"/>
      <c r="M1415" s="84"/>
      <c r="N1415" s="38" t="s">
        <v>640</v>
      </c>
      <c r="O1415" s="69"/>
      <c r="P1415" s="66">
        <v>45352</v>
      </c>
    </row>
    <row r="1416" spans="1:16" s="8" customFormat="1" ht="12.75" customHeight="1">
      <c r="A1416" s="110">
        <f t="shared" si="29"/>
        <v>1395</v>
      </c>
      <c r="B1416" s="32" t="s">
        <v>673</v>
      </c>
      <c r="C1416" s="14" t="s">
        <v>133</v>
      </c>
      <c r="D1416" s="24" t="s">
        <v>553</v>
      </c>
      <c r="E1416" s="14" t="s">
        <v>19</v>
      </c>
      <c r="F1416" s="26">
        <v>16</v>
      </c>
      <c r="G1416" s="26">
        <v>14</v>
      </c>
      <c r="H1416" s="34"/>
      <c r="I1416" s="84">
        <v>1310.0899999999999</v>
      </c>
      <c r="J1416" s="136"/>
      <c r="K1416" s="118">
        <v>1419.11</v>
      </c>
      <c r="L1416" s="34"/>
      <c r="M1416" s="84"/>
      <c r="N1416" s="38" t="s">
        <v>640</v>
      </c>
      <c r="O1416" s="69"/>
      <c r="P1416" s="66">
        <v>45352</v>
      </c>
    </row>
    <row r="1417" spans="1:16" s="8" customFormat="1" ht="12.75" customHeight="1">
      <c r="A1417" s="110">
        <f t="shared" si="29"/>
        <v>1396</v>
      </c>
      <c r="B1417" s="32" t="s">
        <v>673</v>
      </c>
      <c r="C1417" s="14" t="s">
        <v>133</v>
      </c>
      <c r="D1417" s="24" t="s">
        <v>553</v>
      </c>
      <c r="E1417" s="14" t="s">
        <v>19</v>
      </c>
      <c r="F1417" s="26">
        <v>15</v>
      </c>
      <c r="G1417" s="26"/>
      <c r="H1417" s="34"/>
      <c r="I1417" s="84">
        <v>1360.97</v>
      </c>
      <c r="J1417" s="136"/>
      <c r="K1417" s="118"/>
      <c r="L1417" s="34"/>
      <c r="M1417" s="84"/>
      <c r="N1417" s="38" t="s">
        <v>640</v>
      </c>
      <c r="O1417" s="69"/>
      <c r="P1417" s="66">
        <v>45352</v>
      </c>
    </row>
    <row r="1418" spans="1:16" s="8" customFormat="1" ht="12.75" customHeight="1">
      <c r="A1418" s="110">
        <f t="shared" si="29"/>
        <v>1397</v>
      </c>
      <c r="B1418" s="156" t="s">
        <v>673</v>
      </c>
      <c r="C1418" s="14" t="s">
        <v>133</v>
      </c>
      <c r="D1418" s="24" t="s">
        <v>553</v>
      </c>
      <c r="E1418" s="14" t="s">
        <v>19</v>
      </c>
      <c r="F1418" s="26">
        <v>20</v>
      </c>
      <c r="G1418" s="26">
        <v>10</v>
      </c>
      <c r="H1418" s="34"/>
      <c r="I1418" s="84">
        <v>1873.31</v>
      </c>
      <c r="J1418" s="136"/>
      <c r="K1418" s="118">
        <v>3066.75</v>
      </c>
      <c r="L1418" s="34"/>
      <c r="M1418" s="84">
        <v>23868.78</v>
      </c>
      <c r="N1418" s="38" t="s">
        <v>640</v>
      </c>
      <c r="O1418" s="69"/>
      <c r="P1418" s="66">
        <v>45689</v>
      </c>
    </row>
    <row r="1419" spans="1:16" s="8" customFormat="1" ht="12.75" customHeight="1">
      <c r="A1419" s="110">
        <f t="shared" si="29"/>
        <v>1398</v>
      </c>
      <c r="B1419" s="156" t="s">
        <v>673</v>
      </c>
      <c r="C1419" s="14" t="s">
        <v>133</v>
      </c>
      <c r="D1419" s="24" t="s">
        <v>553</v>
      </c>
      <c r="E1419" s="14" t="s">
        <v>19</v>
      </c>
      <c r="F1419" s="26">
        <v>19</v>
      </c>
      <c r="G1419" s="26">
        <v>11</v>
      </c>
      <c r="H1419" s="34"/>
      <c r="I1419" s="84">
        <v>1936.14</v>
      </c>
      <c r="J1419" s="136"/>
      <c r="K1419" s="118">
        <v>2849.75</v>
      </c>
      <c r="L1419" s="34"/>
      <c r="M1419" s="84"/>
      <c r="N1419" s="38" t="s">
        <v>640</v>
      </c>
      <c r="O1419" s="69"/>
      <c r="P1419" s="66">
        <v>45689</v>
      </c>
    </row>
    <row r="1420" spans="1:16" s="8" customFormat="1" ht="12.75" customHeight="1">
      <c r="A1420" s="110">
        <f t="shared" si="29"/>
        <v>1399</v>
      </c>
      <c r="B1420" s="156" t="s">
        <v>673</v>
      </c>
      <c r="C1420" s="14" t="s">
        <v>133</v>
      </c>
      <c r="D1420" s="24" t="s">
        <v>553</v>
      </c>
      <c r="E1420" s="14" t="s">
        <v>19</v>
      </c>
      <c r="F1420" s="26">
        <v>18</v>
      </c>
      <c r="G1420" s="26">
        <v>12</v>
      </c>
      <c r="H1420" s="34"/>
      <c r="I1420" s="84">
        <v>2005.91</v>
      </c>
      <c r="J1420" s="136"/>
      <c r="K1420" s="118">
        <v>2668.94</v>
      </c>
      <c r="L1420" s="34"/>
      <c r="M1420" s="84"/>
      <c r="N1420" s="38" t="s">
        <v>640</v>
      </c>
      <c r="O1420" s="69"/>
      <c r="P1420" s="66">
        <v>45689</v>
      </c>
    </row>
    <row r="1421" spans="1:16" s="8" customFormat="1" ht="12.75" customHeight="1">
      <c r="A1421" s="110">
        <f t="shared" si="29"/>
        <v>1400</v>
      </c>
      <c r="B1421" s="156" t="s">
        <v>673</v>
      </c>
      <c r="C1421" s="14" t="s">
        <v>133</v>
      </c>
      <c r="D1421" s="24" t="s">
        <v>553</v>
      </c>
      <c r="E1421" s="14" t="s">
        <v>19</v>
      </c>
      <c r="F1421" s="26">
        <v>17</v>
      </c>
      <c r="G1421" s="26">
        <v>13</v>
      </c>
      <c r="H1421" s="34"/>
      <c r="I1421" s="84">
        <v>2083.92</v>
      </c>
      <c r="J1421" s="136"/>
      <c r="K1421" s="118">
        <v>2515.94</v>
      </c>
      <c r="L1421" s="34"/>
      <c r="M1421" s="84"/>
      <c r="N1421" s="38" t="s">
        <v>640</v>
      </c>
      <c r="O1421" s="69"/>
      <c r="P1421" s="66">
        <v>45689</v>
      </c>
    </row>
    <row r="1422" spans="1:16" s="8" customFormat="1" ht="12.75" customHeight="1">
      <c r="A1422" s="110">
        <f t="shared" si="29"/>
        <v>1401</v>
      </c>
      <c r="B1422" s="156" t="s">
        <v>673</v>
      </c>
      <c r="C1422" s="14" t="s">
        <v>133</v>
      </c>
      <c r="D1422" s="24" t="s">
        <v>553</v>
      </c>
      <c r="E1422" s="14" t="s">
        <v>19</v>
      </c>
      <c r="F1422" s="26">
        <v>16</v>
      </c>
      <c r="G1422" s="26">
        <v>14</v>
      </c>
      <c r="H1422" s="34"/>
      <c r="I1422" s="84">
        <v>2171.67</v>
      </c>
      <c r="J1422" s="136"/>
      <c r="K1422" s="118">
        <v>2384.7800000000002</v>
      </c>
      <c r="L1422" s="34"/>
      <c r="M1422" s="84"/>
      <c r="N1422" s="38" t="s">
        <v>640</v>
      </c>
      <c r="O1422" s="69"/>
      <c r="P1422" s="66">
        <v>45689</v>
      </c>
    </row>
    <row r="1423" spans="1:16" s="8" customFormat="1" ht="12.75" customHeight="1">
      <c r="A1423" s="110">
        <f t="shared" si="29"/>
        <v>1402</v>
      </c>
      <c r="B1423" s="156" t="s">
        <v>673</v>
      </c>
      <c r="C1423" s="14" t="s">
        <v>133</v>
      </c>
      <c r="D1423" s="24" t="s">
        <v>553</v>
      </c>
      <c r="E1423" s="14" t="s">
        <v>19</v>
      </c>
      <c r="F1423" s="26">
        <v>15</v>
      </c>
      <c r="G1423" s="26"/>
      <c r="H1423" s="34"/>
      <c r="I1423" s="84">
        <v>2271.12</v>
      </c>
      <c r="J1423" s="136"/>
      <c r="K1423" s="118"/>
      <c r="L1423" s="34"/>
      <c r="M1423" s="84"/>
      <c r="N1423" s="38" t="s">
        <v>640</v>
      </c>
      <c r="O1423" s="69"/>
      <c r="P1423" s="66">
        <v>45689</v>
      </c>
    </row>
    <row r="1424" spans="1:16" s="8" customFormat="1" ht="12.75" customHeight="1">
      <c r="A1424" s="110">
        <f t="shared" si="29"/>
        <v>1403</v>
      </c>
      <c r="B1424" s="32" t="s">
        <v>1105</v>
      </c>
      <c r="C1424" s="14" t="s">
        <v>133</v>
      </c>
      <c r="D1424" s="24" t="s">
        <v>553</v>
      </c>
      <c r="E1424" s="14" t="s">
        <v>19</v>
      </c>
      <c r="F1424" s="31" t="s">
        <v>977</v>
      </c>
      <c r="G1424" s="26"/>
      <c r="H1424" s="34"/>
      <c r="I1424" s="84">
        <v>55972.08</v>
      </c>
      <c r="J1424" s="136"/>
      <c r="K1424" s="118"/>
      <c r="L1424" s="34"/>
      <c r="M1424" s="84"/>
      <c r="N1424" s="38" t="s">
        <v>640</v>
      </c>
      <c r="O1424" s="69"/>
      <c r="P1424" s="66">
        <v>45352</v>
      </c>
    </row>
    <row r="1425" spans="1:16" s="8" customFormat="1" ht="12.75" customHeight="1">
      <c r="A1425" s="110">
        <f t="shared" si="29"/>
        <v>1404</v>
      </c>
      <c r="B1425" s="156" t="s">
        <v>1105</v>
      </c>
      <c r="C1425" s="14" t="s">
        <v>133</v>
      </c>
      <c r="D1425" s="24" t="s">
        <v>553</v>
      </c>
      <c r="E1425" s="14" t="s">
        <v>19</v>
      </c>
      <c r="F1425" s="31" t="s">
        <v>977</v>
      </c>
      <c r="G1425" s="26"/>
      <c r="H1425" s="34"/>
      <c r="I1425" s="84">
        <v>84882.47</v>
      </c>
      <c r="J1425" s="136"/>
      <c r="K1425" s="118"/>
      <c r="L1425" s="34"/>
      <c r="M1425" s="84"/>
      <c r="N1425" s="38" t="s">
        <v>640</v>
      </c>
      <c r="O1425" s="69"/>
      <c r="P1425" s="66">
        <v>45689</v>
      </c>
    </row>
    <row r="1426" spans="1:16" s="8" customFormat="1" ht="12.75" customHeight="1">
      <c r="A1426" s="110">
        <f t="shared" si="29"/>
        <v>1405</v>
      </c>
      <c r="B1426" s="54" t="s">
        <v>427</v>
      </c>
      <c r="C1426" s="23" t="s">
        <v>278</v>
      </c>
      <c r="D1426" s="24" t="s">
        <v>279</v>
      </c>
      <c r="E1426" s="23" t="s">
        <v>19</v>
      </c>
      <c r="F1426" s="26">
        <v>20</v>
      </c>
      <c r="G1426" s="26">
        <v>10</v>
      </c>
      <c r="H1426" s="34">
        <v>2190.1999999999998</v>
      </c>
      <c r="I1426" s="84"/>
      <c r="J1426" s="136">
        <v>3477.3</v>
      </c>
      <c r="K1426" s="118"/>
      <c r="L1426" s="34">
        <v>15526.56</v>
      </c>
      <c r="M1426" s="84"/>
      <c r="N1426" s="39" t="s">
        <v>644</v>
      </c>
      <c r="O1426" s="69">
        <v>606</v>
      </c>
      <c r="P1426" s="66">
        <v>43101</v>
      </c>
    </row>
    <row r="1427" spans="1:16" s="8" customFormat="1" ht="12.75" customHeight="1">
      <c r="A1427" s="110">
        <f t="shared" si="29"/>
        <v>1406</v>
      </c>
      <c r="B1427" s="54" t="s">
        <v>690</v>
      </c>
      <c r="C1427" s="23" t="s">
        <v>278</v>
      </c>
      <c r="D1427" s="24" t="s">
        <v>279</v>
      </c>
      <c r="E1427" s="23" t="s">
        <v>13</v>
      </c>
      <c r="F1427" s="26">
        <v>20</v>
      </c>
      <c r="G1427" s="26">
        <v>10</v>
      </c>
      <c r="H1427" s="34">
        <v>1433.42</v>
      </c>
      <c r="I1427" s="84"/>
      <c r="J1427" s="136">
        <v>1988.91</v>
      </c>
      <c r="K1427" s="118"/>
      <c r="L1427" s="35"/>
      <c r="M1427" s="85"/>
      <c r="N1427" s="39" t="s">
        <v>644</v>
      </c>
      <c r="O1427" s="69">
        <v>606</v>
      </c>
      <c r="P1427" s="66">
        <v>43252</v>
      </c>
    </row>
    <row r="1428" spans="1:16" s="8" customFormat="1" ht="12.75" customHeight="1">
      <c r="A1428" s="110">
        <f t="shared" si="29"/>
        <v>1407</v>
      </c>
      <c r="B1428" s="54" t="s">
        <v>429</v>
      </c>
      <c r="C1428" s="23" t="s">
        <v>278</v>
      </c>
      <c r="D1428" s="24" t="s">
        <v>282</v>
      </c>
      <c r="E1428" s="23" t="s">
        <v>13</v>
      </c>
      <c r="F1428" s="26">
        <v>20</v>
      </c>
      <c r="G1428" s="26">
        <v>10</v>
      </c>
      <c r="H1428" s="34">
        <v>1354.76</v>
      </c>
      <c r="I1428" s="84"/>
      <c r="J1428" s="136">
        <v>1954.27</v>
      </c>
      <c r="K1428" s="118"/>
      <c r="L1428" s="35" t="s">
        <v>747</v>
      </c>
      <c r="M1428" s="85"/>
      <c r="N1428" s="39" t="s">
        <v>644</v>
      </c>
      <c r="O1428" s="69">
        <v>606</v>
      </c>
      <c r="P1428" s="66">
        <v>42712</v>
      </c>
    </row>
    <row r="1429" spans="1:16" s="8" customFormat="1" ht="12.75" customHeight="1">
      <c r="A1429" s="110">
        <f t="shared" si="29"/>
        <v>1408</v>
      </c>
      <c r="B1429" s="54" t="s">
        <v>430</v>
      </c>
      <c r="C1429" s="23" t="s">
        <v>112</v>
      </c>
      <c r="D1429" s="24" t="s">
        <v>283</v>
      </c>
      <c r="E1429" s="23" t="s">
        <v>13</v>
      </c>
      <c r="F1429" s="26">
        <v>18</v>
      </c>
      <c r="G1429" s="26">
        <v>10</v>
      </c>
      <c r="H1429" s="34">
        <v>771.94</v>
      </c>
      <c r="I1429" s="84"/>
      <c r="J1429" s="136">
        <v>1057</v>
      </c>
      <c r="K1429" s="118"/>
      <c r="L1429" s="35" t="s">
        <v>262</v>
      </c>
      <c r="M1429" s="85"/>
      <c r="N1429" s="99" t="s">
        <v>642</v>
      </c>
      <c r="O1429" s="68">
        <v>585</v>
      </c>
      <c r="P1429" s="66">
        <v>41275</v>
      </c>
    </row>
    <row r="1430" spans="1:16" s="8" customFormat="1" ht="12.75" customHeight="1">
      <c r="A1430" s="110">
        <f t="shared" si="29"/>
        <v>1409</v>
      </c>
      <c r="B1430" s="54" t="s">
        <v>431</v>
      </c>
      <c r="C1430" s="23" t="s">
        <v>114</v>
      </c>
      <c r="D1430" s="24" t="s">
        <v>734</v>
      </c>
      <c r="E1430" s="23" t="s">
        <v>13</v>
      </c>
      <c r="F1430" s="26">
        <v>20</v>
      </c>
      <c r="G1430" s="26">
        <v>10</v>
      </c>
      <c r="H1430" s="34">
        <v>810.53</v>
      </c>
      <c r="I1430" s="84"/>
      <c r="J1430" s="136">
        <v>1214.44</v>
      </c>
      <c r="K1430" s="118"/>
      <c r="L1430" s="35" t="s">
        <v>262</v>
      </c>
      <c r="M1430" s="85"/>
      <c r="N1430" s="99" t="s">
        <v>642</v>
      </c>
      <c r="O1430" s="68">
        <v>585</v>
      </c>
      <c r="P1430" s="66">
        <v>41275</v>
      </c>
    </row>
    <row r="1431" spans="1:16" s="8" customFormat="1" ht="12.75" customHeight="1">
      <c r="A1431" s="110">
        <f t="shared" si="29"/>
        <v>1410</v>
      </c>
      <c r="B1431" s="54" t="s">
        <v>432</v>
      </c>
      <c r="C1431" s="23" t="s">
        <v>112</v>
      </c>
      <c r="D1431" s="24" t="s">
        <v>294</v>
      </c>
      <c r="E1431" s="23" t="s">
        <v>13</v>
      </c>
      <c r="F1431" s="26">
        <v>14</v>
      </c>
      <c r="G1431" s="26">
        <v>8</v>
      </c>
      <c r="H1431" s="34">
        <v>870.23</v>
      </c>
      <c r="I1431" s="84"/>
      <c r="J1431" s="136">
        <v>1185.95</v>
      </c>
      <c r="K1431" s="118"/>
      <c r="L1431" s="35" t="s">
        <v>262</v>
      </c>
      <c r="M1431" s="85"/>
      <c r="N1431" s="99" t="s">
        <v>642</v>
      </c>
      <c r="O1431" s="68">
        <v>585</v>
      </c>
      <c r="P1431" s="66">
        <v>41275</v>
      </c>
    </row>
    <row r="1432" spans="1:16" s="8" customFormat="1" ht="12.75" customHeight="1">
      <c r="A1432" s="110">
        <f t="shared" si="29"/>
        <v>1411</v>
      </c>
      <c r="B1432" s="54" t="s">
        <v>433</v>
      </c>
      <c r="C1432" s="23" t="s">
        <v>114</v>
      </c>
      <c r="D1432" s="24" t="s">
        <v>283</v>
      </c>
      <c r="E1432" s="23" t="s">
        <v>13</v>
      </c>
      <c r="F1432" s="26">
        <v>16</v>
      </c>
      <c r="G1432" s="26">
        <v>10</v>
      </c>
      <c r="H1432" s="34">
        <v>954.08</v>
      </c>
      <c r="I1432" s="84"/>
      <c r="J1432" s="136">
        <v>1277.1600000000001</v>
      </c>
      <c r="K1432" s="118"/>
      <c r="L1432" s="35" t="s">
        <v>262</v>
      </c>
      <c r="M1432" s="85"/>
      <c r="N1432" s="99" t="s">
        <v>642</v>
      </c>
      <c r="O1432" s="68">
        <v>585</v>
      </c>
      <c r="P1432" s="66">
        <v>41275</v>
      </c>
    </row>
    <row r="1433" spans="1:16" s="8" customFormat="1" ht="12.75" customHeight="1">
      <c r="A1433" s="110">
        <f t="shared" si="29"/>
        <v>1412</v>
      </c>
      <c r="B1433" s="54" t="s">
        <v>434</v>
      </c>
      <c r="C1433" s="23" t="s">
        <v>114</v>
      </c>
      <c r="D1433" s="24" t="s">
        <v>294</v>
      </c>
      <c r="E1433" s="23" t="s">
        <v>13</v>
      </c>
      <c r="F1433" s="26">
        <v>16</v>
      </c>
      <c r="G1433" s="26">
        <v>10</v>
      </c>
      <c r="H1433" s="34">
        <v>1001.07</v>
      </c>
      <c r="I1433" s="84"/>
      <c r="J1433" s="136">
        <v>1324.17</v>
      </c>
      <c r="K1433" s="118"/>
      <c r="L1433" s="35" t="s">
        <v>262</v>
      </c>
      <c r="M1433" s="85"/>
      <c r="N1433" s="99" t="s">
        <v>642</v>
      </c>
      <c r="O1433" s="68">
        <v>585</v>
      </c>
      <c r="P1433" s="66">
        <v>41275</v>
      </c>
    </row>
    <row r="1434" spans="1:16" s="8" customFormat="1" ht="12.75" customHeight="1">
      <c r="A1434" s="110">
        <f t="shared" si="29"/>
        <v>1413</v>
      </c>
      <c r="B1434" s="52" t="s">
        <v>435</v>
      </c>
      <c r="C1434" s="23" t="s">
        <v>260</v>
      </c>
      <c r="D1434" s="24" t="s">
        <v>296</v>
      </c>
      <c r="E1434" s="23" t="s">
        <v>13</v>
      </c>
      <c r="F1434" s="26">
        <v>20</v>
      </c>
      <c r="G1434" s="26">
        <v>10</v>
      </c>
      <c r="H1434" s="34">
        <v>927.49</v>
      </c>
      <c r="I1434" s="84">
        <v>910.98</v>
      </c>
      <c r="J1434" s="136">
        <v>1380.52</v>
      </c>
      <c r="K1434" s="118">
        <v>1347.51</v>
      </c>
      <c r="L1434" s="35">
        <v>13805.2</v>
      </c>
      <c r="M1434" s="85">
        <v>13475.1</v>
      </c>
      <c r="N1434" s="107" t="s">
        <v>820</v>
      </c>
      <c r="O1434" s="68">
        <v>588</v>
      </c>
      <c r="P1434" s="66">
        <v>43617</v>
      </c>
    </row>
    <row r="1435" spans="1:16" s="8" customFormat="1" ht="12.75" customHeight="1">
      <c r="A1435" s="110">
        <f t="shared" si="29"/>
        <v>1414</v>
      </c>
      <c r="B1435" s="54" t="s">
        <v>435</v>
      </c>
      <c r="C1435" s="23" t="s">
        <v>260</v>
      </c>
      <c r="D1435" s="24" t="s">
        <v>972</v>
      </c>
      <c r="E1435" s="23" t="s">
        <v>13</v>
      </c>
      <c r="F1435" s="26">
        <v>20</v>
      </c>
      <c r="G1435" s="26">
        <v>10</v>
      </c>
      <c r="H1435" s="34"/>
      <c r="I1435" s="84">
        <v>1051.47</v>
      </c>
      <c r="J1435" s="136"/>
      <c r="K1435" s="118">
        <v>1565.74</v>
      </c>
      <c r="L1435" s="35"/>
      <c r="M1435" s="85"/>
      <c r="N1435" s="107" t="s">
        <v>820</v>
      </c>
      <c r="O1435" s="68"/>
      <c r="P1435" s="66">
        <v>44562</v>
      </c>
    </row>
    <row r="1436" spans="1:16" s="8" customFormat="1" ht="12.75" customHeight="1">
      <c r="A1436" s="110">
        <f t="shared" si="29"/>
        <v>1415</v>
      </c>
      <c r="B1436" s="30" t="s">
        <v>436</v>
      </c>
      <c r="C1436" s="23" t="s">
        <v>130</v>
      </c>
      <c r="D1436" s="24" t="s">
        <v>301</v>
      </c>
      <c r="E1436" s="23" t="s">
        <v>13</v>
      </c>
      <c r="F1436" s="26">
        <v>20</v>
      </c>
      <c r="G1436" s="26">
        <v>10</v>
      </c>
      <c r="H1436" s="34">
        <v>924.29</v>
      </c>
      <c r="I1436" s="84"/>
      <c r="J1436" s="136">
        <v>1405.17</v>
      </c>
      <c r="K1436" s="118"/>
      <c r="L1436" s="35" t="s">
        <v>262</v>
      </c>
      <c r="M1436" s="85"/>
      <c r="N1436" s="99" t="s">
        <v>642</v>
      </c>
      <c r="O1436" s="68">
        <v>601</v>
      </c>
      <c r="P1436" s="51"/>
    </row>
    <row r="1437" spans="1:16" s="8" customFormat="1" ht="12.75" customHeight="1">
      <c r="A1437" s="110">
        <f t="shared" si="29"/>
        <v>1416</v>
      </c>
      <c r="B1437" s="54" t="s">
        <v>437</v>
      </c>
      <c r="C1437" s="23" t="s">
        <v>278</v>
      </c>
      <c r="D1437" s="24" t="s">
        <v>302</v>
      </c>
      <c r="E1437" s="23" t="s">
        <v>13</v>
      </c>
      <c r="F1437" s="26">
        <v>20</v>
      </c>
      <c r="G1437" s="26">
        <v>10</v>
      </c>
      <c r="H1437" s="34">
        <v>1354.76</v>
      </c>
      <c r="I1437" s="84"/>
      <c r="J1437" s="136">
        <v>1954.27</v>
      </c>
      <c r="K1437" s="118"/>
      <c r="L1437" s="35" t="s">
        <v>262</v>
      </c>
      <c r="M1437" s="85"/>
      <c r="N1437" s="39" t="s">
        <v>644</v>
      </c>
      <c r="O1437" s="69">
        <v>606</v>
      </c>
      <c r="P1437" s="66">
        <v>42691</v>
      </c>
    </row>
    <row r="1438" spans="1:16" s="8" customFormat="1" ht="12.75" customHeight="1">
      <c r="A1438" s="110">
        <f t="shared" si="29"/>
        <v>1417</v>
      </c>
      <c r="B1438" s="54" t="s">
        <v>438</v>
      </c>
      <c r="C1438" s="23" t="s">
        <v>137</v>
      </c>
      <c r="D1438" s="24" t="s">
        <v>283</v>
      </c>
      <c r="E1438" s="23" t="s">
        <v>19</v>
      </c>
      <c r="F1438" s="26">
        <v>16</v>
      </c>
      <c r="G1438" s="26">
        <v>10</v>
      </c>
      <c r="H1438" s="34">
        <v>1623.81</v>
      </c>
      <c r="I1438" s="84"/>
      <c r="J1438" s="136">
        <v>2156.9699999999998</v>
      </c>
      <c r="K1438" s="118"/>
      <c r="L1438" s="35">
        <v>10320.44</v>
      </c>
      <c r="M1438" s="85"/>
      <c r="N1438" s="99" t="s">
        <v>642</v>
      </c>
      <c r="O1438" s="68">
        <v>590</v>
      </c>
      <c r="P1438" s="66">
        <v>41306</v>
      </c>
    </row>
    <row r="1439" spans="1:16" s="8" customFormat="1" ht="12.75" customHeight="1">
      <c r="A1439" s="110">
        <f t="shared" si="29"/>
        <v>1418</v>
      </c>
      <c r="B1439" s="54" t="s">
        <v>439</v>
      </c>
      <c r="C1439" s="23" t="s">
        <v>137</v>
      </c>
      <c r="D1439" s="24" t="s">
        <v>294</v>
      </c>
      <c r="E1439" s="23" t="s">
        <v>19</v>
      </c>
      <c r="F1439" s="26">
        <v>16</v>
      </c>
      <c r="G1439" s="26">
        <v>10</v>
      </c>
      <c r="H1439" s="34">
        <v>1814.17</v>
      </c>
      <c r="I1439" s="84"/>
      <c r="J1439" s="136">
        <v>2347.33</v>
      </c>
      <c r="K1439" s="118"/>
      <c r="L1439" s="35">
        <v>10320.44</v>
      </c>
      <c r="M1439" s="85"/>
      <c r="N1439" s="99" t="s">
        <v>642</v>
      </c>
      <c r="O1439" s="68">
        <v>590</v>
      </c>
      <c r="P1439" s="66">
        <v>41306</v>
      </c>
    </row>
    <row r="1440" spans="1:16" s="8" customFormat="1" ht="12.75" customHeight="1">
      <c r="A1440" s="110">
        <f t="shared" si="29"/>
        <v>1419</v>
      </c>
      <c r="B1440" s="54" t="s">
        <v>674</v>
      </c>
      <c r="C1440" s="23" t="s">
        <v>311</v>
      </c>
      <c r="D1440" s="24" t="s">
        <v>261</v>
      </c>
      <c r="E1440" s="23" t="s">
        <v>19</v>
      </c>
      <c r="F1440" s="26">
        <v>20</v>
      </c>
      <c r="G1440" s="26">
        <v>10</v>
      </c>
      <c r="H1440" s="34">
        <v>2284.23</v>
      </c>
      <c r="I1440" s="84">
        <v>2312.36</v>
      </c>
      <c r="J1440" s="136">
        <v>4210.55</v>
      </c>
      <c r="K1440" s="118">
        <v>4105.95</v>
      </c>
      <c r="L1440" s="35">
        <v>11583.89</v>
      </c>
      <c r="M1440" s="85">
        <v>11718.45</v>
      </c>
      <c r="N1440" s="107" t="s">
        <v>820</v>
      </c>
      <c r="O1440" s="68">
        <v>588</v>
      </c>
      <c r="P1440" s="66">
        <v>43617</v>
      </c>
    </row>
    <row r="1441" spans="1:16" s="8" customFormat="1" ht="12.75" customHeight="1">
      <c r="A1441" s="110">
        <f t="shared" si="29"/>
        <v>1420</v>
      </c>
      <c r="B1441" s="54" t="s">
        <v>675</v>
      </c>
      <c r="C1441" s="23" t="s">
        <v>311</v>
      </c>
      <c r="D1441" s="24" t="s">
        <v>263</v>
      </c>
      <c r="E1441" s="23" t="s">
        <v>19</v>
      </c>
      <c r="F1441" s="26">
        <v>20</v>
      </c>
      <c r="G1441" s="26">
        <v>10</v>
      </c>
      <c r="H1441" s="34">
        <v>2242.86</v>
      </c>
      <c r="I1441" s="84">
        <v>2270.9699999999998</v>
      </c>
      <c r="J1441" s="136">
        <v>4169.17</v>
      </c>
      <c r="K1441" s="118">
        <v>4064.57</v>
      </c>
      <c r="L1441" s="35">
        <v>11583.89</v>
      </c>
      <c r="M1441" s="85">
        <v>11718.45</v>
      </c>
      <c r="N1441" s="107" t="s">
        <v>820</v>
      </c>
      <c r="O1441" s="68">
        <v>588</v>
      </c>
      <c r="P1441" s="66">
        <v>43617</v>
      </c>
    </row>
    <row r="1442" spans="1:16" s="8" customFormat="1" ht="12.75" customHeight="1">
      <c r="A1442" s="110">
        <f t="shared" si="29"/>
        <v>1421</v>
      </c>
      <c r="B1442" s="55" t="s">
        <v>561</v>
      </c>
      <c r="C1442" s="23" t="s">
        <v>311</v>
      </c>
      <c r="D1442" s="24" t="s">
        <v>562</v>
      </c>
      <c r="E1442" s="23" t="s">
        <v>19</v>
      </c>
      <c r="F1442" s="26">
        <v>20</v>
      </c>
      <c r="G1442" s="26">
        <v>10</v>
      </c>
      <c r="H1442" s="34">
        <v>2263.5500000000002</v>
      </c>
      <c r="I1442" s="84">
        <v>2291.66</v>
      </c>
      <c r="J1442" s="136">
        <v>4052.64</v>
      </c>
      <c r="K1442" s="118">
        <v>4085.26</v>
      </c>
      <c r="L1442" s="35">
        <v>11583.89</v>
      </c>
      <c r="M1442" s="85">
        <v>11718.45</v>
      </c>
      <c r="N1442" s="107" t="s">
        <v>820</v>
      </c>
      <c r="O1442" s="68">
        <v>588</v>
      </c>
      <c r="P1442" s="66">
        <v>43617</v>
      </c>
    </row>
    <row r="1443" spans="1:16" s="8" customFormat="1" ht="12.75" customHeight="1">
      <c r="A1443" s="110">
        <f t="shared" si="29"/>
        <v>1422</v>
      </c>
      <c r="B1443" s="55" t="s">
        <v>694</v>
      </c>
      <c r="C1443" s="23" t="s">
        <v>278</v>
      </c>
      <c r="D1443" s="24" t="s">
        <v>695</v>
      </c>
      <c r="E1443" s="23" t="s">
        <v>13</v>
      </c>
      <c r="F1443" s="26">
        <v>20</v>
      </c>
      <c r="G1443" s="26">
        <v>10</v>
      </c>
      <c r="H1443" s="34">
        <v>881.05</v>
      </c>
      <c r="I1443" s="84"/>
      <c r="J1443" s="136">
        <v>1466.53</v>
      </c>
      <c r="K1443" s="118"/>
      <c r="L1443" s="35"/>
      <c r="M1443" s="85"/>
      <c r="N1443" s="39" t="s">
        <v>644</v>
      </c>
      <c r="O1443" s="69">
        <v>606</v>
      </c>
      <c r="P1443" s="66">
        <v>43101</v>
      </c>
    </row>
    <row r="1444" spans="1:16" s="8" customFormat="1" ht="12.75" customHeight="1">
      <c r="A1444" s="110">
        <f t="shared" si="29"/>
        <v>1423</v>
      </c>
      <c r="B1444" s="55" t="s">
        <v>578</v>
      </c>
      <c r="C1444" s="23" t="s">
        <v>278</v>
      </c>
      <c r="D1444" s="52" t="s">
        <v>579</v>
      </c>
      <c r="E1444" s="23" t="s">
        <v>13</v>
      </c>
      <c r="F1444" s="27">
        <v>20</v>
      </c>
      <c r="G1444" s="27">
        <v>10</v>
      </c>
      <c r="H1444" s="34">
        <v>1313.49</v>
      </c>
      <c r="I1444" s="84">
        <v>1503.41</v>
      </c>
      <c r="J1444" s="136">
        <v>1871.75</v>
      </c>
      <c r="K1444" s="118">
        <v>2064.56</v>
      </c>
      <c r="L1444" s="35"/>
      <c r="M1444" s="85"/>
      <c r="N1444" s="39" t="s">
        <v>644</v>
      </c>
      <c r="O1444" s="69">
        <v>606</v>
      </c>
      <c r="P1444" s="66">
        <v>43617</v>
      </c>
    </row>
    <row r="1445" spans="1:16" s="8" customFormat="1" ht="12.75" customHeight="1">
      <c r="A1445" s="110">
        <f t="shared" si="29"/>
        <v>1424</v>
      </c>
      <c r="B1445" s="55" t="s">
        <v>580</v>
      </c>
      <c r="C1445" s="23" t="s">
        <v>278</v>
      </c>
      <c r="D1445" s="52" t="s">
        <v>581</v>
      </c>
      <c r="E1445" s="23" t="s">
        <v>13</v>
      </c>
      <c r="F1445" s="27">
        <v>20</v>
      </c>
      <c r="G1445" s="27">
        <v>10</v>
      </c>
      <c r="H1445" s="34">
        <v>1461.28</v>
      </c>
      <c r="I1445" s="84">
        <v>1426.78</v>
      </c>
      <c r="J1445" s="136">
        <v>2019.55</v>
      </c>
      <c r="K1445" s="118">
        <v>1950.49</v>
      </c>
      <c r="L1445" s="35"/>
      <c r="M1445" s="85"/>
      <c r="N1445" s="39" t="s">
        <v>644</v>
      </c>
      <c r="O1445" s="69">
        <v>606</v>
      </c>
      <c r="P1445" s="66">
        <v>43617</v>
      </c>
    </row>
    <row r="1446" spans="1:16" s="8" customFormat="1" ht="12.75" customHeight="1">
      <c r="A1446" s="110">
        <f t="shared" si="29"/>
        <v>1425</v>
      </c>
      <c r="B1446" s="55" t="s">
        <v>582</v>
      </c>
      <c r="C1446" s="23" t="s">
        <v>278</v>
      </c>
      <c r="D1446" s="52" t="s">
        <v>302</v>
      </c>
      <c r="E1446" s="23" t="s">
        <v>13</v>
      </c>
      <c r="F1446" s="27">
        <v>20</v>
      </c>
      <c r="G1446" s="27">
        <v>10</v>
      </c>
      <c r="H1446" s="34">
        <v>1362.26</v>
      </c>
      <c r="I1446" s="84">
        <v>1327.75</v>
      </c>
      <c r="J1446" s="136">
        <v>1920.52</v>
      </c>
      <c r="K1446" s="118">
        <v>1851.47</v>
      </c>
      <c r="L1446" s="35"/>
      <c r="M1446" s="85"/>
      <c r="N1446" s="39" t="s">
        <v>644</v>
      </c>
      <c r="O1446" s="69">
        <v>606</v>
      </c>
      <c r="P1446" s="66">
        <v>43617</v>
      </c>
    </row>
    <row r="1447" spans="1:16" s="8" customFormat="1" ht="12.75" customHeight="1">
      <c r="A1447" s="110">
        <f t="shared" si="29"/>
        <v>1426</v>
      </c>
      <c r="B1447" s="55" t="s">
        <v>583</v>
      </c>
      <c r="C1447" s="23" t="s">
        <v>278</v>
      </c>
      <c r="D1447" s="52" t="s">
        <v>584</v>
      </c>
      <c r="E1447" s="23" t="s">
        <v>13</v>
      </c>
      <c r="F1447" s="27">
        <v>20</v>
      </c>
      <c r="G1447" s="27">
        <v>10</v>
      </c>
      <c r="H1447" s="34">
        <v>1579.52</v>
      </c>
      <c r="I1447" s="84">
        <v>1545.02</v>
      </c>
      <c r="J1447" s="136">
        <v>2137.7800000000002</v>
      </c>
      <c r="K1447" s="118">
        <v>2068.73</v>
      </c>
      <c r="L1447" s="35"/>
      <c r="M1447" s="85"/>
      <c r="N1447" s="39" t="s">
        <v>644</v>
      </c>
      <c r="O1447" s="69">
        <v>606</v>
      </c>
      <c r="P1447" s="66">
        <v>43617</v>
      </c>
    </row>
    <row r="1448" spans="1:16" s="8" customFormat="1" ht="12.75" customHeight="1">
      <c r="A1448" s="110">
        <f t="shared" si="29"/>
        <v>1427</v>
      </c>
      <c r="B1448" s="55" t="s">
        <v>585</v>
      </c>
      <c r="C1448" s="23" t="s">
        <v>278</v>
      </c>
      <c r="D1448" s="52" t="s">
        <v>586</v>
      </c>
      <c r="E1448" s="23" t="s">
        <v>13</v>
      </c>
      <c r="F1448" s="27">
        <v>20</v>
      </c>
      <c r="G1448" s="27">
        <v>10</v>
      </c>
      <c r="H1448" s="34">
        <v>1295.75</v>
      </c>
      <c r="I1448" s="84">
        <v>1261.23</v>
      </c>
      <c r="J1448" s="136">
        <v>1854</v>
      </c>
      <c r="K1448" s="118">
        <v>1784.95</v>
      </c>
      <c r="L1448" s="35"/>
      <c r="M1448" s="85"/>
      <c r="N1448" s="39" t="s">
        <v>644</v>
      </c>
      <c r="O1448" s="69">
        <v>606</v>
      </c>
      <c r="P1448" s="66">
        <v>43617</v>
      </c>
    </row>
    <row r="1449" spans="1:16" s="8" customFormat="1" ht="12.75" customHeight="1">
      <c r="A1449" s="110">
        <f t="shared" si="29"/>
        <v>1428</v>
      </c>
      <c r="B1449" s="55" t="s">
        <v>587</v>
      </c>
      <c r="C1449" s="23" t="s">
        <v>278</v>
      </c>
      <c r="D1449" s="52" t="s">
        <v>589</v>
      </c>
      <c r="E1449" s="23" t="s">
        <v>13</v>
      </c>
      <c r="F1449" s="27">
        <v>20</v>
      </c>
      <c r="G1449" s="27">
        <v>10</v>
      </c>
      <c r="H1449" s="34">
        <v>1489.37</v>
      </c>
      <c r="I1449" s="84">
        <v>1454.86</v>
      </c>
      <c r="J1449" s="136">
        <v>2047.63</v>
      </c>
      <c r="K1449" s="118">
        <v>1978.57</v>
      </c>
      <c r="L1449" s="35"/>
      <c r="M1449" s="85"/>
      <c r="N1449" s="39" t="s">
        <v>644</v>
      </c>
      <c r="O1449" s="69">
        <v>606</v>
      </c>
      <c r="P1449" s="66">
        <v>43617</v>
      </c>
    </row>
    <row r="1450" spans="1:16" s="8" customFormat="1" ht="12.75" customHeight="1">
      <c r="A1450" s="110">
        <f t="shared" si="29"/>
        <v>1429</v>
      </c>
      <c r="B1450" s="55" t="s">
        <v>590</v>
      </c>
      <c r="C1450" s="23" t="s">
        <v>278</v>
      </c>
      <c r="D1450" s="52" t="s">
        <v>588</v>
      </c>
      <c r="E1450" s="23" t="s">
        <v>13</v>
      </c>
      <c r="F1450" s="27">
        <v>20</v>
      </c>
      <c r="G1450" s="27">
        <v>10</v>
      </c>
      <c r="H1450" s="34">
        <v>1341.58</v>
      </c>
      <c r="I1450" s="84">
        <v>1307.06</v>
      </c>
      <c r="J1450" s="136">
        <v>1899.83</v>
      </c>
      <c r="K1450" s="118">
        <v>1830.77</v>
      </c>
      <c r="L1450" s="35"/>
      <c r="M1450" s="85"/>
      <c r="N1450" s="39" t="s">
        <v>644</v>
      </c>
      <c r="O1450" s="69">
        <v>606</v>
      </c>
      <c r="P1450" s="66">
        <v>43617</v>
      </c>
    </row>
    <row r="1451" spans="1:16" s="8" customFormat="1" ht="12.75" customHeight="1">
      <c r="A1451" s="110">
        <f t="shared" si="29"/>
        <v>1430</v>
      </c>
      <c r="B1451" s="55" t="s">
        <v>591</v>
      </c>
      <c r="C1451" s="23" t="s">
        <v>278</v>
      </c>
      <c r="D1451" s="52" t="s">
        <v>592</v>
      </c>
      <c r="E1451" s="23" t="s">
        <v>13</v>
      </c>
      <c r="F1451" s="27">
        <v>20</v>
      </c>
      <c r="G1451" s="27">
        <v>10</v>
      </c>
      <c r="H1451" s="34">
        <v>1223.3399999999999</v>
      </c>
      <c r="I1451" s="84">
        <v>1188.82</v>
      </c>
      <c r="J1451" s="136">
        <v>1781.59</v>
      </c>
      <c r="K1451" s="118">
        <v>1712.53</v>
      </c>
      <c r="L1451" s="35"/>
      <c r="M1451" s="85"/>
      <c r="N1451" s="39" t="s">
        <v>644</v>
      </c>
      <c r="O1451" s="69">
        <v>606</v>
      </c>
      <c r="P1451" s="66">
        <v>43617</v>
      </c>
    </row>
    <row r="1452" spans="1:16" s="8" customFormat="1" ht="12.75" customHeight="1">
      <c r="A1452" s="110">
        <f t="shared" si="29"/>
        <v>1431</v>
      </c>
      <c r="B1452" s="55" t="s">
        <v>600</v>
      </c>
      <c r="C1452" s="23" t="s">
        <v>278</v>
      </c>
      <c r="D1452" s="52" t="s">
        <v>579</v>
      </c>
      <c r="E1452" s="23" t="s">
        <v>19</v>
      </c>
      <c r="F1452" s="27">
        <v>20</v>
      </c>
      <c r="G1452" s="27">
        <v>10</v>
      </c>
      <c r="H1452" s="34">
        <v>2019.51</v>
      </c>
      <c r="I1452" s="84">
        <v>2103.39</v>
      </c>
      <c r="J1452" s="136">
        <v>3308.88</v>
      </c>
      <c r="K1452" s="118">
        <v>3451.53</v>
      </c>
      <c r="L1452" s="35">
        <v>15346.97</v>
      </c>
      <c r="M1452" s="85">
        <v>15692.16</v>
      </c>
      <c r="N1452" s="39" t="s">
        <v>644</v>
      </c>
      <c r="O1452" s="69">
        <v>606</v>
      </c>
      <c r="P1452" s="66">
        <v>43617</v>
      </c>
    </row>
    <row r="1453" spans="1:16" s="8" customFormat="1" ht="12.75" customHeight="1">
      <c r="A1453" s="110">
        <f t="shared" si="29"/>
        <v>1432</v>
      </c>
      <c r="B1453" s="55" t="s">
        <v>601</v>
      </c>
      <c r="C1453" s="23" t="s">
        <v>278</v>
      </c>
      <c r="D1453" s="52" t="s">
        <v>581</v>
      </c>
      <c r="E1453" s="23" t="s">
        <v>19</v>
      </c>
      <c r="F1453" s="27">
        <v>20</v>
      </c>
      <c r="G1453" s="27">
        <v>10</v>
      </c>
      <c r="H1453" s="34">
        <v>2167.31</v>
      </c>
      <c r="I1453" s="84">
        <v>2251.1799999999998</v>
      </c>
      <c r="J1453" s="136">
        <v>3456.68</v>
      </c>
      <c r="K1453" s="118">
        <v>3599.33</v>
      </c>
      <c r="L1453" s="35">
        <v>15346.97</v>
      </c>
      <c r="M1453" s="85">
        <v>15692.16</v>
      </c>
      <c r="N1453" s="39" t="s">
        <v>644</v>
      </c>
      <c r="O1453" s="69">
        <v>606</v>
      </c>
      <c r="P1453" s="66">
        <v>43617</v>
      </c>
    </row>
    <row r="1454" spans="1:16" s="8" customFormat="1" ht="12.75" customHeight="1">
      <c r="A1454" s="110">
        <f t="shared" si="29"/>
        <v>1433</v>
      </c>
      <c r="B1454" s="55" t="s">
        <v>602</v>
      </c>
      <c r="C1454" s="23" t="s">
        <v>278</v>
      </c>
      <c r="D1454" s="52" t="s">
        <v>584</v>
      </c>
      <c r="E1454" s="23" t="s">
        <v>19</v>
      </c>
      <c r="F1454" s="27">
        <v>20</v>
      </c>
      <c r="G1454" s="27">
        <v>10</v>
      </c>
      <c r="H1454" s="34">
        <v>2310.6799999999998</v>
      </c>
      <c r="I1454" s="84">
        <v>2369.42</v>
      </c>
      <c r="J1454" s="136">
        <v>3600.05</v>
      </c>
      <c r="K1454" s="118">
        <v>3717.57</v>
      </c>
      <c r="L1454" s="35">
        <v>15346.97</v>
      </c>
      <c r="M1454" s="85">
        <v>15692.16</v>
      </c>
      <c r="N1454" s="39" t="s">
        <v>644</v>
      </c>
      <c r="O1454" s="69">
        <v>606</v>
      </c>
      <c r="P1454" s="66">
        <v>43617</v>
      </c>
    </row>
    <row r="1455" spans="1:16" s="8" customFormat="1" ht="12.75" customHeight="1">
      <c r="A1455" s="110">
        <f t="shared" si="29"/>
        <v>1434</v>
      </c>
      <c r="B1455" s="55" t="s">
        <v>603</v>
      </c>
      <c r="C1455" s="23" t="s">
        <v>278</v>
      </c>
      <c r="D1455" s="52" t="s">
        <v>302</v>
      </c>
      <c r="E1455" s="23" t="s">
        <v>19</v>
      </c>
      <c r="F1455" s="27">
        <v>20</v>
      </c>
      <c r="G1455" s="27">
        <v>10</v>
      </c>
      <c r="H1455" s="34">
        <v>2093.42</v>
      </c>
      <c r="I1455" s="84">
        <v>2152.16</v>
      </c>
      <c r="J1455" s="136">
        <v>3382.79</v>
      </c>
      <c r="K1455" s="118">
        <v>3500.3</v>
      </c>
      <c r="L1455" s="35">
        <v>15346.97</v>
      </c>
      <c r="M1455" s="85">
        <v>15692.16</v>
      </c>
      <c r="N1455" s="39" t="s">
        <v>644</v>
      </c>
      <c r="O1455" s="69">
        <v>606</v>
      </c>
      <c r="P1455" s="66">
        <v>43617</v>
      </c>
    </row>
    <row r="1456" spans="1:16" s="8" customFormat="1" ht="12.75" customHeight="1">
      <c r="A1456" s="110">
        <f t="shared" si="29"/>
        <v>1435</v>
      </c>
      <c r="B1456" s="55" t="s">
        <v>604</v>
      </c>
      <c r="C1456" s="23" t="s">
        <v>278</v>
      </c>
      <c r="D1456" s="52" t="s">
        <v>586</v>
      </c>
      <c r="E1456" s="23" t="s">
        <v>19</v>
      </c>
      <c r="F1456" s="27">
        <v>20</v>
      </c>
      <c r="G1456" s="27">
        <v>10</v>
      </c>
      <c r="H1456" s="34">
        <v>2026.91</v>
      </c>
      <c r="I1456" s="84">
        <v>2085.65</v>
      </c>
      <c r="J1456" s="136">
        <v>3316.28</v>
      </c>
      <c r="K1456" s="118">
        <v>3433.8</v>
      </c>
      <c r="L1456" s="35">
        <v>15346.97</v>
      </c>
      <c r="M1456" s="85">
        <v>15692.16</v>
      </c>
      <c r="N1456" s="39" t="s">
        <v>644</v>
      </c>
      <c r="O1456" s="69">
        <v>606</v>
      </c>
      <c r="P1456" s="66">
        <v>43617</v>
      </c>
    </row>
    <row r="1457" spans="1:16" s="8" customFormat="1" ht="12.75" customHeight="1">
      <c r="A1457" s="110">
        <f t="shared" si="29"/>
        <v>1436</v>
      </c>
      <c r="B1457" s="55" t="s">
        <v>605</v>
      </c>
      <c r="C1457" s="23" t="s">
        <v>278</v>
      </c>
      <c r="D1457" s="52" t="s">
        <v>589</v>
      </c>
      <c r="E1457" s="23" t="s">
        <v>19</v>
      </c>
      <c r="F1457" s="27">
        <v>20</v>
      </c>
      <c r="G1457" s="27">
        <v>10</v>
      </c>
      <c r="H1457" s="34">
        <v>2183.19</v>
      </c>
      <c r="I1457" s="84">
        <v>2279.2600000000002</v>
      </c>
      <c r="J1457" s="136">
        <v>3472.56</v>
      </c>
      <c r="K1457" s="118">
        <v>3627.41</v>
      </c>
      <c r="L1457" s="35">
        <v>15346.97</v>
      </c>
      <c r="M1457" s="85">
        <v>15692.16</v>
      </c>
      <c r="N1457" s="39" t="s">
        <v>644</v>
      </c>
      <c r="O1457" s="69">
        <v>606</v>
      </c>
      <c r="P1457" s="66">
        <v>43617</v>
      </c>
    </row>
    <row r="1458" spans="1:16" s="8" customFormat="1" ht="12.75" customHeight="1">
      <c r="A1458" s="110">
        <f t="shared" si="29"/>
        <v>1437</v>
      </c>
      <c r="B1458" s="55" t="s">
        <v>606</v>
      </c>
      <c r="C1458" s="23" t="s">
        <v>278</v>
      </c>
      <c r="D1458" s="52" t="s">
        <v>588</v>
      </c>
      <c r="E1458" s="23" t="s">
        <v>19</v>
      </c>
      <c r="F1458" s="27">
        <v>20</v>
      </c>
      <c r="G1458" s="27">
        <v>10</v>
      </c>
      <c r="H1458" s="34">
        <v>2028.24</v>
      </c>
      <c r="I1458" s="84">
        <v>2131.4699999999998</v>
      </c>
      <c r="J1458" s="136">
        <v>3317.61</v>
      </c>
      <c r="K1458" s="118">
        <v>3479.61</v>
      </c>
      <c r="L1458" s="35">
        <v>15346.97</v>
      </c>
      <c r="M1458" s="85">
        <v>15692.16</v>
      </c>
      <c r="N1458" s="39" t="s">
        <v>644</v>
      </c>
      <c r="O1458" s="69">
        <v>606</v>
      </c>
      <c r="P1458" s="66">
        <v>43617</v>
      </c>
    </row>
    <row r="1459" spans="1:16" s="8" customFormat="1" ht="12.75" customHeight="1">
      <c r="A1459" s="110">
        <f t="shared" si="29"/>
        <v>1438</v>
      </c>
      <c r="B1459" s="55" t="s">
        <v>607</v>
      </c>
      <c r="C1459" s="23" t="s">
        <v>278</v>
      </c>
      <c r="D1459" s="52" t="s">
        <v>592</v>
      </c>
      <c r="E1459" s="23" t="s">
        <v>19</v>
      </c>
      <c r="F1459" s="27">
        <v>20</v>
      </c>
      <c r="G1459" s="27">
        <v>10</v>
      </c>
      <c r="H1459" s="34">
        <v>1954.49</v>
      </c>
      <c r="I1459" s="84">
        <v>2013.23</v>
      </c>
      <c r="J1459" s="136">
        <v>3243.86</v>
      </c>
      <c r="K1459" s="118">
        <v>3361.37</v>
      </c>
      <c r="L1459" s="35">
        <v>15346.97</v>
      </c>
      <c r="M1459" s="85">
        <v>15692.16</v>
      </c>
      <c r="N1459" s="39" t="s">
        <v>644</v>
      </c>
      <c r="O1459" s="69">
        <v>606</v>
      </c>
      <c r="P1459" s="66">
        <v>43617</v>
      </c>
    </row>
    <row r="1460" spans="1:16" s="8" customFormat="1" ht="12.75" customHeight="1">
      <c r="A1460" s="110">
        <f t="shared" si="29"/>
        <v>1439</v>
      </c>
      <c r="B1460" s="55" t="s">
        <v>703</v>
      </c>
      <c r="C1460" s="23" t="s">
        <v>278</v>
      </c>
      <c r="D1460" s="52" t="s">
        <v>704</v>
      </c>
      <c r="E1460" s="23" t="s">
        <v>13</v>
      </c>
      <c r="F1460" s="27">
        <v>20</v>
      </c>
      <c r="G1460" s="27">
        <v>10</v>
      </c>
      <c r="H1460" s="34">
        <v>1356.35</v>
      </c>
      <c r="I1460" s="84">
        <v>1321.83</v>
      </c>
      <c r="J1460" s="136">
        <v>1914.6</v>
      </c>
      <c r="K1460" s="118">
        <v>1845.55</v>
      </c>
      <c r="L1460" s="35"/>
      <c r="M1460" s="85"/>
      <c r="N1460" s="39" t="s">
        <v>644</v>
      </c>
      <c r="O1460" s="69">
        <v>606</v>
      </c>
      <c r="P1460" s="66">
        <v>43617</v>
      </c>
    </row>
    <row r="1461" spans="1:16" s="8" customFormat="1" ht="12.75" customHeight="1">
      <c r="A1461" s="110">
        <f t="shared" si="29"/>
        <v>1440</v>
      </c>
      <c r="B1461" s="45" t="s">
        <v>616</v>
      </c>
      <c r="C1461" s="23" t="s">
        <v>130</v>
      </c>
      <c r="D1461" s="52" t="s">
        <v>617</v>
      </c>
      <c r="E1461" s="23" t="s">
        <v>19</v>
      </c>
      <c r="F1461" s="27">
        <v>20</v>
      </c>
      <c r="G1461" s="27">
        <v>10</v>
      </c>
      <c r="H1461" s="34"/>
      <c r="I1461" s="84">
        <v>1551.91</v>
      </c>
      <c r="J1461" s="136"/>
      <c r="K1461" s="118">
        <v>2660.43</v>
      </c>
      <c r="L1461" s="35"/>
      <c r="M1461" s="85">
        <v>22170.19</v>
      </c>
      <c r="N1461" s="99" t="s">
        <v>642</v>
      </c>
      <c r="O1461" s="69"/>
      <c r="P1461" s="66">
        <v>44562</v>
      </c>
    </row>
    <row r="1462" spans="1:16" s="8" customFormat="1" ht="12.75" customHeight="1">
      <c r="A1462" s="110">
        <f t="shared" si="29"/>
        <v>1441</v>
      </c>
      <c r="B1462" s="45" t="s">
        <v>998</v>
      </c>
      <c r="C1462" s="23" t="s">
        <v>130</v>
      </c>
      <c r="D1462" s="52" t="s">
        <v>617</v>
      </c>
      <c r="E1462" s="23" t="s">
        <v>19</v>
      </c>
      <c r="F1462" s="46" t="s">
        <v>977</v>
      </c>
      <c r="G1462" s="27"/>
      <c r="H1462" s="34"/>
      <c r="I1462" s="84">
        <v>52406.54</v>
      </c>
      <c r="J1462" s="136"/>
      <c r="K1462" s="118"/>
      <c r="L1462" s="35"/>
      <c r="M1462" s="85"/>
      <c r="N1462" s="99" t="s">
        <v>642</v>
      </c>
      <c r="O1462" s="69"/>
      <c r="P1462" s="66">
        <v>44562</v>
      </c>
    </row>
    <row r="1463" spans="1:16" s="8" customFormat="1" ht="12.75" customHeight="1">
      <c r="A1463" s="110">
        <f t="shared" si="29"/>
        <v>1442</v>
      </c>
      <c r="B1463" s="45" t="s">
        <v>616</v>
      </c>
      <c r="C1463" s="23" t="s">
        <v>130</v>
      </c>
      <c r="D1463" s="52" t="s">
        <v>617</v>
      </c>
      <c r="E1463" s="23" t="s">
        <v>19</v>
      </c>
      <c r="F1463" s="27">
        <v>20</v>
      </c>
      <c r="G1463" s="27">
        <v>10</v>
      </c>
      <c r="H1463" s="34"/>
      <c r="I1463" s="84">
        <v>1206.2</v>
      </c>
      <c r="J1463" s="136"/>
      <c r="K1463" s="118">
        <v>1969</v>
      </c>
      <c r="L1463" s="35"/>
      <c r="M1463" s="85">
        <v>15256.14</v>
      </c>
      <c r="N1463" s="99" t="s">
        <v>642</v>
      </c>
      <c r="O1463" s="69"/>
      <c r="P1463" s="66">
        <v>44713</v>
      </c>
    </row>
    <row r="1464" spans="1:16" s="8" customFormat="1" ht="12.75" customHeight="1">
      <c r="A1464" s="110">
        <f t="shared" ref="A1464:A1527" si="30">A1463+1</f>
        <v>1443</v>
      </c>
      <c r="B1464" s="45" t="s">
        <v>998</v>
      </c>
      <c r="C1464" s="23" t="s">
        <v>130</v>
      </c>
      <c r="D1464" s="52" t="s">
        <v>617</v>
      </c>
      <c r="E1464" s="23" t="s">
        <v>19</v>
      </c>
      <c r="F1464" s="46" t="s">
        <v>977</v>
      </c>
      <c r="G1464" s="27"/>
      <c r="H1464" s="34"/>
      <c r="I1464" s="84">
        <v>46509.53</v>
      </c>
      <c r="J1464" s="136"/>
      <c r="K1464" s="118"/>
      <c r="L1464" s="35"/>
      <c r="M1464" s="85"/>
      <c r="N1464" s="99" t="s">
        <v>642</v>
      </c>
      <c r="O1464" s="69"/>
      <c r="P1464" s="66">
        <v>44713</v>
      </c>
    </row>
    <row r="1465" spans="1:16" s="8" customFormat="1" ht="12.75" customHeight="1">
      <c r="A1465" s="110">
        <f t="shared" si="30"/>
        <v>1444</v>
      </c>
      <c r="B1465" s="45" t="s">
        <v>616</v>
      </c>
      <c r="C1465" s="23" t="s">
        <v>130</v>
      </c>
      <c r="D1465" s="52" t="s">
        <v>617</v>
      </c>
      <c r="E1465" s="23" t="s">
        <v>19</v>
      </c>
      <c r="F1465" s="27">
        <v>20</v>
      </c>
      <c r="G1465" s="27">
        <v>10</v>
      </c>
      <c r="H1465" s="34"/>
      <c r="I1465" s="84">
        <v>1256.22</v>
      </c>
      <c r="J1465" s="136"/>
      <c r="K1465" s="118">
        <v>2024.73</v>
      </c>
      <c r="L1465" s="35"/>
      <c r="M1465" s="85"/>
      <c r="N1465" s="99" t="s">
        <v>642</v>
      </c>
      <c r="O1465" s="69"/>
      <c r="P1465" s="66">
        <v>45047</v>
      </c>
    </row>
    <row r="1466" spans="1:16" s="8" customFormat="1" ht="12.75" customHeight="1">
      <c r="A1466" s="110">
        <f t="shared" si="30"/>
        <v>1445</v>
      </c>
      <c r="B1466" s="45" t="s">
        <v>998</v>
      </c>
      <c r="C1466" s="23" t="s">
        <v>130</v>
      </c>
      <c r="D1466" s="52" t="s">
        <v>617</v>
      </c>
      <c r="E1466" s="23" t="s">
        <v>19</v>
      </c>
      <c r="F1466" s="46" t="s">
        <v>977</v>
      </c>
      <c r="G1466" s="27"/>
      <c r="H1466" s="34"/>
      <c r="I1466" s="84">
        <v>46512.18</v>
      </c>
      <c r="J1466" s="136"/>
      <c r="K1466" s="118"/>
      <c r="L1466" s="35"/>
      <c r="M1466" s="85"/>
      <c r="N1466" s="99" t="s">
        <v>642</v>
      </c>
      <c r="O1466" s="69"/>
      <c r="P1466" s="66">
        <v>45047</v>
      </c>
    </row>
    <row r="1467" spans="1:16" s="8" customFormat="1" ht="12.75" customHeight="1">
      <c r="A1467" s="110">
        <f t="shared" si="30"/>
        <v>1446</v>
      </c>
      <c r="B1467" s="52" t="s">
        <v>616</v>
      </c>
      <c r="C1467" s="23" t="s">
        <v>130</v>
      </c>
      <c r="D1467" s="52" t="s">
        <v>617</v>
      </c>
      <c r="E1467" s="23" t="s">
        <v>19</v>
      </c>
      <c r="F1467" s="27">
        <v>20</v>
      </c>
      <c r="G1467" s="27">
        <v>10</v>
      </c>
      <c r="H1467" s="34">
        <v>1329.17</v>
      </c>
      <c r="I1467" s="84">
        <v>1352.3</v>
      </c>
      <c r="J1467" s="136">
        <v>2201.81</v>
      </c>
      <c r="K1467" s="118">
        <v>2248.11</v>
      </c>
      <c r="L1467" s="35">
        <v>12748.24</v>
      </c>
      <c r="M1467" s="85">
        <v>13442.82</v>
      </c>
      <c r="N1467" s="99" t="s">
        <v>642</v>
      </c>
      <c r="O1467" s="68">
        <v>601</v>
      </c>
      <c r="P1467" s="66">
        <v>43617</v>
      </c>
    </row>
    <row r="1468" spans="1:16" s="8" customFormat="1" ht="12" customHeight="1">
      <c r="A1468" s="110">
        <f t="shared" si="30"/>
        <v>1447</v>
      </c>
      <c r="B1468" s="45" t="s">
        <v>616</v>
      </c>
      <c r="C1468" s="23" t="s">
        <v>130</v>
      </c>
      <c r="D1468" s="52" t="s">
        <v>617</v>
      </c>
      <c r="E1468" s="23" t="s">
        <v>19</v>
      </c>
      <c r="F1468" s="27">
        <v>20</v>
      </c>
      <c r="G1468" s="27">
        <v>10</v>
      </c>
      <c r="H1468" s="34"/>
      <c r="I1468" s="84">
        <v>1288.3399999999999</v>
      </c>
      <c r="J1468" s="136"/>
      <c r="K1468" s="118">
        <v>2088.98</v>
      </c>
      <c r="L1468" s="35"/>
      <c r="M1468" s="85">
        <v>16012.35</v>
      </c>
      <c r="N1468" s="157" t="s">
        <v>1163</v>
      </c>
      <c r="O1468" s="68"/>
      <c r="P1468" s="66">
        <v>45352</v>
      </c>
    </row>
    <row r="1469" spans="1:16" s="8" customFormat="1" ht="12.75" customHeight="1">
      <c r="A1469" s="110">
        <f t="shared" si="30"/>
        <v>1448</v>
      </c>
      <c r="B1469" s="45" t="s">
        <v>616</v>
      </c>
      <c r="C1469" s="23" t="s">
        <v>130</v>
      </c>
      <c r="D1469" s="52" t="s">
        <v>617</v>
      </c>
      <c r="E1469" s="23" t="s">
        <v>19</v>
      </c>
      <c r="F1469" s="27">
        <v>19</v>
      </c>
      <c r="G1469" s="27">
        <v>11</v>
      </c>
      <c r="H1469" s="34"/>
      <c r="I1469" s="84">
        <v>1330.51</v>
      </c>
      <c r="J1469" s="136"/>
      <c r="K1469" s="118">
        <v>1943.4</v>
      </c>
      <c r="L1469" s="35"/>
      <c r="M1469" s="85"/>
      <c r="N1469" s="157" t="s">
        <v>1163</v>
      </c>
      <c r="O1469" s="68"/>
      <c r="P1469" s="66">
        <v>45352</v>
      </c>
    </row>
    <row r="1470" spans="1:16" s="8" customFormat="1" ht="12.75" customHeight="1">
      <c r="A1470" s="110">
        <f t="shared" si="30"/>
        <v>1449</v>
      </c>
      <c r="B1470" s="45" t="s">
        <v>616</v>
      </c>
      <c r="C1470" s="23" t="s">
        <v>130</v>
      </c>
      <c r="D1470" s="52" t="s">
        <v>617</v>
      </c>
      <c r="E1470" s="23" t="s">
        <v>19</v>
      </c>
      <c r="F1470" s="27">
        <v>18</v>
      </c>
      <c r="G1470" s="27">
        <v>12</v>
      </c>
      <c r="H1470" s="34"/>
      <c r="I1470" s="84">
        <v>1377.3</v>
      </c>
      <c r="J1470" s="136"/>
      <c r="K1470" s="118">
        <v>1822.1</v>
      </c>
      <c r="L1470" s="35"/>
      <c r="M1470" s="85"/>
      <c r="N1470" s="157" t="s">
        <v>1163</v>
      </c>
      <c r="O1470" s="68"/>
      <c r="P1470" s="66">
        <v>45352</v>
      </c>
    </row>
    <row r="1471" spans="1:16" s="8" customFormat="1" ht="12.75" customHeight="1">
      <c r="A1471" s="110">
        <f t="shared" si="30"/>
        <v>1450</v>
      </c>
      <c r="B1471" s="45" t="s">
        <v>616</v>
      </c>
      <c r="C1471" s="23" t="s">
        <v>130</v>
      </c>
      <c r="D1471" s="52" t="s">
        <v>617</v>
      </c>
      <c r="E1471" s="23" t="s">
        <v>19</v>
      </c>
      <c r="F1471" s="27">
        <v>17</v>
      </c>
      <c r="G1471" s="27">
        <v>13</v>
      </c>
      <c r="H1471" s="34"/>
      <c r="I1471" s="84">
        <v>1429.64</v>
      </c>
      <c r="J1471" s="136"/>
      <c r="K1471" s="118">
        <v>1719.45</v>
      </c>
      <c r="L1471" s="35"/>
      <c r="M1471" s="85"/>
      <c r="N1471" s="157" t="s">
        <v>1163</v>
      </c>
      <c r="O1471" s="68"/>
      <c r="P1471" s="66">
        <v>45352</v>
      </c>
    </row>
    <row r="1472" spans="1:16" s="8" customFormat="1" ht="12.75" customHeight="1">
      <c r="A1472" s="110">
        <f t="shared" si="30"/>
        <v>1451</v>
      </c>
      <c r="B1472" s="45" t="s">
        <v>616</v>
      </c>
      <c r="C1472" s="23" t="s">
        <v>130</v>
      </c>
      <c r="D1472" s="52" t="s">
        <v>617</v>
      </c>
      <c r="E1472" s="23" t="s">
        <v>19</v>
      </c>
      <c r="F1472" s="27">
        <v>16</v>
      </c>
      <c r="G1472" s="27">
        <v>14</v>
      </c>
      <c r="H1472" s="34"/>
      <c r="I1472" s="84">
        <v>1488.54</v>
      </c>
      <c r="J1472" s="136"/>
      <c r="K1472" s="118">
        <v>1631.47</v>
      </c>
      <c r="L1472" s="35"/>
      <c r="M1472" s="85"/>
      <c r="N1472" s="157" t="s">
        <v>1163</v>
      </c>
      <c r="O1472" s="68"/>
      <c r="P1472" s="66">
        <v>45352</v>
      </c>
    </row>
    <row r="1473" spans="1:16" s="8" customFormat="1" ht="12.75" customHeight="1">
      <c r="A1473" s="110">
        <f t="shared" si="30"/>
        <v>1452</v>
      </c>
      <c r="B1473" s="45" t="s">
        <v>616</v>
      </c>
      <c r="C1473" s="23" t="s">
        <v>130</v>
      </c>
      <c r="D1473" s="52" t="s">
        <v>617</v>
      </c>
      <c r="E1473" s="23" t="s">
        <v>19</v>
      </c>
      <c r="F1473" s="27">
        <v>15</v>
      </c>
      <c r="G1473" s="27"/>
      <c r="H1473" s="34"/>
      <c r="I1473" s="84">
        <v>1555.23</v>
      </c>
      <c r="J1473" s="136"/>
      <c r="K1473" s="118"/>
      <c r="L1473" s="35"/>
      <c r="M1473" s="85"/>
      <c r="N1473" s="157" t="s">
        <v>1163</v>
      </c>
      <c r="O1473" s="68"/>
      <c r="P1473" s="66">
        <v>45352</v>
      </c>
    </row>
    <row r="1474" spans="1:16" s="8" customFormat="1" ht="12" customHeight="1">
      <c r="A1474" s="110">
        <f t="shared" si="30"/>
        <v>1453</v>
      </c>
      <c r="B1474" s="158" t="s">
        <v>616</v>
      </c>
      <c r="C1474" s="23" t="s">
        <v>130</v>
      </c>
      <c r="D1474" s="52" t="s">
        <v>617</v>
      </c>
      <c r="E1474" s="23" t="s">
        <v>19</v>
      </c>
      <c r="F1474" s="27">
        <v>20</v>
      </c>
      <c r="G1474" s="27">
        <v>10</v>
      </c>
      <c r="H1474" s="34"/>
      <c r="I1474" s="84">
        <v>1381.18</v>
      </c>
      <c r="J1474" s="136"/>
      <c r="K1474" s="118">
        <v>2225.8200000000002</v>
      </c>
      <c r="L1474" s="35"/>
      <c r="M1474" s="85">
        <v>16893.07</v>
      </c>
      <c r="N1474" s="157" t="s">
        <v>1163</v>
      </c>
      <c r="O1474" s="68"/>
      <c r="P1474" s="66">
        <v>45689</v>
      </c>
    </row>
    <row r="1475" spans="1:16" s="8" customFormat="1" ht="12.75" customHeight="1">
      <c r="A1475" s="110">
        <f t="shared" si="30"/>
        <v>1454</v>
      </c>
      <c r="B1475" s="158" t="s">
        <v>616</v>
      </c>
      <c r="C1475" s="23" t="s">
        <v>130</v>
      </c>
      <c r="D1475" s="52" t="s">
        <v>617</v>
      </c>
      <c r="E1475" s="23" t="s">
        <v>19</v>
      </c>
      <c r="F1475" s="27">
        <v>19</v>
      </c>
      <c r="G1475" s="27">
        <v>11</v>
      </c>
      <c r="H1475" s="34"/>
      <c r="I1475" s="84">
        <v>1425.63</v>
      </c>
      <c r="J1475" s="136"/>
      <c r="K1475" s="118">
        <v>2072.25</v>
      </c>
      <c r="L1475" s="35"/>
      <c r="M1475" s="85"/>
      <c r="N1475" s="157" t="s">
        <v>1163</v>
      </c>
      <c r="O1475" s="68"/>
      <c r="P1475" s="66">
        <v>45689</v>
      </c>
    </row>
    <row r="1476" spans="1:16" s="8" customFormat="1" ht="12.75" customHeight="1">
      <c r="A1476" s="110">
        <f t="shared" si="30"/>
        <v>1455</v>
      </c>
      <c r="B1476" s="158" t="s">
        <v>616</v>
      </c>
      <c r="C1476" s="23" t="s">
        <v>130</v>
      </c>
      <c r="D1476" s="52" t="s">
        <v>617</v>
      </c>
      <c r="E1476" s="23" t="s">
        <v>19</v>
      </c>
      <c r="F1476" s="27">
        <v>18</v>
      </c>
      <c r="G1476" s="27">
        <v>12</v>
      </c>
      <c r="H1476" s="34"/>
      <c r="I1476" s="84">
        <v>1475.01</v>
      </c>
      <c r="J1476" s="136"/>
      <c r="K1476" s="118">
        <v>1944.26</v>
      </c>
      <c r="L1476" s="35"/>
      <c r="M1476" s="85"/>
      <c r="N1476" s="157" t="s">
        <v>1163</v>
      </c>
      <c r="O1476" s="68"/>
      <c r="P1476" s="66">
        <v>45689</v>
      </c>
    </row>
    <row r="1477" spans="1:16" s="8" customFormat="1" ht="12.75" customHeight="1">
      <c r="A1477" s="110">
        <f t="shared" si="30"/>
        <v>1456</v>
      </c>
      <c r="B1477" s="158" t="s">
        <v>616</v>
      </c>
      <c r="C1477" s="23" t="s">
        <v>130</v>
      </c>
      <c r="D1477" s="52" t="s">
        <v>617</v>
      </c>
      <c r="E1477" s="23" t="s">
        <v>19</v>
      </c>
      <c r="F1477" s="27">
        <v>17</v>
      </c>
      <c r="G1477" s="27">
        <v>13</v>
      </c>
      <c r="H1477" s="34"/>
      <c r="I1477" s="84">
        <v>1530.21</v>
      </c>
      <c r="J1477" s="136"/>
      <c r="K1477" s="118">
        <v>1835.95</v>
      </c>
      <c r="L1477" s="35"/>
      <c r="M1477" s="85"/>
      <c r="N1477" s="157" t="s">
        <v>1163</v>
      </c>
      <c r="O1477" s="68"/>
      <c r="P1477" s="66">
        <v>45689</v>
      </c>
    </row>
    <row r="1478" spans="1:16" s="8" customFormat="1" ht="12.75" customHeight="1">
      <c r="A1478" s="110">
        <f t="shared" si="30"/>
        <v>1457</v>
      </c>
      <c r="B1478" s="158" t="s">
        <v>616</v>
      </c>
      <c r="C1478" s="23" t="s">
        <v>130</v>
      </c>
      <c r="D1478" s="52" t="s">
        <v>617</v>
      </c>
      <c r="E1478" s="23" t="s">
        <v>19</v>
      </c>
      <c r="F1478" s="27">
        <v>16</v>
      </c>
      <c r="G1478" s="27">
        <v>14</v>
      </c>
      <c r="H1478" s="34"/>
      <c r="I1478" s="84">
        <v>1592.32</v>
      </c>
      <c r="J1478" s="136"/>
      <c r="K1478" s="118">
        <v>1743.16</v>
      </c>
      <c r="L1478" s="35"/>
      <c r="M1478" s="85"/>
      <c r="N1478" s="157" t="s">
        <v>1163</v>
      </c>
      <c r="O1478" s="68"/>
      <c r="P1478" s="66">
        <v>45689</v>
      </c>
    </row>
    <row r="1479" spans="1:16" s="8" customFormat="1" ht="12.75" customHeight="1">
      <c r="A1479" s="110">
        <f t="shared" si="30"/>
        <v>1458</v>
      </c>
      <c r="B1479" s="158" t="s">
        <v>616</v>
      </c>
      <c r="C1479" s="23" t="s">
        <v>130</v>
      </c>
      <c r="D1479" s="52" t="s">
        <v>617</v>
      </c>
      <c r="E1479" s="23" t="s">
        <v>19</v>
      </c>
      <c r="F1479" s="27">
        <v>15</v>
      </c>
      <c r="G1479" s="27"/>
      <c r="H1479" s="34"/>
      <c r="I1479" s="84">
        <v>1662.7</v>
      </c>
      <c r="J1479" s="136"/>
      <c r="K1479" s="118"/>
      <c r="L1479" s="35"/>
      <c r="M1479" s="85"/>
      <c r="N1479" s="157" t="s">
        <v>1163</v>
      </c>
      <c r="O1479" s="68"/>
      <c r="P1479" s="66">
        <v>45689</v>
      </c>
    </row>
    <row r="1480" spans="1:16" s="8" customFormat="1" ht="12.75" customHeight="1">
      <c r="A1480" s="110">
        <f t="shared" si="30"/>
        <v>1459</v>
      </c>
      <c r="B1480" s="45" t="s">
        <v>998</v>
      </c>
      <c r="C1480" s="23" t="s">
        <v>130</v>
      </c>
      <c r="D1480" s="52" t="s">
        <v>617</v>
      </c>
      <c r="E1480" s="23" t="s">
        <v>19</v>
      </c>
      <c r="F1480" s="46" t="s">
        <v>977</v>
      </c>
      <c r="G1480" s="27"/>
      <c r="H1480" s="34"/>
      <c r="I1480" s="84">
        <v>78487.06</v>
      </c>
      <c r="J1480" s="136"/>
      <c r="K1480" s="118"/>
      <c r="L1480" s="35"/>
      <c r="M1480" s="85"/>
      <c r="N1480" s="157" t="s">
        <v>1163</v>
      </c>
      <c r="O1480" s="68"/>
      <c r="P1480" s="66">
        <v>45352</v>
      </c>
    </row>
    <row r="1481" spans="1:16" s="8" customFormat="1" ht="12.75" customHeight="1">
      <c r="A1481" s="110">
        <f t="shared" si="30"/>
        <v>1460</v>
      </c>
      <c r="B1481" s="158" t="s">
        <v>998</v>
      </c>
      <c r="C1481" s="23" t="s">
        <v>130</v>
      </c>
      <c r="D1481" s="52" t="s">
        <v>617</v>
      </c>
      <c r="E1481" s="23" t="s">
        <v>19</v>
      </c>
      <c r="F1481" s="46" t="s">
        <v>977</v>
      </c>
      <c r="G1481" s="27"/>
      <c r="H1481" s="34"/>
      <c r="I1481" s="84">
        <v>85385.09</v>
      </c>
      <c r="J1481" s="136"/>
      <c r="K1481" s="118"/>
      <c r="L1481" s="35"/>
      <c r="M1481" s="85"/>
      <c r="N1481" s="157" t="s">
        <v>1163</v>
      </c>
      <c r="O1481" s="68"/>
      <c r="P1481" s="66">
        <v>45689</v>
      </c>
    </row>
    <row r="1482" spans="1:16" s="8" customFormat="1" ht="12.75" customHeight="1">
      <c r="A1482" s="110">
        <f t="shared" si="30"/>
        <v>1461</v>
      </c>
      <c r="B1482" s="52" t="s">
        <v>618</v>
      </c>
      <c r="C1482" s="23" t="s">
        <v>130</v>
      </c>
      <c r="D1482" s="52" t="s">
        <v>619</v>
      </c>
      <c r="E1482" s="23" t="s">
        <v>13</v>
      </c>
      <c r="F1482" s="27">
        <v>20</v>
      </c>
      <c r="G1482" s="27">
        <v>10</v>
      </c>
      <c r="H1482" s="34">
        <v>980.83</v>
      </c>
      <c r="I1482" s="84">
        <v>928.02</v>
      </c>
      <c r="J1482" s="136">
        <v>1503.37</v>
      </c>
      <c r="K1482" s="118">
        <v>1397.77</v>
      </c>
      <c r="L1482" s="35"/>
      <c r="M1482" s="85"/>
      <c r="N1482" s="99" t="s">
        <v>642</v>
      </c>
      <c r="O1482" s="68">
        <v>601</v>
      </c>
      <c r="P1482" s="66">
        <v>43617</v>
      </c>
    </row>
    <row r="1483" spans="1:16" s="8" customFormat="1" ht="12.75" customHeight="1">
      <c r="A1483" s="110">
        <f t="shared" si="30"/>
        <v>1462</v>
      </c>
      <c r="B1483" s="52" t="s">
        <v>618</v>
      </c>
      <c r="C1483" s="23" t="s">
        <v>130</v>
      </c>
      <c r="D1483" s="52" t="s">
        <v>619</v>
      </c>
      <c r="E1483" s="23" t="s">
        <v>13</v>
      </c>
      <c r="F1483" s="27">
        <v>20</v>
      </c>
      <c r="G1483" s="27">
        <v>10</v>
      </c>
      <c r="H1483" s="34"/>
      <c r="I1483" s="84">
        <v>959.4</v>
      </c>
      <c r="J1483" s="136"/>
      <c r="K1483" s="118">
        <v>1460.54</v>
      </c>
      <c r="L1483" s="35"/>
      <c r="M1483" s="85"/>
      <c r="N1483" s="99" t="s">
        <v>642</v>
      </c>
      <c r="O1483" s="68"/>
      <c r="P1483" s="66">
        <v>44562</v>
      </c>
    </row>
    <row r="1484" spans="1:16" s="8" customFormat="1" ht="12.75" customHeight="1">
      <c r="A1484" s="110">
        <f t="shared" si="30"/>
        <v>1463</v>
      </c>
      <c r="B1484" s="52" t="s">
        <v>618</v>
      </c>
      <c r="C1484" s="23" t="s">
        <v>130</v>
      </c>
      <c r="D1484" s="52" t="s">
        <v>619</v>
      </c>
      <c r="E1484" s="23" t="s">
        <v>13</v>
      </c>
      <c r="F1484" s="27">
        <v>20</v>
      </c>
      <c r="G1484" s="27">
        <v>10</v>
      </c>
      <c r="H1484" s="34"/>
      <c r="I1484" s="84">
        <v>1157.19</v>
      </c>
      <c r="J1484" s="136"/>
      <c r="K1484" s="118">
        <v>1809.35</v>
      </c>
      <c r="L1484" s="35"/>
      <c r="M1484" s="85"/>
      <c r="N1484" s="99" t="s">
        <v>642</v>
      </c>
      <c r="O1484" s="68"/>
      <c r="P1484" s="66">
        <v>44713</v>
      </c>
    </row>
    <row r="1485" spans="1:16" s="8" customFormat="1" ht="12.75" customHeight="1">
      <c r="A1485" s="110">
        <f t="shared" si="30"/>
        <v>1464</v>
      </c>
      <c r="B1485" s="52" t="s">
        <v>618</v>
      </c>
      <c r="C1485" s="23" t="s">
        <v>130</v>
      </c>
      <c r="D1485" s="52" t="s">
        <v>619</v>
      </c>
      <c r="E1485" s="23" t="s">
        <v>13</v>
      </c>
      <c r="F1485" s="27">
        <v>19</v>
      </c>
      <c r="G1485" s="27">
        <v>12</v>
      </c>
      <c r="H1485" s="34"/>
      <c r="I1485" s="84">
        <v>952.72</v>
      </c>
      <c r="J1485" s="136"/>
      <c r="K1485" s="118">
        <v>1241.3800000000001</v>
      </c>
      <c r="L1485" s="35"/>
      <c r="M1485" s="85"/>
      <c r="N1485" s="99" t="s">
        <v>642</v>
      </c>
      <c r="O1485" s="68"/>
      <c r="P1485" s="66">
        <v>43770</v>
      </c>
    </row>
    <row r="1486" spans="1:16" s="8" customFormat="1" ht="12.75" customHeight="1">
      <c r="A1486" s="110">
        <f t="shared" si="30"/>
        <v>1465</v>
      </c>
      <c r="B1486" s="52" t="s">
        <v>618</v>
      </c>
      <c r="C1486" s="23" t="s">
        <v>130</v>
      </c>
      <c r="D1486" s="52" t="s">
        <v>619</v>
      </c>
      <c r="E1486" s="23" t="s">
        <v>13</v>
      </c>
      <c r="F1486" s="27">
        <v>20</v>
      </c>
      <c r="G1486" s="27">
        <v>10</v>
      </c>
      <c r="H1486" s="34"/>
      <c r="I1486" s="84">
        <v>1168.8499999999999</v>
      </c>
      <c r="J1486" s="136"/>
      <c r="K1486" s="118">
        <v>1832.67</v>
      </c>
      <c r="L1486" s="35"/>
      <c r="M1486" s="85"/>
      <c r="N1486" s="99" t="s">
        <v>642</v>
      </c>
      <c r="O1486" s="68"/>
      <c r="P1486" s="66">
        <v>45047</v>
      </c>
    </row>
    <row r="1487" spans="1:16" s="8" customFormat="1" ht="12.75" customHeight="1">
      <c r="A1487" s="110">
        <f t="shared" si="30"/>
        <v>1466</v>
      </c>
      <c r="B1487" s="52" t="s">
        <v>618</v>
      </c>
      <c r="C1487" s="23" t="s">
        <v>130</v>
      </c>
      <c r="D1487" s="52" t="s">
        <v>619</v>
      </c>
      <c r="E1487" s="23" t="s">
        <v>13</v>
      </c>
      <c r="F1487" s="27">
        <v>16</v>
      </c>
      <c r="G1487" s="27">
        <v>12</v>
      </c>
      <c r="H1487" s="34"/>
      <c r="I1487" s="84">
        <v>1334.83</v>
      </c>
      <c r="J1487" s="136"/>
      <c r="K1487" s="118">
        <v>1611.4</v>
      </c>
      <c r="L1487" s="35"/>
      <c r="M1487" s="85"/>
      <c r="N1487" s="99" t="s">
        <v>642</v>
      </c>
      <c r="O1487" s="68"/>
      <c r="P1487" s="66">
        <v>45047</v>
      </c>
    </row>
    <row r="1488" spans="1:16" s="8" customFormat="1" ht="12.75" customHeight="1">
      <c r="A1488" s="110">
        <f t="shared" si="30"/>
        <v>1467</v>
      </c>
      <c r="B1488" s="181" t="s">
        <v>618</v>
      </c>
      <c r="C1488" s="52" t="s">
        <v>130</v>
      </c>
      <c r="D1488" s="52" t="s">
        <v>619</v>
      </c>
      <c r="E1488" s="23" t="s">
        <v>13</v>
      </c>
      <c r="F1488" s="27">
        <v>20</v>
      </c>
      <c r="G1488" s="27">
        <v>10</v>
      </c>
      <c r="H1488" s="34"/>
      <c r="I1488" s="84">
        <v>1186.95</v>
      </c>
      <c r="J1488" s="136"/>
      <c r="K1488" s="118">
        <v>1868.62</v>
      </c>
      <c r="L1488" s="35"/>
      <c r="M1488" s="85"/>
      <c r="N1488" s="157" t="s">
        <v>1163</v>
      </c>
      <c r="O1488" s="68"/>
      <c r="P1488" s="66">
        <v>45352</v>
      </c>
    </row>
    <row r="1489" spans="1:16" s="8" customFormat="1" ht="12.75" customHeight="1">
      <c r="A1489" s="110">
        <f t="shared" si="30"/>
        <v>1468</v>
      </c>
      <c r="B1489" s="181" t="s">
        <v>618</v>
      </c>
      <c r="C1489" s="52" t="s">
        <v>130</v>
      </c>
      <c r="D1489" s="52" t="s">
        <v>619</v>
      </c>
      <c r="E1489" s="23" t="s">
        <v>13</v>
      </c>
      <c r="F1489" s="27">
        <v>18</v>
      </c>
      <c r="G1489" s="27">
        <v>13</v>
      </c>
      <c r="H1489" s="34"/>
      <c r="I1489" s="84">
        <v>1262.71</v>
      </c>
      <c r="J1489" s="136"/>
      <c r="K1489" s="118">
        <v>1553.99</v>
      </c>
      <c r="L1489" s="35"/>
      <c r="M1489" s="85"/>
      <c r="N1489" s="157" t="s">
        <v>1163</v>
      </c>
      <c r="O1489" s="68"/>
      <c r="P1489" s="66">
        <v>45352</v>
      </c>
    </row>
    <row r="1490" spans="1:16" s="8" customFormat="1" ht="12.75" customHeight="1">
      <c r="A1490" s="110">
        <f t="shared" si="30"/>
        <v>1469</v>
      </c>
      <c r="B1490" s="158" t="s">
        <v>618</v>
      </c>
      <c r="C1490" s="52" t="s">
        <v>130</v>
      </c>
      <c r="D1490" s="52" t="s">
        <v>619</v>
      </c>
      <c r="E1490" s="23" t="s">
        <v>13</v>
      </c>
      <c r="F1490" s="27">
        <v>20</v>
      </c>
      <c r="G1490" s="27">
        <v>10</v>
      </c>
      <c r="H1490" s="34"/>
      <c r="I1490" s="84">
        <v>1283.9100000000001</v>
      </c>
      <c r="J1490" s="136"/>
      <c r="K1490" s="118">
        <v>2007.87</v>
      </c>
      <c r="L1490" s="35"/>
      <c r="M1490" s="85"/>
      <c r="N1490" s="157" t="s">
        <v>1163</v>
      </c>
      <c r="O1490" s="68"/>
      <c r="P1490" s="66">
        <v>45689</v>
      </c>
    </row>
    <row r="1491" spans="1:16" s="8" customFormat="1" ht="12.75" customHeight="1">
      <c r="A1491" s="110">
        <f t="shared" si="30"/>
        <v>1470</v>
      </c>
      <c r="B1491" s="158" t="s">
        <v>618</v>
      </c>
      <c r="C1491" s="52" t="s">
        <v>130</v>
      </c>
      <c r="D1491" s="52" t="s">
        <v>619</v>
      </c>
      <c r="E1491" s="23" t="s">
        <v>13</v>
      </c>
      <c r="F1491" s="27">
        <v>18</v>
      </c>
      <c r="G1491" s="27">
        <v>13</v>
      </c>
      <c r="H1491" s="34"/>
      <c r="I1491" s="84">
        <v>1364.36</v>
      </c>
      <c r="J1491" s="136"/>
      <c r="K1491" s="118">
        <v>1673.74</v>
      </c>
      <c r="L1491" s="35"/>
      <c r="M1491" s="85"/>
      <c r="N1491" s="157" t="s">
        <v>1163</v>
      </c>
      <c r="O1491" s="68" t="s">
        <v>885</v>
      </c>
      <c r="P1491" s="66">
        <v>45689</v>
      </c>
    </row>
    <row r="1492" spans="1:16" s="8" customFormat="1" ht="12.75" customHeight="1">
      <c r="A1492" s="110">
        <f t="shared" si="30"/>
        <v>1471</v>
      </c>
      <c r="B1492" s="52" t="s">
        <v>620</v>
      </c>
      <c r="C1492" s="23" t="s">
        <v>130</v>
      </c>
      <c r="D1492" s="52" t="s">
        <v>621</v>
      </c>
      <c r="E1492" s="23" t="s">
        <v>13</v>
      </c>
      <c r="F1492" s="27">
        <v>20</v>
      </c>
      <c r="G1492" s="27">
        <v>10</v>
      </c>
      <c r="H1492" s="34"/>
      <c r="I1492" s="84">
        <v>941.01</v>
      </c>
      <c r="J1492" s="136"/>
      <c r="K1492" s="118">
        <v>1442.15</v>
      </c>
      <c r="L1492" s="35"/>
      <c r="M1492" s="85"/>
      <c r="N1492" s="99" t="s">
        <v>642</v>
      </c>
      <c r="O1492" s="68"/>
      <c r="P1492" s="66">
        <v>44562</v>
      </c>
    </row>
    <row r="1493" spans="1:16" s="8" customFormat="1" ht="12.75" customHeight="1">
      <c r="A1493" s="110">
        <f t="shared" si="30"/>
        <v>1472</v>
      </c>
      <c r="B1493" s="52" t="s">
        <v>620</v>
      </c>
      <c r="C1493" s="23" t="s">
        <v>130</v>
      </c>
      <c r="D1493" s="52" t="s">
        <v>621</v>
      </c>
      <c r="E1493" s="23" t="s">
        <v>13</v>
      </c>
      <c r="F1493" s="27">
        <v>20</v>
      </c>
      <c r="G1493" s="27">
        <v>10</v>
      </c>
      <c r="H1493" s="34"/>
      <c r="I1493" s="84">
        <v>1157.19</v>
      </c>
      <c r="J1493" s="136"/>
      <c r="K1493" s="118">
        <v>1809.35</v>
      </c>
      <c r="L1493" s="35"/>
      <c r="M1493" s="85"/>
      <c r="N1493" s="99" t="s">
        <v>642</v>
      </c>
      <c r="O1493" s="68"/>
      <c r="P1493" s="66">
        <v>44713</v>
      </c>
    </row>
    <row r="1494" spans="1:16" s="8" customFormat="1" ht="12.75" customHeight="1">
      <c r="A1494" s="110">
        <f t="shared" si="30"/>
        <v>1473</v>
      </c>
      <c r="B1494" s="52" t="s">
        <v>620</v>
      </c>
      <c r="C1494" s="23" t="s">
        <v>130</v>
      </c>
      <c r="D1494" s="52" t="s">
        <v>621</v>
      </c>
      <c r="E1494" s="23" t="s">
        <v>13</v>
      </c>
      <c r="F1494" s="27">
        <v>20</v>
      </c>
      <c r="G1494" s="27">
        <v>10</v>
      </c>
      <c r="H1494" s="34">
        <v>962.45</v>
      </c>
      <c r="I1494" s="84">
        <v>909.64</v>
      </c>
      <c r="J1494" s="136">
        <v>1484.99</v>
      </c>
      <c r="K1494" s="118">
        <v>1379.39</v>
      </c>
      <c r="L1494" s="35"/>
      <c r="M1494" s="85"/>
      <c r="N1494" s="99" t="s">
        <v>642</v>
      </c>
      <c r="O1494" s="68">
        <v>601</v>
      </c>
      <c r="P1494" s="66">
        <v>43617</v>
      </c>
    </row>
    <row r="1495" spans="1:16" s="8" customFormat="1" ht="12.75" customHeight="1">
      <c r="A1495" s="110">
        <f t="shared" si="30"/>
        <v>1474</v>
      </c>
      <c r="B1495" s="52" t="s">
        <v>620</v>
      </c>
      <c r="C1495" s="23" t="s">
        <v>130</v>
      </c>
      <c r="D1495" s="52" t="s">
        <v>621</v>
      </c>
      <c r="E1495" s="23" t="s">
        <v>13</v>
      </c>
      <c r="F1495" s="27">
        <v>20</v>
      </c>
      <c r="G1495" s="27">
        <v>10</v>
      </c>
      <c r="H1495" s="34"/>
      <c r="I1495" s="84">
        <v>1168.8499999999999</v>
      </c>
      <c r="J1495" s="136"/>
      <c r="K1495" s="118">
        <v>1832.67</v>
      </c>
      <c r="L1495" s="35"/>
      <c r="M1495" s="85"/>
      <c r="N1495" s="99" t="s">
        <v>642</v>
      </c>
      <c r="O1495" s="68"/>
      <c r="P1495" s="66">
        <v>45047</v>
      </c>
    </row>
    <row r="1496" spans="1:16" s="8" customFormat="1" ht="12.75" customHeight="1">
      <c r="A1496" s="110">
        <f t="shared" si="30"/>
        <v>1475</v>
      </c>
      <c r="B1496" s="155" t="s">
        <v>620</v>
      </c>
      <c r="C1496" s="23" t="s">
        <v>130</v>
      </c>
      <c r="D1496" s="52" t="s">
        <v>621</v>
      </c>
      <c r="E1496" s="23" t="s">
        <v>13</v>
      </c>
      <c r="F1496" s="27">
        <v>20</v>
      </c>
      <c r="G1496" s="27">
        <v>10</v>
      </c>
      <c r="H1496" s="34"/>
      <c r="I1496" s="84">
        <v>1186.95</v>
      </c>
      <c r="J1496" s="136"/>
      <c r="K1496" s="118">
        <v>1868.62</v>
      </c>
      <c r="L1496" s="35"/>
      <c r="M1496" s="85"/>
      <c r="N1496" s="157" t="s">
        <v>1163</v>
      </c>
      <c r="O1496" s="68"/>
      <c r="P1496" s="66">
        <v>45352</v>
      </c>
    </row>
    <row r="1497" spans="1:16" s="8" customFormat="1" ht="12.75" customHeight="1">
      <c r="A1497" s="110">
        <f t="shared" si="30"/>
        <v>1476</v>
      </c>
      <c r="B1497" s="155" t="s">
        <v>620</v>
      </c>
      <c r="C1497" s="23" t="s">
        <v>130</v>
      </c>
      <c r="D1497" s="52" t="s">
        <v>621</v>
      </c>
      <c r="E1497" s="23" t="s">
        <v>13</v>
      </c>
      <c r="F1497" s="27">
        <v>18</v>
      </c>
      <c r="G1497" s="27">
        <v>16</v>
      </c>
      <c r="H1497" s="34"/>
      <c r="I1497" s="84">
        <v>1262.71</v>
      </c>
      <c r="J1497" s="136"/>
      <c r="K1497" s="118">
        <v>1357.4</v>
      </c>
      <c r="L1497" s="35"/>
      <c r="M1497" s="85"/>
      <c r="N1497" s="157" t="s">
        <v>1163</v>
      </c>
      <c r="O1497" s="68"/>
      <c r="P1497" s="66">
        <v>45352</v>
      </c>
    </row>
    <row r="1498" spans="1:16" s="8" customFormat="1" ht="12.75" customHeight="1">
      <c r="A1498" s="110">
        <f t="shared" si="30"/>
        <v>1477</v>
      </c>
      <c r="B1498" s="155" t="s">
        <v>620</v>
      </c>
      <c r="C1498" s="23" t="s">
        <v>130</v>
      </c>
      <c r="D1498" s="52" t="s">
        <v>621</v>
      </c>
      <c r="E1498" s="23" t="s">
        <v>13</v>
      </c>
      <c r="F1498" s="27">
        <v>20</v>
      </c>
      <c r="G1498" s="27">
        <v>10</v>
      </c>
      <c r="H1498" s="34"/>
      <c r="I1498" s="84">
        <v>1283.9100000000001</v>
      </c>
      <c r="J1498" s="136"/>
      <c r="K1498" s="118">
        <v>2007.87</v>
      </c>
      <c r="L1498" s="35"/>
      <c r="M1498" s="85"/>
      <c r="N1498" s="157" t="s">
        <v>1163</v>
      </c>
      <c r="O1498" s="68"/>
      <c r="P1498" s="66">
        <v>45689</v>
      </c>
    </row>
    <row r="1499" spans="1:16" s="8" customFormat="1" ht="12.75" customHeight="1">
      <c r="A1499" s="110">
        <f t="shared" si="30"/>
        <v>1478</v>
      </c>
      <c r="B1499" s="155" t="s">
        <v>620</v>
      </c>
      <c r="C1499" s="23" t="s">
        <v>130</v>
      </c>
      <c r="D1499" s="52" t="s">
        <v>621</v>
      </c>
      <c r="E1499" s="23" t="s">
        <v>13</v>
      </c>
      <c r="F1499" s="27">
        <v>18</v>
      </c>
      <c r="G1499" s="27">
        <v>16</v>
      </c>
      <c r="H1499" s="34"/>
      <c r="I1499" s="84">
        <v>1364.36</v>
      </c>
      <c r="J1499" s="136"/>
      <c r="K1499" s="118">
        <v>1464.9</v>
      </c>
      <c r="L1499" s="35"/>
      <c r="M1499" s="85"/>
      <c r="N1499" s="157" t="s">
        <v>1163</v>
      </c>
      <c r="O1499" s="68" t="s">
        <v>885</v>
      </c>
      <c r="P1499" s="66">
        <v>45689</v>
      </c>
    </row>
    <row r="1500" spans="1:16" s="8" customFormat="1" ht="12.75" customHeight="1">
      <c r="A1500" s="110">
        <f t="shared" si="30"/>
        <v>1479</v>
      </c>
      <c r="B1500" s="52" t="s">
        <v>622</v>
      </c>
      <c r="C1500" s="23" t="s">
        <v>130</v>
      </c>
      <c r="D1500" s="52" t="s">
        <v>621</v>
      </c>
      <c r="E1500" s="23" t="s">
        <v>13</v>
      </c>
      <c r="F1500" s="27">
        <v>20</v>
      </c>
      <c r="G1500" s="27">
        <v>10</v>
      </c>
      <c r="H1500" s="34">
        <v>962.45</v>
      </c>
      <c r="I1500" s="84">
        <v>918.83</v>
      </c>
      <c r="J1500" s="136">
        <v>1484.99</v>
      </c>
      <c r="K1500" s="118">
        <v>1388.58</v>
      </c>
      <c r="L1500" s="35">
        <v>14849.99</v>
      </c>
      <c r="M1500" s="85"/>
      <c r="N1500" s="99" t="s">
        <v>642</v>
      </c>
      <c r="O1500" s="68">
        <v>601</v>
      </c>
      <c r="P1500" s="66">
        <v>43617</v>
      </c>
    </row>
    <row r="1501" spans="1:16" s="8" customFormat="1" ht="12.75" customHeight="1">
      <c r="A1501" s="110">
        <f t="shared" si="30"/>
        <v>1480</v>
      </c>
      <c r="B1501" s="52" t="s">
        <v>622</v>
      </c>
      <c r="C1501" s="23" t="s">
        <v>130</v>
      </c>
      <c r="D1501" s="52" t="s">
        <v>999</v>
      </c>
      <c r="E1501" s="23" t="s">
        <v>13</v>
      </c>
      <c r="F1501" s="27">
        <v>20</v>
      </c>
      <c r="G1501" s="27">
        <v>10</v>
      </c>
      <c r="H1501" s="34"/>
      <c r="I1501" s="84">
        <v>950.21</v>
      </c>
      <c r="J1501" s="136"/>
      <c r="K1501" s="118">
        <v>1451.35</v>
      </c>
      <c r="L1501" s="35"/>
      <c r="M1501" s="85"/>
      <c r="N1501" s="99" t="s">
        <v>642</v>
      </c>
      <c r="O1501" s="68"/>
      <c r="P1501" s="66">
        <v>44562</v>
      </c>
    </row>
    <row r="1502" spans="1:16" s="8" customFormat="1" ht="12.75" customHeight="1">
      <c r="A1502" s="110">
        <f t="shared" si="30"/>
        <v>1481</v>
      </c>
      <c r="B1502" s="52" t="s">
        <v>622</v>
      </c>
      <c r="C1502" s="23" t="s">
        <v>130</v>
      </c>
      <c r="D1502" s="52" t="s">
        <v>999</v>
      </c>
      <c r="E1502" s="23" t="s">
        <v>13</v>
      </c>
      <c r="F1502" s="27">
        <v>20</v>
      </c>
      <c r="G1502" s="27">
        <v>10</v>
      </c>
      <c r="H1502" s="34"/>
      <c r="I1502" s="84">
        <v>1157.19</v>
      </c>
      <c r="J1502" s="136"/>
      <c r="K1502" s="118">
        <v>1809.35</v>
      </c>
      <c r="L1502" s="35"/>
      <c r="M1502" s="85"/>
      <c r="N1502" s="99" t="s">
        <v>642</v>
      </c>
      <c r="O1502" s="68"/>
      <c r="P1502" s="66">
        <v>44713</v>
      </c>
    </row>
    <row r="1503" spans="1:16" s="8" customFormat="1" ht="12.75" customHeight="1">
      <c r="A1503" s="110">
        <f t="shared" si="30"/>
        <v>1482</v>
      </c>
      <c r="B1503" s="52" t="s">
        <v>622</v>
      </c>
      <c r="C1503" s="23" t="s">
        <v>130</v>
      </c>
      <c r="D1503" s="52" t="s">
        <v>999</v>
      </c>
      <c r="E1503" s="23" t="s">
        <v>13</v>
      </c>
      <c r="F1503" s="27">
        <v>20</v>
      </c>
      <c r="G1503" s="27">
        <v>10</v>
      </c>
      <c r="H1503" s="34"/>
      <c r="I1503" s="84">
        <v>1168.8499999999999</v>
      </c>
      <c r="J1503" s="136"/>
      <c r="K1503" s="118">
        <v>1832.67</v>
      </c>
      <c r="L1503" s="35"/>
      <c r="M1503" s="85"/>
      <c r="N1503" s="99" t="s">
        <v>642</v>
      </c>
      <c r="O1503" s="68"/>
      <c r="P1503" s="66">
        <v>45047</v>
      </c>
    </row>
    <row r="1504" spans="1:16" s="8" customFormat="1" ht="12.75" customHeight="1">
      <c r="A1504" s="110">
        <f t="shared" si="30"/>
        <v>1483</v>
      </c>
      <c r="B1504" s="94" t="s">
        <v>622</v>
      </c>
      <c r="C1504" s="23" t="s">
        <v>130</v>
      </c>
      <c r="D1504" s="52" t="s">
        <v>999</v>
      </c>
      <c r="E1504" s="23" t="s">
        <v>13</v>
      </c>
      <c r="F1504" s="27">
        <v>20</v>
      </c>
      <c r="G1504" s="27">
        <v>10</v>
      </c>
      <c r="H1504" s="34"/>
      <c r="I1504" s="84">
        <v>1186.95</v>
      </c>
      <c r="J1504" s="136"/>
      <c r="K1504" s="118">
        <v>1868.62</v>
      </c>
      <c r="L1504" s="35"/>
      <c r="M1504" s="85"/>
      <c r="N1504" s="157" t="s">
        <v>1163</v>
      </c>
      <c r="O1504" s="68"/>
      <c r="P1504" s="66">
        <v>45352</v>
      </c>
    </row>
    <row r="1505" spans="1:16" s="8" customFormat="1" ht="12.75" customHeight="1">
      <c r="A1505" s="110">
        <f t="shared" si="30"/>
        <v>1484</v>
      </c>
      <c r="B1505" s="94" t="s">
        <v>622</v>
      </c>
      <c r="C1505" s="23" t="s">
        <v>130</v>
      </c>
      <c r="D1505" s="52" t="s">
        <v>999</v>
      </c>
      <c r="E1505" s="23" t="s">
        <v>13</v>
      </c>
      <c r="F1505" s="27">
        <v>18</v>
      </c>
      <c r="G1505" s="27">
        <v>16</v>
      </c>
      <c r="H1505" s="34"/>
      <c r="I1505" s="84">
        <v>1262.71</v>
      </c>
      <c r="J1505" s="136"/>
      <c r="K1505" s="118">
        <v>1357.4</v>
      </c>
      <c r="L1505" s="35"/>
      <c r="M1505" s="85"/>
      <c r="N1505" s="157" t="s">
        <v>1163</v>
      </c>
      <c r="O1505" s="68"/>
      <c r="P1505" s="66">
        <v>45352</v>
      </c>
    </row>
    <row r="1506" spans="1:16" s="8" customFormat="1" ht="12.75" customHeight="1">
      <c r="A1506" s="110">
        <f t="shared" si="30"/>
        <v>1485</v>
      </c>
      <c r="B1506" s="155" t="s">
        <v>622</v>
      </c>
      <c r="C1506" s="23" t="s">
        <v>130</v>
      </c>
      <c r="D1506" s="52" t="s">
        <v>999</v>
      </c>
      <c r="E1506" s="23" t="s">
        <v>13</v>
      </c>
      <c r="F1506" s="27">
        <v>20</v>
      </c>
      <c r="G1506" s="27">
        <v>10</v>
      </c>
      <c r="H1506" s="34"/>
      <c r="I1506" s="84">
        <v>1283.9100000000001</v>
      </c>
      <c r="J1506" s="136"/>
      <c r="K1506" s="118">
        <v>2007.87</v>
      </c>
      <c r="L1506" s="35"/>
      <c r="M1506" s="85"/>
      <c r="N1506" s="157" t="s">
        <v>1163</v>
      </c>
      <c r="O1506" s="68"/>
      <c r="P1506" s="66">
        <v>45689</v>
      </c>
    </row>
    <row r="1507" spans="1:16" s="8" customFormat="1" ht="12.75" customHeight="1">
      <c r="A1507" s="110">
        <f t="shared" si="30"/>
        <v>1486</v>
      </c>
      <c r="B1507" s="155" t="s">
        <v>622</v>
      </c>
      <c r="C1507" s="23" t="s">
        <v>130</v>
      </c>
      <c r="D1507" s="52" t="s">
        <v>999</v>
      </c>
      <c r="E1507" s="23" t="s">
        <v>13</v>
      </c>
      <c r="F1507" s="27">
        <v>18</v>
      </c>
      <c r="G1507" s="27">
        <v>16</v>
      </c>
      <c r="H1507" s="34"/>
      <c r="I1507" s="84">
        <v>1364.36</v>
      </c>
      <c r="J1507" s="136"/>
      <c r="K1507" s="118">
        <v>1464.9</v>
      </c>
      <c r="L1507" s="35"/>
      <c r="M1507" s="85"/>
      <c r="N1507" s="157" t="s">
        <v>1163</v>
      </c>
      <c r="O1507" s="68" t="s">
        <v>885</v>
      </c>
      <c r="P1507" s="66">
        <v>45689</v>
      </c>
    </row>
    <row r="1508" spans="1:16" s="8" customFormat="1" ht="12.75" customHeight="1">
      <c r="A1508" s="110">
        <f t="shared" si="30"/>
        <v>1487</v>
      </c>
      <c r="B1508" s="52" t="s">
        <v>623</v>
      </c>
      <c r="C1508" s="23" t="s">
        <v>130</v>
      </c>
      <c r="D1508" s="52" t="s">
        <v>624</v>
      </c>
      <c r="E1508" s="23" t="s">
        <v>19</v>
      </c>
      <c r="F1508" s="27">
        <v>20</v>
      </c>
      <c r="G1508" s="27">
        <v>10</v>
      </c>
      <c r="H1508" s="34">
        <v>1378.9</v>
      </c>
      <c r="I1508" s="84">
        <v>1381.91</v>
      </c>
      <c r="J1508" s="136">
        <v>2271.6999999999998</v>
      </c>
      <c r="K1508" s="118">
        <v>2277.7199999999998</v>
      </c>
      <c r="L1508" s="35">
        <v>13352.59</v>
      </c>
      <c r="M1508" s="85">
        <v>13442.82</v>
      </c>
      <c r="N1508" s="99" t="s">
        <v>642</v>
      </c>
      <c r="O1508" s="68">
        <v>601</v>
      </c>
      <c r="P1508" s="66">
        <v>43617</v>
      </c>
    </row>
    <row r="1509" spans="1:16" s="8" customFormat="1" ht="12.75" customHeight="1">
      <c r="A1509" s="110">
        <f t="shared" si="30"/>
        <v>1488</v>
      </c>
      <c r="B1509" s="45" t="s">
        <v>623</v>
      </c>
      <c r="C1509" s="23" t="s">
        <v>130</v>
      </c>
      <c r="D1509" s="52" t="s">
        <v>624</v>
      </c>
      <c r="E1509" s="23" t="s">
        <v>19</v>
      </c>
      <c r="F1509" s="27">
        <v>20</v>
      </c>
      <c r="G1509" s="27">
        <v>10</v>
      </c>
      <c r="H1509" s="34"/>
      <c r="I1509" s="84">
        <v>1566.68</v>
      </c>
      <c r="J1509" s="136"/>
      <c r="K1509" s="118">
        <v>2675.2</v>
      </c>
      <c r="L1509" s="35"/>
      <c r="M1509" s="85">
        <v>22170.19</v>
      </c>
      <c r="N1509" s="99" t="s">
        <v>642</v>
      </c>
      <c r="O1509" s="68"/>
      <c r="P1509" s="66">
        <v>44562</v>
      </c>
    </row>
    <row r="1510" spans="1:16" s="8" customFormat="1" ht="12.75" customHeight="1">
      <c r="A1510" s="110">
        <f t="shared" si="30"/>
        <v>1489</v>
      </c>
      <c r="B1510" s="45" t="s">
        <v>1010</v>
      </c>
      <c r="C1510" s="23" t="s">
        <v>130</v>
      </c>
      <c r="D1510" s="52" t="s">
        <v>624</v>
      </c>
      <c r="E1510" s="23" t="s">
        <v>19</v>
      </c>
      <c r="F1510" s="46" t="s">
        <v>977</v>
      </c>
      <c r="G1510" s="27"/>
      <c r="H1510" s="34"/>
      <c r="I1510" s="84">
        <v>52406.54</v>
      </c>
      <c r="J1510" s="136"/>
      <c r="K1510" s="118"/>
      <c r="L1510" s="35"/>
      <c r="M1510" s="85"/>
      <c r="N1510" s="99" t="s">
        <v>642</v>
      </c>
      <c r="O1510" s="68"/>
      <c r="P1510" s="66">
        <v>44562</v>
      </c>
    </row>
    <row r="1511" spans="1:16" s="8" customFormat="1" ht="12.75" customHeight="1">
      <c r="A1511" s="110">
        <f t="shared" si="30"/>
        <v>1490</v>
      </c>
      <c r="B1511" s="45" t="s">
        <v>623</v>
      </c>
      <c r="C1511" s="23" t="s">
        <v>130</v>
      </c>
      <c r="D1511" s="52" t="s">
        <v>624</v>
      </c>
      <c r="E1511" s="23" t="s">
        <v>19</v>
      </c>
      <c r="F1511" s="27">
        <v>20</v>
      </c>
      <c r="G1511" s="27">
        <v>10</v>
      </c>
      <c r="H1511" s="34"/>
      <c r="I1511" s="84">
        <v>1873.44</v>
      </c>
      <c r="J1511" s="136"/>
      <c r="K1511" s="118">
        <v>3242.87</v>
      </c>
      <c r="L1511" s="35"/>
      <c r="M1511" s="85">
        <v>27388.97</v>
      </c>
      <c r="N1511" s="99" t="s">
        <v>642</v>
      </c>
      <c r="O1511" s="68"/>
      <c r="P1511" s="66">
        <v>44713</v>
      </c>
    </row>
    <row r="1512" spans="1:16" s="8" customFormat="1" ht="13.5" customHeight="1">
      <c r="A1512" s="110">
        <f t="shared" si="30"/>
        <v>1491</v>
      </c>
      <c r="B1512" s="45" t="s">
        <v>1010</v>
      </c>
      <c r="C1512" s="23" t="s">
        <v>130</v>
      </c>
      <c r="D1512" s="52" t="s">
        <v>624</v>
      </c>
      <c r="E1512" s="23" t="s">
        <v>19</v>
      </c>
      <c r="F1512" s="46" t="s">
        <v>977</v>
      </c>
      <c r="G1512" s="27"/>
      <c r="H1512" s="34"/>
      <c r="I1512" s="84">
        <v>54963.58</v>
      </c>
      <c r="J1512" s="136"/>
      <c r="K1512" s="118"/>
      <c r="L1512" s="35"/>
      <c r="M1512" s="85"/>
      <c r="N1512" s="99" t="s">
        <v>642</v>
      </c>
      <c r="O1512" s="68"/>
      <c r="P1512" s="66">
        <v>44713</v>
      </c>
    </row>
    <row r="1513" spans="1:16" s="8" customFormat="1" ht="12.75" customHeight="1">
      <c r="A1513" s="110">
        <f t="shared" si="30"/>
        <v>1492</v>
      </c>
      <c r="B1513" s="45" t="s">
        <v>623</v>
      </c>
      <c r="C1513" s="23" t="s">
        <v>130</v>
      </c>
      <c r="D1513" s="52" t="s">
        <v>624</v>
      </c>
      <c r="E1513" s="23" t="s">
        <v>19</v>
      </c>
      <c r="F1513" s="46">
        <v>20</v>
      </c>
      <c r="G1513" s="27">
        <v>10</v>
      </c>
      <c r="H1513" s="34"/>
      <c r="I1513" s="84">
        <v>1879.14</v>
      </c>
      <c r="J1513" s="136"/>
      <c r="K1513" s="118">
        <v>3254.27</v>
      </c>
      <c r="L1513" s="35"/>
      <c r="M1513" s="85"/>
      <c r="N1513" s="99" t="s">
        <v>642</v>
      </c>
      <c r="O1513" s="68"/>
      <c r="P1513" s="66">
        <v>45047</v>
      </c>
    </row>
    <row r="1514" spans="1:16" s="8" customFormat="1" ht="12.75" customHeight="1">
      <c r="A1514" s="110">
        <f t="shared" si="30"/>
        <v>1493</v>
      </c>
      <c r="B1514" s="45" t="s">
        <v>1010</v>
      </c>
      <c r="C1514" s="23" t="s">
        <v>130</v>
      </c>
      <c r="D1514" s="52" t="s">
        <v>624</v>
      </c>
      <c r="E1514" s="23" t="s">
        <v>19</v>
      </c>
      <c r="F1514" s="46" t="s">
        <v>977</v>
      </c>
      <c r="G1514" s="27"/>
      <c r="H1514" s="34"/>
      <c r="I1514" s="84">
        <v>54966.22</v>
      </c>
      <c r="J1514" s="136"/>
      <c r="K1514" s="118"/>
      <c r="L1514" s="35"/>
      <c r="M1514" s="85"/>
      <c r="N1514" s="99" t="s">
        <v>642</v>
      </c>
      <c r="O1514" s="68"/>
      <c r="P1514" s="66">
        <v>45047</v>
      </c>
    </row>
    <row r="1515" spans="1:16" s="8" customFormat="1" ht="12.75" customHeight="1">
      <c r="A1515" s="110">
        <f t="shared" si="30"/>
        <v>1494</v>
      </c>
      <c r="B1515" s="45" t="s">
        <v>623</v>
      </c>
      <c r="C1515" s="23" t="s">
        <v>130</v>
      </c>
      <c r="D1515" s="52" t="s">
        <v>624</v>
      </c>
      <c r="E1515" s="23" t="s">
        <v>19</v>
      </c>
      <c r="F1515" s="46">
        <v>20</v>
      </c>
      <c r="G1515" s="27">
        <v>10</v>
      </c>
      <c r="H1515" s="34"/>
      <c r="I1515" s="84">
        <v>1911.25</v>
      </c>
      <c r="J1515" s="136"/>
      <c r="K1515" s="118">
        <v>3318.52</v>
      </c>
      <c r="L1515" s="35"/>
      <c r="M1515" s="85">
        <v>28145.18</v>
      </c>
      <c r="N1515" s="157" t="s">
        <v>1163</v>
      </c>
      <c r="O1515" s="68"/>
      <c r="P1515" s="66">
        <v>45352</v>
      </c>
    </row>
    <row r="1516" spans="1:16" s="8" customFormat="1" ht="12.75" customHeight="1">
      <c r="A1516" s="110">
        <f t="shared" si="30"/>
        <v>1495</v>
      </c>
      <c r="B1516" s="45" t="s">
        <v>623</v>
      </c>
      <c r="C1516" s="23" t="s">
        <v>130</v>
      </c>
      <c r="D1516" s="52" t="s">
        <v>624</v>
      </c>
      <c r="E1516" s="23" t="s">
        <v>19</v>
      </c>
      <c r="F1516" s="46">
        <v>19</v>
      </c>
      <c r="G1516" s="27">
        <v>11</v>
      </c>
      <c r="H1516" s="34"/>
      <c r="I1516" s="84">
        <v>1985.32</v>
      </c>
      <c r="J1516" s="136"/>
      <c r="K1516" s="118">
        <v>3062.63</v>
      </c>
      <c r="L1516" s="35"/>
      <c r="M1516" s="85"/>
      <c r="N1516" s="157" t="s">
        <v>1163</v>
      </c>
      <c r="O1516" s="68"/>
      <c r="P1516" s="66">
        <v>45352</v>
      </c>
    </row>
    <row r="1517" spans="1:16" s="8" customFormat="1" ht="12.75" customHeight="1">
      <c r="A1517" s="110">
        <f t="shared" si="30"/>
        <v>1496</v>
      </c>
      <c r="B1517" s="45" t="s">
        <v>623</v>
      </c>
      <c r="C1517" s="23" t="s">
        <v>130</v>
      </c>
      <c r="D1517" s="52" t="s">
        <v>624</v>
      </c>
      <c r="E1517" s="23" t="s">
        <v>19</v>
      </c>
      <c r="F1517" s="46">
        <v>18</v>
      </c>
      <c r="G1517" s="27">
        <v>12</v>
      </c>
      <c r="H1517" s="34"/>
      <c r="I1517" s="84">
        <v>2067.61</v>
      </c>
      <c r="J1517" s="136"/>
      <c r="K1517" s="118">
        <v>2849.42</v>
      </c>
      <c r="L1517" s="35"/>
      <c r="M1517" s="85"/>
      <c r="N1517" s="157" t="s">
        <v>1163</v>
      </c>
      <c r="O1517" s="68"/>
      <c r="P1517" s="66">
        <v>45352</v>
      </c>
    </row>
    <row r="1518" spans="1:16" s="8" customFormat="1" ht="12.75" customHeight="1">
      <c r="A1518" s="110">
        <f t="shared" si="30"/>
        <v>1497</v>
      </c>
      <c r="B1518" s="45" t="s">
        <v>623</v>
      </c>
      <c r="C1518" s="23" t="s">
        <v>130</v>
      </c>
      <c r="D1518" s="52" t="s">
        <v>624</v>
      </c>
      <c r="E1518" s="23" t="s">
        <v>19</v>
      </c>
      <c r="F1518" s="46">
        <v>17</v>
      </c>
      <c r="G1518" s="27">
        <v>13</v>
      </c>
      <c r="H1518" s="34"/>
      <c r="I1518" s="84">
        <v>2159.58</v>
      </c>
      <c r="J1518" s="136"/>
      <c r="K1518" s="118">
        <v>2668.99</v>
      </c>
      <c r="L1518" s="35"/>
      <c r="M1518" s="85"/>
      <c r="N1518" s="157" t="s">
        <v>1163</v>
      </c>
      <c r="O1518" s="68"/>
      <c r="P1518" s="66">
        <v>45352</v>
      </c>
    </row>
    <row r="1519" spans="1:16" s="8" customFormat="1" ht="12.75" customHeight="1">
      <c r="A1519" s="110">
        <f t="shared" si="30"/>
        <v>1498</v>
      </c>
      <c r="B1519" s="45" t="s">
        <v>623</v>
      </c>
      <c r="C1519" s="23" t="s">
        <v>130</v>
      </c>
      <c r="D1519" s="52" t="s">
        <v>624</v>
      </c>
      <c r="E1519" s="23" t="s">
        <v>19</v>
      </c>
      <c r="F1519" s="46">
        <v>16</v>
      </c>
      <c r="G1519" s="27">
        <v>14</v>
      </c>
      <c r="H1519" s="34"/>
      <c r="I1519" s="84">
        <v>2263.09</v>
      </c>
      <c r="J1519" s="136"/>
      <c r="K1519" s="118">
        <v>2514.36</v>
      </c>
      <c r="L1519" s="35"/>
      <c r="M1519" s="85"/>
      <c r="N1519" s="157" t="s">
        <v>1163</v>
      </c>
      <c r="O1519" s="68"/>
      <c r="P1519" s="66">
        <v>45352</v>
      </c>
    </row>
    <row r="1520" spans="1:16" s="8" customFormat="1" ht="12.75" customHeight="1">
      <c r="A1520" s="110">
        <f t="shared" si="30"/>
        <v>1499</v>
      </c>
      <c r="B1520" s="45" t="s">
        <v>623</v>
      </c>
      <c r="C1520" s="23" t="s">
        <v>130</v>
      </c>
      <c r="D1520" s="52" t="s">
        <v>624</v>
      </c>
      <c r="E1520" s="23" t="s">
        <v>19</v>
      </c>
      <c r="F1520" s="46">
        <v>15</v>
      </c>
      <c r="G1520" s="27"/>
      <c r="H1520" s="34"/>
      <c r="I1520" s="84">
        <v>2380.34</v>
      </c>
      <c r="J1520" s="136"/>
      <c r="K1520" s="118"/>
      <c r="L1520" s="35"/>
      <c r="M1520" s="85"/>
      <c r="N1520" s="157" t="s">
        <v>1163</v>
      </c>
      <c r="O1520" s="68"/>
      <c r="P1520" s="66">
        <v>45352</v>
      </c>
    </row>
    <row r="1521" spans="1:16" s="8" customFormat="1" ht="12.75" customHeight="1">
      <c r="A1521" s="110">
        <f t="shared" si="30"/>
        <v>1500</v>
      </c>
      <c r="B1521" s="158" t="s">
        <v>623</v>
      </c>
      <c r="C1521" s="23" t="s">
        <v>130</v>
      </c>
      <c r="D1521" s="52" t="s">
        <v>624</v>
      </c>
      <c r="E1521" s="23" t="s">
        <v>19</v>
      </c>
      <c r="F1521" s="46">
        <v>20</v>
      </c>
      <c r="G1521" s="27">
        <v>10</v>
      </c>
      <c r="H1521" s="34"/>
      <c r="I1521" s="84">
        <v>1399.05</v>
      </c>
      <c r="J1521" s="136"/>
      <c r="K1521" s="118">
        <v>2243.6999999999998</v>
      </c>
      <c r="L1521" s="35"/>
      <c r="M1521" s="85">
        <v>16893.07</v>
      </c>
      <c r="N1521" s="157" t="s">
        <v>1163</v>
      </c>
      <c r="O1521" s="68"/>
      <c r="P1521" s="66">
        <v>45689</v>
      </c>
    </row>
    <row r="1522" spans="1:16" s="8" customFormat="1" ht="12.75" customHeight="1">
      <c r="A1522" s="110">
        <f t="shared" si="30"/>
        <v>1501</v>
      </c>
      <c r="B1522" s="158" t="s">
        <v>623</v>
      </c>
      <c r="C1522" s="23" t="s">
        <v>130</v>
      </c>
      <c r="D1522" s="52" t="s">
        <v>624</v>
      </c>
      <c r="E1522" s="23" t="s">
        <v>19</v>
      </c>
      <c r="F1522" s="46">
        <v>19</v>
      </c>
      <c r="G1522" s="27">
        <v>11</v>
      </c>
      <c r="H1522" s="34"/>
      <c r="I1522" s="84">
        <v>1443.52</v>
      </c>
      <c r="J1522" s="136"/>
      <c r="K1522" s="118">
        <v>2090.12</v>
      </c>
      <c r="L1522" s="35"/>
      <c r="M1522" s="85"/>
      <c r="N1522" s="157" t="s">
        <v>1163</v>
      </c>
      <c r="O1522" s="68"/>
      <c r="P1522" s="66">
        <v>45689</v>
      </c>
    </row>
    <row r="1523" spans="1:16" s="8" customFormat="1" ht="12.75" customHeight="1">
      <c r="A1523" s="110">
        <f t="shared" si="30"/>
        <v>1502</v>
      </c>
      <c r="B1523" s="158" t="s">
        <v>623</v>
      </c>
      <c r="C1523" s="23" t="s">
        <v>130</v>
      </c>
      <c r="D1523" s="52" t="s">
        <v>624</v>
      </c>
      <c r="E1523" s="23" t="s">
        <v>19</v>
      </c>
      <c r="F1523" s="46">
        <v>18</v>
      </c>
      <c r="G1523" s="27">
        <v>12</v>
      </c>
      <c r="H1523" s="34"/>
      <c r="I1523" s="84">
        <v>1492.89</v>
      </c>
      <c r="J1523" s="136"/>
      <c r="K1523" s="118">
        <v>1962.14</v>
      </c>
      <c r="L1523" s="35"/>
      <c r="M1523" s="85"/>
      <c r="N1523" s="157" t="s">
        <v>1163</v>
      </c>
      <c r="O1523" s="68"/>
      <c r="P1523" s="66">
        <v>45689</v>
      </c>
    </row>
    <row r="1524" spans="1:16" s="8" customFormat="1" ht="12.75" customHeight="1">
      <c r="A1524" s="110">
        <f t="shared" si="30"/>
        <v>1503</v>
      </c>
      <c r="B1524" s="158" t="s">
        <v>623</v>
      </c>
      <c r="C1524" s="23" t="s">
        <v>130</v>
      </c>
      <c r="D1524" s="52" t="s">
        <v>624</v>
      </c>
      <c r="E1524" s="23" t="s">
        <v>19</v>
      </c>
      <c r="F1524" s="46">
        <v>17</v>
      </c>
      <c r="G1524" s="27">
        <v>13</v>
      </c>
      <c r="H1524" s="34"/>
      <c r="I1524" s="84">
        <v>1548.09</v>
      </c>
      <c r="J1524" s="136"/>
      <c r="K1524" s="118">
        <v>1853.86</v>
      </c>
      <c r="L1524" s="35"/>
      <c r="M1524" s="85"/>
      <c r="N1524" s="157" t="s">
        <v>1163</v>
      </c>
      <c r="O1524" s="68"/>
      <c r="P1524" s="66">
        <v>45689</v>
      </c>
    </row>
    <row r="1525" spans="1:16" s="8" customFormat="1" ht="12.75" customHeight="1">
      <c r="A1525" s="110">
        <f t="shared" si="30"/>
        <v>1504</v>
      </c>
      <c r="B1525" s="158" t="s">
        <v>623</v>
      </c>
      <c r="C1525" s="23" t="s">
        <v>130</v>
      </c>
      <c r="D1525" s="52" t="s">
        <v>624</v>
      </c>
      <c r="E1525" s="23" t="s">
        <v>19</v>
      </c>
      <c r="F1525" s="46">
        <v>16</v>
      </c>
      <c r="G1525" s="27">
        <v>14</v>
      </c>
      <c r="H1525" s="34"/>
      <c r="I1525" s="84">
        <v>1610.2</v>
      </c>
      <c r="J1525" s="136"/>
      <c r="K1525" s="118">
        <v>1761.05</v>
      </c>
      <c r="L1525" s="35"/>
      <c r="M1525" s="85"/>
      <c r="N1525" s="157" t="s">
        <v>1163</v>
      </c>
      <c r="O1525" s="68"/>
      <c r="P1525" s="66">
        <v>45689</v>
      </c>
    </row>
    <row r="1526" spans="1:16" s="8" customFormat="1" ht="12.75" customHeight="1">
      <c r="A1526" s="110">
        <f t="shared" si="30"/>
        <v>1505</v>
      </c>
      <c r="B1526" s="158" t="s">
        <v>623</v>
      </c>
      <c r="C1526" s="23" t="s">
        <v>130</v>
      </c>
      <c r="D1526" s="52" t="s">
        <v>624</v>
      </c>
      <c r="E1526" s="23" t="s">
        <v>19</v>
      </c>
      <c r="F1526" s="46">
        <v>15</v>
      </c>
      <c r="G1526" s="27"/>
      <c r="H1526" s="34"/>
      <c r="I1526" s="84">
        <v>1680.59</v>
      </c>
      <c r="J1526" s="136"/>
      <c r="K1526" s="118"/>
      <c r="L1526" s="35"/>
      <c r="M1526" s="85"/>
      <c r="N1526" s="157" t="s">
        <v>1163</v>
      </c>
      <c r="O1526" s="68"/>
      <c r="P1526" s="66">
        <v>45689</v>
      </c>
    </row>
    <row r="1527" spans="1:16" s="8" customFormat="1" ht="12.75" customHeight="1">
      <c r="A1527" s="110">
        <f t="shared" si="30"/>
        <v>1506</v>
      </c>
      <c r="B1527" s="45" t="s">
        <v>1010</v>
      </c>
      <c r="C1527" s="23" t="s">
        <v>130</v>
      </c>
      <c r="D1527" s="52" t="s">
        <v>624</v>
      </c>
      <c r="E1527" s="23" t="s">
        <v>19</v>
      </c>
      <c r="F1527" s="46" t="s">
        <v>977</v>
      </c>
      <c r="G1527" s="27"/>
      <c r="H1527" s="34"/>
      <c r="I1527" s="84">
        <v>78486.98</v>
      </c>
      <c r="J1527" s="136"/>
      <c r="K1527" s="118"/>
      <c r="L1527" s="35"/>
      <c r="M1527" s="85"/>
      <c r="N1527" s="157" t="s">
        <v>1163</v>
      </c>
      <c r="O1527" s="68"/>
      <c r="P1527" s="66">
        <v>45352</v>
      </c>
    </row>
    <row r="1528" spans="1:16" s="8" customFormat="1" ht="12.75" customHeight="1">
      <c r="A1528" s="110">
        <f t="shared" ref="A1528:A1591" si="31">A1527+1</f>
        <v>1507</v>
      </c>
      <c r="B1528" s="158" t="s">
        <v>1010</v>
      </c>
      <c r="C1528" s="23" t="s">
        <v>130</v>
      </c>
      <c r="D1528" s="52" t="s">
        <v>624</v>
      </c>
      <c r="E1528" s="23" t="s">
        <v>19</v>
      </c>
      <c r="F1528" s="46" t="s">
        <v>977</v>
      </c>
      <c r="G1528" s="27"/>
      <c r="H1528" s="34"/>
      <c r="I1528" s="84">
        <v>85385.09</v>
      </c>
      <c r="J1528" s="136"/>
      <c r="K1528" s="118"/>
      <c r="L1528" s="35"/>
      <c r="M1528" s="85"/>
      <c r="N1528" s="157" t="s">
        <v>1163</v>
      </c>
      <c r="O1528" s="68"/>
      <c r="P1528" s="66">
        <v>45689</v>
      </c>
    </row>
    <row r="1529" spans="1:16" s="8" customFormat="1" ht="12.75" customHeight="1">
      <c r="A1529" s="110">
        <f t="shared" si="31"/>
        <v>1508</v>
      </c>
      <c r="B1529" s="52" t="s">
        <v>625</v>
      </c>
      <c r="C1529" s="23" t="s">
        <v>130</v>
      </c>
      <c r="D1529" s="52" t="s">
        <v>621</v>
      </c>
      <c r="E1529" s="23" t="s">
        <v>19</v>
      </c>
      <c r="F1529" s="27">
        <v>20</v>
      </c>
      <c r="G1529" s="27">
        <v>10</v>
      </c>
      <c r="H1529" s="34">
        <v>1360.52</v>
      </c>
      <c r="I1529" s="84">
        <v>1363.53</v>
      </c>
      <c r="J1529" s="136">
        <v>2253.31</v>
      </c>
      <c r="K1529" s="118">
        <v>2259.34</v>
      </c>
      <c r="L1529" s="35">
        <v>13352.59</v>
      </c>
      <c r="M1529" s="85">
        <v>13442.82</v>
      </c>
      <c r="N1529" s="99" t="s">
        <v>642</v>
      </c>
      <c r="O1529" s="68">
        <v>601</v>
      </c>
      <c r="P1529" s="66">
        <v>43617</v>
      </c>
    </row>
    <row r="1530" spans="1:16" s="8" customFormat="1" ht="12.75" customHeight="1">
      <c r="A1530" s="110">
        <f t="shared" si="31"/>
        <v>1509</v>
      </c>
      <c r="B1530" s="45" t="s">
        <v>625</v>
      </c>
      <c r="C1530" s="23" t="s">
        <v>130</v>
      </c>
      <c r="D1530" s="52" t="s">
        <v>621</v>
      </c>
      <c r="E1530" s="23" t="s">
        <v>19</v>
      </c>
      <c r="F1530" s="27">
        <v>20</v>
      </c>
      <c r="G1530" s="27">
        <v>10</v>
      </c>
      <c r="H1530" s="34"/>
      <c r="I1530" s="84">
        <v>1548.3</v>
      </c>
      <c r="J1530" s="136"/>
      <c r="K1530" s="118">
        <v>2656.81</v>
      </c>
      <c r="L1530" s="35"/>
      <c r="M1530" s="85">
        <v>22170.19</v>
      </c>
      <c r="N1530" s="99" t="s">
        <v>642</v>
      </c>
      <c r="O1530" s="68"/>
      <c r="P1530" s="66">
        <v>44562</v>
      </c>
    </row>
    <row r="1531" spans="1:16" s="8" customFormat="1" ht="12.75" customHeight="1">
      <c r="A1531" s="110">
        <f t="shared" si="31"/>
        <v>1510</v>
      </c>
      <c r="B1531" s="45" t="s">
        <v>1011</v>
      </c>
      <c r="C1531" s="23" t="s">
        <v>130</v>
      </c>
      <c r="D1531" s="52" t="s">
        <v>621</v>
      </c>
      <c r="E1531" s="23" t="s">
        <v>19</v>
      </c>
      <c r="F1531" s="46" t="s">
        <v>977</v>
      </c>
      <c r="G1531" s="27"/>
      <c r="H1531" s="34"/>
      <c r="I1531" s="84">
        <v>52406.54</v>
      </c>
      <c r="J1531" s="136"/>
      <c r="K1531" s="118"/>
      <c r="L1531" s="35"/>
      <c r="M1531" s="85"/>
      <c r="N1531" s="99" t="s">
        <v>642</v>
      </c>
      <c r="O1531" s="68"/>
      <c r="P1531" s="66">
        <v>44562</v>
      </c>
    </row>
    <row r="1532" spans="1:16" s="8" customFormat="1" ht="12.75" customHeight="1">
      <c r="A1532" s="110">
        <f t="shared" si="31"/>
        <v>1511</v>
      </c>
      <c r="B1532" s="45" t="s">
        <v>625</v>
      </c>
      <c r="C1532" s="23" t="s">
        <v>130</v>
      </c>
      <c r="D1532" s="52" t="s">
        <v>621</v>
      </c>
      <c r="E1532" s="23" t="s">
        <v>19</v>
      </c>
      <c r="F1532" s="27">
        <v>20</v>
      </c>
      <c r="G1532" s="27">
        <v>10</v>
      </c>
      <c r="H1532" s="34"/>
      <c r="I1532" s="84">
        <v>1873.44</v>
      </c>
      <c r="J1532" s="136"/>
      <c r="K1532" s="118">
        <v>3242.87</v>
      </c>
      <c r="L1532" s="35"/>
      <c r="M1532" s="85">
        <v>27388.97</v>
      </c>
      <c r="N1532" s="99" t="s">
        <v>642</v>
      </c>
      <c r="O1532" s="68"/>
      <c r="P1532" s="66">
        <v>44713</v>
      </c>
    </row>
    <row r="1533" spans="1:16" s="8" customFormat="1" ht="12.75" customHeight="1">
      <c r="A1533" s="110">
        <f t="shared" si="31"/>
        <v>1512</v>
      </c>
      <c r="B1533" s="45" t="s">
        <v>1011</v>
      </c>
      <c r="C1533" s="23" t="s">
        <v>130</v>
      </c>
      <c r="D1533" s="52" t="s">
        <v>621</v>
      </c>
      <c r="E1533" s="23" t="s">
        <v>19</v>
      </c>
      <c r="F1533" s="46" t="s">
        <v>977</v>
      </c>
      <c r="G1533" s="27"/>
      <c r="H1533" s="34"/>
      <c r="I1533" s="84">
        <v>54963.58</v>
      </c>
      <c r="J1533" s="136"/>
      <c r="K1533" s="118"/>
      <c r="L1533" s="35"/>
      <c r="M1533" s="85"/>
      <c r="N1533" s="99" t="s">
        <v>642</v>
      </c>
      <c r="O1533" s="68"/>
      <c r="P1533" s="66">
        <v>44713</v>
      </c>
    </row>
    <row r="1534" spans="1:16" s="8" customFormat="1" ht="12.75" customHeight="1">
      <c r="A1534" s="110">
        <f t="shared" si="31"/>
        <v>1513</v>
      </c>
      <c r="B1534" s="45" t="s">
        <v>625</v>
      </c>
      <c r="C1534" s="23" t="s">
        <v>130</v>
      </c>
      <c r="D1534" s="52" t="s">
        <v>621</v>
      </c>
      <c r="E1534" s="23" t="s">
        <v>19</v>
      </c>
      <c r="F1534" s="27">
        <v>20</v>
      </c>
      <c r="G1534" s="27">
        <v>10</v>
      </c>
      <c r="H1534" s="34"/>
      <c r="I1534" s="84">
        <v>1879.14</v>
      </c>
      <c r="J1534" s="136"/>
      <c r="K1534" s="118">
        <v>3254.27</v>
      </c>
      <c r="L1534" s="35"/>
      <c r="M1534" s="85"/>
      <c r="N1534" s="99" t="s">
        <v>642</v>
      </c>
      <c r="O1534" s="68"/>
      <c r="P1534" s="66">
        <v>45047</v>
      </c>
    </row>
    <row r="1535" spans="1:16" s="8" customFormat="1" ht="12.75" customHeight="1">
      <c r="A1535" s="110">
        <f t="shared" si="31"/>
        <v>1514</v>
      </c>
      <c r="B1535" s="181" t="s">
        <v>1011</v>
      </c>
      <c r="C1535" s="23" t="s">
        <v>130</v>
      </c>
      <c r="D1535" s="52" t="s">
        <v>621</v>
      </c>
      <c r="E1535" s="23" t="s">
        <v>19</v>
      </c>
      <c r="F1535" s="46" t="s">
        <v>977</v>
      </c>
      <c r="G1535" s="27"/>
      <c r="H1535" s="34"/>
      <c r="I1535" s="84">
        <v>54966.22</v>
      </c>
      <c r="J1535" s="136"/>
      <c r="K1535" s="118"/>
      <c r="L1535" s="35"/>
      <c r="M1535" s="85"/>
      <c r="N1535" s="99" t="s">
        <v>642</v>
      </c>
      <c r="O1535" s="68"/>
      <c r="P1535" s="66">
        <v>45047</v>
      </c>
    </row>
    <row r="1536" spans="1:16" s="8" customFormat="1" ht="12.75" customHeight="1">
      <c r="A1536" s="110">
        <f t="shared" si="31"/>
        <v>1515</v>
      </c>
      <c r="B1536" s="181" t="s">
        <v>625</v>
      </c>
      <c r="C1536" s="23" t="s">
        <v>130</v>
      </c>
      <c r="D1536" s="52" t="s">
        <v>621</v>
      </c>
      <c r="E1536" s="23" t="s">
        <v>19</v>
      </c>
      <c r="F1536" s="27">
        <v>20</v>
      </c>
      <c r="G1536" s="27">
        <v>10</v>
      </c>
      <c r="H1536" s="34"/>
      <c r="I1536" s="84">
        <v>1911.25</v>
      </c>
      <c r="J1536" s="136"/>
      <c r="K1536" s="118">
        <v>3318.52</v>
      </c>
      <c r="L1536" s="35"/>
      <c r="M1536" s="85">
        <v>28145.18</v>
      </c>
      <c r="N1536" s="157" t="s">
        <v>1163</v>
      </c>
      <c r="O1536" s="68"/>
      <c r="P1536" s="66">
        <v>45352</v>
      </c>
    </row>
    <row r="1537" spans="1:16" s="8" customFormat="1" ht="12.75" customHeight="1">
      <c r="A1537" s="110">
        <f t="shared" si="31"/>
        <v>1516</v>
      </c>
      <c r="B1537" s="181" t="s">
        <v>625</v>
      </c>
      <c r="C1537" s="23" t="s">
        <v>130</v>
      </c>
      <c r="D1537" s="52" t="s">
        <v>621</v>
      </c>
      <c r="E1537" s="23" t="s">
        <v>19</v>
      </c>
      <c r="F1537" s="27">
        <v>19</v>
      </c>
      <c r="G1537" s="27">
        <v>11</v>
      </c>
      <c r="H1537" s="34"/>
      <c r="I1537" s="84">
        <v>1985.32</v>
      </c>
      <c r="J1537" s="136"/>
      <c r="K1537" s="118">
        <v>3062.63</v>
      </c>
      <c r="L1537" s="35"/>
      <c r="M1537" s="85"/>
      <c r="N1537" s="157" t="s">
        <v>1163</v>
      </c>
      <c r="O1537" s="68"/>
      <c r="P1537" s="66">
        <v>45352</v>
      </c>
    </row>
    <row r="1538" spans="1:16" s="8" customFormat="1" ht="12.75" customHeight="1">
      <c r="A1538" s="110">
        <f t="shared" si="31"/>
        <v>1517</v>
      </c>
      <c r="B1538" s="181" t="s">
        <v>625</v>
      </c>
      <c r="C1538" s="23" t="s">
        <v>130</v>
      </c>
      <c r="D1538" s="52" t="s">
        <v>621</v>
      </c>
      <c r="E1538" s="23" t="s">
        <v>19</v>
      </c>
      <c r="F1538" s="27">
        <v>18</v>
      </c>
      <c r="G1538" s="27">
        <v>12</v>
      </c>
      <c r="H1538" s="34"/>
      <c r="I1538" s="84">
        <v>2067.61</v>
      </c>
      <c r="J1538" s="136"/>
      <c r="K1538" s="118">
        <v>2849.42</v>
      </c>
      <c r="L1538" s="35"/>
      <c r="M1538" s="85"/>
      <c r="N1538" s="157" t="s">
        <v>1163</v>
      </c>
      <c r="O1538" s="68"/>
      <c r="P1538" s="66">
        <v>45352</v>
      </c>
    </row>
    <row r="1539" spans="1:16" s="8" customFormat="1" ht="12.75" customHeight="1">
      <c r="A1539" s="110">
        <f t="shared" si="31"/>
        <v>1518</v>
      </c>
      <c r="B1539" s="181" t="s">
        <v>625</v>
      </c>
      <c r="C1539" s="23" t="s">
        <v>130</v>
      </c>
      <c r="D1539" s="52" t="s">
        <v>621</v>
      </c>
      <c r="E1539" s="23" t="s">
        <v>19</v>
      </c>
      <c r="F1539" s="27">
        <v>17</v>
      </c>
      <c r="G1539" s="27">
        <v>13</v>
      </c>
      <c r="H1539" s="34"/>
      <c r="I1539" s="84">
        <v>2159.58</v>
      </c>
      <c r="J1539" s="136"/>
      <c r="K1539" s="118">
        <v>2668.99</v>
      </c>
      <c r="L1539" s="35"/>
      <c r="M1539" s="85"/>
      <c r="N1539" s="157" t="s">
        <v>1163</v>
      </c>
      <c r="O1539" s="68"/>
      <c r="P1539" s="66">
        <v>45352</v>
      </c>
    </row>
    <row r="1540" spans="1:16" s="8" customFormat="1" ht="12.75" customHeight="1">
      <c r="A1540" s="110">
        <f t="shared" si="31"/>
        <v>1519</v>
      </c>
      <c r="B1540" s="181" t="s">
        <v>625</v>
      </c>
      <c r="C1540" s="23" t="s">
        <v>130</v>
      </c>
      <c r="D1540" s="52" t="s">
        <v>621</v>
      </c>
      <c r="E1540" s="23" t="s">
        <v>19</v>
      </c>
      <c r="F1540" s="27">
        <v>16</v>
      </c>
      <c r="G1540" s="27">
        <v>14</v>
      </c>
      <c r="H1540" s="34"/>
      <c r="I1540" s="84">
        <v>2263.09</v>
      </c>
      <c r="J1540" s="136"/>
      <c r="K1540" s="118">
        <v>2514.36</v>
      </c>
      <c r="L1540" s="35"/>
      <c r="M1540" s="85"/>
      <c r="N1540" s="157" t="s">
        <v>1163</v>
      </c>
      <c r="O1540" s="68"/>
      <c r="P1540" s="66">
        <v>45352</v>
      </c>
    </row>
    <row r="1541" spans="1:16" s="8" customFormat="1" ht="12.75" customHeight="1">
      <c r="A1541" s="110">
        <f t="shared" si="31"/>
        <v>1520</v>
      </c>
      <c r="B1541" s="181" t="s">
        <v>625</v>
      </c>
      <c r="C1541" s="23" t="s">
        <v>130</v>
      </c>
      <c r="D1541" s="52" t="s">
        <v>621</v>
      </c>
      <c r="E1541" s="23" t="s">
        <v>19</v>
      </c>
      <c r="F1541" s="27">
        <v>15</v>
      </c>
      <c r="G1541" s="27"/>
      <c r="H1541" s="34"/>
      <c r="I1541" s="84">
        <v>2380.34</v>
      </c>
      <c r="J1541" s="136"/>
      <c r="K1541" s="118"/>
      <c r="L1541" s="35"/>
      <c r="M1541" s="85"/>
      <c r="N1541" s="157" t="s">
        <v>1163</v>
      </c>
      <c r="O1541" s="68"/>
      <c r="P1541" s="66">
        <v>45352</v>
      </c>
    </row>
    <row r="1542" spans="1:16" s="8" customFormat="1" ht="12.75" customHeight="1">
      <c r="A1542" s="110">
        <f t="shared" si="31"/>
        <v>1521</v>
      </c>
      <c r="B1542" s="158" t="s">
        <v>625</v>
      </c>
      <c r="C1542" s="23" t="s">
        <v>130</v>
      </c>
      <c r="D1542" s="52" t="s">
        <v>621</v>
      </c>
      <c r="E1542" s="23" t="s">
        <v>19</v>
      </c>
      <c r="F1542" s="27">
        <v>20</v>
      </c>
      <c r="G1542" s="27">
        <v>10</v>
      </c>
      <c r="H1542" s="34"/>
      <c r="I1542" s="84">
        <v>1399.05</v>
      </c>
      <c r="J1542" s="136"/>
      <c r="K1542" s="118">
        <v>2243.6999999999998</v>
      </c>
      <c r="L1542" s="35"/>
      <c r="M1542" s="85"/>
      <c r="N1542" s="157" t="s">
        <v>1163</v>
      </c>
      <c r="O1542" s="68"/>
      <c r="P1542" s="66">
        <v>45689</v>
      </c>
    </row>
    <row r="1543" spans="1:16" s="8" customFormat="1" ht="12.75" customHeight="1">
      <c r="A1543" s="110">
        <f t="shared" si="31"/>
        <v>1522</v>
      </c>
      <c r="B1543" s="158" t="s">
        <v>625</v>
      </c>
      <c r="C1543" s="23" t="s">
        <v>130</v>
      </c>
      <c r="D1543" s="52" t="s">
        <v>621</v>
      </c>
      <c r="E1543" s="23" t="s">
        <v>19</v>
      </c>
      <c r="F1543" s="27">
        <v>19</v>
      </c>
      <c r="G1543" s="27">
        <v>11</v>
      </c>
      <c r="H1543" s="34"/>
      <c r="I1543" s="84">
        <v>1443.52</v>
      </c>
      <c r="J1543" s="136"/>
      <c r="K1543" s="118">
        <v>2090.12</v>
      </c>
      <c r="L1543" s="35"/>
      <c r="M1543" s="85"/>
      <c r="N1543" s="157" t="s">
        <v>1163</v>
      </c>
      <c r="O1543" s="68"/>
      <c r="P1543" s="66">
        <v>45689</v>
      </c>
    </row>
    <row r="1544" spans="1:16" s="8" customFormat="1" ht="12.75" customHeight="1">
      <c r="A1544" s="110">
        <f t="shared" si="31"/>
        <v>1523</v>
      </c>
      <c r="B1544" s="158" t="s">
        <v>625</v>
      </c>
      <c r="C1544" s="23" t="s">
        <v>130</v>
      </c>
      <c r="D1544" s="52" t="s">
        <v>621</v>
      </c>
      <c r="E1544" s="23" t="s">
        <v>19</v>
      </c>
      <c r="F1544" s="27">
        <v>18</v>
      </c>
      <c r="G1544" s="27">
        <v>12</v>
      </c>
      <c r="H1544" s="34"/>
      <c r="I1544" s="84">
        <v>1492.89</v>
      </c>
      <c r="J1544" s="136"/>
      <c r="K1544" s="118">
        <v>1962.14</v>
      </c>
      <c r="L1544" s="35"/>
      <c r="M1544" s="85"/>
      <c r="N1544" s="157" t="s">
        <v>1163</v>
      </c>
      <c r="O1544" s="68"/>
      <c r="P1544" s="66">
        <v>45689</v>
      </c>
    </row>
    <row r="1545" spans="1:16" s="8" customFormat="1" ht="12.75" customHeight="1">
      <c r="A1545" s="110">
        <f t="shared" si="31"/>
        <v>1524</v>
      </c>
      <c r="B1545" s="158" t="s">
        <v>625</v>
      </c>
      <c r="C1545" s="23" t="s">
        <v>130</v>
      </c>
      <c r="D1545" s="52" t="s">
        <v>621</v>
      </c>
      <c r="E1545" s="23" t="s">
        <v>19</v>
      </c>
      <c r="F1545" s="27">
        <v>17</v>
      </c>
      <c r="G1545" s="27">
        <v>13</v>
      </c>
      <c r="H1545" s="34"/>
      <c r="I1545" s="84">
        <v>1548.09</v>
      </c>
      <c r="J1545" s="136"/>
      <c r="K1545" s="118">
        <v>1853.86</v>
      </c>
      <c r="L1545" s="35"/>
      <c r="M1545" s="85"/>
      <c r="N1545" s="157" t="s">
        <v>1163</v>
      </c>
      <c r="O1545" s="68"/>
      <c r="P1545" s="66">
        <v>45689</v>
      </c>
    </row>
    <row r="1546" spans="1:16" s="8" customFormat="1" ht="12.75" customHeight="1">
      <c r="A1546" s="110">
        <f t="shared" si="31"/>
        <v>1525</v>
      </c>
      <c r="B1546" s="158" t="s">
        <v>625</v>
      </c>
      <c r="C1546" s="23" t="s">
        <v>130</v>
      </c>
      <c r="D1546" s="52" t="s">
        <v>621</v>
      </c>
      <c r="E1546" s="23" t="s">
        <v>19</v>
      </c>
      <c r="F1546" s="27">
        <v>16</v>
      </c>
      <c r="G1546" s="27">
        <v>14</v>
      </c>
      <c r="H1546" s="34"/>
      <c r="I1546" s="84">
        <v>1610.2</v>
      </c>
      <c r="J1546" s="136"/>
      <c r="K1546" s="118">
        <v>1761.05</v>
      </c>
      <c r="L1546" s="35"/>
      <c r="M1546" s="85"/>
      <c r="N1546" s="157" t="s">
        <v>1163</v>
      </c>
      <c r="O1546" s="68"/>
      <c r="P1546" s="66">
        <v>45689</v>
      </c>
    </row>
    <row r="1547" spans="1:16" s="8" customFormat="1" ht="12.75" customHeight="1">
      <c r="A1547" s="110">
        <f t="shared" si="31"/>
        <v>1526</v>
      </c>
      <c r="B1547" s="158" t="s">
        <v>625</v>
      </c>
      <c r="C1547" s="23" t="s">
        <v>130</v>
      </c>
      <c r="D1547" s="52" t="s">
        <v>621</v>
      </c>
      <c r="E1547" s="23" t="s">
        <v>19</v>
      </c>
      <c r="F1547" s="27">
        <v>15</v>
      </c>
      <c r="G1547" s="27"/>
      <c r="H1547" s="34"/>
      <c r="I1547" s="84">
        <v>1680.59</v>
      </c>
      <c r="J1547" s="136"/>
      <c r="K1547" s="118"/>
      <c r="L1547" s="35"/>
      <c r="M1547" s="85"/>
      <c r="N1547" s="157" t="s">
        <v>1163</v>
      </c>
      <c r="O1547" s="68"/>
      <c r="P1547" s="66">
        <v>45689</v>
      </c>
    </row>
    <row r="1548" spans="1:16" s="8" customFormat="1" ht="12.75" customHeight="1">
      <c r="A1548" s="110">
        <f t="shared" si="31"/>
        <v>1527</v>
      </c>
      <c r="B1548" s="181" t="s">
        <v>1011</v>
      </c>
      <c r="C1548" s="23" t="s">
        <v>130</v>
      </c>
      <c r="D1548" s="52" t="s">
        <v>621</v>
      </c>
      <c r="E1548" s="23" t="s">
        <v>19</v>
      </c>
      <c r="F1548" s="46" t="s">
        <v>977</v>
      </c>
      <c r="G1548" s="27"/>
      <c r="H1548" s="34"/>
      <c r="I1548" s="84">
        <v>78486.98</v>
      </c>
      <c r="J1548" s="136"/>
      <c r="K1548" s="118"/>
      <c r="L1548" s="35"/>
      <c r="M1548" s="85"/>
      <c r="N1548" s="157" t="s">
        <v>1163</v>
      </c>
      <c r="O1548" s="68"/>
      <c r="P1548" s="66">
        <v>45352</v>
      </c>
    </row>
    <row r="1549" spans="1:16" s="8" customFormat="1" ht="12.75" customHeight="1">
      <c r="A1549" s="110">
        <f t="shared" si="31"/>
        <v>1528</v>
      </c>
      <c r="B1549" s="158" t="s">
        <v>1011</v>
      </c>
      <c r="C1549" s="23" t="s">
        <v>130</v>
      </c>
      <c r="D1549" s="52" t="s">
        <v>621</v>
      </c>
      <c r="E1549" s="23" t="s">
        <v>19</v>
      </c>
      <c r="F1549" s="46" t="s">
        <v>977</v>
      </c>
      <c r="G1549" s="27"/>
      <c r="H1549" s="34"/>
      <c r="I1549" s="84">
        <v>85385.09</v>
      </c>
      <c r="J1549" s="136"/>
      <c r="K1549" s="118"/>
      <c r="L1549" s="35"/>
      <c r="M1549" s="85"/>
      <c r="N1549" s="157" t="s">
        <v>1163</v>
      </c>
      <c r="O1549" s="68"/>
      <c r="P1549" s="66">
        <v>45689</v>
      </c>
    </row>
    <row r="1550" spans="1:16" s="8" customFormat="1" ht="12.75" customHeight="1">
      <c r="A1550" s="110">
        <f t="shared" si="31"/>
        <v>1529</v>
      </c>
      <c r="B1550" s="52" t="s">
        <v>626</v>
      </c>
      <c r="C1550" s="23" t="s">
        <v>130</v>
      </c>
      <c r="D1550" s="52" t="s">
        <v>621</v>
      </c>
      <c r="E1550" s="23" t="s">
        <v>19</v>
      </c>
      <c r="F1550" s="27">
        <v>20</v>
      </c>
      <c r="G1550" s="27">
        <v>10</v>
      </c>
      <c r="H1550" s="34">
        <v>1360.52</v>
      </c>
      <c r="I1550" s="84">
        <v>1542.09</v>
      </c>
      <c r="J1550" s="136">
        <v>2253.31</v>
      </c>
      <c r="K1550" s="118">
        <v>2521.9699999999998</v>
      </c>
      <c r="L1550" s="35">
        <v>13352.59</v>
      </c>
      <c r="M1550" s="85">
        <v>13442.82</v>
      </c>
      <c r="N1550" s="99" t="s">
        <v>642</v>
      </c>
      <c r="O1550" s="68">
        <v>601</v>
      </c>
      <c r="P1550" s="66">
        <v>43617</v>
      </c>
    </row>
    <row r="1551" spans="1:16" s="8" customFormat="1" ht="12.75" customHeight="1">
      <c r="A1551" s="110">
        <f t="shared" si="31"/>
        <v>1530</v>
      </c>
      <c r="B1551" s="52" t="s">
        <v>626</v>
      </c>
      <c r="C1551" s="23" t="s">
        <v>886</v>
      </c>
      <c r="D1551" s="52" t="s">
        <v>894</v>
      </c>
      <c r="E1551" s="23" t="s">
        <v>19</v>
      </c>
      <c r="F1551" s="27">
        <v>20</v>
      </c>
      <c r="G1551" s="27">
        <v>10</v>
      </c>
      <c r="H1551" s="34"/>
      <c r="I1551" s="84">
        <v>1372.72</v>
      </c>
      <c r="J1551" s="136"/>
      <c r="K1551" s="118">
        <v>2268.5300000000002</v>
      </c>
      <c r="L1551" s="35"/>
      <c r="M1551" s="85"/>
      <c r="N1551" s="99" t="s">
        <v>642</v>
      </c>
      <c r="O1551" s="68"/>
      <c r="P1551" s="66">
        <v>43617</v>
      </c>
    </row>
    <row r="1552" spans="1:16" s="8" customFormat="1" ht="12.75" customHeight="1">
      <c r="A1552" s="110">
        <f t="shared" si="31"/>
        <v>1531</v>
      </c>
      <c r="B1552" s="45" t="s">
        <v>626</v>
      </c>
      <c r="C1552" s="23" t="s">
        <v>886</v>
      </c>
      <c r="D1552" s="52" t="s">
        <v>894</v>
      </c>
      <c r="E1552" s="23" t="s">
        <v>19</v>
      </c>
      <c r="F1552" s="27">
        <v>20</v>
      </c>
      <c r="G1552" s="27">
        <v>10</v>
      </c>
      <c r="H1552" s="34"/>
      <c r="I1552" s="84">
        <v>1557.49</v>
      </c>
      <c r="J1552" s="136"/>
      <c r="K1552" s="118">
        <v>2666.01</v>
      </c>
      <c r="L1552" s="35"/>
      <c r="M1552" s="85">
        <v>22170.19</v>
      </c>
      <c r="N1552" s="99" t="s">
        <v>642</v>
      </c>
      <c r="O1552" s="68"/>
      <c r="P1552" s="66">
        <v>44562</v>
      </c>
    </row>
    <row r="1553" spans="1:16" s="8" customFormat="1" ht="12.75" customHeight="1">
      <c r="A1553" s="110">
        <f t="shared" si="31"/>
        <v>1532</v>
      </c>
      <c r="B1553" s="45" t="s">
        <v>1012</v>
      </c>
      <c r="C1553" s="23" t="s">
        <v>886</v>
      </c>
      <c r="D1553" s="52" t="s">
        <v>894</v>
      </c>
      <c r="E1553" s="23" t="s">
        <v>19</v>
      </c>
      <c r="F1553" s="46" t="s">
        <v>977</v>
      </c>
      <c r="G1553" s="27"/>
      <c r="H1553" s="34"/>
      <c r="I1553" s="84"/>
      <c r="J1553" s="136"/>
      <c r="K1553" s="118"/>
      <c r="L1553" s="35"/>
      <c r="M1553" s="85"/>
      <c r="N1553" s="99" t="s">
        <v>642</v>
      </c>
      <c r="O1553" s="68"/>
      <c r="P1553" s="66">
        <v>44562</v>
      </c>
    </row>
    <row r="1554" spans="1:16" s="8" customFormat="1" ht="12.75" customHeight="1">
      <c r="A1554" s="110">
        <f t="shared" si="31"/>
        <v>1533</v>
      </c>
      <c r="B1554" s="45" t="s">
        <v>626</v>
      </c>
      <c r="C1554" s="23" t="s">
        <v>886</v>
      </c>
      <c r="D1554" s="52" t="s">
        <v>894</v>
      </c>
      <c r="E1554" s="23" t="s">
        <v>19</v>
      </c>
      <c r="F1554" s="27">
        <v>20</v>
      </c>
      <c r="G1554" s="27">
        <v>10</v>
      </c>
      <c r="H1554" s="34"/>
      <c r="I1554" s="84">
        <v>1873.44</v>
      </c>
      <c r="J1554" s="136"/>
      <c r="K1554" s="118">
        <v>3242.87</v>
      </c>
      <c r="L1554" s="35"/>
      <c r="M1554" s="85">
        <v>27388.97</v>
      </c>
      <c r="N1554" s="99" t="s">
        <v>642</v>
      </c>
      <c r="O1554" s="68"/>
      <c r="P1554" s="66">
        <v>44713</v>
      </c>
    </row>
    <row r="1555" spans="1:16" s="8" customFormat="1" ht="12.75" customHeight="1">
      <c r="A1555" s="110">
        <f t="shared" si="31"/>
        <v>1534</v>
      </c>
      <c r="B1555" s="45" t="s">
        <v>1012</v>
      </c>
      <c r="C1555" s="23" t="s">
        <v>886</v>
      </c>
      <c r="D1555" s="52" t="s">
        <v>894</v>
      </c>
      <c r="E1555" s="23" t="s">
        <v>19</v>
      </c>
      <c r="F1555" s="46" t="s">
        <v>977</v>
      </c>
      <c r="G1555" s="27"/>
      <c r="H1555" s="34"/>
      <c r="I1555" s="84">
        <v>54963.58</v>
      </c>
      <c r="J1555" s="136"/>
      <c r="K1555" s="118"/>
      <c r="L1555" s="35"/>
      <c r="M1555" s="85"/>
      <c r="N1555" s="99" t="s">
        <v>642</v>
      </c>
      <c r="O1555" s="68"/>
      <c r="P1555" s="66">
        <v>44713</v>
      </c>
    </row>
    <row r="1556" spans="1:16" s="8" customFormat="1" ht="12.75" customHeight="1">
      <c r="A1556" s="110">
        <f t="shared" si="31"/>
        <v>1535</v>
      </c>
      <c r="B1556" s="45" t="s">
        <v>626</v>
      </c>
      <c r="C1556" s="23" t="s">
        <v>130</v>
      </c>
      <c r="D1556" s="52" t="s">
        <v>894</v>
      </c>
      <c r="E1556" s="23" t="s">
        <v>19</v>
      </c>
      <c r="F1556" s="27">
        <v>20</v>
      </c>
      <c r="G1556" s="27">
        <v>10</v>
      </c>
      <c r="H1556" s="34"/>
      <c r="I1556" s="84">
        <v>1879.14</v>
      </c>
      <c r="J1556" s="136"/>
      <c r="K1556" s="118">
        <v>3254.27</v>
      </c>
      <c r="L1556" s="35"/>
      <c r="M1556" s="85"/>
      <c r="N1556" s="99" t="s">
        <v>642</v>
      </c>
      <c r="O1556" s="68"/>
      <c r="P1556" s="66">
        <v>45047</v>
      </c>
    </row>
    <row r="1557" spans="1:16" s="8" customFormat="1" ht="12.75" customHeight="1">
      <c r="A1557" s="110">
        <f t="shared" si="31"/>
        <v>1536</v>
      </c>
      <c r="B1557" s="45" t="s">
        <v>1012</v>
      </c>
      <c r="C1557" s="23" t="s">
        <v>130</v>
      </c>
      <c r="D1557" s="52" t="s">
        <v>894</v>
      </c>
      <c r="E1557" s="23" t="s">
        <v>19</v>
      </c>
      <c r="F1557" s="46" t="s">
        <v>977</v>
      </c>
      <c r="G1557" s="27"/>
      <c r="H1557" s="34"/>
      <c r="I1557" s="84">
        <v>54966.22</v>
      </c>
      <c r="J1557" s="136"/>
      <c r="K1557" s="118"/>
      <c r="L1557" s="35"/>
      <c r="M1557" s="85"/>
      <c r="N1557" s="99" t="s">
        <v>642</v>
      </c>
      <c r="O1557" s="68"/>
      <c r="P1557" s="66">
        <v>45047</v>
      </c>
    </row>
    <row r="1558" spans="1:16" s="8" customFormat="1" ht="12" customHeight="1">
      <c r="A1558" s="110">
        <f t="shared" si="31"/>
        <v>1537</v>
      </c>
      <c r="B1558" s="45" t="s">
        <v>626</v>
      </c>
      <c r="C1558" s="23" t="s">
        <v>130</v>
      </c>
      <c r="D1558" s="52" t="s">
        <v>894</v>
      </c>
      <c r="E1558" s="23" t="s">
        <v>19</v>
      </c>
      <c r="F1558" s="27">
        <v>20</v>
      </c>
      <c r="G1558" s="27">
        <v>10</v>
      </c>
      <c r="H1558" s="34"/>
      <c r="I1558" s="84">
        <v>1911.25</v>
      </c>
      <c r="J1558" s="136"/>
      <c r="K1558" s="118">
        <v>3318.52</v>
      </c>
      <c r="L1558" s="35"/>
      <c r="M1558" s="85">
        <v>28145.18</v>
      </c>
      <c r="N1558" s="157" t="s">
        <v>1163</v>
      </c>
      <c r="O1558" s="68"/>
      <c r="P1558" s="66">
        <v>45352</v>
      </c>
    </row>
    <row r="1559" spans="1:16" s="8" customFormat="1" ht="12.75" customHeight="1">
      <c r="A1559" s="110">
        <f t="shared" si="31"/>
        <v>1538</v>
      </c>
      <c r="B1559" s="45" t="s">
        <v>626</v>
      </c>
      <c r="C1559" s="23" t="s">
        <v>130</v>
      </c>
      <c r="D1559" s="52" t="s">
        <v>894</v>
      </c>
      <c r="E1559" s="23" t="s">
        <v>19</v>
      </c>
      <c r="F1559" s="27">
        <v>19</v>
      </c>
      <c r="G1559" s="27">
        <v>11</v>
      </c>
      <c r="H1559" s="34"/>
      <c r="I1559" s="84">
        <v>1985.32</v>
      </c>
      <c r="J1559" s="136"/>
      <c r="K1559" s="118">
        <v>3062.63</v>
      </c>
      <c r="L1559" s="35"/>
      <c r="M1559" s="85"/>
      <c r="N1559" s="157" t="s">
        <v>1163</v>
      </c>
      <c r="O1559" s="68"/>
      <c r="P1559" s="66">
        <v>45352</v>
      </c>
    </row>
    <row r="1560" spans="1:16" s="8" customFormat="1" ht="12.75" customHeight="1">
      <c r="A1560" s="110">
        <f t="shared" si="31"/>
        <v>1539</v>
      </c>
      <c r="B1560" s="45" t="s">
        <v>626</v>
      </c>
      <c r="C1560" s="23" t="s">
        <v>130</v>
      </c>
      <c r="D1560" s="52" t="s">
        <v>894</v>
      </c>
      <c r="E1560" s="23" t="s">
        <v>19</v>
      </c>
      <c r="F1560" s="27">
        <v>18</v>
      </c>
      <c r="G1560" s="27">
        <v>12</v>
      </c>
      <c r="H1560" s="34"/>
      <c r="I1560" s="84">
        <v>2067.61</v>
      </c>
      <c r="J1560" s="136"/>
      <c r="K1560" s="118">
        <v>2849.42</v>
      </c>
      <c r="L1560" s="35"/>
      <c r="M1560" s="85"/>
      <c r="N1560" s="157" t="s">
        <v>1163</v>
      </c>
      <c r="O1560" s="68"/>
      <c r="P1560" s="66">
        <v>45352</v>
      </c>
    </row>
    <row r="1561" spans="1:16" s="8" customFormat="1" ht="12.75" customHeight="1">
      <c r="A1561" s="110">
        <f t="shared" si="31"/>
        <v>1540</v>
      </c>
      <c r="B1561" s="45" t="s">
        <v>626</v>
      </c>
      <c r="C1561" s="23" t="s">
        <v>130</v>
      </c>
      <c r="D1561" s="52" t="s">
        <v>894</v>
      </c>
      <c r="E1561" s="23" t="s">
        <v>19</v>
      </c>
      <c r="F1561" s="27">
        <v>17</v>
      </c>
      <c r="G1561" s="27">
        <v>13</v>
      </c>
      <c r="H1561" s="34"/>
      <c r="I1561" s="84">
        <v>2159.58</v>
      </c>
      <c r="J1561" s="136"/>
      <c r="K1561" s="118">
        <v>2668.99</v>
      </c>
      <c r="L1561" s="35"/>
      <c r="M1561" s="85"/>
      <c r="N1561" s="157" t="s">
        <v>1163</v>
      </c>
      <c r="O1561" s="68"/>
      <c r="P1561" s="66">
        <v>45352</v>
      </c>
    </row>
    <row r="1562" spans="1:16" s="8" customFormat="1" ht="12.75" customHeight="1">
      <c r="A1562" s="110">
        <f t="shared" si="31"/>
        <v>1541</v>
      </c>
      <c r="B1562" s="45" t="s">
        <v>626</v>
      </c>
      <c r="C1562" s="23" t="s">
        <v>130</v>
      </c>
      <c r="D1562" s="52" t="s">
        <v>894</v>
      </c>
      <c r="E1562" s="23" t="s">
        <v>19</v>
      </c>
      <c r="F1562" s="27">
        <v>16</v>
      </c>
      <c r="G1562" s="27">
        <v>14</v>
      </c>
      <c r="H1562" s="34"/>
      <c r="I1562" s="84">
        <v>2263.09</v>
      </c>
      <c r="J1562" s="136"/>
      <c r="K1562" s="118">
        <v>2514.36</v>
      </c>
      <c r="L1562" s="35"/>
      <c r="M1562" s="85"/>
      <c r="N1562" s="157" t="s">
        <v>1163</v>
      </c>
      <c r="O1562" s="68"/>
      <c r="P1562" s="66">
        <v>45352</v>
      </c>
    </row>
    <row r="1563" spans="1:16" s="8" customFormat="1" ht="12.75" customHeight="1">
      <c r="A1563" s="110">
        <f t="shared" si="31"/>
        <v>1542</v>
      </c>
      <c r="B1563" s="45" t="s">
        <v>626</v>
      </c>
      <c r="C1563" s="23" t="s">
        <v>130</v>
      </c>
      <c r="D1563" s="52" t="s">
        <v>894</v>
      </c>
      <c r="E1563" s="23" t="s">
        <v>19</v>
      </c>
      <c r="F1563" s="27">
        <v>15</v>
      </c>
      <c r="G1563" s="27"/>
      <c r="H1563" s="34"/>
      <c r="I1563" s="84">
        <v>2380.34</v>
      </c>
      <c r="J1563" s="136"/>
      <c r="K1563" s="118"/>
      <c r="L1563" s="35"/>
      <c r="M1563" s="85"/>
      <c r="N1563" s="157" t="s">
        <v>1163</v>
      </c>
      <c r="O1563" s="68"/>
      <c r="P1563" s="66">
        <v>45352</v>
      </c>
    </row>
    <row r="1564" spans="1:16" s="8" customFormat="1" ht="12" customHeight="1">
      <c r="A1564" s="110">
        <f t="shared" si="31"/>
        <v>1543</v>
      </c>
      <c r="B1564" s="158" t="s">
        <v>626</v>
      </c>
      <c r="C1564" s="23" t="s">
        <v>130</v>
      </c>
      <c r="D1564" s="52" t="s">
        <v>894</v>
      </c>
      <c r="E1564" s="23" t="s">
        <v>19</v>
      </c>
      <c r="F1564" s="27">
        <v>20</v>
      </c>
      <c r="G1564" s="27">
        <v>10</v>
      </c>
      <c r="H1564" s="34"/>
      <c r="I1564" s="84">
        <v>1399.05</v>
      </c>
      <c r="J1564" s="136"/>
      <c r="K1564" s="118">
        <v>2243.6999999999998</v>
      </c>
      <c r="L1564" s="35"/>
      <c r="M1564" s="85">
        <v>16893.07</v>
      </c>
      <c r="N1564" s="157" t="s">
        <v>1163</v>
      </c>
      <c r="O1564" s="68"/>
      <c r="P1564" s="66">
        <v>45689</v>
      </c>
    </row>
    <row r="1565" spans="1:16" s="8" customFormat="1" ht="12.75" customHeight="1">
      <c r="A1565" s="110">
        <f t="shared" si="31"/>
        <v>1544</v>
      </c>
      <c r="B1565" s="158" t="s">
        <v>626</v>
      </c>
      <c r="C1565" s="23" t="s">
        <v>130</v>
      </c>
      <c r="D1565" s="52" t="s">
        <v>894</v>
      </c>
      <c r="E1565" s="23" t="s">
        <v>19</v>
      </c>
      <c r="F1565" s="27">
        <v>19</v>
      </c>
      <c r="G1565" s="27">
        <v>11</v>
      </c>
      <c r="H1565" s="34"/>
      <c r="I1565" s="84">
        <v>1443.52</v>
      </c>
      <c r="J1565" s="136"/>
      <c r="K1565" s="118">
        <v>2090.12</v>
      </c>
      <c r="L1565" s="35"/>
      <c r="M1565" s="85"/>
      <c r="N1565" s="157" t="s">
        <v>1163</v>
      </c>
      <c r="O1565" s="68"/>
      <c r="P1565" s="66">
        <v>45689</v>
      </c>
    </row>
    <row r="1566" spans="1:16" s="8" customFormat="1" ht="12.75" customHeight="1">
      <c r="A1566" s="110">
        <f t="shared" si="31"/>
        <v>1545</v>
      </c>
      <c r="B1566" s="158" t="s">
        <v>626</v>
      </c>
      <c r="C1566" s="23" t="s">
        <v>130</v>
      </c>
      <c r="D1566" s="52" t="s">
        <v>894</v>
      </c>
      <c r="E1566" s="23" t="s">
        <v>19</v>
      </c>
      <c r="F1566" s="27">
        <v>18</v>
      </c>
      <c r="G1566" s="27">
        <v>12</v>
      </c>
      <c r="H1566" s="34"/>
      <c r="I1566" s="84">
        <v>1492.89</v>
      </c>
      <c r="J1566" s="136"/>
      <c r="K1566" s="118">
        <v>1962.14</v>
      </c>
      <c r="L1566" s="35"/>
      <c r="M1566" s="85"/>
      <c r="N1566" s="157" t="s">
        <v>1163</v>
      </c>
      <c r="O1566" s="68"/>
      <c r="P1566" s="66">
        <v>45689</v>
      </c>
    </row>
    <row r="1567" spans="1:16" s="8" customFormat="1" ht="12.75" customHeight="1">
      <c r="A1567" s="110">
        <f t="shared" si="31"/>
        <v>1546</v>
      </c>
      <c r="B1567" s="158" t="s">
        <v>626</v>
      </c>
      <c r="C1567" s="23" t="s">
        <v>130</v>
      </c>
      <c r="D1567" s="52" t="s">
        <v>894</v>
      </c>
      <c r="E1567" s="23" t="s">
        <v>19</v>
      </c>
      <c r="F1567" s="27">
        <v>17</v>
      </c>
      <c r="G1567" s="27">
        <v>13</v>
      </c>
      <c r="H1567" s="34"/>
      <c r="I1567" s="84">
        <v>1548.09</v>
      </c>
      <c r="J1567" s="136"/>
      <c r="K1567" s="118">
        <v>1853.86</v>
      </c>
      <c r="L1567" s="35"/>
      <c r="M1567" s="85"/>
      <c r="N1567" s="157" t="s">
        <v>1163</v>
      </c>
      <c r="O1567" s="68"/>
      <c r="P1567" s="66">
        <v>45689</v>
      </c>
    </row>
    <row r="1568" spans="1:16" s="8" customFormat="1" ht="12.75" customHeight="1">
      <c r="A1568" s="110">
        <f t="shared" si="31"/>
        <v>1547</v>
      </c>
      <c r="B1568" s="158" t="s">
        <v>626</v>
      </c>
      <c r="C1568" s="23" t="s">
        <v>130</v>
      </c>
      <c r="D1568" s="52" t="s">
        <v>894</v>
      </c>
      <c r="E1568" s="23" t="s">
        <v>19</v>
      </c>
      <c r="F1568" s="27">
        <v>16</v>
      </c>
      <c r="G1568" s="27">
        <v>14</v>
      </c>
      <c r="H1568" s="34"/>
      <c r="I1568" s="84">
        <v>1610.2</v>
      </c>
      <c r="J1568" s="136"/>
      <c r="K1568" s="118">
        <v>1761.05</v>
      </c>
      <c r="L1568" s="35"/>
      <c r="M1568" s="85"/>
      <c r="N1568" s="157" t="s">
        <v>1163</v>
      </c>
      <c r="O1568" s="68"/>
      <c r="P1568" s="66">
        <v>45689</v>
      </c>
    </row>
    <row r="1569" spans="1:16" s="8" customFormat="1" ht="12.75" customHeight="1">
      <c r="A1569" s="110">
        <f t="shared" si="31"/>
        <v>1548</v>
      </c>
      <c r="B1569" s="158" t="s">
        <v>626</v>
      </c>
      <c r="C1569" s="23" t="s">
        <v>130</v>
      </c>
      <c r="D1569" s="52" t="s">
        <v>894</v>
      </c>
      <c r="E1569" s="23" t="s">
        <v>19</v>
      </c>
      <c r="F1569" s="27">
        <v>15</v>
      </c>
      <c r="G1569" s="27"/>
      <c r="H1569" s="34"/>
      <c r="I1569" s="84">
        <v>1680.59</v>
      </c>
      <c r="J1569" s="136"/>
      <c r="K1569" s="118"/>
      <c r="L1569" s="35"/>
      <c r="M1569" s="85"/>
      <c r="N1569" s="157" t="s">
        <v>1163</v>
      </c>
      <c r="O1569" s="68"/>
      <c r="P1569" s="66">
        <v>45689</v>
      </c>
    </row>
    <row r="1570" spans="1:16" s="8" customFormat="1" ht="12.75" customHeight="1">
      <c r="A1570" s="110">
        <f t="shared" si="31"/>
        <v>1549</v>
      </c>
      <c r="B1570" s="45" t="s">
        <v>1012</v>
      </c>
      <c r="C1570" s="23" t="s">
        <v>130</v>
      </c>
      <c r="D1570" s="52" t="s">
        <v>894</v>
      </c>
      <c r="E1570" s="23" t="s">
        <v>19</v>
      </c>
      <c r="F1570" s="46" t="s">
        <v>977</v>
      </c>
      <c r="G1570" s="27"/>
      <c r="H1570" s="34"/>
      <c r="I1570" s="84">
        <v>78487.06</v>
      </c>
      <c r="J1570" s="136"/>
      <c r="K1570" s="118"/>
      <c r="L1570" s="35"/>
      <c r="M1570" s="85"/>
      <c r="N1570" s="157" t="s">
        <v>1163</v>
      </c>
      <c r="O1570" s="68"/>
      <c r="P1570" s="66">
        <v>45352</v>
      </c>
    </row>
    <row r="1571" spans="1:16" s="8" customFormat="1" ht="12.75" customHeight="1">
      <c r="A1571" s="110">
        <f t="shared" si="31"/>
        <v>1550</v>
      </c>
      <c r="B1571" s="158" t="s">
        <v>1012</v>
      </c>
      <c r="C1571" s="23" t="s">
        <v>130</v>
      </c>
      <c r="D1571" s="52" t="s">
        <v>894</v>
      </c>
      <c r="E1571" s="23" t="s">
        <v>19</v>
      </c>
      <c r="F1571" s="46" t="s">
        <v>977</v>
      </c>
      <c r="G1571" s="27"/>
      <c r="H1571" s="34"/>
      <c r="I1571" s="84">
        <v>85385.09</v>
      </c>
      <c r="J1571" s="136"/>
      <c r="K1571" s="118"/>
      <c r="L1571" s="35"/>
      <c r="M1571" s="85"/>
      <c r="N1571" s="157" t="s">
        <v>1163</v>
      </c>
      <c r="O1571" s="68"/>
      <c r="P1571" s="66">
        <v>45689</v>
      </c>
    </row>
    <row r="1572" spans="1:16" s="8" customFormat="1" ht="12.75" customHeight="1">
      <c r="A1572" s="110">
        <f t="shared" si="31"/>
        <v>1551</v>
      </c>
      <c r="B1572" s="52" t="s">
        <v>702</v>
      </c>
      <c r="C1572" s="23" t="s">
        <v>130</v>
      </c>
      <c r="D1572" s="52" t="s">
        <v>617</v>
      </c>
      <c r="E1572" s="23" t="s">
        <v>13</v>
      </c>
      <c r="F1572" s="27">
        <v>20</v>
      </c>
      <c r="G1572" s="27">
        <v>10</v>
      </c>
      <c r="H1572" s="34">
        <v>966.51</v>
      </c>
      <c r="I1572" s="84">
        <v>913.7</v>
      </c>
      <c r="J1572" s="136">
        <v>1488.51</v>
      </c>
      <c r="K1572" s="118">
        <v>1382.92</v>
      </c>
      <c r="L1572" s="35"/>
      <c r="M1572" s="85"/>
      <c r="N1572" s="99" t="s">
        <v>642</v>
      </c>
      <c r="O1572" s="69">
        <v>601</v>
      </c>
      <c r="P1572" s="66">
        <v>43617</v>
      </c>
    </row>
    <row r="1573" spans="1:16" s="8" customFormat="1" ht="12.75" customHeight="1">
      <c r="A1573" s="110">
        <f t="shared" si="31"/>
        <v>1552</v>
      </c>
      <c r="B1573" s="45" t="s">
        <v>702</v>
      </c>
      <c r="C1573" s="23" t="s">
        <v>130</v>
      </c>
      <c r="D1573" s="52" t="s">
        <v>617</v>
      </c>
      <c r="E1573" s="23" t="s">
        <v>13</v>
      </c>
      <c r="F1573" s="27">
        <v>20</v>
      </c>
      <c r="G1573" s="27">
        <v>10</v>
      </c>
      <c r="H1573" s="34"/>
      <c r="I1573" s="84">
        <v>944.61</v>
      </c>
      <c r="J1573" s="136"/>
      <c r="K1573" s="118">
        <v>1445.76</v>
      </c>
      <c r="L1573" s="35"/>
      <c r="M1573" s="85"/>
      <c r="N1573" s="99" t="s">
        <v>642</v>
      </c>
      <c r="O1573" s="69"/>
      <c r="P1573" s="66">
        <v>44562</v>
      </c>
    </row>
    <row r="1574" spans="1:16" s="8" customFormat="1" ht="12.75" customHeight="1">
      <c r="A1574" s="110">
        <f t="shared" si="31"/>
        <v>1553</v>
      </c>
      <c r="B1574" s="45" t="s">
        <v>702</v>
      </c>
      <c r="C1574" s="23" t="s">
        <v>130</v>
      </c>
      <c r="D1574" s="52" t="s">
        <v>617</v>
      </c>
      <c r="E1574" s="23" t="s">
        <v>13</v>
      </c>
      <c r="F1574" s="27">
        <v>20</v>
      </c>
      <c r="G1574" s="27">
        <v>10</v>
      </c>
      <c r="H1574" s="34"/>
      <c r="I1574" s="84">
        <v>1096.5899999999999</v>
      </c>
      <c r="J1574" s="136"/>
      <c r="K1574" s="118">
        <v>1748.75</v>
      </c>
      <c r="L1574" s="35"/>
      <c r="M1574" s="85"/>
      <c r="N1574" s="99" t="s">
        <v>642</v>
      </c>
      <c r="O1574" s="69"/>
      <c r="P1574" s="66">
        <v>44713</v>
      </c>
    </row>
    <row r="1575" spans="1:16" s="8" customFormat="1" ht="12.75" customHeight="1">
      <c r="A1575" s="110">
        <f t="shared" si="31"/>
        <v>1554</v>
      </c>
      <c r="B1575" s="45" t="s">
        <v>702</v>
      </c>
      <c r="C1575" s="23" t="s">
        <v>130</v>
      </c>
      <c r="D1575" s="52" t="s">
        <v>617</v>
      </c>
      <c r="E1575" s="23" t="s">
        <v>13</v>
      </c>
      <c r="F1575" s="27">
        <v>16</v>
      </c>
      <c r="G1575" s="27">
        <v>10</v>
      </c>
      <c r="H1575" s="34"/>
      <c r="I1575" s="84">
        <v>1069.9100000000001</v>
      </c>
      <c r="J1575" s="136"/>
      <c r="K1575" s="118">
        <v>1445.76</v>
      </c>
      <c r="L1575" s="35"/>
      <c r="M1575" s="85"/>
      <c r="N1575" s="99" t="s">
        <v>642</v>
      </c>
      <c r="O1575" s="69"/>
      <c r="P1575" s="66">
        <v>44562</v>
      </c>
    </row>
    <row r="1576" spans="1:16" s="8" customFormat="1" ht="12.75" customHeight="1">
      <c r="A1576" s="110">
        <f t="shared" si="31"/>
        <v>1555</v>
      </c>
      <c r="B1576" s="45" t="s">
        <v>702</v>
      </c>
      <c r="C1576" s="23" t="s">
        <v>130</v>
      </c>
      <c r="D1576" s="52" t="s">
        <v>617</v>
      </c>
      <c r="E1576" s="23" t="s">
        <v>13</v>
      </c>
      <c r="F1576" s="27">
        <v>20</v>
      </c>
      <c r="G1576" s="27">
        <v>10</v>
      </c>
      <c r="H1576" s="34"/>
      <c r="I1576" s="84">
        <v>1152.5899999999999</v>
      </c>
      <c r="J1576" s="136"/>
      <c r="K1576" s="118">
        <v>1816.41</v>
      </c>
      <c r="L1576" s="35"/>
      <c r="M1576" s="85"/>
      <c r="N1576" s="99" t="s">
        <v>642</v>
      </c>
      <c r="O1576" s="69"/>
      <c r="P1576" s="66">
        <v>45047</v>
      </c>
    </row>
    <row r="1577" spans="1:16" s="8" customFormat="1" ht="12.75" customHeight="1">
      <c r="A1577" s="110">
        <f t="shared" si="31"/>
        <v>1556</v>
      </c>
      <c r="B1577" s="181" t="s">
        <v>702</v>
      </c>
      <c r="C1577" s="23" t="s">
        <v>130</v>
      </c>
      <c r="D1577" s="52" t="s">
        <v>617</v>
      </c>
      <c r="E1577" s="23" t="s">
        <v>13</v>
      </c>
      <c r="F1577" s="27">
        <v>20</v>
      </c>
      <c r="G1577" s="27">
        <v>10</v>
      </c>
      <c r="H1577" s="34"/>
      <c r="I1577" s="84">
        <v>1170.7</v>
      </c>
      <c r="J1577" s="136"/>
      <c r="K1577" s="118">
        <v>1852.35</v>
      </c>
      <c r="L1577" s="35"/>
      <c r="M1577" s="85"/>
      <c r="N1577" s="157" t="s">
        <v>1163</v>
      </c>
      <c r="O1577" s="69"/>
      <c r="P1577" s="66">
        <v>45352</v>
      </c>
    </row>
    <row r="1578" spans="1:16" s="8" customFormat="1" ht="12.75" customHeight="1">
      <c r="A1578" s="110">
        <f t="shared" si="31"/>
        <v>1557</v>
      </c>
      <c r="B1578" s="181" t="s">
        <v>702</v>
      </c>
      <c r="C1578" s="23" t="s">
        <v>130</v>
      </c>
      <c r="D1578" s="52" t="s">
        <v>617</v>
      </c>
      <c r="E1578" s="23" t="s">
        <v>13</v>
      </c>
      <c r="F1578" s="27">
        <v>16</v>
      </c>
      <c r="G1578" s="27">
        <v>14</v>
      </c>
      <c r="H1578" s="34"/>
      <c r="I1578" s="84">
        <v>1341.13</v>
      </c>
      <c r="J1578" s="136"/>
      <c r="K1578" s="118">
        <v>1462.84</v>
      </c>
      <c r="L1578" s="35"/>
      <c r="M1578" s="85"/>
      <c r="N1578" s="157" t="s">
        <v>1163</v>
      </c>
      <c r="O1578" s="69"/>
      <c r="P1578" s="66">
        <v>45352</v>
      </c>
    </row>
    <row r="1579" spans="1:16" s="8" customFormat="1" ht="12.75" customHeight="1">
      <c r="A1579" s="110">
        <f t="shared" si="31"/>
        <v>1558</v>
      </c>
      <c r="B1579" s="158" t="s">
        <v>702</v>
      </c>
      <c r="C1579" s="23" t="s">
        <v>130</v>
      </c>
      <c r="D1579" s="52" t="s">
        <v>617</v>
      </c>
      <c r="E1579" s="23" t="s">
        <v>13</v>
      </c>
      <c r="F1579" s="27">
        <v>20</v>
      </c>
      <c r="G1579" s="27">
        <v>10</v>
      </c>
      <c r="H1579" s="34"/>
      <c r="I1579" s="84">
        <v>1266.03</v>
      </c>
      <c r="J1579" s="136"/>
      <c r="K1579" s="118">
        <v>1989.99</v>
      </c>
      <c r="L1579" s="35"/>
      <c r="M1579" s="85"/>
      <c r="N1579" s="157" t="s">
        <v>1163</v>
      </c>
      <c r="O1579" s="69"/>
      <c r="P1579" s="66">
        <v>45689</v>
      </c>
    </row>
    <row r="1580" spans="1:16" s="8" customFormat="1" ht="12.75" customHeight="1">
      <c r="A1580" s="110">
        <f t="shared" si="31"/>
        <v>1559</v>
      </c>
      <c r="B1580" s="158" t="s">
        <v>702</v>
      </c>
      <c r="C1580" s="23" t="s">
        <v>130</v>
      </c>
      <c r="D1580" s="52" t="s">
        <v>617</v>
      </c>
      <c r="E1580" s="23" t="s">
        <v>13</v>
      </c>
      <c r="F1580" s="27">
        <v>16</v>
      </c>
      <c r="G1580" s="27">
        <v>14</v>
      </c>
      <c r="H1580" s="34"/>
      <c r="I1580" s="84">
        <v>1447.02</v>
      </c>
      <c r="J1580" s="136"/>
      <c r="K1580" s="118">
        <v>1576.32</v>
      </c>
      <c r="L1580" s="35"/>
      <c r="M1580" s="85"/>
      <c r="N1580" s="157" t="s">
        <v>1163</v>
      </c>
      <c r="O1580" s="69" t="s">
        <v>885</v>
      </c>
      <c r="P1580" s="66">
        <v>45689</v>
      </c>
    </row>
    <row r="1581" spans="1:16" s="8" customFormat="1" ht="12.75" customHeight="1">
      <c r="A1581" s="110">
        <f t="shared" si="31"/>
        <v>1560</v>
      </c>
      <c r="B1581" s="55" t="s">
        <v>757</v>
      </c>
      <c r="C1581" s="23" t="s">
        <v>130</v>
      </c>
      <c r="D1581" s="52" t="s">
        <v>758</v>
      </c>
      <c r="E1581" s="23" t="s">
        <v>13</v>
      </c>
      <c r="F1581" s="27">
        <v>20</v>
      </c>
      <c r="G1581" s="27">
        <v>10</v>
      </c>
      <c r="H1581" s="34">
        <v>924.29</v>
      </c>
      <c r="I1581" s="84"/>
      <c r="J1581" s="136">
        <v>1405.17</v>
      </c>
      <c r="K1581" s="118"/>
      <c r="L1581" s="35"/>
      <c r="M1581" s="85"/>
      <c r="N1581" s="99" t="s">
        <v>642</v>
      </c>
      <c r="O1581" s="69">
        <v>601</v>
      </c>
      <c r="P1581" s="66">
        <v>42370</v>
      </c>
    </row>
    <row r="1582" spans="1:16" s="8" customFormat="1" ht="12.75" customHeight="1">
      <c r="A1582" s="110">
        <f t="shared" si="31"/>
        <v>1561</v>
      </c>
      <c r="B1582" s="45" t="s">
        <v>1023</v>
      </c>
      <c r="C1582" s="23" t="s">
        <v>117</v>
      </c>
      <c r="D1582" s="52" t="s">
        <v>558</v>
      </c>
      <c r="E1582" s="23" t="s">
        <v>19</v>
      </c>
      <c r="F1582" s="27">
        <v>20</v>
      </c>
      <c r="G1582" s="27">
        <v>10</v>
      </c>
      <c r="H1582" s="34"/>
      <c r="I1582" s="84">
        <v>1394.19</v>
      </c>
      <c r="J1582" s="136"/>
      <c r="K1582" s="118">
        <v>2223.5</v>
      </c>
      <c r="L1582" s="35"/>
      <c r="M1582" s="85">
        <v>16586.2</v>
      </c>
      <c r="N1582" s="38" t="s">
        <v>796</v>
      </c>
      <c r="O1582" s="69"/>
      <c r="P1582" s="66">
        <v>44562</v>
      </c>
    </row>
    <row r="1583" spans="1:16" s="8" customFormat="1" ht="12.75" customHeight="1">
      <c r="A1583" s="110">
        <f t="shared" si="31"/>
        <v>1562</v>
      </c>
      <c r="B1583" s="45" t="s">
        <v>1024</v>
      </c>
      <c r="C1583" s="23" t="s">
        <v>117</v>
      </c>
      <c r="D1583" s="52" t="s">
        <v>558</v>
      </c>
      <c r="E1583" s="23" t="s">
        <v>19</v>
      </c>
      <c r="F1583" s="46" t="s">
        <v>977</v>
      </c>
      <c r="G1583" s="27"/>
      <c r="H1583" s="34"/>
      <c r="I1583" s="84">
        <v>56043.03</v>
      </c>
      <c r="J1583" s="136"/>
      <c r="K1583" s="118"/>
      <c r="L1583" s="35"/>
      <c r="M1583" s="85"/>
      <c r="N1583" s="38" t="s">
        <v>796</v>
      </c>
      <c r="O1583" s="69"/>
      <c r="P1583" s="66">
        <v>44562</v>
      </c>
    </row>
    <row r="1584" spans="1:16" s="8" customFormat="1" ht="12.75" customHeight="1">
      <c r="A1584" s="110">
        <f t="shared" si="31"/>
        <v>1563</v>
      </c>
      <c r="B1584" s="45" t="s">
        <v>1023</v>
      </c>
      <c r="C1584" s="23" t="s">
        <v>117</v>
      </c>
      <c r="D1584" s="52" t="s">
        <v>558</v>
      </c>
      <c r="E1584" s="23" t="s">
        <v>19</v>
      </c>
      <c r="F1584" s="27">
        <v>20</v>
      </c>
      <c r="G1584" s="27">
        <v>10</v>
      </c>
      <c r="H1584" s="34"/>
      <c r="I1584" s="84">
        <v>1465.97</v>
      </c>
      <c r="J1584" s="136"/>
      <c r="K1584" s="118">
        <v>2344.4299999999998</v>
      </c>
      <c r="L1584" s="35"/>
      <c r="M1584" s="85"/>
      <c r="N1584" s="38" t="s">
        <v>796</v>
      </c>
      <c r="O1584" s="69"/>
      <c r="P1584" s="66">
        <v>45078</v>
      </c>
    </row>
    <row r="1585" spans="1:16" s="8" customFormat="1" ht="12.75" customHeight="1">
      <c r="A1585" s="110">
        <f t="shared" si="31"/>
        <v>1564</v>
      </c>
      <c r="B1585" s="45" t="s">
        <v>1024</v>
      </c>
      <c r="C1585" s="23" t="s">
        <v>117</v>
      </c>
      <c r="D1585" s="52" t="s">
        <v>558</v>
      </c>
      <c r="E1585" s="23" t="s">
        <v>19</v>
      </c>
      <c r="F1585" s="46" t="s">
        <v>977</v>
      </c>
      <c r="G1585" s="27"/>
      <c r="H1585" s="34"/>
      <c r="I1585" s="84">
        <v>56617.38</v>
      </c>
      <c r="J1585" s="136"/>
      <c r="K1585" s="118"/>
      <c r="L1585" s="35"/>
      <c r="M1585" s="85"/>
      <c r="N1585" s="38" t="s">
        <v>796</v>
      </c>
      <c r="O1585" s="69"/>
      <c r="P1585" s="66">
        <v>45078</v>
      </c>
    </row>
    <row r="1586" spans="1:16" s="8" customFormat="1" ht="12.75" customHeight="1">
      <c r="A1586" s="110">
        <f t="shared" si="31"/>
        <v>1565</v>
      </c>
      <c r="B1586" s="52" t="s">
        <v>835</v>
      </c>
      <c r="C1586" s="23" t="s">
        <v>117</v>
      </c>
      <c r="D1586" s="52" t="s">
        <v>559</v>
      </c>
      <c r="E1586" s="23" t="s">
        <v>13</v>
      </c>
      <c r="F1586" s="27">
        <v>20</v>
      </c>
      <c r="G1586" s="27">
        <v>10</v>
      </c>
      <c r="H1586" s="34"/>
      <c r="I1586" s="84">
        <v>1891.14</v>
      </c>
      <c r="J1586" s="142"/>
      <c r="K1586" s="118">
        <v>2557.14</v>
      </c>
      <c r="L1586" s="35"/>
      <c r="M1586" s="85">
        <v>11932.83</v>
      </c>
      <c r="N1586" s="38" t="s">
        <v>796</v>
      </c>
      <c r="O1586" s="69">
        <v>604</v>
      </c>
      <c r="P1586" s="66">
        <v>43617</v>
      </c>
    </row>
    <row r="1587" spans="1:16" s="8" customFormat="1" ht="12.75" customHeight="1">
      <c r="A1587" s="110">
        <f t="shared" si="31"/>
        <v>1566</v>
      </c>
      <c r="B1587" s="181" t="s">
        <v>1023</v>
      </c>
      <c r="C1587" s="23" t="s">
        <v>117</v>
      </c>
      <c r="D1587" s="52" t="s">
        <v>558</v>
      </c>
      <c r="E1587" s="23" t="s">
        <v>19</v>
      </c>
      <c r="F1587" s="27">
        <v>20</v>
      </c>
      <c r="G1587" s="27">
        <v>10</v>
      </c>
      <c r="H1587" s="34"/>
      <c r="I1587" s="84">
        <v>1686.02</v>
      </c>
      <c r="J1587" s="136"/>
      <c r="K1587" s="118">
        <v>2696.44</v>
      </c>
      <c r="L1587" s="35"/>
      <c r="M1587" s="85">
        <v>20208.36</v>
      </c>
      <c r="N1587" s="38" t="s">
        <v>796</v>
      </c>
      <c r="O1587" s="69"/>
      <c r="P1587" s="66">
        <v>45352</v>
      </c>
    </row>
    <row r="1588" spans="1:16" s="8" customFormat="1" ht="12.75" customHeight="1">
      <c r="A1588" s="110">
        <f t="shared" si="31"/>
        <v>1567</v>
      </c>
      <c r="B1588" s="45" t="s">
        <v>1023</v>
      </c>
      <c r="C1588" s="23" t="s">
        <v>117</v>
      </c>
      <c r="D1588" s="52" t="s">
        <v>558</v>
      </c>
      <c r="E1588" s="23" t="s">
        <v>19</v>
      </c>
      <c r="F1588" s="27">
        <v>19</v>
      </c>
      <c r="G1588" s="27">
        <v>11</v>
      </c>
      <c r="H1588" s="34"/>
      <c r="I1588" s="84">
        <v>1739.19</v>
      </c>
      <c r="J1588" s="136"/>
      <c r="K1588" s="118">
        <v>2512.73</v>
      </c>
      <c r="L1588" s="35"/>
      <c r="M1588" s="85"/>
      <c r="N1588" s="38" t="s">
        <v>796</v>
      </c>
      <c r="O1588" s="69"/>
      <c r="P1588" s="66">
        <v>45352</v>
      </c>
    </row>
    <row r="1589" spans="1:16" s="8" customFormat="1" ht="12.75" customHeight="1">
      <c r="A1589" s="110">
        <f t="shared" si="31"/>
        <v>1568</v>
      </c>
      <c r="B1589" s="45" t="s">
        <v>1023</v>
      </c>
      <c r="C1589" s="23" t="s">
        <v>117</v>
      </c>
      <c r="D1589" s="52" t="s">
        <v>558</v>
      </c>
      <c r="E1589" s="23" t="s">
        <v>19</v>
      </c>
      <c r="F1589" s="27">
        <v>18</v>
      </c>
      <c r="G1589" s="27">
        <v>12</v>
      </c>
      <c r="H1589" s="34"/>
      <c r="I1589" s="84">
        <v>1798.3</v>
      </c>
      <c r="J1589" s="136"/>
      <c r="K1589" s="118">
        <v>2359.62</v>
      </c>
      <c r="L1589" s="35"/>
      <c r="M1589" s="85"/>
      <c r="N1589" s="38" t="s">
        <v>796</v>
      </c>
      <c r="O1589" s="69"/>
      <c r="P1589" s="66">
        <v>45352</v>
      </c>
    </row>
    <row r="1590" spans="1:16" s="8" customFormat="1" ht="12.75" customHeight="1">
      <c r="A1590" s="110">
        <f t="shared" si="31"/>
        <v>1569</v>
      </c>
      <c r="B1590" s="45" t="s">
        <v>1023</v>
      </c>
      <c r="C1590" s="23" t="s">
        <v>117</v>
      </c>
      <c r="D1590" s="52" t="s">
        <v>558</v>
      </c>
      <c r="E1590" s="23" t="s">
        <v>19</v>
      </c>
      <c r="F1590" s="27">
        <v>17</v>
      </c>
      <c r="G1590" s="27">
        <v>13</v>
      </c>
      <c r="H1590" s="34"/>
      <c r="I1590" s="84">
        <v>1864.33</v>
      </c>
      <c r="J1590" s="136"/>
      <c r="K1590" s="118">
        <v>2230.08</v>
      </c>
      <c r="L1590" s="35"/>
      <c r="M1590" s="85"/>
      <c r="N1590" s="38" t="s">
        <v>796</v>
      </c>
      <c r="O1590" s="69"/>
      <c r="P1590" s="66">
        <v>45352</v>
      </c>
    </row>
    <row r="1591" spans="1:16" s="8" customFormat="1" ht="12.75" customHeight="1">
      <c r="A1591" s="110">
        <f t="shared" si="31"/>
        <v>1570</v>
      </c>
      <c r="B1591" s="45" t="s">
        <v>1023</v>
      </c>
      <c r="C1591" s="23" t="s">
        <v>117</v>
      </c>
      <c r="D1591" s="52" t="s">
        <v>558</v>
      </c>
      <c r="E1591" s="23" t="s">
        <v>19</v>
      </c>
      <c r="F1591" s="27">
        <v>16</v>
      </c>
      <c r="G1591" s="27">
        <v>14</v>
      </c>
      <c r="H1591" s="34"/>
      <c r="I1591" s="84">
        <v>1938.62</v>
      </c>
      <c r="J1591" s="136"/>
      <c r="K1591" s="118">
        <v>2119.04</v>
      </c>
      <c r="L1591" s="35"/>
      <c r="M1591" s="85"/>
      <c r="N1591" s="38" t="s">
        <v>796</v>
      </c>
      <c r="O1591" s="69"/>
      <c r="P1591" s="66">
        <v>45352</v>
      </c>
    </row>
    <row r="1592" spans="1:16" s="8" customFormat="1" ht="12.75" customHeight="1">
      <c r="A1592" s="110">
        <f t="shared" ref="A1592:A1655" si="32">A1591+1</f>
        <v>1571</v>
      </c>
      <c r="B1592" s="45" t="s">
        <v>1023</v>
      </c>
      <c r="C1592" s="23" t="s">
        <v>117</v>
      </c>
      <c r="D1592" s="52" t="s">
        <v>558</v>
      </c>
      <c r="E1592" s="23" t="s">
        <v>19</v>
      </c>
      <c r="F1592" s="27">
        <v>15</v>
      </c>
      <c r="G1592" s="27"/>
      <c r="H1592" s="34"/>
      <c r="I1592" s="84">
        <v>2022.82</v>
      </c>
      <c r="J1592" s="136"/>
      <c r="K1592" s="118"/>
      <c r="L1592" s="35"/>
      <c r="M1592" s="85"/>
      <c r="N1592" s="38" t="s">
        <v>796</v>
      </c>
      <c r="O1592" s="69"/>
      <c r="P1592" s="66">
        <v>45352</v>
      </c>
    </row>
    <row r="1593" spans="1:16" s="8" customFormat="1" ht="12.75" customHeight="1">
      <c r="A1593" s="110">
        <f t="shared" si="32"/>
        <v>1572</v>
      </c>
      <c r="B1593" s="45" t="s">
        <v>1023</v>
      </c>
      <c r="C1593" s="23" t="s">
        <v>117</v>
      </c>
      <c r="D1593" s="52" t="s">
        <v>558</v>
      </c>
      <c r="E1593" s="23" t="s">
        <v>19</v>
      </c>
      <c r="F1593" s="27">
        <v>20</v>
      </c>
      <c r="G1593" s="27">
        <v>10</v>
      </c>
      <c r="H1593" s="34"/>
      <c r="I1593" s="84">
        <v>1985.71</v>
      </c>
      <c r="J1593" s="136"/>
      <c r="K1593" s="118">
        <v>3174.18</v>
      </c>
      <c r="L1593" s="35"/>
      <c r="M1593" s="85">
        <v>23769.81</v>
      </c>
      <c r="N1593" s="38" t="s">
        <v>796</v>
      </c>
      <c r="O1593" s="69"/>
      <c r="P1593" s="66">
        <v>45689</v>
      </c>
    </row>
    <row r="1594" spans="1:16" s="8" customFormat="1" ht="12.75" customHeight="1">
      <c r="A1594" s="110">
        <f t="shared" si="32"/>
        <v>1573</v>
      </c>
      <c r="B1594" s="45" t="s">
        <v>1023</v>
      </c>
      <c r="C1594" s="23" t="s">
        <v>117</v>
      </c>
      <c r="D1594" s="52" t="s">
        <v>558</v>
      </c>
      <c r="E1594" s="23" t="s">
        <v>19</v>
      </c>
      <c r="F1594" s="27">
        <v>19</v>
      </c>
      <c r="G1594" s="27">
        <v>11</v>
      </c>
      <c r="H1594" s="34"/>
      <c r="I1594" s="84">
        <v>2048.25</v>
      </c>
      <c r="J1594" s="136"/>
      <c r="K1594" s="118">
        <v>2958.11</v>
      </c>
      <c r="L1594" s="35"/>
      <c r="M1594" s="85"/>
      <c r="N1594" s="38" t="s">
        <v>796</v>
      </c>
      <c r="O1594" s="69"/>
      <c r="P1594" s="66">
        <v>45689</v>
      </c>
    </row>
    <row r="1595" spans="1:16" s="8" customFormat="1" ht="12.75" customHeight="1">
      <c r="A1595" s="110">
        <f t="shared" si="32"/>
        <v>1574</v>
      </c>
      <c r="B1595" s="45" t="s">
        <v>1023</v>
      </c>
      <c r="C1595" s="23" t="s">
        <v>117</v>
      </c>
      <c r="D1595" s="52" t="s">
        <v>558</v>
      </c>
      <c r="E1595" s="23" t="s">
        <v>19</v>
      </c>
      <c r="F1595" s="27">
        <v>18</v>
      </c>
      <c r="G1595" s="27">
        <v>12</v>
      </c>
      <c r="H1595" s="34"/>
      <c r="I1595" s="84">
        <v>2117.7600000000002</v>
      </c>
      <c r="J1595" s="136"/>
      <c r="K1595" s="118">
        <v>2778.03</v>
      </c>
      <c r="L1595" s="35"/>
      <c r="M1595" s="85"/>
      <c r="N1595" s="38" t="s">
        <v>796</v>
      </c>
      <c r="O1595" s="69"/>
      <c r="P1595" s="66">
        <v>45689</v>
      </c>
    </row>
    <row r="1596" spans="1:16" s="8" customFormat="1" ht="12.75" customHeight="1">
      <c r="A1596" s="110">
        <f t="shared" si="32"/>
        <v>1575</v>
      </c>
      <c r="B1596" s="45" t="s">
        <v>1023</v>
      </c>
      <c r="C1596" s="23" t="s">
        <v>117</v>
      </c>
      <c r="D1596" s="52" t="s">
        <v>558</v>
      </c>
      <c r="E1596" s="23" t="s">
        <v>19</v>
      </c>
      <c r="F1596" s="27">
        <v>17</v>
      </c>
      <c r="G1596" s="27">
        <v>13</v>
      </c>
      <c r="H1596" s="34"/>
      <c r="I1596" s="84">
        <v>2195.4299999999998</v>
      </c>
      <c r="J1596" s="136"/>
      <c r="K1596" s="118">
        <v>2625.66</v>
      </c>
      <c r="L1596" s="35"/>
      <c r="M1596" s="85"/>
      <c r="N1596" s="38" t="s">
        <v>796</v>
      </c>
      <c r="O1596" s="69"/>
      <c r="P1596" s="66">
        <v>45689</v>
      </c>
    </row>
    <row r="1597" spans="1:16" s="8" customFormat="1" ht="12.75" customHeight="1">
      <c r="A1597" s="110">
        <f t="shared" si="32"/>
        <v>1576</v>
      </c>
      <c r="B1597" s="45" t="s">
        <v>1023</v>
      </c>
      <c r="C1597" s="23" t="s">
        <v>117</v>
      </c>
      <c r="D1597" s="52" t="s">
        <v>558</v>
      </c>
      <c r="E1597" s="23" t="s">
        <v>19</v>
      </c>
      <c r="F1597" s="27">
        <v>16</v>
      </c>
      <c r="G1597" s="27">
        <v>14</v>
      </c>
      <c r="H1597" s="34"/>
      <c r="I1597" s="84">
        <v>2282.83</v>
      </c>
      <c r="J1597" s="136"/>
      <c r="K1597" s="118">
        <v>2495.0700000000002</v>
      </c>
      <c r="L1597" s="35"/>
      <c r="M1597" s="85"/>
      <c r="N1597" s="38" t="s">
        <v>796</v>
      </c>
      <c r="O1597" s="69"/>
      <c r="P1597" s="66">
        <v>45689</v>
      </c>
    </row>
    <row r="1598" spans="1:16" s="8" customFormat="1" ht="12.75" customHeight="1">
      <c r="A1598" s="110">
        <f t="shared" si="32"/>
        <v>1577</v>
      </c>
      <c r="B1598" s="45" t="s">
        <v>1023</v>
      </c>
      <c r="C1598" s="23" t="s">
        <v>117</v>
      </c>
      <c r="D1598" s="52" t="s">
        <v>558</v>
      </c>
      <c r="E1598" s="23" t="s">
        <v>19</v>
      </c>
      <c r="F1598" s="27">
        <v>15</v>
      </c>
      <c r="G1598" s="27"/>
      <c r="H1598" s="34"/>
      <c r="I1598" s="84">
        <v>2381.85</v>
      </c>
      <c r="J1598" s="136"/>
      <c r="K1598" s="118"/>
      <c r="L1598" s="35"/>
      <c r="M1598" s="85"/>
      <c r="N1598" s="38" t="s">
        <v>796</v>
      </c>
      <c r="O1598" s="69"/>
      <c r="P1598" s="66">
        <v>45689</v>
      </c>
    </row>
    <row r="1599" spans="1:16" s="8" customFormat="1" ht="12.75" customHeight="1">
      <c r="A1599" s="110">
        <f t="shared" si="32"/>
        <v>1578</v>
      </c>
      <c r="B1599" s="45" t="s">
        <v>1024</v>
      </c>
      <c r="C1599" s="23" t="s">
        <v>117</v>
      </c>
      <c r="D1599" s="52" t="s">
        <v>558</v>
      </c>
      <c r="E1599" s="23" t="s">
        <v>19</v>
      </c>
      <c r="F1599" s="46" t="s">
        <v>977</v>
      </c>
      <c r="G1599" s="27"/>
      <c r="H1599" s="34"/>
      <c r="I1599" s="84">
        <v>78707.37</v>
      </c>
      <c r="J1599" s="136"/>
      <c r="K1599" s="118"/>
      <c r="L1599" s="35"/>
      <c r="M1599" s="85"/>
      <c r="N1599" s="38" t="s">
        <v>796</v>
      </c>
      <c r="O1599" s="69"/>
      <c r="P1599" s="66">
        <v>45352</v>
      </c>
    </row>
    <row r="1600" spans="1:16" s="8" customFormat="1" ht="12.75" customHeight="1">
      <c r="A1600" s="110">
        <f t="shared" si="32"/>
        <v>1579</v>
      </c>
      <c r="B1600" s="45" t="s">
        <v>1024</v>
      </c>
      <c r="C1600" s="23" t="s">
        <v>117</v>
      </c>
      <c r="D1600" s="52" t="s">
        <v>558</v>
      </c>
      <c r="E1600" s="23" t="s">
        <v>19</v>
      </c>
      <c r="F1600" s="46" t="s">
        <v>977</v>
      </c>
      <c r="G1600" s="27"/>
      <c r="H1600" s="34"/>
      <c r="I1600" s="84">
        <v>90878.26</v>
      </c>
      <c r="J1600" s="136"/>
      <c r="K1600" s="118"/>
      <c r="L1600" s="35"/>
      <c r="M1600" s="85"/>
      <c r="N1600" s="38" t="s">
        <v>796</v>
      </c>
      <c r="O1600" s="69"/>
      <c r="P1600" s="66">
        <v>45689</v>
      </c>
    </row>
    <row r="1601" spans="1:16" s="8" customFormat="1" ht="12.75" customHeight="1">
      <c r="A1601" s="110">
        <f t="shared" si="32"/>
        <v>1580</v>
      </c>
      <c r="B1601" s="158" t="s">
        <v>1023</v>
      </c>
      <c r="C1601" s="23" t="s">
        <v>117</v>
      </c>
      <c r="D1601" s="52" t="s">
        <v>558</v>
      </c>
      <c r="E1601" s="23" t="s">
        <v>19</v>
      </c>
      <c r="F1601" s="46">
        <v>20</v>
      </c>
      <c r="G1601" s="27">
        <v>10</v>
      </c>
      <c r="H1601" s="34"/>
      <c r="I1601" s="84">
        <v>2491.88</v>
      </c>
      <c r="J1601" s="136"/>
      <c r="K1601" s="118">
        <v>3878.85</v>
      </c>
      <c r="L1601" s="35"/>
      <c r="M1601" s="85">
        <v>27739.1</v>
      </c>
      <c r="N1601" s="38" t="s">
        <v>796</v>
      </c>
      <c r="O1601" s="69"/>
      <c r="P1601" s="193">
        <v>46082</v>
      </c>
    </row>
    <row r="1602" spans="1:16" s="8" customFormat="1" ht="12.75" customHeight="1">
      <c r="A1602" s="110">
        <f t="shared" si="32"/>
        <v>1581</v>
      </c>
      <c r="B1602" s="158" t="s">
        <v>1023</v>
      </c>
      <c r="C1602" s="23" t="s">
        <v>117</v>
      </c>
      <c r="D1602" s="52" t="s">
        <v>558</v>
      </c>
      <c r="E1602" s="23" t="s">
        <v>19</v>
      </c>
      <c r="F1602" s="46">
        <v>19</v>
      </c>
      <c r="G1602" s="27">
        <v>11</v>
      </c>
      <c r="H1602" s="34"/>
      <c r="I1602" s="84">
        <v>2564.9</v>
      </c>
      <c r="J1602" s="136"/>
      <c r="K1602" s="118">
        <v>3626.67</v>
      </c>
      <c r="L1602" s="35"/>
      <c r="M1602" s="85"/>
      <c r="N1602" s="38" t="s">
        <v>796</v>
      </c>
      <c r="O1602" s="69"/>
      <c r="P1602" s="193">
        <v>46082</v>
      </c>
    </row>
    <row r="1603" spans="1:16" s="8" customFormat="1" ht="12.75" customHeight="1">
      <c r="A1603" s="110">
        <f t="shared" si="32"/>
        <v>1582</v>
      </c>
      <c r="B1603" s="158" t="s">
        <v>1023</v>
      </c>
      <c r="C1603" s="23" t="s">
        <v>117</v>
      </c>
      <c r="D1603" s="52" t="s">
        <v>558</v>
      </c>
      <c r="E1603" s="23" t="s">
        <v>19</v>
      </c>
      <c r="F1603" s="46">
        <v>18</v>
      </c>
      <c r="G1603" s="27">
        <v>12</v>
      </c>
      <c r="H1603" s="34"/>
      <c r="I1603" s="84">
        <v>2646.02</v>
      </c>
      <c r="J1603" s="136"/>
      <c r="K1603" s="118">
        <v>3416.53</v>
      </c>
      <c r="L1603" s="35"/>
      <c r="M1603" s="85"/>
      <c r="N1603" s="38" t="s">
        <v>796</v>
      </c>
      <c r="O1603" s="69"/>
      <c r="P1603" s="193">
        <v>46082</v>
      </c>
    </row>
    <row r="1604" spans="1:16" s="8" customFormat="1" ht="12.75" customHeight="1">
      <c r="A1604" s="110">
        <f t="shared" si="32"/>
        <v>1583</v>
      </c>
      <c r="B1604" s="158" t="s">
        <v>1023</v>
      </c>
      <c r="C1604" s="23" t="s">
        <v>117</v>
      </c>
      <c r="D1604" s="52" t="s">
        <v>558</v>
      </c>
      <c r="E1604" s="23" t="s">
        <v>19</v>
      </c>
      <c r="F1604" s="46">
        <v>17</v>
      </c>
      <c r="G1604" s="27">
        <v>13</v>
      </c>
      <c r="H1604" s="34"/>
      <c r="I1604" s="84">
        <v>2736.62</v>
      </c>
      <c r="J1604" s="136"/>
      <c r="K1604" s="118">
        <v>3238.71</v>
      </c>
      <c r="L1604" s="35"/>
      <c r="M1604" s="85"/>
      <c r="N1604" s="38" t="s">
        <v>796</v>
      </c>
      <c r="O1604" s="69"/>
      <c r="P1604" s="193">
        <v>46082</v>
      </c>
    </row>
    <row r="1605" spans="1:16" s="8" customFormat="1" ht="12.75" customHeight="1">
      <c r="A1605" s="110">
        <f t="shared" si="32"/>
        <v>1584</v>
      </c>
      <c r="B1605" s="158" t="s">
        <v>1023</v>
      </c>
      <c r="C1605" s="23" t="s">
        <v>117</v>
      </c>
      <c r="D1605" s="52" t="s">
        <v>558</v>
      </c>
      <c r="E1605" s="23" t="s">
        <v>19</v>
      </c>
      <c r="F1605" s="46">
        <v>16</v>
      </c>
      <c r="G1605" s="27">
        <v>14</v>
      </c>
      <c r="H1605" s="34"/>
      <c r="I1605" s="84">
        <v>2838.65</v>
      </c>
      <c r="J1605" s="136"/>
      <c r="K1605" s="118">
        <v>3086.31</v>
      </c>
      <c r="L1605" s="35"/>
      <c r="M1605" s="85"/>
      <c r="N1605" s="38" t="s">
        <v>796</v>
      </c>
      <c r="O1605" s="69"/>
      <c r="P1605" s="193">
        <v>46082</v>
      </c>
    </row>
    <row r="1606" spans="1:16" s="8" customFormat="1" ht="12.75" customHeight="1">
      <c r="A1606" s="110">
        <f t="shared" si="32"/>
        <v>1585</v>
      </c>
      <c r="B1606" s="158" t="s">
        <v>1023</v>
      </c>
      <c r="C1606" s="23" t="s">
        <v>117</v>
      </c>
      <c r="D1606" s="52" t="s">
        <v>558</v>
      </c>
      <c r="E1606" s="23" t="s">
        <v>19</v>
      </c>
      <c r="F1606" s="46">
        <v>15</v>
      </c>
      <c r="G1606" s="27"/>
      <c r="H1606" s="34"/>
      <c r="I1606" s="84">
        <v>2954.23</v>
      </c>
      <c r="J1606" s="136"/>
      <c r="K1606" s="118"/>
      <c r="L1606" s="35"/>
      <c r="M1606" s="85"/>
      <c r="N1606" s="38" t="s">
        <v>796</v>
      </c>
      <c r="O1606" s="69"/>
      <c r="P1606" s="193">
        <v>46082</v>
      </c>
    </row>
    <row r="1607" spans="1:16" s="8" customFormat="1" ht="12.75" customHeight="1">
      <c r="A1607" s="110">
        <f t="shared" si="32"/>
        <v>1586</v>
      </c>
      <c r="B1607" s="158" t="s">
        <v>1024</v>
      </c>
      <c r="C1607" s="23" t="s">
        <v>117</v>
      </c>
      <c r="D1607" s="52" t="s">
        <v>558</v>
      </c>
      <c r="E1607" s="23" t="s">
        <v>19</v>
      </c>
      <c r="F1607" s="46" t="s">
        <v>977</v>
      </c>
      <c r="G1607" s="27"/>
      <c r="H1607" s="34"/>
      <c r="I1607" s="84">
        <v>114391.35</v>
      </c>
      <c r="J1607" s="136"/>
      <c r="K1607" s="118"/>
      <c r="L1607" s="35"/>
      <c r="M1607" s="85"/>
      <c r="N1607" s="38" t="s">
        <v>796</v>
      </c>
      <c r="O1607" s="69"/>
      <c r="P1607" s="193">
        <v>46082</v>
      </c>
    </row>
    <row r="1608" spans="1:16" s="8" customFormat="1" ht="12.75" customHeight="1">
      <c r="A1608" s="110">
        <f t="shared" si="32"/>
        <v>1587</v>
      </c>
      <c r="B1608" s="52" t="s">
        <v>699</v>
      </c>
      <c r="C1608" s="23" t="s">
        <v>117</v>
      </c>
      <c r="D1608" s="52" t="s">
        <v>559</v>
      </c>
      <c r="E1608" s="23" t="s">
        <v>13</v>
      </c>
      <c r="F1608" s="27">
        <v>20</v>
      </c>
      <c r="G1608" s="27">
        <v>10</v>
      </c>
      <c r="H1608" s="34">
        <v>927.24</v>
      </c>
      <c r="I1608" s="84">
        <v>916.81</v>
      </c>
      <c r="J1608" s="142">
        <v>1343.88</v>
      </c>
      <c r="K1608" s="118">
        <v>1323.03</v>
      </c>
      <c r="L1608" s="35"/>
      <c r="M1608" s="85"/>
      <c r="N1608" s="38" t="s">
        <v>796</v>
      </c>
      <c r="O1608" s="69">
        <v>604</v>
      </c>
      <c r="P1608" s="66">
        <v>43617</v>
      </c>
    </row>
    <row r="1609" spans="1:16" s="8" customFormat="1" ht="12.75" customHeight="1">
      <c r="A1609" s="110">
        <f t="shared" si="32"/>
        <v>1588</v>
      </c>
      <c r="B1609" s="45" t="s">
        <v>699</v>
      </c>
      <c r="C1609" s="23" t="s">
        <v>959</v>
      </c>
      <c r="D1609" s="94" t="s">
        <v>960</v>
      </c>
      <c r="E1609" s="23" t="s">
        <v>13</v>
      </c>
      <c r="F1609" s="27">
        <v>20</v>
      </c>
      <c r="G1609" s="27">
        <v>10</v>
      </c>
      <c r="H1609" s="34"/>
      <c r="I1609" s="84">
        <v>976.03</v>
      </c>
      <c r="J1609" s="136"/>
      <c r="K1609" s="118">
        <v>1417.39</v>
      </c>
      <c r="L1609" s="35"/>
      <c r="M1609" s="85"/>
      <c r="N1609" s="38" t="s">
        <v>796</v>
      </c>
      <c r="O1609" s="69"/>
      <c r="P1609" s="66">
        <v>44562</v>
      </c>
    </row>
    <row r="1610" spans="1:16" s="8" customFormat="1" ht="12.75" customHeight="1">
      <c r="A1610" s="110">
        <f t="shared" si="32"/>
        <v>1589</v>
      </c>
      <c r="B1610" s="45" t="s">
        <v>699</v>
      </c>
      <c r="C1610" s="23" t="s">
        <v>117</v>
      </c>
      <c r="D1610" s="52" t="s">
        <v>559</v>
      </c>
      <c r="E1610" s="23" t="s">
        <v>13</v>
      </c>
      <c r="F1610" s="27">
        <v>20</v>
      </c>
      <c r="G1610" s="27">
        <v>10</v>
      </c>
      <c r="H1610" s="34"/>
      <c r="I1610" s="84">
        <v>1390.68</v>
      </c>
      <c r="J1610" s="136"/>
      <c r="K1610" s="118">
        <v>2026.52</v>
      </c>
      <c r="L1610" s="35"/>
      <c r="M1610" s="85"/>
      <c r="N1610" s="38" t="s">
        <v>796</v>
      </c>
      <c r="O1610" s="69"/>
      <c r="P1610" s="66">
        <v>45689</v>
      </c>
    </row>
    <row r="1611" spans="1:16" s="8" customFormat="1" ht="12.75" customHeight="1">
      <c r="A1611" s="110">
        <f t="shared" si="32"/>
        <v>1590</v>
      </c>
      <c r="B1611" s="45" t="s">
        <v>699</v>
      </c>
      <c r="C1611" s="23" t="s">
        <v>117</v>
      </c>
      <c r="D1611" s="52" t="s">
        <v>559</v>
      </c>
      <c r="E1611" s="23" t="s">
        <v>13</v>
      </c>
      <c r="F1611" s="46">
        <v>16</v>
      </c>
      <c r="G1611" s="27">
        <v>14</v>
      </c>
      <c r="H1611" s="34"/>
      <c r="I1611" s="84">
        <v>1549.63</v>
      </c>
      <c r="J1611" s="136"/>
      <c r="K1611" s="118">
        <v>1663.2</v>
      </c>
      <c r="L1611" s="35"/>
      <c r="M1611" s="85"/>
      <c r="N1611" s="38" t="s">
        <v>796</v>
      </c>
      <c r="O1611" s="69"/>
      <c r="P1611" s="66">
        <v>45689</v>
      </c>
    </row>
    <row r="1612" spans="1:16" s="8" customFormat="1" ht="12.75" customHeight="1">
      <c r="A1612" s="110">
        <f t="shared" si="32"/>
        <v>1591</v>
      </c>
      <c r="B1612" s="183" t="s">
        <v>699</v>
      </c>
      <c r="C1612" s="23" t="s">
        <v>117</v>
      </c>
      <c r="D1612" s="52" t="s">
        <v>559</v>
      </c>
      <c r="E1612" s="23" t="s">
        <v>13</v>
      </c>
      <c r="F1612" s="27">
        <v>20</v>
      </c>
      <c r="G1612" s="27">
        <v>10</v>
      </c>
      <c r="H1612" s="34"/>
      <c r="I1612" s="84">
        <v>1732.99</v>
      </c>
      <c r="J1612" s="136"/>
      <c r="K1612" s="118">
        <v>2495.5300000000002</v>
      </c>
      <c r="L1612" s="35"/>
      <c r="M1612" s="85"/>
      <c r="N1612" s="38" t="s">
        <v>796</v>
      </c>
      <c r="O1612" s="69"/>
      <c r="P1612" s="193">
        <v>46082</v>
      </c>
    </row>
    <row r="1613" spans="1:16" s="8" customFormat="1" ht="12.75" customHeight="1">
      <c r="A1613" s="110">
        <f t="shared" si="32"/>
        <v>1592</v>
      </c>
      <c r="B1613" s="183" t="s">
        <v>699</v>
      </c>
      <c r="C1613" s="23" t="s">
        <v>117</v>
      </c>
      <c r="D1613" s="52" t="s">
        <v>559</v>
      </c>
      <c r="E1613" s="23" t="s">
        <v>13</v>
      </c>
      <c r="F1613" s="46">
        <v>16</v>
      </c>
      <c r="G1613" s="27">
        <v>14</v>
      </c>
      <c r="H1613" s="34"/>
      <c r="I1613" s="84">
        <v>1923.61</v>
      </c>
      <c r="J1613" s="136"/>
      <c r="K1613" s="118">
        <v>2059.79</v>
      </c>
      <c r="L1613" s="35"/>
      <c r="M1613" s="85"/>
      <c r="N1613" s="38" t="s">
        <v>796</v>
      </c>
      <c r="O1613" s="69"/>
      <c r="P1613" s="193">
        <v>46082</v>
      </c>
    </row>
    <row r="1614" spans="1:16" s="8" customFormat="1" ht="12.75" customHeight="1">
      <c r="A1614" s="110">
        <f t="shared" si="32"/>
        <v>1593</v>
      </c>
      <c r="B1614" s="52">
        <v>188</v>
      </c>
      <c r="C1614" s="23" t="s">
        <v>117</v>
      </c>
      <c r="D1614" s="87" t="s">
        <v>141</v>
      </c>
      <c r="E1614" s="86" t="s">
        <v>13</v>
      </c>
      <c r="F1614" s="88">
        <v>20</v>
      </c>
      <c r="G1614" s="88">
        <v>10</v>
      </c>
      <c r="H1614" s="89">
        <v>956.47</v>
      </c>
      <c r="I1614" s="84">
        <v>946.04</v>
      </c>
      <c r="J1614" s="142">
        <v>1373.1</v>
      </c>
      <c r="K1614" s="118">
        <v>1352.26</v>
      </c>
      <c r="L1614" s="90"/>
      <c r="M1614" s="85"/>
      <c r="N1614" s="38" t="s">
        <v>796</v>
      </c>
      <c r="O1614" s="91">
        <v>604</v>
      </c>
      <c r="P1614" s="66">
        <v>43617</v>
      </c>
    </row>
    <row r="1615" spans="1:16" s="8" customFormat="1" ht="12.75" customHeight="1">
      <c r="A1615" s="110">
        <f t="shared" si="32"/>
        <v>1594</v>
      </c>
      <c r="B1615" s="52" t="s">
        <v>700</v>
      </c>
      <c r="C1615" s="23" t="s">
        <v>117</v>
      </c>
      <c r="D1615" s="87" t="s">
        <v>141</v>
      </c>
      <c r="E1615" s="86" t="s">
        <v>13</v>
      </c>
      <c r="F1615" s="88">
        <v>19</v>
      </c>
      <c r="G1615" s="88">
        <v>10</v>
      </c>
      <c r="H1615" s="89"/>
      <c r="I1615" s="84">
        <v>967.4</v>
      </c>
      <c r="J1615" s="142"/>
      <c r="K1615" s="118">
        <v>1352.26</v>
      </c>
      <c r="L1615" s="90"/>
      <c r="M1615" s="85"/>
      <c r="N1615" s="38" t="s">
        <v>796</v>
      </c>
      <c r="O1615" s="91">
        <v>604</v>
      </c>
      <c r="P1615" s="66">
        <v>43617</v>
      </c>
    </row>
    <row r="1616" spans="1:16" s="8" customFormat="1" ht="12.75" customHeight="1">
      <c r="A1616" s="110">
        <f t="shared" si="32"/>
        <v>1595</v>
      </c>
      <c r="B1616" s="52" t="s">
        <v>700</v>
      </c>
      <c r="C1616" s="23" t="s">
        <v>117</v>
      </c>
      <c r="D1616" s="87" t="s">
        <v>558</v>
      </c>
      <c r="E1616" s="86" t="s">
        <v>13</v>
      </c>
      <c r="F1616" s="88">
        <v>14</v>
      </c>
      <c r="G1616" s="88">
        <v>8</v>
      </c>
      <c r="H1616" s="89"/>
      <c r="I1616" s="84">
        <v>1120.1199999999999</v>
      </c>
      <c r="J1616" s="142"/>
      <c r="K1616" s="118">
        <v>1555.39</v>
      </c>
      <c r="L1616" s="90"/>
      <c r="M1616" s="85"/>
      <c r="N1616" s="38" t="s">
        <v>796</v>
      </c>
      <c r="O1616" s="91"/>
      <c r="P1616" s="66">
        <v>43617</v>
      </c>
    </row>
    <row r="1617" spans="1:16" s="8" customFormat="1" ht="12.75" customHeight="1">
      <c r="A1617" s="110">
        <f t="shared" si="32"/>
        <v>1596</v>
      </c>
      <c r="B1617" s="52" t="s">
        <v>700</v>
      </c>
      <c r="C1617" s="23" t="s">
        <v>117</v>
      </c>
      <c r="D1617" s="87" t="s">
        <v>558</v>
      </c>
      <c r="E1617" s="86" t="s">
        <v>13</v>
      </c>
      <c r="F1617" s="88">
        <v>20</v>
      </c>
      <c r="G1617" s="88">
        <v>10</v>
      </c>
      <c r="H1617" s="89"/>
      <c r="I1617" s="84">
        <v>1018.7</v>
      </c>
      <c r="J1617" s="142"/>
      <c r="K1617" s="118">
        <v>1460.07</v>
      </c>
      <c r="L1617" s="90"/>
      <c r="M1617" s="85"/>
      <c r="N1617" s="38" t="s">
        <v>796</v>
      </c>
      <c r="O1617" s="91"/>
      <c r="P1617" s="66">
        <v>44562</v>
      </c>
    </row>
    <row r="1618" spans="1:16" s="8" customFormat="1" ht="12.75" customHeight="1">
      <c r="A1618" s="110">
        <f t="shared" si="32"/>
        <v>1597</v>
      </c>
      <c r="B1618" s="52" t="s">
        <v>700</v>
      </c>
      <c r="C1618" s="23" t="s">
        <v>117</v>
      </c>
      <c r="D1618" s="87" t="s">
        <v>558</v>
      </c>
      <c r="E1618" s="86" t="s">
        <v>13</v>
      </c>
      <c r="F1618" s="88">
        <v>20</v>
      </c>
      <c r="G1618" s="88">
        <v>10</v>
      </c>
      <c r="H1618" s="89"/>
      <c r="I1618" s="84">
        <v>1070.8499999999999</v>
      </c>
      <c r="J1618" s="142"/>
      <c r="K1618" s="118">
        <v>1541.07</v>
      </c>
      <c r="L1618" s="90"/>
      <c r="M1618" s="85"/>
      <c r="N1618" s="38" t="s">
        <v>796</v>
      </c>
      <c r="O1618" s="91"/>
      <c r="P1618" s="66">
        <v>45078</v>
      </c>
    </row>
    <row r="1619" spans="1:16" s="8" customFormat="1" ht="12.75" customHeight="1">
      <c r="A1619" s="110">
        <f t="shared" si="32"/>
        <v>1598</v>
      </c>
      <c r="B1619" s="94" t="s">
        <v>700</v>
      </c>
      <c r="C1619" s="23" t="s">
        <v>117</v>
      </c>
      <c r="D1619" s="87" t="s">
        <v>558</v>
      </c>
      <c r="E1619" s="86" t="s">
        <v>13</v>
      </c>
      <c r="F1619" s="88">
        <v>20</v>
      </c>
      <c r="G1619" s="88">
        <v>10</v>
      </c>
      <c r="H1619" s="89"/>
      <c r="I1619" s="84">
        <v>1231.5999999999999</v>
      </c>
      <c r="J1619" s="142"/>
      <c r="K1619" s="118">
        <v>1772.4</v>
      </c>
      <c r="L1619" s="90"/>
      <c r="M1619" s="85"/>
      <c r="N1619" s="38" t="s">
        <v>796</v>
      </c>
      <c r="O1619" s="91"/>
      <c r="P1619" s="66">
        <v>45352</v>
      </c>
    </row>
    <row r="1620" spans="1:16" s="8" customFormat="1" ht="12.75" customHeight="1">
      <c r="A1620" s="110">
        <f t="shared" si="32"/>
        <v>1599</v>
      </c>
      <c r="B1620" s="94" t="s">
        <v>700</v>
      </c>
      <c r="C1620" s="23" t="s">
        <v>117</v>
      </c>
      <c r="D1620" s="87" t="s">
        <v>558</v>
      </c>
      <c r="E1620" s="86" t="s">
        <v>13</v>
      </c>
      <c r="F1620" s="88">
        <v>16</v>
      </c>
      <c r="G1620" s="88">
        <v>14</v>
      </c>
      <c r="H1620" s="89"/>
      <c r="I1620" s="84">
        <v>1366.79</v>
      </c>
      <c r="J1620" s="142"/>
      <c r="K1620" s="118">
        <v>1463.39</v>
      </c>
      <c r="L1620" s="90"/>
      <c r="M1620" s="85"/>
      <c r="N1620" s="38" t="s">
        <v>796</v>
      </c>
      <c r="O1620" s="91"/>
      <c r="P1620" s="66">
        <v>45352</v>
      </c>
    </row>
    <row r="1621" spans="1:16" s="8" customFormat="1" ht="12.75" customHeight="1">
      <c r="A1621" s="110">
        <f t="shared" si="32"/>
        <v>1600</v>
      </c>
      <c r="B1621" s="94" t="s">
        <v>700</v>
      </c>
      <c r="C1621" s="23" t="s">
        <v>117</v>
      </c>
      <c r="D1621" s="87" t="s">
        <v>558</v>
      </c>
      <c r="E1621" s="86" t="s">
        <v>13</v>
      </c>
      <c r="F1621" s="88">
        <v>20</v>
      </c>
      <c r="G1621" s="88">
        <v>10</v>
      </c>
      <c r="H1621" s="89"/>
      <c r="I1621" s="84">
        <v>1450.9</v>
      </c>
      <c r="J1621" s="142"/>
      <c r="K1621" s="118">
        <v>2086.7399999999998</v>
      </c>
      <c r="L1621" s="90"/>
      <c r="M1621" s="85"/>
      <c r="N1621" s="38" t="s">
        <v>796</v>
      </c>
      <c r="O1621" s="91"/>
      <c r="P1621" s="66">
        <v>45689</v>
      </c>
    </row>
    <row r="1622" spans="1:16" s="8" customFormat="1" ht="12.75" customHeight="1">
      <c r="A1622" s="110">
        <f t="shared" si="32"/>
        <v>1601</v>
      </c>
      <c r="B1622" s="94" t="s">
        <v>700</v>
      </c>
      <c r="C1622" s="23" t="s">
        <v>117</v>
      </c>
      <c r="D1622" s="87" t="s">
        <v>558</v>
      </c>
      <c r="E1622" s="86" t="s">
        <v>13</v>
      </c>
      <c r="F1622" s="88">
        <v>16</v>
      </c>
      <c r="G1622" s="88">
        <v>14</v>
      </c>
      <c r="H1622" s="89"/>
      <c r="I1622" s="84">
        <v>1609.86</v>
      </c>
      <c r="J1622" s="142"/>
      <c r="K1622" s="118">
        <v>1723.42</v>
      </c>
      <c r="L1622" s="90"/>
      <c r="M1622" s="85"/>
      <c r="N1622" s="38" t="s">
        <v>796</v>
      </c>
      <c r="O1622" s="91"/>
      <c r="P1622" s="66">
        <v>45689</v>
      </c>
    </row>
    <row r="1623" spans="1:16" s="8" customFormat="1" ht="12.75" customHeight="1">
      <c r="A1623" s="110">
        <f t="shared" si="32"/>
        <v>1602</v>
      </c>
      <c r="B1623" s="155" t="s">
        <v>700</v>
      </c>
      <c r="C1623" s="23" t="s">
        <v>117</v>
      </c>
      <c r="D1623" s="87" t="s">
        <v>558</v>
      </c>
      <c r="E1623" s="86" t="s">
        <v>13</v>
      </c>
      <c r="F1623" s="88">
        <v>20</v>
      </c>
      <c r="G1623" s="88">
        <v>10</v>
      </c>
      <c r="H1623" s="89"/>
      <c r="I1623" s="84">
        <v>1887.19</v>
      </c>
      <c r="J1623" s="142"/>
      <c r="K1623" s="118">
        <v>2649.74</v>
      </c>
      <c r="L1623" s="90"/>
      <c r="M1623" s="85"/>
      <c r="N1623" s="38" t="s">
        <v>796</v>
      </c>
      <c r="O1623" s="91"/>
      <c r="P1623" s="193">
        <v>46082</v>
      </c>
    </row>
    <row r="1624" spans="1:16" s="8" customFormat="1" ht="12.75" customHeight="1">
      <c r="A1624" s="110">
        <f t="shared" si="32"/>
        <v>1603</v>
      </c>
      <c r="B1624" s="155" t="s">
        <v>700</v>
      </c>
      <c r="C1624" s="23" t="s">
        <v>117</v>
      </c>
      <c r="D1624" s="87" t="s">
        <v>558</v>
      </c>
      <c r="E1624" s="86" t="s">
        <v>13</v>
      </c>
      <c r="F1624" s="88">
        <v>16</v>
      </c>
      <c r="G1624" s="88">
        <v>14</v>
      </c>
      <c r="H1624" s="89"/>
      <c r="I1624" s="84">
        <v>2077.8000000000002</v>
      </c>
      <c r="J1624" s="142"/>
      <c r="K1624" s="118">
        <v>2213.9899999999998</v>
      </c>
      <c r="L1624" s="90"/>
      <c r="M1624" s="85"/>
      <c r="N1624" s="38" t="s">
        <v>796</v>
      </c>
      <c r="O1624" s="91"/>
      <c r="P1624" s="193">
        <v>46082</v>
      </c>
    </row>
    <row r="1625" spans="1:16" s="8" customFormat="1" ht="12.75" customHeight="1">
      <c r="A1625" s="110">
        <f t="shared" si="32"/>
        <v>1604</v>
      </c>
      <c r="B1625" s="52" t="s">
        <v>834</v>
      </c>
      <c r="C1625" s="23" t="s">
        <v>117</v>
      </c>
      <c r="D1625" s="87" t="s">
        <v>141</v>
      </c>
      <c r="E1625" s="86" t="s">
        <v>13</v>
      </c>
      <c r="F1625" s="88">
        <v>20</v>
      </c>
      <c r="G1625" s="88">
        <v>10</v>
      </c>
      <c r="H1625" s="89"/>
      <c r="I1625" s="84">
        <v>887.57</v>
      </c>
      <c r="J1625" s="142"/>
      <c r="K1625" s="118">
        <v>1293.8</v>
      </c>
      <c r="L1625" s="90"/>
      <c r="M1625" s="85"/>
      <c r="N1625" s="38" t="s">
        <v>796</v>
      </c>
      <c r="O1625" s="91">
        <v>604</v>
      </c>
      <c r="P1625" s="66">
        <v>43617</v>
      </c>
    </row>
    <row r="1626" spans="1:16" s="8" customFormat="1" ht="12.75" customHeight="1">
      <c r="A1626" s="110">
        <f t="shared" si="32"/>
        <v>1605</v>
      </c>
      <c r="B1626" s="52" t="s">
        <v>834</v>
      </c>
      <c r="C1626" s="86" t="s">
        <v>117</v>
      </c>
      <c r="D1626" s="94" t="s">
        <v>557</v>
      </c>
      <c r="E1626" s="86" t="s">
        <v>13</v>
      </c>
      <c r="F1626" s="88">
        <v>20</v>
      </c>
      <c r="G1626" s="88">
        <v>10</v>
      </c>
      <c r="H1626" s="89"/>
      <c r="I1626" s="84">
        <v>933.35</v>
      </c>
      <c r="J1626" s="142"/>
      <c r="K1626" s="118">
        <v>1374.71</v>
      </c>
      <c r="L1626" s="90"/>
      <c r="M1626" s="85"/>
      <c r="N1626" s="38" t="s">
        <v>796</v>
      </c>
      <c r="O1626" s="91"/>
      <c r="P1626" s="66">
        <v>44562</v>
      </c>
    </row>
    <row r="1627" spans="1:16" s="8" customFormat="1" ht="12.75" customHeight="1">
      <c r="A1627" s="110">
        <f t="shared" si="32"/>
        <v>1606</v>
      </c>
      <c r="B1627" s="52" t="s">
        <v>834</v>
      </c>
      <c r="C1627" s="23" t="s">
        <v>117</v>
      </c>
      <c r="D1627" s="94" t="s">
        <v>557</v>
      </c>
      <c r="E1627" s="86" t="s">
        <v>13</v>
      </c>
      <c r="F1627" s="88">
        <v>20</v>
      </c>
      <c r="G1627" s="88">
        <v>10</v>
      </c>
      <c r="H1627" s="89"/>
      <c r="I1627" s="84">
        <v>982.09</v>
      </c>
      <c r="J1627" s="142"/>
      <c r="K1627" s="118">
        <v>1452.31</v>
      </c>
      <c r="L1627" s="90"/>
      <c r="M1627" s="85"/>
      <c r="N1627" s="38" t="s">
        <v>796</v>
      </c>
      <c r="O1627" s="91"/>
      <c r="P1627" s="66">
        <v>45078</v>
      </c>
    </row>
    <row r="1628" spans="1:16" s="8" customFormat="1" ht="12.75" customHeight="1">
      <c r="A1628" s="110">
        <f t="shared" si="32"/>
        <v>1607</v>
      </c>
      <c r="B1628" s="94" t="s">
        <v>834</v>
      </c>
      <c r="C1628" s="23" t="s">
        <v>117</v>
      </c>
      <c r="D1628" s="94" t="s">
        <v>557</v>
      </c>
      <c r="E1628" s="86" t="s">
        <v>13</v>
      </c>
      <c r="F1628" s="88">
        <v>20</v>
      </c>
      <c r="G1628" s="88">
        <v>10</v>
      </c>
      <c r="H1628" s="89"/>
      <c r="I1628" s="84">
        <v>1129.51</v>
      </c>
      <c r="J1628" s="142"/>
      <c r="K1628" s="118">
        <v>1670.31</v>
      </c>
      <c r="L1628" s="90"/>
      <c r="M1628" s="85"/>
      <c r="N1628" s="38" t="s">
        <v>796</v>
      </c>
      <c r="O1628" s="91"/>
      <c r="P1628" s="66">
        <v>45352</v>
      </c>
    </row>
    <row r="1629" spans="1:16" s="8" customFormat="1" ht="12.75" customHeight="1">
      <c r="A1629" s="110">
        <f t="shared" si="32"/>
        <v>1608</v>
      </c>
      <c r="B1629" s="94" t="s">
        <v>834</v>
      </c>
      <c r="C1629" s="23" t="s">
        <v>117</v>
      </c>
      <c r="D1629" s="94" t="s">
        <v>557</v>
      </c>
      <c r="E1629" s="86" t="s">
        <v>13</v>
      </c>
      <c r="F1629" s="88">
        <v>16</v>
      </c>
      <c r="G1629" s="88">
        <v>14</v>
      </c>
      <c r="H1629" s="89"/>
      <c r="I1629" s="84">
        <v>1264.7</v>
      </c>
      <c r="J1629" s="142"/>
      <c r="K1629" s="118">
        <v>1361.31</v>
      </c>
      <c r="L1629" s="90"/>
      <c r="M1629" s="85"/>
      <c r="N1629" s="38" t="s">
        <v>796</v>
      </c>
      <c r="O1629" s="91"/>
      <c r="P1629" s="66">
        <v>45352</v>
      </c>
    </row>
    <row r="1630" spans="1:16" s="8" customFormat="1" ht="12.75" customHeight="1">
      <c r="A1630" s="110">
        <f t="shared" si="32"/>
        <v>1609</v>
      </c>
      <c r="B1630" s="94" t="s">
        <v>834</v>
      </c>
      <c r="C1630" s="23" t="s">
        <v>117</v>
      </c>
      <c r="D1630" s="94" t="s">
        <v>557</v>
      </c>
      <c r="E1630" s="86" t="s">
        <v>13</v>
      </c>
      <c r="F1630" s="88">
        <v>20</v>
      </c>
      <c r="G1630" s="88">
        <v>10</v>
      </c>
      <c r="H1630" s="89"/>
      <c r="I1630" s="84">
        <v>1330.44</v>
      </c>
      <c r="J1630" s="142"/>
      <c r="K1630" s="118">
        <v>1966.28</v>
      </c>
      <c r="L1630" s="90"/>
      <c r="M1630" s="85"/>
      <c r="N1630" s="38" t="s">
        <v>796</v>
      </c>
      <c r="O1630" s="91"/>
      <c r="P1630" s="66">
        <v>45689</v>
      </c>
    </row>
    <row r="1631" spans="1:16" s="8" customFormat="1" ht="12.75" customHeight="1">
      <c r="A1631" s="110">
        <f t="shared" si="32"/>
        <v>1610</v>
      </c>
      <c r="B1631" s="94" t="s">
        <v>834</v>
      </c>
      <c r="C1631" s="23" t="s">
        <v>117</v>
      </c>
      <c r="D1631" s="94" t="s">
        <v>557</v>
      </c>
      <c r="E1631" s="86" t="s">
        <v>13</v>
      </c>
      <c r="F1631" s="88">
        <v>16</v>
      </c>
      <c r="G1631" s="88">
        <v>14</v>
      </c>
      <c r="H1631" s="89"/>
      <c r="I1631" s="84">
        <v>1489.41</v>
      </c>
      <c r="J1631" s="142"/>
      <c r="K1631" s="118">
        <v>1602.98</v>
      </c>
      <c r="L1631" s="90"/>
      <c r="M1631" s="85"/>
      <c r="N1631" s="38" t="s">
        <v>796</v>
      </c>
      <c r="O1631" s="91" t="s">
        <v>885</v>
      </c>
      <c r="P1631" s="66">
        <v>45689</v>
      </c>
    </row>
    <row r="1632" spans="1:16" s="8" customFormat="1" ht="12.75" customHeight="1">
      <c r="A1632" s="110">
        <f t="shared" si="32"/>
        <v>1611</v>
      </c>
      <c r="B1632" s="155" t="s">
        <v>834</v>
      </c>
      <c r="C1632" s="23" t="s">
        <v>117</v>
      </c>
      <c r="D1632" s="94" t="s">
        <v>557</v>
      </c>
      <c r="E1632" s="86" t="s">
        <v>13</v>
      </c>
      <c r="F1632" s="88">
        <v>20</v>
      </c>
      <c r="G1632" s="88">
        <v>10</v>
      </c>
      <c r="H1632" s="89"/>
      <c r="I1632" s="84">
        <v>1578.8</v>
      </c>
      <c r="J1632" s="142"/>
      <c r="K1632" s="118">
        <v>2341.34</v>
      </c>
      <c r="L1632" s="90"/>
      <c r="M1632" s="85"/>
      <c r="N1632" s="38" t="s">
        <v>796</v>
      </c>
      <c r="O1632" s="91"/>
      <c r="P1632" s="193">
        <v>46082</v>
      </c>
    </row>
    <row r="1633" spans="1:16" s="8" customFormat="1" ht="12.75" customHeight="1">
      <c r="A1633" s="110">
        <f t="shared" si="32"/>
        <v>1612</v>
      </c>
      <c r="B1633" s="155" t="s">
        <v>834</v>
      </c>
      <c r="C1633" s="23" t="s">
        <v>117</v>
      </c>
      <c r="D1633" s="94" t="s">
        <v>557</v>
      </c>
      <c r="E1633" s="86" t="s">
        <v>13</v>
      </c>
      <c r="F1633" s="88">
        <v>16</v>
      </c>
      <c r="G1633" s="88">
        <v>14</v>
      </c>
      <c r="H1633" s="89"/>
      <c r="I1633" s="84">
        <v>1769.41</v>
      </c>
      <c r="J1633" s="142"/>
      <c r="K1633" s="118">
        <v>1905.58</v>
      </c>
      <c r="L1633" s="90"/>
      <c r="M1633" s="85"/>
      <c r="N1633" s="38" t="s">
        <v>796</v>
      </c>
      <c r="O1633" s="91"/>
      <c r="P1633" s="193">
        <v>46082</v>
      </c>
    </row>
    <row r="1634" spans="1:16" s="8" customFormat="1" ht="12.75" customHeight="1">
      <c r="A1634" s="110">
        <f t="shared" si="32"/>
        <v>1613</v>
      </c>
      <c r="B1634" s="52" t="s">
        <v>727</v>
      </c>
      <c r="C1634" s="23" t="s">
        <v>724</v>
      </c>
      <c r="D1634" s="52" t="s">
        <v>531</v>
      </c>
      <c r="E1634" s="23" t="s">
        <v>19</v>
      </c>
      <c r="F1634" s="27">
        <v>20</v>
      </c>
      <c r="G1634" s="27">
        <v>10</v>
      </c>
      <c r="H1634" s="34">
        <v>1715.85</v>
      </c>
      <c r="I1634" s="84"/>
      <c r="J1634" s="136">
        <v>2901.29</v>
      </c>
      <c r="K1634" s="149"/>
      <c r="L1634" s="35">
        <v>10527.2</v>
      </c>
      <c r="M1634" s="85"/>
      <c r="N1634" s="39" t="s">
        <v>643</v>
      </c>
      <c r="O1634" s="69">
        <v>610</v>
      </c>
      <c r="P1634" s="66">
        <v>43265</v>
      </c>
    </row>
    <row r="1635" spans="1:16" s="8" customFormat="1" ht="12.75" customHeight="1">
      <c r="A1635" s="110">
        <f t="shared" si="32"/>
        <v>1614</v>
      </c>
      <c r="B1635" s="52" t="s">
        <v>821</v>
      </c>
      <c r="C1635" s="23" t="s">
        <v>724</v>
      </c>
      <c r="D1635" s="52" t="s">
        <v>531</v>
      </c>
      <c r="E1635" s="23" t="s">
        <v>19</v>
      </c>
      <c r="F1635" s="27">
        <v>20</v>
      </c>
      <c r="G1635" s="27">
        <v>10</v>
      </c>
      <c r="H1635" s="34">
        <v>1715.85</v>
      </c>
      <c r="I1635" s="84">
        <v>1720.32</v>
      </c>
      <c r="J1635" s="136">
        <v>2901.29</v>
      </c>
      <c r="K1635" s="118">
        <v>2910.27</v>
      </c>
      <c r="L1635" s="35">
        <v>10527.2</v>
      </c>
      <c r="M1635" s="85">
        <v>10616.93</v>
      </c>
      <c r="N1635" s="39" t="s">
        <v>643</v>
      </c>
      <c r="O1635" s="69">
        <v>610</v>
      </c>
      <c r="P1635" s="66">
        <v>43617</v>
      </c>
    </row>
    <row r="1636" spans="1:16" s="8" customFormat="1" ht="12.75" customHeight="1">
      <c r="A1636" s="110">
        <f t="shared" si="32"/>
        <v>1615</v>
      </c>
      <c r="B1636" s="45" t="s">
        <v>821</v>
      </c>
      <c r="C1636" s="23" t="s">
        <v>724</v>
      </c>
      <c r="D1636" s="52" t="s">
        <v>531</v>
      </c>
      <c r="E1636" s="23" t="s">
        <v>19</v>
      </c>
      <c r="F1636" s="27">
        <v>20</v>
      </c>
      <c r="G1636" s="27">
        <v>10</v>
      </c>
      <c r="H1636" s="34"/>
      <c r="I1636" s="84">
        <v>1363.41</v>
      </c>
      <c r="J1636" s="136"/>
      <c r="K1636" s="118">
        <v>2182.04</v>
      </c>
      <c r="L1636" s="35"/>
      <c r="M1636" s="85">
        <v>16372.52</v>
      </c>
      <c r="N1636" s="39" t="s">
        <v>643</v>
      </c>
      <c r="O1636" s="69"/>
      <c r="P1636" s="66">
        <v>44562</v>
      </c>
    </row>
    <row r="1637" spans="1:16" s="8" customFormat="1" ht="12.75" customHeight="1">
      <c r="A1637" s="110">
        <f t="shared" si="32"/>
        <v>1616</v>
      </c>
      <c r="B1637" s="45" t="s">
        <v>1029</v>
      </c>
      <c r="C1637" s="23" t="s">
        <v>724</v>
      </c>
      <c r="D1637" s="52" t="s">
        <v>531</v>
      </c>
      <c r="E1637" s="23" t="s">
        <v>19</v>
      </c>
      <c r="F1637" s="46" t="s">
        <v>977</v>
      </c>
      <c r="G1637" s="27"/>
      <c r="H1637" s="34"/>
      <c r="I1637" s="84">
        <v>51521.54</v>
      </c>
      <c r="J1637" s="136"/>
      <c r="K1637" s="118"/>
      <c r="L1637" s="35"/>
      <c r="M1637" s="85"/>
      <c r="N1637" s="39" t="s">
        <v>643</v>
      </c>
      <c r="O1637" s="69"/>
      <c r="P1637" s="66">
        <v>44562</v>
      </c>
    </row>
    <row r="1638" spans="1:16" s="8" customFormat="1" ht="12.75" customHeight="1">
      <c r="A1638" s="110">
        <f t="shared" si="32"/>
        <v>1617</v>
      </c>
      <c r="B1638" s="45" t="s">
        <v>821</v>
      </c>
      <c r="C1638" s="23" t="s">
        <v>724</v>
      </c>
      <c r="D1638" s="52" t="s">
        <v>531</v>
      </c>
      <c r="E1638" s="23" t="s">
        <v>19</v>
      </c>
      <c r="F1638" s="27">
        <v>20</v>
      </c>
      <c r="G1638" s="27">
        <v>10</v>
      </c>
      <c r="H1638" s="34"/>
      <c r="I1638" s="84">
        <v>1505.38</v>
      </c>
      <c r="J1638" s="136"/>
      <c r="K1638" s="118">
        <v>2412.19</v>
      </c>
      <c r="L1638" s="35"/>
      <c r="M1638" s="85"/>
      <c r="N1638" s="39" t="s">
        <v>643</v>
      </c>
      <c r="O1638" s="69"/>
      <c r="P1638" s="66">
        <v>45078</v>
      </c>
    </row>
    <row r="1639" spans="1:16" s="8" customFormat="1" ht="12.75" customHeight="1">
      <c r="A1639" s="110">
        <f t="shared" si="32"/>
        <v>1618</v>
      </c>
      <c r="B1639" s="45" t="s">
        <v>1029</v>
      </c>
      <c r="C1639" s="23" t="s">
        <v>724</v>
      </c>
      <c r="D1639" s="52" t="s">
        <v>531</v>
      </c>
      <c r="E1639" s="23" t="s">
        <v>19</v>
      </c>
      <c r="F1639" s="46" t="s">
        <v>977</v>
      </c>
      <c r="G1639" s="27"/>
      <c r="H1639" s="34"/>
      <c r="I1639" s="84">
        <v>52061.31</v>
      </c>
      <c r="J1639" s="136"/>
      <c r="K1639" s="118"/>
      <c r="L1639" s="35"/>
      <c r="M1639" s="85"/>
      <c r="N1639" s="39" t="s">
        <v>643</v>
      </c>
      <c r="O1639" s="69"/>
      <c r="P1639" s="66">
        <v>45078</v>
      </c>
    </row>
    <row r="1640" spans="1:16" s="8" customFormat="1" ht="12.75" customHeight="1">
      <c r="A1640" s="110">
        <f t="shared" si="32"/>
        <v>1619</v>
      </c>
      <c r="B1640" s="45" t="s">
        <v>821</v>
      </c>
      <c r="C1640" s="23" t="s">
        <v>724</v>
      </c>
      <c r="D1640" s="52" t="s">
        <v>531</v>
      </c>
      <c r="E1640" s="23" t="s">
        <v>19</v>
      </c>
      <c r="F1640" s="27">
        <v>20</v>
      </c>
      <c r="G1640" s="27">
        <v>10</v>
      </c>
      <c r="H1640" s="34"/>
      <c r="I1640" s="84">
        <v>1732.01</v>
      </c>
      <c r="J1640" s="136"/>
      <c r="K1640" s="118">
        <v>2775.25</v>
      </c>
      <c r="L1640" s="35"/>
      <c r="M1640" s="85">
        <v>20865.09</v>
      </c>
      <c r="N1640" s="39" t="s">
        <v>643</v>
      </c>
      <c r="O1640" s="69"/>
      <c r="P1640" s="66">
        <v>45352</v>
      </c>
    </row>
    <row r="1641" spans="1:16" s="8" customFormat="1" ht="12.75" customHeight="1">
      <c r="A1641" s="110">
        <f t="shared" si="32"/>
        <v>1620</v>
      </c>
      <c r="B1641" s="45" t="s">
        <v>821</v>
      </c>
      <c r="C1641" s="23" t="s">
        <v>724</v>
      </c>
      <c r="D1641" s="52" t="s">
        <v>531</v>
      </c>
      <c r="E1641" s="23" t="s">
        <v>19</v>
      </c>
      <c r="F1641" s="27">
        <v>19</v>
      </c>
      <c r="G1641" s="27">
        <v>11</v>
      </c>
      <c r="H1641" s="34"/>
      <c r="I1641" s="84">
        <v>1786.89</v>
      </c>
      <c r="J1641" s="136"/>
      <c r="K1641" s="118">
        <v>2585.54</v>
      </c>
      <c r="L1641" s="35"/>
      <c r="M1641" s="85"/>
      <c r="N1641" s="39" t="s">
        <v>643</v>
      </c>
      <c r="O1641" s="69"/>
      <c r="P1641" s="66">
        <v>45352</v>
      </c>
    </row>
    <row r="1642" spans="1:16" s="8" customFormat="1" ht="12.75" customHeight="1">
      <c r="A1642" s="110">
        <f t="shared" si="32"/>
        <v>1621</v>
      </c>
      <c r="B1642" s="45" t="s">
        <v>821</v>
      </c>
      <c r="C1642" s="23" t="s">
        <v>724</v>
      </c>
      <c r="D1642" s="52" t="s">
        <v>531</v>
      </c>
      <c r="E1642" s="23" t="s">
        <v>19</v>
      </c>
      <c r="F1642" s="27">
        <v>18</v>
      </c>
      <c r="G1642" s="27">
        <v>12</v>
      </c>
      <c r="H1642" s="34"/>
      <c r="I1642" s="84">
        <v>1847.92</v>
      </c>
      <c r="J1642" s="136"/>
      <c r="K1642" s="118">
        <v>2427.4899999999998</v>
      </c>
      <c r="L1642" s="35"/>
      <c r="M1642" s="85"/>
      <c r="N1642" s="39" t="s">
        <v>643</v>
      </c>
      <c r="O1642" s="69"/>
      <c r="P1642" s="66">
        <v>45352</v>
      </c>
    </row>
    <row r="1643" spans="1:16" s="8" customFormat="1" ht="12.75" customHeight="1">
      <c r="A1643" s="110">
        <f t="shared" si="32"/>
        <v>1622</v>
      </c>
      <c r="B1643" s="45" t="s">
        <v>821</v>
      </c>
      <c r="C1643" s="23" t="s">
        <v>724</v>
      </c>
      <c r="D1643" s="52" t="s">
        <v>531</v>
      </c>
      <c r="E1643" s="23" t="s">
        <v>19</v>
      </c>
      <c r="F1643" s="27">
        <v>17</v>
      </c>
      <c r="G1643" s="27">
        <v>13</v>
      </c>
      <c r="H1643" s="34"/>
      <c r="I1643" s="84">
        <v>1916.09</v>
      </c>
      <c r="J1643" s="136"/>
      <c r="K1643" s="118">
        <v>2293.7399999999998</v>
      </c>
      <c r="L1643" s="35"/>
      <c r="M1643" s="85"/>
      <c r="N1643" s="39" t="s">
        <v>643</v>
      </c>
      <c r="O1643" s="69"/>
      <c r="P1643" s="66">
        <v>45352</v>
      </c>
    </row>
    <row r="1644" spans="1:16" s="8" customFormat="1" ht="12.75" customHeight="1">
      <c r="A1644" s="110">
        <f t="shared" si="32"/>
        <v>1623</v>
      </c>
      <c r="B1644" s="45" t="s">
        <v>821</v>
      </c>
      <c r="C1644" s="23" t="s">
        <v>724</v>
      </c>
      <c r="D1644" s="52" t="s">
        <v>531</v>
      </c>
      <c r="E1644" s="23" t="s">
        <v>19</v>
      </c>
      <c r="F1644" s="27">
        <v>16</v>
      </c>
      <c r="G1644" s="27">
        <v>14</v>
      </c>
      <c r="H1644" s="34"/>
      <c r="I1644" s="84">
        <v>1992.82</v>
      </c>
      <c r="J1644" s="136"/>
      <c r="K1644" s="118">
        <v>2179.09</v>
      </c>
      <c r="L1644" s="35"/>
      <c r="M1644" s="85"/>
      <c r="N1644" s="39" t="s">
        <v>643</v>
      </c>
      <c r="O1644" s="69"/>
      <c r="P1644" s="66">
        <v>45352</v>
      </c>
    </row>
    <row r="1645" spans="1:16" s="8" customFormat="1" ht="12.75" customHeight="1">
      <c r="A1645" s="110">
        <f t="shared" si="32"/>
        <v>1624</v>
      </c>
      <c r="B1645" s="45" t="s">
        <v>821</v>
      </c>
      <c r="C1645" s="23" t="s">
        <v>724</v>
      </c>
      <c r="D1645" s="52" t="s">
        <v>531</v>
      </c>
      <c r="E1645" s="23" t="s">
        <v>19</v>
      </c>
      <c r="F1645" s="27">
        <v>15</v>
      </c>
      <c r="G1645" s="27"/>
      <c r="H1645" s="34"/>
      <c r="I1645" s="84">
        <v>2079.75</v>
      </c>
      <c r="J1645" s="136"/>
      <c r="K1645" s="118"/>
      <c r="L1645" s="35"/>
      <c r="M1645" s="85"/>
      <c r="N1645" s="39" t="s">
        <v>643</v>
      </c>
      <c r="O1645" s="69"/>
      <c r="P1645" s="66">
        <v>45352</v>
      </c>
    </row>
    <row r="1646" spans="1:16" s="8" customFormat="1" ht="12.75" customHeight="1">
      <c r="A1646" s="110">
        <f t="shared" si="32"/>
        <v>1625</v>
      </c>
      <c r="B1646" s="45" t="s">
        <v>821</v>
      </c>
      <c r="C1646" s="23" t="s">
        <v>724</v>
      </c>
      <c r="D1646" s="52" t="s">
        <v>531</v>
      </c>
      <c r="E1646" s="23" t="s">
        <v>19</v>
      </c>
      <c r="F1646" s="27">
        <v>20</v>
      </c>
      <c r="G1646" s="27">
        <v>10</v>
      </c>
      <c r="H1646" s="34"/>
      <c r="I1646" s="84">
        <v>1992.42</v>
      </c>
      <c r="J1646" s="136"/>
      <c r="K1646" s="118">
        <v>3192.65</v>
      </c>
      <c r="L1646" s="35"/>
      <c r="M1646" s="85">
        <v>24004.47</v>
      </c>
      <c r="N1646" s="39" t="s">
        <v>643</v>
      </c>
      <c r="O1646" s="69"/>
      <c r="P1646" s="66">
        <v>45689</v>
      </c>
    </row>
    <row r="1647" spans="1:16" s="8" customFormat="1" ht="12.75" customHeight="1">
      <c r="A1647" s="110">
        <f t="shared" si="32"/>
        <v>1626</v>
      </c>
      <c r="B1647" s="45" t="s">
        <v>821</v>
      </c>
      <c r="C1647" s="23" t="s">
        <v>724</v>
      </c>
      <c r="D1647" s="52" t="s">
        <v>531</v>
      </c>
      <c r="E1647" s="23" t="s">
        <v>19</v>
      </c>
      <c r="F1647" s="27">
        <v>19</v>
      </c>
      <c r="G1647" s="27">
        <v>11</v>
      </c>
      <c r="H1647" s="34"/>
      <c r="I1647" s="84">
        <v>2055.62</v>
      </c>
      <c r="J1647" s="136"/>
      <c r="K1647" s="118">
        <v>2974.44</v>
      </c>
      <c r="L1647" s="35"/>
      <c r="M1647" s="85"/>
      <c r="N1647" s="39" t="s">
        <v>643</v>
      </c>
      <c r="O1647" s="69"/>
      <c r="P1647" s="66">
        <v>45689</v>
      </c>
    </row>
    <row r="1648" spans="1:16" s="8" customFormat="1" ht="12.75" customHeight="1">
      <c r="A1648" s="110">
        <f t="shared" si="32"/>
        <v>1627</v>
      </c>
      <c r="B1648" s="45" t="s">
        <v>821</v>
      </c>
      <c r="C1648" s="23" t="s">
        <v>724</v>
      </c>
      <c r="D1648" s="52" t="s">
        <v>531</v>
      </c>
      <c r="E1648" s="23" t="s">
        <v>19</v>
      </c>
      <c r="F1648" s="27">
        <v>18</v>
      </c>
      <c r="G1648" s="27">
        <v>12</v>
      </c>
      <c r="H1648" s="34"/>
      <c r="I1648" s="84">
        <v>2125.79</v>
      </c>
      <c r="J1648" s="136"/>
      <c r="K1648" s="118">
        <v>2792.58</v>
      </c>
      <c r="L1648" s="35"/>
      <c r="M1648" s="85"/>
      <c r="N1648" s="39" t="s">
        <v>643</v>
      </c>
      <c r="O1648" s="69"/>
      <c r="P1648" s="66">
        <v>45689</v>
      </c>
    </row>
    <row r="1649" spans="1:16" s="8" customFormat="1" ht="12.75" customHeight="1">
      <c r="A1649" s="110">
        <f t="shared" si="32"/>
        <v>1628</v>
      </c>
      <c r="B1649" s="45" t="s">
        <v>821</v>
      </c>
      <c r="C1649" s="23" t="s">
        <v>724</v>
      </c>
      <c r="D1649" s="52" t="s">
        <v>531</v>
      </c>
      <c r="E1649" s="23" t="s">
        <v>19</v>
      </c>
      <c r="F1649" s="27">
        <v>17</v>
      </c>
      <c r="G1649" s="27">
        <v>13</v>
      </c>
      <c r="H1649" s="34"/>
      <c r="I1649" s="84">
        <v>2204.23</v>
      </c>
      <c r="J1649" s="136"/>
      <c r="K1649" s="118">
        <v>2638.72</v>
      </c>
      <c r="L1649" s="35"/>
      <c r="M1649" s="85"/>
      <c r="N1649" s="39" t="s">
        <v>643</v>
      </c>
      <c r="O1649" s="69"/>
      <c r="P1649" s="66">
        <v>45689</v>
      </c>
    </row>
    <row r="1650" spans="1:16" s="8" customFormat="1" ht="12.75" customHeight="1">
      <c r="A1650" s="110">
        <f t="shared" si="32"/>
        <v>1629</v>
      </c>
      <c r="B1650" s="45" t="s">
        <v>821</v>
      </c>
      <c r="C1650" s="23" t="s">
        <v>724</v>
      </c>
      <c r="D1650" s="52" t="s">
        <v>531</v>
      </c>
      <c r="E1650" s="23" t="s">
        <v>19</v>
      </c>
      <c r="F1650" s="27">
        <v>16</v>
      </c>
      <c r="G1650" s="27">
        <v>14</v>
      </c>
      <c r="H1650" s="34"/>
      <c r="I1650" s="84">
        <v>2292.4899999999998</v>
      </c>
      <c r="J1650" s="136"/>
      <c r="K1650" s="118">
        <v>2506.8200000000002</v>
      </c>
      <c r="L1650" s="35"/>
      <c r="M1650" s="85"/>
      <c r="N1650" s="39" t="s">
        <v>643</v>
      </c>
      <c r="O1650" s="69"/>
      <c r="P1650" s="66">
        <v>45689</v>
      </c>
    </row>
    <row r="1651" spans="1:16" s="8" customFormat="1" ht="12.75" customHeight="1">
      <c r="A1651" s="110">
        <f t="shared" si="32"/>
        <v>1630</v>
      </c>
      <c r="B1651" s="45" t="s">
        <v>821</v>
      </c>
      <c r="C1651" s="23" t="s">
        <v>724</v>
      </c>
      <c r="D1651" s="52" t="s">
        <v>531</v>
      </c>
      <c r="E1651" s="23" t="s">
        <v>19</v>
      </c>
      <c r="F1651" s="27">
        <v>15</v>
      </c>
      <c r="G1651" s="27"/>
      <c r="H1651" s="34"/>
      <c r="I1651" s="84">
        <v>2392.4899999999998</v>
      </c>
      <c r="J1651" s="136"/>
      <c r="K1651" s="118"/>
      <c r="L1651" s="35"/>
      <c r="M1651" s="85"/>
      <c r="N1651" s="39" t="s">
        <v>643</v>
      </c>
      <c r="O1651" s="69"/>
      <c r="P1651" s="66">
        <v>45689</v>
      </c>
    </row>
    <row r="1652" spans="1:16" s="8" customFormat="1" ht="12.75" customHeight="1">
      <c r="A1652" s="110">
        <f t="shared" si="32"/>
        <v>1631</v>
      </c>
      <c r="B1652" s="45" t="s">
        <v>1029</v>
      </c>
      <c r="C1652" s="23" t="s">
        <v>724</v>
      </c>
      <c r="D1652" s="52" t="s">
        <v>531</v>
      </c>
      <c r="E1652" s="23" t="s">
        <v>19</v>
      </c>
      <c r="F1652" s="46" t="s">
        <v>977</v>
      </c>
      <c r="G1652" s="27"/>
      <c r="H1652" s="34"/>
      <c r="I1652" s="84">
        <v>73468.210000000006</v>
      </c>
      <c r="J1652" s="136"/>
      <c r="K1652" s="118"/>
      <c r="L1652" s="35"/>
      <c r="M1652" s="85"/>
      <c r="N1652" s="39" t="s">
        <v>643</v>
      </c>
      <c r="O1652" s="69"/>
      <c r="P1652" s="66">
        <v>45352</v>
      </c>
    </row>
    <row r="1653" spans="1:16" s="8" customFormat="1" ht="12.75" customHeight="1">
      <c r="A1653" s="110">
        <f t="shared" si="32"/>
        <v>1632</v>
      </c>
      <c r="B1653" s="45" t="s">
        <v>1029</v>
      </c>
      <c r="C1653" s="23" t="s">
        <v>724</v>
      </c>
      <c r="D1653" s="52" t="s">
        <v>531</v>
      </c>
      <c r="E1653" s="23" t="s">
        <v>19</v>
      </c>
      <c r="F1653" s="46" t="s">
        <v>977</v>
      </c>
      <c r="G1653" s="27"/>
      <c r="H1653" s="34"/>
      <c r="I1653" s="84">
        <v>84491.25</v>
      </c>
      <c r="J1653" s="136"/>
      <c r="K1653" s="118"/>
      <c r="L1653" s="35"/>
      <c r="M1653" s="85"/>
      <c r="N1653" s="39" t="s">
        <v>643</v>
      </c>
      <c r="O1653" s="69"/>
      <c r="P1653" s="66">
        <v>45689</v>
      </c>
    </row>
    <row r="1654" spans="1:16" s="8" customFormat="1" ht="12.75" customHeight="1">
      <c r="A1654" s="110">
        <f t="shared" si="32"/>
        <v>1633</v>
      </c>
      <c r="B1654" s="158" t="s">
        <v>821</v>
      </c>
      <c r="C1654" s="23" t="s">
        <v>724</v>
      </c>
      <c r="D1654" s="52" t="s">
        <v>531</v>
      </c>
      <c r="E1654" s="23" t="s">
        <v>19</v>
      </c>
      <c r="F1654" s="46">
        <v>20</v>
      </c>
      <c r="G1654" s="27">
        <v>10</v>
      </c>
      <c r="H1654" s="34"/>
      <c r="I1654" s="84">
        <v>2185.6799999999998</v>
      </c>
      <c r="J1654" s="136"/>
      <c r="K1654" s="118">
        <v>3503.76</v>
      </c>
      <c r="L1654" s="35"/>
      <c r="M1654" s="85">
        <v>26361.85</v>
      </c>
      <c r="N1654" s="39" t="s">
        <v>643</v>
      </c>
      <c r="O1654" s="69"/>
      <c r="P1654" s="193">
        <v>46082</v>
      </c>
    </row>
    <row r="1655" spans="1:16" s="8" customFormat="1" ht="12.75" customHeight="1">
      <c r="A1655" s="110">
        <f t="shared" si="32"/>
        <v>1634</v>
      </c>
      <c r="B1655" s="158" t="s">
        <v>821</v>
      </c>
      <c r="C1655" s="23" t="s">
        <v>724</v>
      </c>
      <c r="D1655" s="52" t="s">
        <v>531</v>
      </c>
      <c r="E1655" s="23" t="s">
        <v>19</v>
      </c>
      <c r="F1655" s="46">
        <v>19</v>
      </c>
      <c r="G1655" s="27">
        <v>11</v>
      </c>
      <c r="H1655" s="34"/>
      <c r="I1655" s="84">
        <v>2255.0300000000002</v>
      </c>
      <c r="J1655" s="136"/>
      <c r="K1655" s="118">
        <v>3264.13</v>
      </c>
      <c r="L1655" s="35"/>
      <c r="M1655" s="85"/>
      <c r="N1655" s="39" t="s">
        <v>643</v>
      </c>
      <c r="O1655" s="69"/>
      <c r="P1655" s="193">
        <v>46082</v>
      </c>
    </row>
    <row r="1656" spans="1:16" s="8" customFormat="1" ht="12.75" customHeight="1">
      <c r="A1656" s="110">
        <f t="shared" ref="A1656:A1719" si="33">A1655+1</f>
        <v>1635</v>
      </c>
      <c r="B1656" s="158" t="s">
        <v>821</v>
      </c>
      <c r="C1656" s="23" t="s">
        <v>724</v>
      </c>
      <c r="D1656" s="52" t="s">
        <v>531</v>
      </c>
      <c r="E1656" s="23" t="s">
        <v>19</v>
      </c>
      <c r="F1656" s="46">
        <v>18</v>
      </c>
      <c r="G1656" s="27">
        <v>12</v>
      </c>
      <c r="H1656" s="34"/>
      <c r="I1656" s="84">
        <v>2332.11</v>
      </c>
      <c r="J1656" s="136"/>
      <c r="K1656" s="118">
        <v>3064.41</v>
      </c>
      <c r="L1656" s="35"/>
      <c r="M1656" s="85"/>
      <c r="N1656" s="39" t="s">
        <v>643</v>
      </c>
      <c r="O1656" s="69"/>
      <c r="P1656" s="193">
        <v>46082</v>
      </c>
    </row>
    <row r="1657" spans="1:16" s="8" customFormat="1" ht="12.75" customHeight="1">
      <c r="A1657" s="110">
        <f t="shared" si="33"/>
        <v>1636</v>
      </c>
      <c r="B1657" s="158" t="s">
        <v>821</v>
      </c>
      <c r="C1657" s="23" t="s">
        <v>724</v>
      </c>
      <c r="D1657" s="52" t="s">
        <v>531</v>
      </c>
      <c r="E1657" s="23" t="s">
        <v>19</v>
      </c>
      <c r="F1657" s="46">
        <v>17</v>
      </c>
      <c r="G1657" s="27">
        <v>13</v>
      </c>
      <c r="H1657" s="34"/>
      <c r="I1657" s="84">
        <v>2418.27</v>
      </c>
      <c r="J1657" s="136"/>
      <c r="K1657" s="118">
        <v>2895.43</v>
      </c>
      <c r="L1657" s="35"/>
      <c r="M1657" s="85"/>
      <c r="N1657" s="39" t="s">
        <v>643</v>
      </c>
      <c r="O1657" s="69"/>
      <c r="P1657" s="193">
        <v>46082</v>
      </c>
    </row>
    <row r="1658" spans="1:16" s="8" customFormat="1" ht="12.75" customHeight="1">
      <c r="A1658" s="110">
        <f t="shared" si="33"/>
        <v>1637</v>
      </c>
      <c r="B1658" s="158" t="s">
        <v>821</v>
      </c>
      <c r="C1658" s="23" t="s">
        <v>724</v>
      </c>
      <c r="D1658" s="52" t="s">
        <v>531</v>
      </c>
      <c r="E1658" s="23" t="s">
        <v>19</v>
      </c>
      <c r="F1658" s="46">
        <v>16</v>
      </c>
      <c r="G1658" s="27">
        <v>14</v>
      </c>
      <c r="H1658" s="34"/>
      <c r="I1658" s="84">
        <v>2515.1999999999998</v>
      </c>
      <c r="J1658" s="136"/>
      <c r="K1658" s="118">
        <v>2750.54</v>
      </c>
      <c r="L1658" s="35"/>
      <c r="M1658" s="85"/>
      <c r="N1658" s="39" t="s">
        <v>643</v>
      </c>
      <c r="O1658" s="69"/>
      <c r="P1658" s="193">
        <v>46082</v>
      </c>
    </row>
    <row r="1659" spans="1:16" s="8" customFormat="1" ht="12.75" customHeight="1">
      <c r="A1659" s="110">
        <f t="shared" si="33"/>
        <v>1638</v>
      </c>
      <c r="B1659" s="158" t="s">
        <v>821</v>
      </c>
      <c r="C1659" s="23" t="s">
        <v>724</v>
      </c>
      <c r="D1659" s="52" t="s">
        <v>531</v>
      </c>
      <c r="E1659" s="23" t="s">
        <v>19</v>
      </c>
      <c r="F1659" s="46">
        <v>15</v>
      </c>
      <c r="G1659" s="27"/>
      <c r="H1659" s="34"/>
      <c r="I1659" s="84">
        <v>2625.03</v>
      </c>
      <c r="J1659" s="136"/>
      <c r="K1659" s="118"/>
      <c r="L1659" s="35"/>
      <c r="M1659" s="85"/>
      <c r="N1659" s="39" t="s">
        <v>643</v>
      </c>
      <c r="O1659" s="69"/>
      <c r="P1659" s="193">
        <v>46082</v>
      </c>
    </row>
    <row r="1660" spans="1:16" s="8" customFormat="1" ht="12.75" customHeight="1">
      <c r="A1660" s="110">
        <f t="shared" si="33"/>
        <v>1639</v>
      </c>
      <c r="B1660" s="158" t="s">
        <v>1029</v>
      </c>
      <c r="C1660" s="23" t="s">
        <v>724</v>
      </c>
      <c r="D1660" s="52" t="s">
        <v>531</v>
      </c>
      <c r="E1660" s="23" t="s">
        <v>19</v>
      </c>
      <c r="F1660" s="46" t="s">
        <v>977</v>
      </c>
      <c r="G1660" s="27"/>
      <c r="H1660" s="34"/>
      <c r="I1660" s="84">
        <v>107202.02</v>
      </c>
      <c r="J1660" s="136"/>
      <c r="K1660" s="118"/>
      <c r="L1660" s="35"/>
      <c r="M1660" s="85"/>
      <c r="N1660" s="39" t="s">
        <v>643</v>
      </c>
      <c r="O1660" s="69"/>
      <c r="P1660" s="193">
        <v>46082</v>
      </c>
    </row>
    <row r="1661" spans="1:16" s="8" customFormat="1" ht="12.75" customHeight="1">
      <c r="A1661" s="110">
        <f t="shared" si="33"/>
        <v>1640</v>
      </c>
      <c r="B1661" s="52" t="s">
        <v>726</v>
      </c>
      <c r="C1661" s="23" t="s">
        <v>529</v>
      </c>
      <c r="D1661" s="52" t="s">
        <v>722</v>
      </c>
      <c r="E1661" s="23" t="s">
        <v>13</v>
      </c>
      <c r="F1661" s="27">
        <v>20</v>
      </c>
      <c r="G1661" s="27">
        <v>10</v>
      </c>
      <c r="H1661" s="34">
        <v>908.56</v>
      </c>
      <c r="I1661" s="84">
        <v>885.72</v>
      </c>
      <c r="J1661" s="136">
        <v>1312.05</v>
      </c>
      <c r="K1661" s="118">
        <v>1266.3800000000001</v>
      </c>
      <c r="L1661" s="35" t="s">
        <v>747</v>
      </c>
      <c r="M1661" s="85"/>
      <c r="N1661" s="39" t="s">
        <v>643</v>
      </c>
      <c r="O1661" s="69">
        <v>610</v>
      </c>
      <c r="P1661" s="66">
        <v>43617</v>
      </c>
    </row>
    <row r="1662" spans="1:16" s="8" customFormat="1" ht="12.75" customHeight="1">
      <c r="A1662" s="110">
        <f t="shared" si="33"/>
        <v>1641</v>
      </c>
      <c r="B1662" s="23" t="s">
        <v>726</v>
      </c>
      <c r="C1662" s="23" t="s">
        <v>529</v>
      </c>
      <c r="D1662" s="52" t="s">
        <v>722</v>
      </c>
      <c r="E1662" s="23" t="s">
        <v>13</v>
      </c>
      <c r="F1662" s="27">
        <v>20</v>
      </c>
      <c r="G1662" s="27">
        <v>10</v>
      </c>
      <c r="H1662" s="34"/>
      <c r="I1662" s="84">
        <v>933.62</v>
      </c>
      <c r="J1662" s="136"/>
      <c r="K1662" s="118">
        <v>1346.27</v>
      </c>
      <c r="L1662" s="35"/>
      <c r="M1662" s="85"/>
      <c r="N1662" s="39" t="s">
        <v>643</v>
      </c>
      <c r="O1662" s="69"/>
      <c r="P1662" s="66">
        <v>44562</v>
      </c>
    </row>
    <row r="1663" spans="1:16" s="8" customFormat="1" ht="12.75" customHeight="1">
      <c r="A1663" s="110">
        <f t="shared" si="33"/>
        <v>1642</v>
      </c>
      <c r="B1663" s="23" t="s">
        <v>726</v>
      </c>
      <c r="C1663" s="23" t="s">
        <v>529</v>
      </c>
      <c r="D1663" s="52" t="s">
        <v>722</v>
      </c>
      <c r="E1663" s="23" t="s">
        <v>13</v>
      </c>
      <c r="F1663" s="27">
        <v>20</v>
      </c>
      <c r="G1663" s="27">
        <v>10</v>
      </c>
      <c r="H1663" s="34"/>
      <c r="I1663" s="84">
        <v>1030.8699999999999</v>
      </c>
      <c r="J1663" s="136"/>
      <c r="K1663" s="118">
        <v>1490.68</v>
      </c>
      <c r="L1663" s="35"/>
      <c r="M1663" s="85"/>
      <c r="N1663" s="39" t="s">
        <v>643</v>
      </c>
      <c r="O1663" s="69"/>
      <c r="P1663" s="66">
        <v>45078</v>
      </c>
    </row>
    <row r="1664" spans="1:16" s="8" customFormat="1" ht="12.75" customHeight="1">
      <c r="A1664" s="110">
        <f t="shared" si="33"/>
        <v>1643</v>
      </c>
      <c r="B1664" s="23" t="s">
        <v>726</v>
      </c>
      <c r="C1664" s="23" t="s">
        <v>529</v>
      </c>
      <c r="D1664" s="52" t="s">
        <v>722</v>
      </c>
      <c r="E1664" s="23" t="s">
        <v>13</v>
      </c>
      <c r="F1664" s="27">
        <v>20</v>
      </c>
      <c r="G1664" s="27">
        <v>10</v>
      </c>
      <c r="H1664" s="34"/>
      <c r="I1664" s="84">
        <v>1186.68</v>
      </c>
      <c r="J1664" s="136"/>
      <c r="K1664" s="118">
        <v>1715.69</v>
      </c>
      <c r="L1664" s="35"/>
      <c r="M1664" s="85"/>
      <c r="N1664" s="39" t="s">
        <v>643</v>
      </c>
      <c r="O1664" s="69"/>
      <c r="P1664" s="66">
        <v>45352</v>
      </c>
    </row>
    <row r="1665" spans="1:16" s="8" customFormat="1" ht="12.75" customHeight="1">
      <c r="A1665" s="110">
        <f t="shared" si="33"/>
        <v>1644</v>
      </c>
      <c r="B1665" s="23" t="s">
        <v>726</v>
      </c>
      <c r="C1665" s="23" t="s">
        <v>529</v>
      </c>
      <c r="D1665" s="52" t="s">
        <v>722</v>
      </c>
      <c r="E1665" s="23" t="s">
        <v>13</v>
      </c>
      <c r="F1665" s="27">
        <v>16</v>
      </c>
      <c r="G1665" s="27">
        <v>14</v>
      </c>
      <c r="H1665" s="34"/>
      <c r="I1665" s="84">
        <v>1318.92</v>
      </c>
      <c r="J1665" s="136"/>
      <c r="K1665" s="118">
        <v>1413.39</v>
      </c>
      <c r="L1665" s="35"/>
      <c r="M1665" s="85"/>
      <c r="N1665" s="39" t="s">
        <v>643</v>
      </c>
      <c r="O1665" s="69"/>
      <c r="P1665" s="66">
        <v>45352</v>
      </c>
    </row>
    <row r="1666" spans="1:16" s="8" customFormat="1" ht="12.75" customHeight="1">
      <c r="A1666" s="110">
        <f t="shared" si="33"/>
        <v>1645</v>
      </c>
      <c r="B1666" s="23" t="s">
        <v>726</v>
      </c>
      <c r="C1666" s="23" t="s">
        <v>529</v>
      </c>
      <c r="D1666" s="52" t="s">
        <v>722</v>
      </c>
      <c r="E1666" s="23" t="s">
        <v>13</v>
      </c>
      <c r="F1666" s="27">
        <v>20</v>
      </c>
      <c r="G1666" s="27">
        <v>10</v>
      </c>
      <c r="H1666" s="34"/>
      <c r="I1666" s="84">
        <v>1365.47</v>
      </c>
      <c r="J1666" s="136"/>
      <c r="K1666" s="118">
        <v>1973.94</v>
      </c>
      <c r="L1666" s="35"/>
      <c r="M1666" s="85"/>
      <c r="N1666" s="39" t="s">
        <v>643</v>
      </c>
      <c r="O1666" s="69"/>
      <c r="P1666" s="66">
        <v>45689</v>
      </c>
    </row>
    <row r="1667" spans="1:16" s="8" customFormat="1" ht="12.75" customHeight="1">
      <c r="A1667" s="110">
        <f t="shared" si="33"/>
        <v>1646</v>
      </c>
      <c r="B1667" s="23" t="s">
        <v>726</v>
      </c>
      <c r="C1667" s="23" t="s">
        <v>529</v>
      </c>
      <c r="D1667" s="52" t="s">
        <v>722</v>
      </c>
      <c r="E1667" s="23" t="s">
        <v>13</v>
      </c>
      <c r="F1667" s="27">
        <v>16</v>
      </c>
      <c r="G1667" s="27">
        <v>14</v>
      </c>
      <c r="H1667" s="34"/>
      <c r="I1667" s="84">
        <v>1571.57</v>
      </c>
      <c r="J1667" s="136"/>
      <c r="K1667" s="118">
        <v>1626.25</v>
      </c>
      <c r="L1667" s="35"/>
      <c r="M1667" s="85"/>
      <c r="N1667" s="39" t="s">
        <v>643</v>
      </c>
      <c r="O1667" s="69"/>
      <c r="P1667" s="66">
        <v>45689</v>
      </c>
    </row>
    <row r="1668" spans="1:16" s="8" customFormat="1" ht="12.75" customHeight="1">
      <c r="A1668" s="110">
        <f t="shared" si="33"/>
        <v>1647</v>
      </c>
      <c r="B1668" s="45" t="s">
        <v>726</v>
      </c>
      <c r="C1668" s="23" t="s">
        <v>529</v>
      </c>
      <c r="D1668" s="52" t="s">
        <v>722</v>
      </c>
      <c r="E1668" s="23" t="s">
        <v>13</v>
      </c>
      <c r="F1668" s="27">
        <v>20</v>
      </c>
      <c r="G1668" s="27">
        <v>10</v>
      </c>
      <c r="H1668" s="34"/>
      <c r="I1668" s="84">
        <v>1516</v>
      </c>
      <c r="J1668" s="136"/>
      <c r="K1668" s="118">
        <v>2202.5100000000002</v>
      </c>
      <c r="L1668" s="35"/>
      <c r="M1668" s="85"/>
      <c r="N1668" s="39" t="s">
        <v>643</v>
      </c>
      <c r="O1668" s="69"/>
      <c r="P1668" s="67">
        <v>46082</v>
      </c>
    </row>
    <row r="1669" spans="1:16" s="8" customFormat="1" ht="12.75" customHeight="1">
      <c r="A1669" s="110">
        <f t="shared" si="33"/>
        <v>1648</v>
      </c>
      <c r="B1669" s="45" t="s">
        <v>726</v>
      </c>
      <c r="C1669" s="23" t="s">
        <v>529</v>
      </c>
      <c r="D1669" s="52" t="s">
        <v>722</v>
      </c>
      <c r="E1669" s="23" t="s">
        <v>13</v>
      </c>
      <c r="F1669" s="27">
        <v>16</v>
      </c>
      <c r="G1669" s="27">
        <v>14</v>
      </c>
      <c r="H1669" s="34"/>
      <c r="I1669" s="84">
        <v>1687.63</v>
      </c>
      <c r="J1669" s="136"/>
      <c r="K1669" s="118">
        <v>1810.22</v>
      </c>
      <c r="L1669" s="35"/>
      <c r="M1669" s="85"/>
      <c r="N1669" s="39" t="s">
        <v>643</v>
      </c>
      <c r="O1669" s="69"/>
      <c r="P1669" s="67">
        <v>46082</v>
      </c>
    </row>
    <row r="1670" spans="1:16" s="8" customFormat="1" ht="12.75" customHeight="1">
      <c r="A1670" s="110">
        <f t="shared" si="33"/>
        <v>1649</v>
      </c>
      <c r="B1670" s="158" t="s">
        <v>726</v>
      </c>
      <c r="C1670" s="23" t="s">
        <v>529</v>
      </c>
      <c r="D1670" s="52" t="s">
        <v>722</v>
      </c>
      <c r="E1670" s="23" t="s">
        <v>13</v>
      </c>
      <c r="F1670" s="27">
        <v>20</v>
      </c>
      <c r="G1670" s="27">
        <v>14</v>
      </c>
      <c r="H1670" s="34"/>
      <c r="I1670" s="84">
        <v>1516</v>
      </c>
      <c r="J1670" s="136"/>
      <c r="K1670" s="118">
        <v>1810.22</v>
      </c>
      <c r="L1670" s="35"/>
      <c r="M1670" s="85"/>
      <c r="N1670" s="39" t="s">
        <v>643</v>
      </c>
      <c r="O1670" s="69"/>
      <c r="P1670" s="193">
        <v>46082</v>
      </c>
    </row>
    <row r="1671" spans="1:16" s="8" customFormat="1" ht="12.75" customHeight="1">
      <c r="A1671" s="110">
        <f t="shared" si="33"/>
        <v>1650</v>
      </c>
      <c r="B1671" s="158" t="s">
        <v>726</v>
      </c>
      <c r="C1671" s="23" t="s">
        <v>529</v>
      </c>
      <c r="D1671" s="52" t="s">
        <v>722</v>
      </c>
      <c r="E1671" s="23" t="s">
        <v>13</v>
      </c>
      <c r="F1671" s="27">
        <v>16</v>
      </c>
      <c r="G1671" s="27">
        <v>3</v>
      </c>
      <c r="H1671" s="34"/>
      <c r="I1671" s="84">
        <v>1687.63</v>
      </c>
      <c r="J1671" s="136"/>
      <c r="K1671" s="118">
        <v>5406.26</v>
      </c>
      <c r="L1671" s="35"/>
      <c r="M1671" s="85"/>
      <c r="N1671" s="39" t="s">
        <v>643</v>
      </c>
      <c r="O1671" s="69"/>
      <c r="P1671" s="193">
        <v>46082</v>
      </c>
    </row>
    <row r="1672" spans="1:16" s="8" customFormat="1" ht="12" customHeight="1">
      <c r="A1672" s="110">
        <f t="shared" si="33"/>
        <v>1651</v>
      </c>
      <c r="B1672" s="52" t="s">
        <v>725</v>
      </c>
      <c r="C1672" s="23" t="s">
        <v>724</v>
      </c>
      <c r="D1672" s="52" t="s">
        <v>722</v>
      </c>
      <c r="E1672" s="23" t="s">
        <v>19</v>
      </c>
      <c r="F1672" s="27">
        <v>20</v>
      </c>
      <c r="G1672" s="27">
        <v>10</v>
      </c>
      <c r="H1672" s="34">
        <v>1708.46</v>
      </c>
      <c r="I1672" s="84"/>
      <c r="J1672" s="136">
        <v>2893.89</v>
      </c>
      <c r="K1672" s="118"/>
      <c r="L1672" s="35">
        <v>10527.2</v>
      </c>
      <c r="M1672" s="85"/>
      <c r="N1672" s="39" t="s">
        <v>643</v>
      </c>
      <c r="O1672" s="69">
        <v>610</v>
      </c>
      <c r="P1672" s="66">
        <v>43265</v>
      </c>
    </row>
    <row r="1673" spans="1:16" s="8" customFormat="1" ht="12.75" customHeight="1">
      <c r="A1673" s="110">
        <f t="shared" si="33"/>
        <v>1652</v>
      </c>
      <c r="B1673" s="52" t="s">
        <v>822</v>
      </c>
      <c r="C1673" s="23" t="s">
        <v>724</v>
      </c>
      <c r="D1673" s="52" t="s">
        <v>722</v>
      </c>
      <c r="E1673" s="23" t="s">
        <v>19</v>
      </c>
      <c r="F1673" s="27">
        <v>20</v>
      </c>
      <c r="G1673" s="27">
        <v>10</v>
      </c>
      <c r="H1673" s="34">
        <v>1708.46</v>
      </c>
      <c r="I1673" s="84">
        <v>1712.93</v>
      </c>
      <c r="J1673" s="136">
        <v>2893.89</v>
      </c>
      <c r="K1673" s="118">
        <v>2902.88</v>
      </c>
      <c r="L1673" s="35"/>
      <c r="M1673" s="85">
        <v>10616.93</v>
      </c>
      <c r="N1673" s="39" t="s">
        <v>643</v>
      </c>
      <c r="O1673" s="69">
        <v>610</v>
      </c>
      <c r="P1673" s="66">
        <v>43617</v>
      </c>
    </row>
    <row r="1674" spans="1:16" s="8" customFormat="1" ht="12.75" customHeight="1">
      <c r="A1674" s="110">
        <f t="shared" si="33"/>
        <v>1653</v>
      </c>
      <c r="B1674" s="45" t="s">
        <v>822</v>
      </c>
      <c r="C1674" s="23" t="s">
        <v>724</v>
      </c>
      <c r="D1674" s="52" t="s">
        <v>722</v>
      </c>
      <c r="E1674" s="23" t="s">
        <v>19</v>
      </c>
      <c r="F1674" s="27">
        <v>20</v>
      </c>
      <c r="G1674" s="27">
        <v>10</v>
      </c>
      <c r="H1674" s="34"/>
      <c r="I1674" s="84">
        <v>1306.08</v>
      </c>
      <c r="J1674" s="136"/>
      <c r="K1674" s="118">
        <v>2124.71</v>
      </c>
      <c r="L1674" s="35"/>
      <c r="M1674" s="85"/>
      <c r="N1674" s="39" t="s">
        <v>643</v>
      </c>
      <c r="O1674" s="69"/>
      <c r="P1674" s="66">
        <v>44562</v>
      </c>
    </row>
    <row r="1675" spans="1:16" s="8" customFormat="1" ht="12.75" customHeight="1">
      <c r="A1675" s="110">
        <f t="shared" si="33"/>
        <v>1654</v>
      </c>
      <c r="B1675" s="45" t="s">
        <v>1026</v>
      </c>
      <c r="C1675" s="23" t="s">
        <v>724</v>
      </c>
      <c r="D1675" s="52" t="s">
        <v>722</v>
      </c>
      <c r="E1675" s="23" t="s">
        <v>19</v>
      </c>
      <c r="F1675" s="46" t="s">
        <v>977</v>
      </c>
      <c r="G1675" s="27"/>
      <c r="H1675" s="34"/>
      <c r="I1675" s="84">
        <v>51521.54</v>
      </c>
      <c r="J1675" s="136"/>
      <c r="K1675" s="118"/>
      <c r="L1675" s="35"/>
      <c r="M1675" s="85"/>
      <c r="N1675" s="39" t="s">
        <v>643</v>
      </c>
      <c r="O1675" s="69"/>
      <c r="P1675" s="66">
        <v>44562</v>
      </c>
    </row>
    <row r="1676" spans="1:16" s="8" customFormat="1" ht="12.75" customHeight="1">
      <c r="A1676" s="110">
        <f t="shared" si="33"/>
        <v>1655</v>
      </c>
      <c r="B1676" s="45" t="s">
        <v>822</v>
      </c>
      <c r="C1676" s="23" t="s">
        <v>724</v>
      </c>
      <c r="D1676" s="52" t="s">
        <v>722</v>
      </c>
      <c r="E1676" s="23" t="s">
        <v>19</v>
      </c>
      <c r="F1676" s="27">
        <v>20</v>
      </c>
      <c r="G1676" s="27">
        <v>10</v>
      </c>
      <c r="H1676" s="34"/>
      <c r="I1676" s="84">
        <v>1441.82</v>
      </c>
      <c r="J1676" s="136"/>
      <c r="K1676" s="118">
        <v>2348.63</v>
      </c>
      <c r="L1676" s="35"/>
      <c r="M1676" s="85"/>
      <c r="N1676" s="39" t="s">
        <v>643</v>
      </c>
      <c r="O1676" s="69"/>
      <c r="P1676" s="66">
        <v>45078</v>
      </c>
    </row>
    <row r="1677" spans="1:16" s="8" customFormat="1" ht="12.75" customHeight="1">
      <c r="A1677" s="110">
        <f t="shared" si="33"/>
        <v>1656</v>
      </c>
      <c r="B1677" s="45" t="s">
        <v>1026</v>
      </c>
      <c r="C1677" s="23" t="s">
        <v>724</v>
      </c>
      <c r="D1677" s="52" t="s">
        <v>722</v>
      </c>
      <c r="E1677" s="23" t="s">
        <v>19</v>
      </c>
      <c r="F1677" s="46" t="s">
        <v>977</v>
      </c>
      <c r="G1677" s="27"/>
      <c r="H1677" s="34"/>
      <c r="I1677" s="84">
        <v>52061.31</v>
      </c>
      <c r="J1677" s="136"/>
      <c r="K1677" s="118"/>
      <c r="L1677" s="35"/>
      <c r="M1677" s="85"/>
      <c r="N1677" s="39" t="s">
        <v>643</v>
      </c>
      <c r="O1677" s="69"/>
      <c r="P1677" s="66">
        <v>45078</v>
      </c>
    </row>
    <row r="1678" spans="1:16" s="8" customFormat="1" ht="12.75" customHeight="1">
      <c r="A1678" s="110">
        <f t="shared" si="33"/>
        <v>1657</v>
      </c>
      <c r="B1678" s="45" t="s">
        <v>822</v>
      </c>
      <c r="C1678" s="23" t="s">
        <v>724</v>
      </c>
      <c r="D1678" s="52" t="s">
        <v>722</v>
      </c>
      <c r="E1678" s="23" t="s">
        <v>19</v>
      </c>
      <c r="F1678" s="27">
        <v>20</v>
      </c>
      <c r="G1678" s="27">
        <v>10</v>
      </c>
      <c r="H1678" s="34"/>
      <c r="I1678" s="84">
        <v>1659.58</v>
      </c>
      <c r="J1678" s="136"/>
      <c r="K1678" s="118">
        <v>2702.83</v>
      </c>
      <c r="L1678" s="35"/>
      <c r="M1678" s="85">
        <v>20865.09</v>
      </c>
      <c r="N1678" s="39" t="s">
        <v>643</v>
      </c>
      <c r="O1678" s="69"/>
      <c r="P1678" s="66">
        <v>45352</v>
      </c>
    </row>
    <row r="1679" spans="1:16" s="8" customFormat="1" ht="12.75" customHeight="1">
      <c r="A1679" s="110">
        <f t="shared" si="33"/>
        <v>1658</v>
      </c>
      <c r="B1679" s="45" t="s">
        <v>822</v>
      </c>
      <c r="C1679" s="23" t="s">
        <v>724</v>
      </c>
      <c r="D1679" s="52" t="s">
        <v>722</v>
      </c>
      <c r="E1679" s="23" t="s">
        <v>19</v>
      </c>
      <c r="F1679" s="27">
        <v>19</v>
      </c>
      <c r="G1679" s="27">
        <v>11</v>
      </c>
      <c r="H1679" s="34"/>
      <c r="I1679" s="84">
        <v>1714.47</v>
      </c>
      <c r="J1679" s="136"/>
      <c r="K1679" s="118">
        <v>2513.13</v>
      </c>
      <c r="L1679" s="35"/>
      <c r="M1679" s="85"/>
      <c r="N1679" s="39" t="s">
        <v>643</v>
      </c>
      <c r="O1679" s="69"/>
      <c r="P1679" s="66">
        <v>45352</v>
      </c>
    </row>
    <row r="1680" spans="1:16" s="8" customFormat="1" ht="12.75" customHeight="1">
      <c r="A1680" s="110">
        <f t="shared" si="33"/>
        <v>1659</v>
      </c>
      <c r="B1680" s="45" t="s">
        <v>822</v>
      </c>
      <c r="C1680" s="23" t="s">
        <v>724</v>
      </c>
      <c r="D1680" s="52" t="s">
        <v>722</v>
      </c>
      <c r="E1680" s="23" t="s">
        <v>19</v>
      </c>
      <c r="F1680" s="27">
        <v>18</v>
      </c>
      <c r="G1680" s="27">
        <v>12</v>
      </c>
      <c r="H1680" s="34"/>
      <c r="I1680" s="84">
        <v>1775.5</v>
      </c>
      <c r="J1680" s="136"/>
      <c r="K1680" s="118">
        <v>2355.0700000000002</v>
      </c>
      <c r="L1680" s="35"/>
      <c r="M1680" s="85"/>
      <c r="N1680" s="39" t="s">
        <v>643</v>
      </c>
      <c r="O1680" s="69"/>
      <c r="P1680" s="66">
        <v>45352</v>
      </c>
    </row>
    <row r="1681" spans="1:16" s="8" customFormat="1" ht="12.75" customHeight="1">
      <c r="A1681" s="110">
        <f t="shared" si="33"/>
        <v>1660</v>
      </c>
      <c r="B1681" s="45" t="s">
        <v>822</v>
      </c>
      <c r="C1681" s="23" t="s">
        <v>724</v>
      </c>
      <c r="D1681" s="52" t="s">
        <v>722</v>
      </c>
      <c r="E1681" s="23" t="s">
        <v>19</v>
      </c>
      <c r="F1681" s="27">
        <v>17</v>
      </c>
      <c r="G1681" s="27">
        <v>13</v>
      </c>
      <c r="H1681" s="34"/>
      <c r="I1681" s="84">
        <v>1843.68</v>
      </c>
      <c r="J1681" s="136"/>
      <c r="K1681" s="118">
        <v>2221.3200000000002</v>
      </c>
      <c r="L1681" s="35"/>
      <c r="M1681" s="85"/>
      <c r="N1681" s="39" t="s">
        <v>643</v>
      </c>
      <c r="O1681" s="69"/>
      <c r="P1681" s="66">
        <v>45352</v>
      </c>
    </row>
    <row r="1682" spans="1:16" s="8" customFormat="1" ht="12.75" customHeight="1">
      <c r="A1682" s="110">
        <f t="shared" si="33"/>
        <v>1661</v>
      </c>
      <c r="B1682" s="45" t="s">
        <v>822</v>
      </c>
      <c r="C1682" s="23" t="s">
        <v>724</v>
      </c>
      <c r="D1682" s="52" t="s">
        <v>722</v>
      </c>
      <c r="E1682" s="23" t="s">
        <v>19</v>
      </c>
      <c r="F1682" s="27">
        <v>16</v>
      </c>
      <c r="G1682" s="27">
        <v>14</v>
      </c>
      <c r="H1682" s="34"/>
      <c r="I1682" s="84">
        <v>1920.39</v>
      </c>
      <c r="J1682" s="136"/>
      <c r="K1682" s="118">
        <v>2106.67</v>
      </c>
      <c r="L1682" s="35"/>
      <c r="M1682" s="85"/>
      <c r="N1682" s="39" t="s">
        <v>643</v>
      </c>
      <c r="O1682" s="69"/>
      <c r="P1682" s="66">
        <v>45352</v>
      </c>
    </row>
    <row r="1683" spans="1:16" s="8" customFormat="1" ht="12.75" customHeight="1">
      <c r="A1683" s="110">
        <f t="shared" si="33"/>
        <v>1662</v>
      </c>
      <c r="B1683" s="45" t="s">
        <v>822</v>
      </c>
      <c r="C1683" s="23" t="s">
        <v>724</v>
      </c>
      <c r="D1683" s="52" t="s">
        <v>722</v>
      </c>
      <c r="E1683" s="23" t="s">
        <v>19</v>
      </c>
      <c r="F1683" s="27">
        <v>15</v>
      </c>
      <c r="G1683" s="27"/>
      <c r="H1683" s="34"/>
      <c r="I1683" s="84">
        <v>2007.32</v>
      </c>
      <c r="J1683" s="136"/>
      <c r="K1683" s="118"/>
      <c r="L1683" s="35"/>
      <c r="M1683" s="85"/>
      <c r="N1683" s="39" t="s">
        <v>643</v>
      </c>
      <c r="O1683" s="69"/>
      <c r="P1683" s="66">
        <v>45352</v>
      </c>
    </row>
    <row r="1684" spans="1:16" s="8" customFormat="1" ht="12.75" customHeight="1">
      <c r="A1684" s="110">
        <f t="shared" si="33"/>
        <v>1663</v>
      </c>
      <c r="B1684" s="45" t="s">
        <v>822</v>
      </c>
      <c r="C1684" s="23" t="s">
        <v>724</v>
      </c>
      <c r="D1684" s="52" t="s">
        <v>722</v>
      </c>
      <c r="E1684" s="23" t="s">
        <v>19</v>
      </c>
      <c r="F1684" s="27">
        <v>20</v>
      </c>
      <c r="G1684" s="27">
        <v>10</v>
      </c>
      <c r="H1684" s="34"/>
      <c r="I1684" s="84">
        <v>1909.65</v>
      </c>
      <c r="J1684" s="136"/>
      <c r="K1684" s="118">
        <v>3109.88</v>
      </c>
      <c r="L1684" s="35"/>
      <c r="M1684" s="85">
        <v>24004.47</v>
      </c>
      <c r="N1684" s="39" t="s">
        <v>643</v>
      </c>
      <c r="O1684" s="69"/>
      <c r="P1684" s="66">
        <v>45689</v>
      </c>
    </row>
    <row r="1685" spans="1:16" s="8" customFormat="1" ht="12.75" customHeight="1">
      <c r="A1685" s="110">
        <f t="shared" si="33"/>
        <v>1664</v>
      </c>
      <c r="B1685" s="45" t="s">
        <v>822</v>
      </c>
      <c r="C1685" s="23" t="s">
        <v>724</v>
      </c>
      <c r="D1685" s="52" t="s">
        <v>722</v>
      </c>
      <c r="E1685" s="23" t="s">
        <v>19</v>
      </c>
      <c r="F1685" s="27">
        <v>19</v>
      </c>
      <c r="G1685" s="27">
        <v>11</v>
      </c>
      <c r="H1685" s="34"/>
      <c r="I1685" s="84">
        <v>1972.86</v>
      </c>
      <c r="J1685" s="136"/>
      <c r="K1685" s="118">
        <v>2891.68</v>
      </c>
      <c r="L1685" s="35"/>
      <c r="M1685" s="85"/>
      <c r="N1685" s="39" t="s">
        <v>643</v>
      </c>
      <c r="O1685" s="69"/>
      <c r="P1685" s="66">
        <v>45689</v>
      </c>
    </row>
    <row r="1686" spans="1:16" s="8" customFormat="1" ht="12.75" customHeight="1">
      <c r="A1686" s="110">
        <f t="shared" si="33"/>
        <v>1665</v>
      </c>
      <c r="B1686" s="45" t="s">
        <v>822</v>
      </c>
      <c r="C1686" s="23" t="s">
        <v>724</v>
      </c>
      <c r="D1686" s="52" t="s">
        <v>722</v>
      </c>
      <c r="E1686" s="23" t="s">
        <v>19</v>
      </c>
      <c r="F1686" s="27">
        <v>18</v>
      </c>
      <c r="G1686" s="27">
        <v>12</v>
      </c>
      <c r="H1686" s="34"/>
      <c r="I1686" s="84">
        <v>2043.01</v>
      </c>
      <c r="J1686" s="136"/>
      <c r="K1686" s="118">
        <v>2709.81</v>
      </c>
      <c r="L1686" s="35"/>
      <c r="M1686" s="85"/>
      <c r="N1686" s="39" t="s">
        <v>643</v>
      </c>
      <c r="O1686" s="69"/>
      <c r="P1686" s="66">
        <v>45689</v>
      </c>
    </row>
    <row r="1687" spans="1:16" s="8" customFormat="1" ht="12.75" customHeight="1">
      <c r="A1687" s="110">
        <f t="shared" si="33"/>
        <v>1666</v>
      </c>
      <c r="B1687" s="45" t="s">
        <v>822</v>
      </c>
      <c r="C1687" s="23" t="s">
        <v>724</v>
      </c>
      <c r="D1687" s="52" t="s">
        <v>722</v>
      </c>
      <c r="E1687" s="23" t="s">
        <v>19</v>
      </c>
      <c r="F1687" s="27">
        <v>17</v>
      </c>
      <c r="G1687" s="27">
        <v>13</v>
      </c>
      <c r="H1687" s="34"/>
      <c r="I1687" s="84">
        <v>2121.4699999999998</v>
      </c>
      <c r="J1687" s="136"/>
      <c r="K1687" s="118">
        <v>2555.9499999999998</v>
      </c>
      <c r="L1687" s="35"/>
      <c r="M1687" s="85"/>
      <c r="N1687" s="39" t="s">
        <v>643</v>
      </c>
      <c r="O1687" s="69"/>
      <c r="P1687" s="66">
        <v>45689</v>
      </c>
    </row>
    <row r="1688" spans="1:16" s="8" customFormat="1" ht="12.75" customHeight="1">
      <c r="A1688" s="110">
        <f t="shared" si="33"/>
        <v>1667</v>
      </c>
      <c r="B1688" s="45" t="s">
        <v>822</v>
      </c>
      <c r="C1688" s="23" t="s">
        <v>724</v>
      </c>
      <c r="D1688" s="52" t="s">
        <v>722</v>
      </c>
      <c r="E1688" s="23" t="s">
        <v>19</v>
      </c>
      <c r="F1688" s="27">
        <v>16</v>
      </c>
      <c r="G1688" s="27">
        <v>14</v>
      </c>
      <c r="H1688" s="34"/>
      <c r="I1688" s="84">
        <v>2209.73</v>
      </c>
      <c r="J1688" s="136"/>
      <c r="K1688" s="118">
        <v>2424.0500000000002</v>
      </c>
      <c r="L1688" s="35"/>
      <c r="M1688" s="85"/>
      <c r="N1688" s="39" t="s">
        <v>643</v>
      </c>
      <c r="O1688" s="69"/>
      <c r="P1688" s="66">
        <v>45689</v>
      </c>
    </row>
    <row r="1689" spans="1:16" s="8" customFormat="1" ht="12.75" customHeight="1">
      <c r="A1689" s="110">
        <f t="shared" si="33"/>
        <v>1668</v>
      </c>
      <c r="B1689" s="45" t="s">
        <v>822</v>
      </c>
      <c r="C1689" s="23" t="s">
        <v>724</v>
      </c>
      <c r="D1689" s="52" t="s">
        <v>722</v>
      </c>
      <c r="E1689" s="23" t="s">
        <v>19</v>
      </c>
      <c r="F1689" s="27">
        <v>15</v>
      </c>
      <c r="G1689" s="27"/>
      <c r="H1689" s="34"/>
      <c r="I1689" s="84">
        <v>2309.7199999999998</v>
      </c>
      <c r="J1689" s="136"/>
      <c r="K1689" s="118"/>
      <c r="L1689" s="35"/>
      <c r="M1689" s="85"/>
      <c r="N1689" s="39" t="s">
        <v>643</v>
      </c>
      <c r="O1689" s="69"/>
      <c r="P1689" s="66">
        <v>45689</v>
      </c>
    </row>
    <row r="1690" spans="1:16" s="8" customFormat="1" ht="12.75" customHeight="1">
      <c r="A1690" s="110">
        <f t="shared" si="33"/>
        <v>1669</v>
      </c>
      <c r="B1690" s="45" t="s">
        <v>1026</v>
      </c>
      <c r="C1690" s="23" t="s">
        <v>724</v>
      </c>
      <c r="D1690" s="52" t="s">
        <v>722</v>
      </c>
      <c r="E1690" s="23" t="s">
        <v>19</v>
      </c>
      <c r="F1690" s="46" t="s">
        <v>977</v>
      </c>
      <c r="G1690" s="27"/>
      <c r="H1690" s="34"/>
      <c r="I1690" s="84">
        <v>73468.210000000006</v>
      </c>
      <c r="J1690" s="136"/>
      <c r="K1690" s="118"/>
      <c r="L1690" s="35"/>
      <c r="M1690" s="85"/>
      <c r="N1690" s="39" t="s">
        <v>643</v>
      </c>
      <c r="O1690" s="69"/>
      <c r="P1690" s="66">
        <v>45352</v>
      </c>
    </row>
    <row r="1691" spans="1:16" s="8" customFormat="1" ht="12.75" customHeight="1">
      <c r="A1691" s="110">
        <f t="shared" si="33"/>
        <v>1670</v>
      </c>
      <c r="B1691" s="45" t="s">
        <v>1026</v>
      </c>
      <c r="C1691" s="23" t="s">
        <v>724</v>
      </c>
      <c r="D1691" s="52" t="s">
        <v>722</v>
      </c>
      <c r="E1691" s="23" t="s">
        <v>19</v>
      </c>
      <c r="F1691" s="46" t="s">
        <v>977</v>
      </c>
      <c r="G1691" s="27"/>
      <c r="H1691" s="34"/>
      <c r="I1691" s="84">
        <v>84491.25</v>
      </c>
      <c r="J1691" s="136"/>
      <c r="K1691" s="118"/>
      <c r="L1691" s="35"/>
      <c r="M1691" s="85"/>
      <c r="N1691" s="39" t="s">
        <v>643</v>
      </c>
      <c r="O1691" s="69"/>
      <c r="P1691" s="66">
        <v>45689</v>
      </c>
    </row>
    <row r="1692" spans="1:16" s="8" customFormat="1" ht="12.75" customHeight="1">
      <c r="A1692" s="110">
        <f t="shared" si="33"/>
        <v>1671</v>
      </c>
      <c r="B1692" s="158" t="s">
        <v>822</v>
      </c>
      <c r="C1692" s="23" t="s">
        <v>724</v>
      </c>
      <c r="D1692" s="52" t="s">
        <v>722</v>
      </c>
      <c r="E1692" s="23" t="s">
        <v>19</v>
      </c>
      <c r="F1692" s="46">
        <v>20</v>
      </c>
      <c r="G1692" s="27">
        <v>10</v>
      </c>
      <c r="H1692" s="34"/>
      <c r="I1692" s="84">
        <v>2095.52</v>
      </c>
      <c r="J1692" s="136"/>
      <c r="K1692" s="118">
        <v>3413.6</v>
      </c>
      <c r="L1692" s="35"/>
      <c r="M1692" s="85">
        <v>26361.85</v>
      </c>
      <c r="N1692" s="39" t="s">
        <v>643</v>
      </c>
      <c r="O1692" s="69"/>
      <c r="P1692" s="193">
        <v>46082</v>
      </c>
    </row>
    <row r="1693" spans="1:16" s="8" customFormat="1" ht="12.75" customHeight="1">
      <c r="A1693" s="110">
        <f t="shared" si="33"/>
        <v>1672</v>
      </c>
      <c r="B1693" s="158" t="s">
        <v>822</v>
      </c>
      <c r="C1693" s="23" t="s">
        <v>724</v>
      </c>
      <c r="D1693" s="52" t="s">
        <v>722</v>
      </c>
      <c r="E1693" s="23" t="s">
        <v>19</v>
      </c>
      <c r="F1693" s="46">
        <v>19</v>
      </c>
      <c r="G1693" s="27">
        <v>11</v>
      </c>
      <c r="H1693" s="34"/>
      <c r="I1693" s="84">
        <v>2164.87</v>
      </c>
      <c r="J1693" s="136"/>
      <c r="K1693" s="118">
        <v>3173.97</v>
      </c>
      <c r="L1693" s="35"/>
      <c r="M1693" s="85"/>
      <c r="N1693" s="39" t="s">
        <v>643</v>
      </c>
      <c r="O1693" s="69"/>
      <c r="P1693" s="193">
        <v>46082</v>
      </c>
    </row>
    <row r="1694" spans="1:16" s="8" customFormat="1" ht="12.75" customHeight="1">
      <c r="A1694" s="110">
        <f t="shared" si="33"/>
        <v>1673</v>
      </c>
      <c r="B1694" s="158" t="s">
        <v>822</v>
      </c>
      <c r="C1694" s="23" t="s">
        <v>724</v>
      </c>
      <c r="D1694" s="52" t="s">
        <v>722</v>
      </c>
      <c r="E1694" s="23" t="s">
        <v>19</v>
      </c>
      <c r="F1694" s="46">
        <v>18</v>
      </c>
      <c r="G1694" s="27">
        <v>12</v>
      </c>
      <c r="H1694" s="34"/>
      <c r="I1694" s="84">
        <v>2241.9499999999998</v>
      </c>
      <c r="J1694" s="136"/>
      <c r="K1694" s="118">
        <v>2974.26</v>
      </c>
      <c r="L1694" s="35"/>
      <c r="M1694" s="85"/>
      <c r="N1694" s="39" t="s">
        <v>643</v>
      </c>
      <c r="O1694" s="69"/>
      <c r="P1694" s="193">
        <v>46082</v>
      </c>
    </row>
    <row r="1695" spans="1:16" s="8" customFormat="1" ht="12.75" customHeight="1">
      <c r="A1695" s="110">
        <f t="shared" si="33"/>
        <v>1674</v>
      </c>
      <c r="B1695" s="158" t="s">
        <v>822</v>
      </c>
      <c r="C1695" s="23" t="s">
        <v>724</v>
      </c>
      <c r="D1695" s="52" t="s">
        <v>722</v>
      </c>
      <c r="E1695" s="23" t="s">
        <v>19</v>
      </c>
      <c r="F1695" s="46">
        <v>17</v>
      </c>
      <c r="G1695" s="27">
        <v>13</v>
      </c>
      <c r="H1695" s="34"/>
      <c r="I1695" s="84">
        <v>2328.11</v>
      </c>
      <c r="J1695" s="136"/>
      <c r="K1695" s="118">
        <v>2805.27</v>
      </c>
      <c r="L1695" s="35"/>
      <c r="M1695" s="85"/>
      <c r="N1695" s="39" t="s">
        <v>643</v>
      </c>
      <c r="O1695" s="69"/>
      <c r="P1695" s="193">
        <v>46082</v>
      </c>
    </row>
    <row r="1696" spans="1:16" s="8" customFormat="1" ht="12.75" customHeight="1">
      <c r="A1696" s="110">
        <f t="shared" si="33"/>
        <v>1675</v>
      </c>
      <c r="B1696" s="158" t="s">
        <v>822</v>
      </c>
      <c r="C1696" s="23" t="s">
        <v>724</v>
      </c>
      <c r="D1696" s="52" t="s">
        <v>722</v>
      </c>
      <c r="E1696" s="23" t="s">
        <v>19</v>
      </c>
      <c r="F1696" s="46">
        <v>16</v>
      </c>
      <c r="G1696" s="27">
        <v>14</v>
      </c>
      <c r="H1696" s="34"/>
      <c r="I1696" s="84">
        <v>2425.04</v>
      </c>
      <c r="J1696" s="136"/>
      <c r="K1696" s="118">
        <v>2660.39</v>
      </c>
      <c r="L1696" s="35"/>
      <c r="M1696" s="85"/>
      <c r="N1696" s="39" t="s">
        <v>643</v>
      </c>
      <c r="O1696" s="69"/>
      <c r="P1696" s="193">
        <v>46082</v>
      </c>
    </row>
    <row r="1697" spans="1:16" s="8" customFormat="1" ht="12.75" customHeight="1">
      <c r="A1697" s="110">
        <f t="shared" si="33"/>
        <v>1676</v>
      </c>
      <c r="B1697" s="158" t="s">
        <v>822</v>
      </c>
      <c r="C1697" s="23" t="s">
        <v>724</v>
      </c>
      <c r="D1697" s="52" t="s">
        <v>722</v>
      </c>
      <c r="E1697" s="23" t="s">
        <v>19</v>
      </c>
      <c r="F1697" s="46">
        <v>15</v>
      </c>
      <c r="G1697" s="27"/>
      <c r="H1697" s="34"/>
      <c r="I1697" s="84">
        <v>2534.87</v>
      </c>
      <c r="J1697" s="136"/>
      <c r="K1697" s="118"/>
      <c r="L1697" s="35"/>
      <c r="M1697" s="85"/>
      <c r="N1697" s="39" t="s">
        <v>643</v>
      </c>
      <c r="O1697" s="69"/>
      <c r="P1697" s="193">
        <v>46082</v>
      </c>
    </row>
    <row r="1698" spans="1:16" s="8" customFormat="1" ht="12.75" customHeight="1">
      <c r="A1698" s="110">
        <f t="shared" si="33"/>
        <v>1677</v>
      </c>
      <c r="B1698" s="158" t="s">
        <v>1026</v>
      </c>
      <c r="C1698" s="23" t="s">
        <v>724</v>
      </c>
      <c r="D1698" s="52" t="s">
        <v>722</v>
      </c>
      <c r="E1698" s="23" t="s">
        <v>19</v>
      </c>
      <c r="F1698" s="46" t="s">
        <v>977</v>
      </c>
      <c r="G1698" s="27"/>
      <c r="H1698" s="34"/>
      <c r="I1698" s="84">
        <v>107202.02</v>
      </c>
      <c r="J1698" s="136"/>
      <c r="K1698" s="118"/>
      <c r="L1698" s="35"/>
      <c r="M1698" s="85"/>
      <c r="N1698" s="39" t="s">
        <v>643</v>
      </c>
      <c r="O1698" s="69"/>
      <c r="P1698" s="193">
        <v>46082</v>
      </c>
    </row>
    <row r="1699" spans="1:16" s="8" customFormat="1" ht="12.75" customHeight="1">
      <c r="A1699" s="110">
        <f t="shared" si="33"/>
        <v>1678</v>
      </c>
      <c r="B1699" s="45" t="s">
        <v>857</v>
      </c>
      <c r="C1699" s="23" t="s">
        <v>724</v>
      </c>
      <c r="D1699" s="52" t="s">
        <v>556</v>
      </c>
      <c r="E1699" s="23" t="s">
        <v>19</v>
      </c>
      <c r="F1699" s="27">
        <v>20</v>
      </c>
      <c r="G1699" s="27">
        <v>5</v>
      </c>
      <c r="H1699" s="34">
        <v>1712.15</v>
      </c>
      <c r="I1699" s="84">
        <v>1716.63</v>
      </c>
      <c r="J1699" s="136">
        <v>2897.6</v>
      </c>
      <c r="K1699" s="118">
        <v>5286.58</v>
      </c>
      <c r="L1699" s="35">
        <v>10527.2</v>
      </c>
      <c r="M1699" s="85" t="s">
        <v>823</v>
      </c>
      <c r="N1699" s="39" t="s">
        <v>643</v>
      </c>
      <c r="O1699" s="69">
        <v>610</v>
      </c>
      <c r="P1699" s="66">
        <v>43617</v>
      </c>
    </row>
    <row r="1700" spans="1:16" s="8" customFormat="1" ht="12.75" customHeight="1">
      <c r="A1700" s="110">
        <f t="shared" si="33"/>
        <v>1679</v>
      </c>
      <c r="B1700" s="45" t="s">
        <v>857</v>
      </c>
      <c r="C1700" s="23" t="s">
        <v>724</v>
      </c>
      <c r="D1700" s="52" t="s">
        <v>556</v>
      </c>
      <c r="E1700" s="23" t="s">
        <v>19</v>
      </c>
      <c r="F1700" s="27">
        <v>20</v>
      </c>
      <c r="G1700" s="27">
        <v>10</v>
      </c>
      <c r="H1700" s="34"/>
      <c r="I1700" s="84">
        <v>1334.75</v>
      </c>
      <c r="J1700" s="136"/>
      <c r="K1700" s="118">
        <v>2153.37</v>
      </c>
      <c r="L1700" s="35"/>
      <c r="M1700" s="85">
        <v>16372.52</v>
      </c>
      <c r="N1700" s="39" t="s">
        <v>643</v>
      </c>
      <c r="O1700" s="69"/>
      <c r="P1700" s="66">
        <v>44562</v>
      </c>
    </row>
    <row r="1701" spans="1:16" s="8" customFormat="1" ht="12.75" customHeight="1">
      <c r="A1701" s="110">
        <f t="shared" si="33"/>
        <v>1680</v>
      </c>
      <c r="B1701" s="45" t="s">
        <v>1025</v>
      </c>
      <c r="C1701" s="23" t="s">
        <v>724</v>
      </c>
      <c r="D1701" s="52" t="s">
        <v>556</v>
      </c>
      <c r="E1701" s="23" t="s">
        <v>19</v>
      </c>
      <c r="F1701" s="46" t="s">
        <v>977</v>
      </c>
      <c r="G1701" s="27"/>
      <c r="H1701" s="34"/>
      <c r="I1701" s="84">
        <v>51521.54</v>
      </c>
      <c r="J1701" s="136"/>
      <c r="K1701" s="118"/>
      <c r="L1701" s="35"/>
      <c r="M1701" s="85"/>
      <c r="N1701" s="39" t="s">
        <v>643</v>
      </c>
      <c r="O1701" s="69"/>
      <c r="P1701" s="66">
        <v>44562</v>
      </c>
    </row>
    <row r="1702" spans="1:16" s="8" customFormat="1" ht="12.75" customHeight="1">
      <c r="A1702" s="110">
        <f t="shared" si="33"/>
        <v>1681</v>
      </c>
      <c r="B1702" s="45" t="s">
        <v>857</v>
      </c>
      <c r="C1702" s="23" t="s">
        <v>724</v>
      </c>
      <c r="D1702" s="52" t="s">
        <v>556</v>
      </c>
      <c r="E1702" s="23" t="s">
        <v>19</v>
      </c>
      <c r="F1702" s="46">
        <v>20</v>
      </c>
      <c r="G1702" s="27">
        <v>10</v>
      </c>
      <c r="H1702" s="34"/>
      <c r="I1702" s="84">
        <v>1473.61</v>
      </c>
      <c r="J1702" s="136"/>
      <c r="K1702" s="118">
        <v>2380.41</v>
      </c>
      <c r="L1702" s="35"/>
      <c r="M1702" s="85"/>
      <c r="N1702" s="39" t="s">
        <v>643</v>
      </c>
      <c r="O1702" s="69"/>
      <c r="P1702" s="66">
        <v>45078</v>
      </c>
    </row>
    <row r="1703" spans="1:16" s="8" customFormat="1" ht="12.75" customHeight="1">
      <c r="A1703" s="110">
        <f t="shared" si="33"/>
        <v>1682</v>
      </c>
      <c r="B1703" s="45" t="s">
        <v>1025</v>
      </c>
      <c r="C1703" s="23" t="s">
        <v>724</v>
      </c>
      <c r="D1703" s="52" t="s">
        <v>556</v>
      </c>
      <c r="E1703" s="23" t="s">
        <v>19</v>
      </c>
      <c r="F1703" s="46" t="s">
        <v>977</v>
      </c>
      <c r="G1703" s="27"/>
      <c r="H1703" s="34"/>
      <c r="I1703" s="84">
        <v>52061.31</v>
      </c>
      <c r="J1703" s="136"/>
      <c r="K1703" s="118"/>
      <c r="L1703" s="35"/>
      <c r="M1703" s="85"/>
      <c r="N1703" s="39" t="s">
        <v>643</v>
      </c>
      <c r="O1703" s="69"/>
      <c r="P1703" s="66">
        <v>45078</v>
      </c>
    </row>
    <row r="1704" spans="1:16" ht="15.75" customHeight="1">
      <c r="A1704" s="110">
        <f t="shared" si="33"/>
        <v>1683</v>
      </c>
      <c r="B1704" s="52" t="s">
        <v>723</v>
      </c>
      <c r="C1704" s="23" t="s">
        <v>724</v>
      </c>
      <c r="D1704" s="52" t="s">
        <v>556</v>
      </c>
      <c r="E1704" s="23" t="s">
        <v>19</v>
      </c>
      <c r="F1704" s="27">
        <v>20</v>
      </c>
      <c r="G1704" s="27">
        <v>10</v>
      </c>
      <c r="H1704" s="34">
        <v>1712.15</v>
      </c>
      <c r="I1704" s="84"/>
      <c r="J1704" s="136">
        <v>2897.6</v>
      </c>
      <c r="K1704" s="118"/>
      <c r="L1704" s="35">
        <v>10527.2</v>
      </c>
      <c r="M1704" s="85"/>
      <c r="N1704" s="39" t="s">
        <v>643</v>
      </c>
      <c r="O1704" s="69">
        <v>610</v>
      </c>
      <c r="P1704" s="66">
        <v>43265</v>
      </c>
    </row>
    <row r="1705" spans="1:16" ht="15.75" customHeight="1">
      <c r="A1705" s="110">
        <f t="shared" si="33"/>
        <v>1684</v>
      </c>
      <c r="B1705" s="45" t="s">
        <v>857</v>
      </c>
      <c r="C1705" s="23" t="s">
        <v>724</v>
      </c>
      <c r="D1705" s="52" t="s">
        <v>556</v>
      </c>
      <c r="E1705" s="23" t="s">
        <v>19</v>
      </c>
      <c r="F1705" s="46">
        <v>20</v>
      </c>
      <c r="G1705" s="27">
        <v>10</v>
      </c>
      <c r="H1705" s="34"/>
      <c r="I1705" s="84">
        <v>1695.79</v>
      </c>
      <c r="J1705" s="136"/>
      <c r="K1705" s="118">
        <v>2739.03</v>
      </c>
      <c r="L1705" s="35"/>
      <c r="M1705" s="85">
        <v>20865.09</v>
      </c>
      <c r="N1705" s="39" t="s">
        <v>643</v>
      </c>
      <c r="O1705" s="69"/>
      <c r="P1705" s="66">
        <v>45352</v>
      </c>
    </row>
    <row r="1706" spans="1:16" ht="15.75" customHeight="1">
      <c r="A1706" s="110">
        <f t="shared" si="33"/>
        <v>1685</v>
      </c>
      <c r="B1706" s="45" t="s">
        <v>857</v>
      </c>
      <c r="C1706" s="23" t="s">
        <v>724</v>
      </c>
      <c r="D1706" s="52" t="s">
        <v>556</v>
      </c>
      <c r="E1706" s="23" t="s">
        <v>19</v>
      </c>
      <c r="F1706" s="46">
        <v>19</v>
      </c>
      <c r="G1706" s="27">
        <v>11</v>
      </c>
      <c r="H1706" s="34"/>
      <c r="I1706" s="84">
        <v>1750.69</v>
      </c>
      <c r="J1706" s="136"/>
      <c r="K1706" s="118">
        <v>2549.34</v>
      </c>
      <c r="L1706" s="35"/>
      <c r="M1706" s="85"/>
      <c r="N1706" s="39" t="s">
        <v>643</v>
      </c>
      <c r="O1706" s="69"/>
      <c r="P1706" s="66">
        <v>45352</v>
      </c>
    </row>
    <row r="1707" spans="1:16" ht="15.75" customHeight="1">
      <c r="A1707" s="110">
        <f t="shared" si="33"/>
        <v>1686</v>
      </c>
      <c r="B1707" s="45" t="s">
        <v>857</v>
      </c>
      <c r="C1707" s="23" t="s">
        <v>724</v>
      </c>
      <c r="D1707" s="52" t="s">
        <v>556</v>
      </c>
      <c r="E1707" s="23" t="s">
        <v>19</v>
      </c>
      <c r="F1707" s="46">
        <v>18</v>
      </c>
      <c r="G1707" s="27">
        <v>12</v>
      </c>
      <c r="H1707" s="34"/>
      <c r="I1707" s="84">
        <v>1811.71</v>
      </c>
      <c r="J1707" s="136"/>
      <c r="K1707" s="118">
        <v>2391.2800000000002</v>
      </c>
      <c r="L1707" s="35"/>
      <c r="M1707" s="85"/>
      <c r="N1707" s="39" t="s">
        <v>643</v>
      </c>
      <c r="O1707" s="69"/>
      <c r="P1707" s="66">
        <v>45352</v>
      </c>
    </row>
    <row r="1708" spans="1:16" ht="15.75" customHeight="1">
      <c r="A1708" s="110">
        <f t="shared" si="33"/>
        <v>1687</v>
      </c>
      <c r="B1708" s="45" t="s">
        <v>857</v>
      </c>
      <c r="C1708" s="23" t="s">
        <v>724</v>
      </c>
      <c r="D1708" s="52" t="s">
        <v>556</v>
      </c>
      <c r="E1708" s="23" t="s">
        <v>19</v>
      </c>
      <c r="F1708" s="46">
        <v>17</v>
      </c>
      <c r="G1708" s="27">
        <v>13</v>
      </c>
      <c r="H1708" s="34"/>
      <c r="I1708" s="84">
        <v>1879.89</v>
      </c>
      <c r="J1708" s="136"/>
      <c r="K1708" s="118">
        <v>2257.52</v>
      </c>
      <c r="L1708" s="35"/>
      <c r="M1708" s="85"/>
      <c r="N1708" s="39" t="s">
        <v>643</v>
      </c>
      <c r="O1708" s="69"/>
      <c r="P1708" s="66">
        <v>45352</v>
      </c>
    </row>
    <row r="1709" spans="1:16" ht="15.75" customHeight="1">
      <c r="A1709" s="110">
        <f t="shared" si="33"/>
        <v>1688</v>
      </c>
      <c r="B1709" s="45" t="s">
        <v>857</v>
      </c>
      <c r="C1709" s="23" t="s">
        <v>724</v>
      </c>
      <c r="D1709" s="52" t="s">
        <v>556</v>
      </c>
      <c r="E1709" s="23" t="s">
        <v>19</v>
      </c>
      <c r="F1709" s="46">
        <v>16</v>
      </c>
      <c r="G1709" s="27">
        <v>14</v>
      </c>
      <c r="H1709" s="34"/>
      <c r="I1709" s="84">
        <v>1956.61</v>
      </c>
      <c r="J1709" s="136"/>
      <c r="K1709" s="118">
        <v>2142.88</v>
      </c>
      <c r="L1709" s="35"/>
      <c r="M1709" s="85"/>
      <c r="N1709" s="39" t="s">
        <v>643</v>
      </c>
      <c r="O1709" s="69"/>
      <c r="P1709" s="66">
        <v>45352</v>
      </c>
    </row>
    <row r="1710" spans="1:16" ht="15.75" customHeight="1">
      <c r="A1710" s="110">
        <f t="shared" si="33"/>
        <v>1689</v>
      </c>
      <c r="B1710" s="45" t="s">
        <v>857</v>
      </c>
      <c r="C1710" s="23" t="s">
        <v>724</v>
      </c>
      <c r="D1710" s="52" t="s">
        <v>556</v>
      </c>
      <c r="E1710" s="23" t="s">
        <v>19</v>
      </c>
      <c r="F1710" s="46">
        <v>15</v>
      </c>
      <c r="G1710" s="27"/>
      <c r="H1710" s="34"/>
      <c r="I1710" s="84">
        <v>2043.52</v>
      </c>
      <c r="J1710" s="136"/>
      <c r="K1710" s="118"/>
      <c r="L1710" s="35"/>
      <c r="M1710" s="85"/>
      <c r="N1710" s="39" t="s">
        <v>643</v>
      </c>
      <c r="O1710" s="69"/>
      <c r="P1710" s="66">
        <v>45352</v>
      </c>
    </row>
    <row r="1711" spans="1:16" ht="15.75" customHeight="1">
      <c r="A1711" s="110">
        <f t="shared" si="33"/>
        <v>1690</v>
      </c>
      <c r="B1711" s="45" t="s">
        <v>857</v>
      </c>
      <c r="C1711" s="23" t="s">
        <v>724</v>
      </c>
      <c r="D1711" s="52" t="s">
        <v>556</v>
      </c>
      <c r="E1711" s="23" t="s">
        <v>19</v>
      </c>
      <c r="F1711" s="46">
        <v>20</v>
      </c>
      <c r="G1711" s="27">
        <v>10</v>
      </c>
      <c r="H1711" s="34"/>
      <c r="I1711" s="84">
        <v>1951.03</v>
      </c>
      <c r="J1711" s="136"/>
      <c r="K1711" s="118">
        <v>3151.27</v>
      </c>
      <c r="L1711" s="35"/>
      <c r="M1711" s="85">
        <v>24004.47</v>
      </c>
      <c r="N1711" s="39" t="s">
        <v>643</v>
      </c>
      <c r="O1711" s="69"/>
      <c r="P1711" s="66">
        <v>45689</v>
      </c>
    </row>
    <row r="1712" spans="1:16" ht="15.75" customHeight="1">
      <c r="A1712" s="110">
        <f t="shared" si="33"/>
        <v>1691</v>
      </c>
      <c r="B1712" s="45" t="s">
        <v>857</v>
      </c>
      <c r="C1712" s="23" t="s">
        <v>724</v>
      </c>
      <c r="D1712" s="52" t="s">
        <v>556</v>
      </c>
      <c r="E1712" s="23" t="s">
        <v>19</v>
      </c>
      <c r="F1712" s="46">
        <v>19</v>
      </c>
      <c r="G1712" s="27">
        <v>11</v>
      </c>
      <c r="H1712" s="34"/>
      <c r="I1712" s="84">
        <v>2014.24</v>
      </c>
      <c r="J1712" s="136"/>
      <c r="K1712" s="118">
        <v>2933.05</v>
      </c>
      <c r="L1712" s="35"/>
      <c r="M1712" s="85"/>
      <c r="N1712" s="39" t="s">
        <v>643</v>
      </c>
      <c r="O1712" s="69"/>
      <c r="P1712" s="66">
        <v>45689</v>
      </c>
    </row>
    <row r="1713" spans="1:16" ht="15.75" customHeight="1">
      <c r="A1713" s="110">
        <f t="shared" si="33"/>
        <v>1692</v>
      </c>
      <c r="B1713" s="45" t="s">
        <v>857</v>
      </c>
      <c r="C1713" s="23" t="s">
        <v>724</v>
      </c>
      <c r="D1713" s="52" t="s">
        <v>556</v>
      </c>
      <c r="E1713" s="23" t="s">
        <v>19</v>
      </c>
      <c r="F1713" s="46">
        <v>18</v>
      </c>
      <c r="G1713" s="27">
        <v>12</v>
      </c>
      <c r="H1713" s="34"/>
      <c r="I1713" s="84">
        <v>2084.4</v>
      </c>
      <c r="J1713" s="136"/>
      <c r="K1713" s="118">
        <v>2751.19</v>
      </c>
      <c r="L1713" s="35"/>
      <c r="M1713" s="85"/>
      <c r="N1713" s="39" t="s">
        <v>643</v>
      </c>
      <c r="O1713" s="69"/>
      <c r="P1713" s="66">
        <v>45689</v>
      </c>
    </row>
    <row r="1714" spans="1:16" ht="15.75" customHeight="1">
      <c r="A1714" s="110">
        <f t="shared" si="33"/>
        <v>1693</v>
      </c>
      <c r="B1714" s="45" t="s">
        <v>857</v>
      </c>
      <c r="C1714" s="23" t="s">
        <v>724</v>
      </c>
      <c r="D1714" s="52" t="s">
        <v>556</v>
      </c>
      <c r="E1714" s="23" t="s">
        <v>19</v>
      </c>
      <c r="F1714" s="46">
        <v>17</v>
      </c>
      <c r="G1714" s="27">
        <v>13</v>
      </c>
      <c r="H1714" s="34"/>
      <c r="I1714" s="84">
        <v>2162.84</v>
      </c>
      <c r="J1714" s="136"/>
      <c r="K1714" s="118">
        <v>2567.34</v>
      </c>
      <c r="L1714" s="35"/>
      <c r="M1714" s="85"/>
      <c r="N1714" s="39" t="s">
        <v>643</v>
      </c>
      <c r="O1714" s="69"/>
      <c r="P1714" s="66">
        <v>45689</v>
      </c>
    </row>
    <row r="1715" spans="1:16" ht="15.75" customHeight="1">
      <c r="A1715" s="110">
        <f t="shared" si="33"/>
        <v>1694</v>
      </c>
      <c r="B1715" s="45" t="s">
        <v>857</v>
      </c>
      <c r="C1715" s="23" t="s">
        <v>724</v>
      </c>
      <c r="D1715" s="52" t="s">
        <v>556</v>
      </c>
      <c r="E1715" s="23" t="s">
        <v>19</v>
      </c>
      <c r="F1715" s="46">
        <v>16</v>
      </c>
      <c r="G1715" s="27">
        <v>14</v>
      </c>
      <c r="H1715" s="34"/>
      <c r="I1715" s="84">
        <v>2251.11</v>
      </c>
      <c r="J1715" s="136"/>
      <c r="K1715" s="118">
        <v>2465.4299999999998</v>
      </c>
      <c r="L1715" s="35"/>
      <c r="M1715" s="85"/>
      <c r="N1715" s="39" t="s">
        <v>643</v>
      </c>
      <c r="O1715" s="69"/>
      <c r="P1715" s="66">
        <v>45689</v>
      </c>
    </row>
    <row r="1716" spans="1:16" ht="15.75" customHeight="1">
      <c r="A1716" s="110">
        <f t="shared" si="33"/>
        <v>1695</v>
      </c>
      <c r="B1716" s="45" t="s">
        <v>857</v>
      </c>
      <c r="C1716" s="23" t="s">
        <v>724</v>
      </c>
      <c r="D1716" s="52" t="s">
        <v>556</v>
      </c>
      <c r="E1716" s="23" t="s">
        <v>19</v>
      </c>
      <c r="F1716" s="46">
        <v>15</v>
      </c>
      <c r="G1716" s="27"/>
      <c r="H1716" s="34"/>
      <c r="I1716" s="84">
        <v>2351.11</v>
      </c>
      <c r="J1716" s="136"/>
      <c r="K1716" s="118"/>
      <c r="L1716" s="35"/>
      <c r="M1716" s="85"/>
      <c r="N1716" s="39" t="s">
        <v>643</v>
      </c>
      <c r="O1716" s="69"/>
      <c r="P1716" s="66">
        <v>45689</v>
      </c>
    </row>
    <row r="1717" spans="1:16" ht="15.75" customHeight="1">
      <c r="A1717" s="110">
        <f t="shared" si="33"/>
        <v>1696</v>
      </c>
      <c r="B1717" s="45" t="s">
        <v>1025</v>
      </c>
      <c r="C1717" s="23" t="s">
        <v>724</v>
      </c>
      <c r="D1717" s="52" t="s">
        <v>556</v>
      </c>
      <c r="E1717" s="23" t="s">
        <v>19</v>
      </c>
      <c r="F1717" s="46" t="s">
        <v>977</v>
      </c>
      <c r="G1717" s="27"/>
      <c r="H1717" s="34"/>
      <c r="I1717" s="84">
        <v>73468.210000000006</v>
      </c>
      <c r="J1717" s="136"/>
      <c r="K1717" s="118"/>
      <c r="L1717" s="35"/>
      <c r="M1717" s="85"/>
      <c r="N1717" s="39" t="s">
        <v>643</v>
      </c>
      <c r="O1717" s="69"/>
      <c r="P1717" s="66">
        <v>45352</v>
      </c>
    </row>
    <row r="1718" spans="1:16" ht="15.75" customHeight="1">
      <c r="A1718" s="110">
        <f t="shared" si="33"/>
        <v>1697</v>
      </c>
      <c r="B1718" s="45" t="s">
        <v>1025</v>
      </c>
      <c r="C1718" s="23" t="s">
        <v>724</v>
      </c>
      <c r="D1718" s="52" t="s">
        <v>556</v>
      </c>
      <c r="E1718" s="23" t="s">
        <v>19</v>
      </c>
      <c r="F1718" s="46" t="s">
        <v>977</v>
      </c>
      <c r="G1718" s="27"/>
      <c r="H1718" s="34"/>
      <c r="I1718" s="84">
        <v>84491.25</v>
      </c>
      <c r="J1718" s="136"/>
      <c r="K1718" s="118"/>
      <c r="L1718" s="35"/>
      <c r="M1718" s="85"/>
      <c r="N1718" s="39" t="s">
        <v>643</v>
      </c>
      <c r="O1718" s="69"/>
      <c r="P1718" s="66">
        <v>45689</v>
      </c>
    </row>
    <row r="1719" spans="1:16" ht="15.75" customHeight="1">
      <c r="A1719" s="110">
        <f t="shared" si="33"/>
        <v>1698</v>
      </c>
      <c r="B1719" s="158" t="s">
        <v>857</v>
      </c>
      <c r="C1719" s="23" t="s">
        <v>724</v>
      </c>
      <c r="D1719" s="52" t="s">
        <v>556</v>
      </c>
      <c r="E1719" s="23" t="s">
        <v>19</v>
      </c>
      <c r="F1719" s="46">
        <v>20</v>
      </c>
      <c r="G1719" s="27">
        <v>10</v>
      </c>
      <c r="H1719" s="34"/>
      <c r="I1719" s="84">
        <v>2140.6</v>
      </c>
      <c r="J1719" s="136"/>
      <c r="K1719" s="118">
        <v>3458.69</v>
      </c>
      <c r="L1719" s="35"/>
      <c r="M1719" s="85">
        <v>26361.85</v>
      </c>
      <c r="N1719" s="39" t="s">
        <v>643</v>
      </c>
      <c r="O1719" s="69"/>
      <c r="P1719" s="193">
        <v>46082</v>
      </c>
    </row>
    <row r="1720" spans="1:16" ht="15.75" customHeight="1">
      <c r="A1720" s="110">
        <f t="shared" ref="A1720:A1728" si="34">A1719+1</f>
        <v>1699</v>
      </c>
      <c r="B1720" s="158" t="s">
        <v>857</v>
      </c>
      <c r="C1720" s="23" t="s">
        <v>724</v>
      </c>
      <c r="D1720" s="52" t="s">
        <v>556</v>
      </c>
      <c r="E1720" s="23" t="s">
        <v>19</v>
      </c>
      <c r="F1720" s="46">
        <v>19</v>
      </c>
      <c r="G1720" s="27">
        <v>11</v>
      </c>
      <c r="H1720" s="34"/>
      <c r="I1720" s="84">
        <v>2209.9499999999998</v>
      </c>
      <c r="J1720" s="136"/>
      <c r="K1720" s="118">
        <v>3219.04</v>
      </c>
      <c r="L1720" s="35"/>
      <c r="M1720" s="85"/>
      <c r="N1720" s="39" t="s">
        <v>643</v>
      </c>
      <c r="O1720" s="69"/>
      <c r="P1720" s="193">
        <v>46082</v>
      </c>
    </row>
    <row r="1721" spans="1:16" ht="15.75" customHeight="1">
      <c r="A1721" s="110">
        <f t="shared" si="34"/>
        <v>1700</v>
      </c>
      <c r="B1721" s="158" t="s">
        <v>857</v>
      </c>
      <c r="C1721" s="23" t="s">
        <v>724</v>
      </c>
      <c r="D1721" s="52" t="s">
        <v>556</v>
      </c>
      <c r="E1721" s="23" t="s">
        <v>19</v>
      </c>
      <c r="F1721" s="46">
        <v>18</v>
      </c>
      <c r="G1721" s="27">
        <v>12</v>
      </c>
      <c r="H1721" s="34"/>
      <c r="I1721" s="84">
        <v>2287.0300000000002</v>
      </c>
      <c r="J1721" s="136"/>
      <c r="K1721" s="118">
        <v>3019.33</v>
      </c>
      <c r="L1721" s="35"/>
      <c r="M1721" s="85"/>
      <c r="N1721" s="39" t="s">
        <v>643</v>
      </c>
      <c r="O1721" s="69"/>
      <c r="P1721" s="193">
        <v>46082</v>
      </c>
    </row>
    <row r="1722" spans="1:16" ht="15.75" customHeight="1">
      <c r="A1722" s="110">
        <f t="shared" si="34"/>
        <v>1701</v>
      </c>
      <c r="B1722" s="158" t="s">
        <v>857</v>
      </c>
      <c r="C1722" s="23" t="s">
        <v>724</v>
      </c>
      <c r="D1722" s="52" t="s">
        <v>556</v>
      </c>
      <c r="E1722" s="23" t="s">
        <v>19</v>
      </c>
      <c r="F1722" s="46">
        <v>17</v>
      </c>
      <c r="G1722" s="27">
        <v>13</v>
      </c>
      <c r="H1722" s="34"/>
      <c r="I1722" s="84">
        <v>2373.19</v>
      </c>
      <c r="J1722" s="136"/>
      <c r="K1722" s="118">
        <v>2850.34</v>
      </c>
      <c r="L1722" s="35"/>
      <c r="M1722" s="85"/>
      <c r="N1722" s="39" t="s">
        <v>643</v>
      </c>
      <c r="O1722" s="69"/>
      <c r="P1722" s="193">
        <v>46082</v>
      </c>
    </row>
    <row r="1723" spans="1:16" ht="15.75" customHeight="1">
      <c r="A1723" s="110">
        <f t="shared" si="34"/>
        <v>1702</v>
      </c>
      <c r="B1723" s="158" t="s">
        <v>857</v>
      </c>
      <c r="C1723" s="23" t="s">
        <v>724</v>
      </c>
      <c r="D1723" s="52" t="s">
        <v>556</v>
      </c>
      <c r="E1723" s="23" t="s">
        <v>19</v>
      </c>
      <c r="F1723" s="46">
        <v>16</v>
      </c>
      <c r="G1723" s="27">
        <v>14</v>
      </c>
      <c r="H1723" s="34"/>
      <c r="I1723" s="84">
        <v>2470.11</v>
      </c>
      <c r="J1723" s="136"/>
      <c r="K1723" s="118">
        <v>2705.48</v>
      </c>
      <c r="L1723" s="35"/>
      <c r="M1723" s="85"/>
      <c r="N1723" s="39" t="s">
        <v>643</v>
      </c>
      <c r="O1723" s="69"/>
      <c r="P1723" s="193">
        <v>46082</v>
      </c>
    </row>
    <row r="1724" spans="1:16" ht="15.75" customHeight="1">
      <c r="A1724" s="110">
        <f t="shared" si="34"/>
        <v>1703</v>
      </c>
      <c r="B1724" s="158" t="s">
        <v>857</v>
      </c>
      <c r="C1724" s="23" t="s">
        <v>724</v>
      </c>
      <c r="D1724" s="52" t="s">
        <v>556</v>
      </c>
      <c r="E1724" s="23" t="s">
        <v>19</v>
      </c>
      <c r="F1724" s="46">
        <v>15</v>
      </c>
      <c r="G1724" s="27"/>
      <c r="H1724" s="34"/>
      <c r="I1724" s="84">
        <v>2579.9499999999998</v>
      </c>
      <c r="J1724" s="136"/>
      <c r="K1724" s="118"/>
      <c r="L1724" s="35"/>
      <c r="M1724" s="85"/>
      <c r="N1724" s="39" t="s">
        <v>643</v>
      </c>
      <c r="O1724" s="69"/>
      <c r="P1724" s="193">
        <v>46082</v>
      </c>
    </row>
    <row r="1725" spans="1:16" ht="15.75" customHeight="1">
      <c r="A1725" s="110">
        <f t="shared" si="34"/>
        <v>1704</v>
      </c>
      <c r="B1725" s="158" t="s">
        <v>1025</v>
      </c>
      <c r="C1725" s="23" t="s">
        <v>724</v>
      </c>
      <c r="D1725" s="52" t="s">
        <v>556</v>
      </c>
      <c r="E1725" s="23" t="s">
        <v>19</v>
      </c>
      <c r="F1725" s="46" t="s">
        <v>977</v>
      </c>
      <c r="G1725" s="27"/>
      <c r="H1725" s="34"/>
      <c r="I1725" s="84">
        <v>107202.02</v>
      </c>
      <c r="J1725" s="136"/>
      <c r="K1725" s="118"/>
      <c r="L1725" s="35"/>
      <c r="M1725" s="85"/>
      <c r="N1725" s="39" t="s">
        <v>643</v>
      </c>
      <c r="O1725" s="69"/>
      <c r="P1725" s="193">
        <v>46082</v>
      </c>
    </row>
    <row r="1726" spans="1:16" ht="15.75" customHeight="1">
      <c r="A1726" s="110">
        <f t="shared" si="34"/>
        <v>1705</v>
      </c>
      <c r="B1726" s="158" t="s">
        <v>699</v>
      </c>
      <c r="C1726" s="23" t="s">
        <v>959</v>
      </c>
      <c r="D1726" s="94" t="s">
        <v>960</v>
      </c>
      <c r="E1726" s="23" t="s">
        <v>13</v>
      </c>
      <c r="F1726" s="46">
        <v>20</v>
      </c>
      <c r="G1726" s="27">
        <v>10</v>
      </c>
      <c r="H1726" s="34"/>
      <c r="I1726" s="84">
        <v>1180.57</v>
      </c>
      <c r="J1726" s="136"/>
      <c r="K1726" s="118">
        <v>1721.36</v>
      </c>
      <c r="L1726" s="35"/>
      <c r="M1726" s="85"/>
      <c r="N1726" s="38" t="s">
        <v>796</v>
      </c>
      <c r="O1726" s="69"/>
      <c r="P1726" s="66">
        <v>45352</v>
      </c>
    </row>
    <row r="1727" spans="1:16" ht="15.75" customHeight="1">
      <c r="A1727" s="110">
        <f t="shared" si="34"/>
        <v>1706</v>
      </c>
      <c r="B1727" s="158" t="s">
        <v>699</v>
      </c>
      <c r="C1727" s="23" t="s">
        <v>959</v>
      </c>
      <c r="D1727" s="94" t="s">
        <v>960</v>
      </c>
      <c r="E1727" s="23" t="s">
        <v>13</v>
      </c>
      <c r="F1727" s="46">
        <v>16</v>
      </c>
      <c r="G1727" s="46">
        <v>14</v>
      </c>
      <c r="H1727" s="41"/>
      <c r="I1727" s="84">
        <v>1315.76</v>
      </c>
      <c r="J1727" s="144"/>
      <c r="K1727" s="118">
        <v>1412.35</v>
      </c>
      <c r="L1727" s="53"/>
      <c r="M1727" s="152"/>
      <c r="N1727" s="38" t="s">
        <v>796</v>
      </c>
      <c r="O1727" s="69"/>
      <c r="P1727" s="66">
        <v>45352</v>
      </c>
    </row>
    <row r="1728" spans="1:16" ht="30" customHeight="1">
      <c r="A1728" s="110">
        <f t="shared" si="34"/>
        <v>1707</v>
      </c>
      <c r="B1728" s="158" t="s">
        <v>1073</v>
      </c>
      <c r="C1728" s="52" t="s">
        <v>1074</v>
      </c>
      <c r="D1728" s="24" t="s">
        <v>1075</v>
      </c>
      <c r="E1728" s="23" t="s">
        <v>13</v>
      </c>
      <c r="F1728" s="27">
        <v>16</v>
      </c>
      <c r="G1728" s="27">
        <v>10</v>
      </c>
      <c r="H1728" s="41"/>
      <c r="I1728" s="179">
        <v>9223.16</v>
      </c>
      <c r="J1728" s="144"/>
      <c r="K1728" s="151">
        <v>10201.82</v>
      </c>
      <c r="L1728" s="53"/>
      <c r="M1728" s="152"/>
      <c r="N1728" s="153" t="s">
        <v>1076</v>
      </c>
      <c r="O1728" s="39"/>
      <c r="P1728" s="66">
        <v>44682</v>
      </c>
    </row>
    <row r="1729" spans="1:16" ht="12.75" customHeight="1">
      <c r="A1729" s="202" t="s">
        <v>25</v>
      </c>
      <c r="B1729" s="202"/>
      <c r="C1729" s="202"/>
      <c r="D1729" s="202"/>
      <c r="E1729" s="202"/>
      <c r="F1729" s="202"/>
      <c r="G1729" s="202"/>
      <c r="H1729" s="202"/>
      <c r="I1729" s="202"/>
      <c r="J1729" s="202"/>
      <c r="K1729" s="202"/>
      <c r="L1729" s="202"/>
      <c r="M1729" s="202"/>
      <c r="N1729" s="202"/>
      <c r="O1729" s="202"/>
      <c r="P1729" s="202"/>
    </row>
    <row r="1730" spans="1:16" ht="12.75" customHeight="1">
      <c r="A1730" s="13">
        <f>A1728+1</f>
        <v>1708</v>
      </c>
      <c r="B1730" s="32" t="s">
        <v>443</v>
      </c>
      <c r="C1730" s="14" t="s">
        <v>152</v>
      </c>
      <c r="D1730" s="15" t="s">
        <v>153</v>
      </c>
      <c r="E1730" s="57" t="s">
        <v>13</v>
      </c>
      <c r="F1730" s="26">
        <v>17</v>
      </c>
      <c r="G1730" s="26">
        <v>10</v>
      </c>
      <c r="H1730" s="44">
        <v>1216.31</v>
      </c>
      <c r="I1730" s="103"/>
      <c r="J1730" s="131">
        <v>1643.52</v>
      </c>
      <c r="K1730" s="132"/>
      <c r="L1730" s="47">
        <v>0</v>
      </c>
      <c r="M1730" s="103"/>
      <c r="N1730" s="99" t="s">
        <v>642</v>
      </c>
      <c r="O1730" s="68">
        <v>595</v>
      </c>
      <c r="P1730" s="66">
        <v>41275</v>
      </c>
    </row>
    <row r="1731" spans="1:16" ht="12.75" customHeight="1">
      <c r="A1731" s="13">
        <f>A1730+1</f>
        <v>1709</v>
      </c>
      <c r="B1731" s="52" t="s">
        <v>443</v>
      </c>
      <c r="C1731" s="93" t="s">
        <v>152</v>
      </c>
      <c r="D1731" s="94" t="s">
        <v>794</v>
      </c>
      <c r="E1731" s="93" t="s">
        <v>13</v>
      </c>
      <c r="F1731" s="26">
        <v>17</v>
      </c>
      <c r="G1731" s="26">
        <v>6</v>
      </c>
      <c r="H1731" s="44"/>
      <c r="I1731" s="103">
        <v>1006.98</v>
      </c>
      <c r="J1731" s="131"/>
      <c r="K1731" s="132">
        <v>1799</v>
      </c>
      <c r="L1731" s="47"/>
      <c r="M1731" s="103"/>
      <c r="N1731" s="99" t="s">
        <v>642</v>
      </c>
      <c r="O1731" s="68" t="s">
        <v>795</v>
      </c>
      <c r="P1731" s="66">
        <v>43617</v>
      </c>
    </row>
    <row r="1732" spans="1:16" ht="12.75" customHeight="1">
      <c r="A1732" s="13">
        <f t="shared" ref="A1732:A1795" si="35">A1731+1</f>
        <v>1710</v>
      </c>
      <c r="B1732" s="32" t="s">
        <v>443</v>
      </c>
      <c r="C1732" s="93" t="s">
        <v>152</v>
      </c>
      <c r="D1732" s="94" t="s">
        <v>794</v>
      </c>
      <c r="E1732" s="86" t="s">
        <v>13</v>
      </c>
      <c r="F1732" s="26">
        <v>17</v>
      </c>
      <c r="G1732" s="26">
        <v>6</v>
      </c>
      <c r="H1732" s="44"/>
      <c r="I1732" s="103">
        <v>1106.6400000000001</v>
      </c>
      <c r="J1732" s="131"/>
      <c r="K1732" s="132">
        <v>2257.4299999999998</v>
      </c>
      <c r="L1732" s="47"/>
      <c r="M1732" s="103"/>
      <c r="N1732" s="99" t="s">
        <v>642</v>
      </c>
      <c r="O1732" s="68"/>
      <c r="P1732" s="66">
        <v>44562</v>
      </c>
    </row>
    <row r="1733" spans="1:16" ht="12.75" customHeight="1">
      <c r="A1733" s="13">
        <f t="shared" si="35"/>
        <v>1711</v>
      </c>
      <c r="B1733" s="32" t="s">
        <v>443</v>
      </c>
      <c r="C1733" s="93" t="s">
        <v>152</v>
      </c>
      <c r="D1733" s="94" t="s">
        <v>794</v>
      </c>
      <c r="E1733" s="93" t="s">
        <v>13</v>
      </c>
      <c r="F1733" s="88">
        <v>16</v>
      </c>
      <c r="G1733" s="88">
        <v>10</v>
      </c>
      <c r="H1733" s="95">
        <v>1129.79</v>
      </c>
      <c r="I1733" s="103"/>
      <c r="J1733" s="143">
        <v>1520.24</v>
      </c>
      <c r="K1733" s="132"/>
      <c r="L1733" s="96"/>
      <c r="M1733" s="103"/>
      <c r="N1733" s="99" t="s">
        <v>642</v>
      </c>
      <c r="O1733" s="97" t="s">
        <v>795</v>
      </c>
      <c r="P1733" s="92">
        <v>43605</v>
      </c>
    </row>
    <row r="1734" spans="1:16" ht="12.75" customHeight="1">
      <c r="A1734" s="13">
        <f t="shared" si="35"/>
        <v>1712</v>
      </c>
      <c r="B1734" s="156" t="s">
        <v>443</v>
      </c>
      <c r="C1734" s="93" t="s">
        <v>152</v>
      </c>
      <c r="D1734" s="94" t="s">
        <v>794</v>
      </c>
      <c r="E1734" s="93" t="s">
        <v>13</v>
      </c>
      <c r="F1734" s="88">
        <v>17</v>
      </c>
      <c r="G1734" s="88">
        <v>6</v>
      </c>
      <c r="H1734" s="95"/>
      <c r="I1734" s="103">
        <v>1120.3800000000001</v>
      </c>
      <c r="J1734" s="143"/>
      <c r="K1734" s="132">
        <v>2296.31</v>
      </c>
      <c r="L1734" s="96"/>
      <c r="M1734" s="103"/>
      <c r="N1734" s="99" t="s">
        <v>642</v>
      </c>
      <c r="O1734" s="97"/>
      <c r="P1734" s="92">
        <v>45047</v>
      </c>
    </row>
    <row r="1735" spans="1:16" ht="12.75" customHeight="1">
      <c r="A1735" s="13">
        <f t="shared" si="35"/>
        <v>1713</v>
      </c>
      <c r="B1735" s="54" t="s">
        <v>444</v>
      </c>
      <c r="C1735" s="14" t="s">
        <v>154</v>
      </c>
      <c r="D1735" s="15" t="s">
        <v>155</v>
      </c>
      <c r="E1735" s="57" t="s">
        <v>13</v>
      </c>
      <c r="F1735" s="26">
        <v>16</v>
      </c>
      <c r="G1735" s="26">
        <v>10</v>
      </c>
      <c r="H1735" s="44">
        <v>1295</v>
      </c>
      <c r="I1735" s="103"/>
      <c r="J1735" s="131">
        <v>1701.1</v>
      </c>
      <c r="K1735" s="132"/>
      <c r="L1735" s="47">
        <v>0</v>
      </c>
      <c r="M1735" s="103"/>
      <c r="N1735" s="107" t="s">
        <v>820</v>
      </c>
      <c r="O1735" s="69">
        <v>589</v>
      </c>
      <c r="P1735" s="66">
        <v>40850</v>
      </c>
    </row>
    <row r="1736" spans="1:16" ht="12.75" customHeight="1">
      <c r="A1736" s="13">
        <f t="shared" si="35"/>
        <v>1714</v>
      </c>
      <c r="B1736" s="54" t="s">
        <v>445</v>
      </c>
      <c r="C1736" s="14" t="s">
        <v>156</v>
      </c>
      <c r="D1736" s="15" t="s">
        <v>157</v>
      </c>
      <c r="E1736" s="57" t="s">
        <v>13</v>
      </c>
      <c r="F1736" s="26">
        <v>20</v>
      </c>
      <c r="G1736" s="26">
        <v>10</v>
      </c>
      <c r="H1736" s="44">
        <v>1063.04</v>
      </c>
      <c r="I1736" s="103"/>
      <c r="J1736" s="131">
        <v>1571.86</v>
      </c>
      <c r="K1736" s="132"/>
      <c r="L1736" s="47">
        <v>0</v>
      </c>
      <c r="M1736" s="103"/>
      <c r="N1736" s="38" t="s">
        <v>796</v>
      </c>
      <c r="O1736" s="69">
        <v>604</v>
      </c>
      <c r="P1736" s="66">
        <v>41275</v>
      </c>
    </row>
    <row r="1737" spans="1:16" ht="12.75" customHeight="1">
      <c r="A1737" s="13">
        <f t="shared" si="35"/>
        <v>1715</v>
      </c>
      <c r="B1737" s="54" t="s">
        <v>446</v>
      </c>
      <c r="C1737" s="14" t="s">
        <v>158</v>
      </c>
      <c r="D1737" s="15" t="s">
        <v>159</v>
      </c>
      <c r="E1737" s="57" t="s">
        <v>13</v>
      </c>
      <c r="F1737" s="26">
        <v>18</v>
      </c>
      <c r="G1737" s="26">
        <v>10</v>
      </c>
      <c r="H1737" s="44">
        <v>1130.06</v>
      </c>
      <c r="I1737" s="103"/>
      <c r="J1737" s="131">
        <v>1598.23</v>
      </c>
      <c r="K1737" s="132"/>
      <c r="L1737" s="47">
        <v>0</v>
      </c>
      <c r="M1737" s="103"/>
      <c r="N1737" s="107" t="s">
        <v>820</v>
      </c>
      <c r="O1737" s="68"/>
      <c r="P1737" s="66">
        <v>41275</v>
      </c>
    </row>
    <row r="1738" spans="1:16" ht="12.75" customHeight="1">
      <c r="A1738" s="13">
        <f t="shared" si="35"/>
        <v>1716</v>
      </c>
      <c r="B1738" s="54" t="s">
        <v>447</v>
      </c>
      <c r="C1738" s="14" t="s">
        <v>160</v>
      </c>
      <c r="D1738" s="24" t="s">
        <v>804</v>
      </c>
      <c r="E1738" s="57" t="s">
        <v>13</v>
      </c>
      <c r="F1738" s="31" t="s">
        <v>805</v>
      </c>
      <c r="G1738" s="26">
        <v>10</v>
      </c>
      <c r="H1738" s="44"/>
      <c r="I1738" s="103">
        <v>1480.35</v>
      </c>
      <c r="J1738" s="131"/>
      <c r="K1738" s="132">
        <v>1926.66</v>
      </c>
      <c r="L1738" s="47"/>
      <c r="M1738" s="103"/>
      <c r="N1738" s="39" t="s">
        <v>644</v>
      </c>
      <c r="O1738" s="68" t="s">
        <v>865</v>
      </c>
      <c r="P1738" s="66">
        <v>43617</v>
      </c>
    </row>
    <row r="1739" spans="1:16" ht="12.75" customHeight="1">
      <c r="A1739" s="13">
        <f t="shared" si="35"/>
        <v>1717</v>
      </c>
      <c r="B1739" s="32" t="s">
        <v>447</v>
      </c>
      <c r="C1739" s="14" t="s">
        <v>160</v>
      </c>
      <c r="D1739" s="24" t="s">
        <v>161</v>
      </c>
      <c r="E1739" s="57" t="s">
        <v>13</v>
      </c>
      <c r="F1739" s="26">
        <v>16</v>
      </c>
      <c r="G1739" s="26">
        <v>8</v>
      </c>
      <c r="H1739" s="44">
        <v>1469.09</v>
      </c>
      <c r="I1739" s="103"/>
      <c r="J1739" s="131">
        <v>2250.94</v>
      </c>
      <c r="K1739" s="132"/>
      <c r="L1739" s="47">
        <v>0</v>
      </c>
      <c r="M1739" s="103"/>
      <c r="N1739" s="39" t="s">
        <v>644</v>
      </c>
      <c r="O1739" s="68">
        <v>606</v>
      </c>
      <c r="P1739" s="66">
        <v>41275</v>
      </c>
    </row>
    <row r="1740" spans="1:16" ht="12.75" customHeight="1">
      <c r="A1740" s="13">
        <f t="shared" si="35"/>
        <v>1718</v>
      </c>
      <c r="B1740" s="52" t="s">
        <v>448</v>
      </c>
      <c r="C1740" s="14" t="s">
        <v>162</v>
      </c>
      <c r="D1740" s="15" t="s">
        <v>163</v>
      </c>
      <c r="E1740" s="57" t="s">
        <v>13</v>
      </c>
      <c r="F1740" s="26">
        <v>20</v>
      </c>
      <c r="G1740" s="26">
        <v>10</v>
      </c>
      <c r="H1740" s="44">
        <v>938.02</v>
      </c>
      <c r="I1740" s="103">
        <v>941.03</v>
      </c>
      <c r="J1740" s="131">
        <v>1383.97</v>
      </c>
      <c r="K1740" s="132">
        <v>1390.01</v>
      </c>
      <c r="L1740" s="47">
        <v>0</v>
      </c>
      <c r="M1740" s="103"/>
      <c r="N1740" s="38" t="s">
        <v>641</v>
      </c>
      <c r="O1740" s="68">
        <v>595</v>
      </c>
      <c r="P1740" s="66">
        <v>43617</v>
      </c>
    </row>
    <row r="1741" spans="1:16" ht="12.75" customHeight="1">
      <c r="A1741" s="13">
        <f t="shared" si="35"/>
        <v>1719</v>
      </c>
      <c r="B1741" s="14" t="s">
        <v>448</v>
      </c>
      <c r="C1741" s="14" t="s">
        <v>162</v>
      </c>
      <c r="D1741" s="24" t="s">
        <v>905</v>
      </c>
      <c r="E1741" s="57" t="s">
        <v>13</v>
      </c>
      <c r="F1741" s="26">
        <v>20</v>
      </c>
      <c r="G1741" s="26">
        <v>10</v>
      </c>
      <c r="H1741" s="44"/>
      <c r="I1741" s="103">
        <v>1132.3800000000001</v>
      </c>
      <c r="J1741" s="131"/>
      <c r="K1741" s="132">
        <v>1733.27</v>
      </c>
      <c r="L1741" s="47"/>
      <c r="M1741" s="103"/>
      <c r="N1741" s="38" t="s">
        <v>641</v>
      </c>
      <c r="O1741" s="68"/>
      <c r="P1741" s="66">
        <v>44562</v>
      </c>
    </row>
    <row r="1742" spans="1:16" ht="12.75" customHeight="1">
      <c r="A1742" s="13">
        <f t="shared" si="35"/>
        <v>1720</v>
      </c>
      <c r="B1742" s="14" t="s">
        <v>448</v>
      </c>
      <c r="C1742" s="14" t="s">
        <v>162</v>
      </c>
      <c r="D1742" s="24" t="s">
        <v>905</v>
      </c>
      <c r="E1742" s="57" t="s">
        <v>13</v>
      </c>
      <c r="F1742" s="26">
        <v>20</v>
      </c>
      <c r="G1742" s="26">
        <v>5</v>
      </c>
      <c r="H1742" s="44"/>
      <c r="I1742" s="103">
        <v>941.03</v>
      </c>
      <c r="J1742" s="131"/>
      <c r="K1742" s="132">
        <v>2288.0100000000002</v>
      </c>
      <c r="L1742" s="47"/>
      <c r="M1742" s="103"/>
      <c r="N1742" s="38" t="s">
        <v>641</v>
      </c>
      <c r="O1742" s="68"/>
      <c r="P1742" s="66">
        <v>44501</v>
      </c>
    </row>
    <row r="1743" spans="1:16" ht="12.75" customHeight="1">
      <c r="A1743" s="13">
        <f t="shared" si="35"/>
        <v>1721</v>
      </c>
      <c r="B1743" s="14" t="s">
        <v>448</v>
      </c>
      <c r="C1743" s="14" t="s">
        <v>162</v>
      </c>
      <c r="D1743" s="24" t="s">
        <v>905</v>
      </c>
      <c r="E1743" s="57" t="s">
        <v>13</v>
      </c>
      <c r="F1743" s="26">
        <v>20</v>
      </c>
      <c r="G1743" s="26">
        <v>10</v>
      </c>
      <c r="H1743" s="44"/>
      <c r="I1743" s="103">
        <v>1209.21</v>
      </c>
      <c r="J1743" s="131"/>
      <c r="K1743" s="132">
        <v>1860.36</v>
      </c>
      <c r="L1743" s="47"/>
      <c r="M1743" s="103"/>
      <c r="N1743" s="38" t="s">
        <v>641</v>
      </c>
      <c r="O1743" s="68"/>
      <c r="P1743" s="66">
        <v>45170</v>
      </c>
    </row>
    <row r="1744" spans="1:16" ht="12.75" customHeight="1">
      <c r="A1744" s="13">
        <f t="shared" si="35"/>
        <v>1722</v>
      </c>
      <c r="B1744" s="32" t="s">
        <v>448</v>
      </c>
      <c r="C1744" s="93" t="s">
        <v>162</v>
      </c>
      <c r="D1744" s="24" t="s">
        <v>905</v>
      </c>
      <c r="E1744" s="57" t="s">
        <v>13</v>
      </c>
      <c r="F1744" s="26">
        <v>20</v>
      </c>
      <c r="G1744" s="26">
        <v>10</v>
      </c>
      <c r="H1744" s="44"/>
      <c r="I1744" s="103">
        <v>1383.56</v>
      </c>
      <c r="J1744" s="131"/>
      <c r="K1744" s="132">
        <v>2125.39</v>
      </c>
      <c r="L1744" s="47"/>
      <c r="M1744" s="103"/>
      <c r="N1744" s="38" t="s">
        <v>1162</v>
      </c>
      <c r="O1744" s="68"/>
      <c r="P1744" s="66">
        <v>45352</v>
      </c>
    </row>
    <row r="1745" spans="1:16" ht="12.75" customHeight="1">
      <c r="A1745" s="13">
        <f t="shared" si="35"/>
        <v>1723</v>
      </c>
      <c r="B1745" s="32" t="s">
        <v>448</v>
      </c>
      <c r="C1745" s="93" t="s">
        <v>162</v>
      </c>
      <c r="D1745" s="24" t="s">
        <v>905</v>
      </c>
      <c r="E1745" s="57" t="s">
        <v>13</v>
      </c>
      <c r="F1745" s="27">
        <v>16</v>
      </c>
      <c r="G1745" s="27">
        <v>14</v>
      </c>
      <c r="H1745" s="41"/>
      <c r="I1745" s="103">
        <v>1569</v>
      </c>
      <c r="J1745" s="144"/>
      <c r="K1745" s="132">
        <v>1701.48</v>
      </c>
      <c r="L1745" s="53"/>
      <c r="M1745" s="152"/>
      <c r="N1745" s="38" t="s">
        <v>1162</v>
      </c>
      <c r="O1745" s="68"/>
      <c r="P1745" s="66">
        <v>45352</v>
      </c>
    </row>
    <row r="1746" spans="1:16" ht="12.75" customHeight="1">
      <c r="A1746" s="13">
        <f t="shared" si="35"/>
        <v>1724</v>
      </c>
      <c r="B1746" s="32" t="s">
        <v>448</v>
      </c>
      <c r="C1746" s="93" t="s">
        <v>162</v>
      </c>
      <c r="D1746" s="24" t="s">
        <v>905</v>
      </c>
      <c r="E1746" s="57" t="s">
        <v>13</v>
      </c>
      <c r="F1746" s="26">
        <v>20</v>
      </c>
      <c r="G1746" s="26">
        <v>10</v>
      </c>
      <c r="H1746" s="41"/>
      <c r="I1746" s="103">
        <v>1606.82</v>
      </c>
      <c r="J1746" s="144"/>
      <c r="K1746" s="132">
        <v>2462.89</v>
      </c>
      <c r="L1746" s="53"/>
      <c r="M1746" s="152"/>
      <c r="N1746" s="38" t="s">
        <v>1180</v>
      </c>
      <c r="O1746" s="68"/>
      <c r="P1746" s="66">
        <v>45689</v>
      </c>
    </row>
    <row r="1747" spans="1:16" ht="12.75" customHeight="1">
      <c r="A1747" s="13">
        <f t="shared" si="35"/>
        <v>1725</v>
      </c>
      <c r="B1747" s="32" t="s">
        <v>448</v>
      </c>
      <c r="C1747" s="93" t="s">
        <v>162</v>
      </c>
      <c r="D1747" s="24" t="s">
        <v>905</v>
      </c>
      <c r="E1747" s="57" t="s">
        <v>13</v>
      </c>
      <c r="F1747" s="27">
        <v>16</v>
      </c>
      <c r="G1747" s="27">
        <v>14</v>
      </c>
      <c r="H1747" s="41"/>
      <c r="I1747" s="103">
        <v>1820.85</v>
      </c>
      <c r="J1747" s="144"/>
      <c r="K1747" s="132">
        <v>1973.7</v>
      </c>
      <c r="L1747" s="53"/>
      <c r="M1747" s="152"/>
      <c r="N1747" s="38" t="s">
        <v>1180</v>
      </c>
      <c r="O1747" s="68"/>
      <c r="P1747" s="66">
        <v>45689</v>
      </c>
    </row>
    <row r="1748" spans="1:16" ht="12.75" customHeight="1">
      <c r="A1748" s="13">
        <f t="shared" si="35"/>
        <v>1726</v>
      </c>
      <c r="B1748" s="156" t="s">
        <v>448</v>
      </c>
      <c r="C1748" s="93" t="s">
        <v>162</v>
      </c>
      <c r="D1748" s="24" t="s">
        <v>905</v>
      </c>
      <c r="E1748" s="57" t="s">
        <v>13</v>
      </c>
      <c r="F1748" s="26">
        <v>20</v>
      </c>
      <c r="G1748" s="26">
        <v>10</v>
      </c>
      <c r="H1748" s="41"/>
      <c r="I1748" s="103">
        <v>1817.21</v>
      </c>
      <c r="J1748" s="144"/>
      <c r="K1748" s="132">
        <v>2776.51</v>
      </c>
      <c r="L1748" s="53"/>
      <c r="M1748" s="152"/>
      <c r="N1748" s="38" t="s">
        <v>1180</v>
      </c>
      <c r="O1748" s="68"/>
      <c r="P1748" s="193">
        <v>46082</v>
      </c>
    </row>
    <row r="1749" spans="1:16" ht="12.75" customHeight="1">
      <c r="A1749" s="13">
        <f t="shared" si="35"/>
        <v>1727</v>
      </c>
      <c r="B1749" s="156" t="s">
        <v>448</v>
      </c>
      <c r="C1749" s="93" t="s">
        <v>162</v>
      </c>
      <c r="D1749" s="24" t="s">
        <v>905</v>
      </c>
      <c r="E1749" s="57" t="s">
        <v>13</v>
      </c>
      <c r="F1749" s="27">
        <v>16</v>
      </c>
      <c r="G1749" s="27">
        <v>14</v>
      </c>
      <c r="H1749" s="41"/>
      <c r="I1749" s="103">
        <v>2057.0300000000002</v>
      </c>
      <c r="J1749" s="144"/>
      <c r="K1749" s="132">
        <v>2228.33</v>
      </c>
      <c r="L1749" s="53"/>
      <c r="M1749" s="152"/>
      <c r="N1749" s="38" t="s">
        <v>1180</v>
      </c>
      <c r="O1749" s="68"/>
      <c r="P1749" s="193">
        <v>46082</v>
      </c>
    </row>
    <row r="1750" spans="1:16" ht="12.75" customHeight="1">
      <c r="A1750" s="13">
        <f t="shared" si="35"/>
        <v>1728</v>
      </c>
      <c r="B1750" s="52" t="s">
        <v>449</v>
      </c>
      <c r="C1750" s="14" t="s">
        <v>162</v>
      </c>
      <c r="D1750" s="15" t="s">
        <v>164</v>
      </c>
      <c r="E1750" s="57" t="s">
        <v>13</v>
      </c>
      <c r="F1750" s="26">
        <v>20</v>
      </c>
      <c r="G1750" s="26">
        <v>10</v>
      </c>
      <c r="H1750" s="44">
        <v>1018.04</v>
      </c>
      <c r="I1750" s="103">
        <v>1021.06</v>
      </c>
      <c r="J1750" s="131">
        <v>1463.99</v>
      </c>
      <c r="K1750" s="132">
        <v>1470.04</v>
      </c>
      <c r="L1750" s="47">
        <v>0</v>
      </c>
      <c r="M1750" s="103"/>
      <c r="N1750" s="38" t="s">
        <v>641</v>
      </c>
      <c r="O1750" s="68">
        <v>595</v>
      </c>
      <c r="P1750" s="66">
        <v>43617</v>
      </c>
    </row>
    <row r="1751" spans="1:16" ht="12.75" customHeight="1">
      <c r="A1751" s="13">
        <f t="shared" si="35"/>
        <v>1729</v>
      </c>
      <c r="B1751" s="14" t="s">
        <v>449</v>
      </c>
      <c r="C1751" s="14" t="s">
        <v>162</v>
      </c>
      <c r="D1751" s="24" t="s">
        <v>932</v>
      </c>
      <c r="E1751" s="57" t="s">
        <v>13</v>
      </c>
      <c r="F1751" s="26">
        <v>20</v>
      </c>
      <c r="G1751" s="26">
        <v>10</v>
      </c>
      <c r="H1751" s="44"/>
      <c r="I1751" s="103">
        <v>1247.3499999999999</v>
      </c>
      <c r="J1751" s="131"/>
      <c r="K1751" s="132">
        <v>1848.24</v>
      </c>
      <c r="L1751" s="47"/>
      <c r="M1751" s="103"/>
      <c r="N1751" s="38" t="s">
        <v>641</v>
      </c>
      <c r="O1751" s="68"/>
      <c r="P1751" s="66">
        <v>44562</v>
      </c>
    </row>
    <row r="1752" spans="1:16" ht="12.75" customHeight="1">
      <c r="A1752" s="13">
        <f t="shared" si="35"/>
        <v>1730</v>
      </c>
      <c r="B1752" s="14" t="s">
        <v>449</v>
      </c>
      <c r="C1752" s="14" t="s">
        <v>162</v>
      </c>
      <c r="D1752" s="24" t="s">
        <v>932</v>
      </c>
      <c r="E1752" s="57" t="s">
        <v>13</v>
      </c>
      <c r="F1752" s="26">
        <v>20</v>
      </c>
      <c r="G1752" s="26">
        <v>10</v>
      </c>
      <c r="H1752" s="44"/>
      <c r="I1752" s="103">
        <v>1329.92</v>
      </c>
      <c r="J1752" s="131"/>
      <c r="K1752" s="132">
        <v>1981.07</v>
      </c>
      <c r="L1752" s="47"/>
      <c r="M1752" s="103"/>
      <c r="N1752" s="38" t="s">
        <v>641</v>
      </c>
      <c r="O1752" s="68"/>
      <c r="P1752" s="66">
        <v>45170</v>
      </c>
    </row>
    <row r="1753" spans="1:16" ht="12.75" customHeight="1">
      <c r="A1753" s="13">
        <f t="shared" si="35"/>
        <v>1731</v>
      </c>
      <c r="B1753" s="14" t="s">
        <v>449</v>
      </c>
      <c r="C1753" s="14" t="s">
        <v>162</v>
      </c>
      <c r="D1753" s="24" t="s">
        <v>932</v>
      </c>
      <c r="E1753" s="57" t="s">
        <v>13</v>
      </c>
      <c r="F1753" s="26">
        <v>18</v>
      </c>
      <c r="G1753" s="26">
        <v>8</v>
      </c>
      <c r="H1753" s="44"/>
      <c r="I1753" s="103">
        <v>1402.28</v>
      </c>
      <c r="J1753" s="131"/>
      <c r="K1753" s="132">
        <v>2306.64</v>
      </c>
      <c r="L1753" s="47"/>
      <c r="M1753" s="103"/>
      <c r="N1753" s="38" t="s">
        <v>641</v>
      </c>
      <c r="O1753" s="68"/>
      <c r="P1753" s="66">
        <v>45231</v>
      </c>
    </row>
    <row r="1754" spans="1:16" ht="12.75" customHeight="1">
      <c r="A1754" s="13">
        <f t="shared" si="35"/>
        <v>1732</v>
      </c>
      <c r="B1754" s="14" t="s">
        <v>449</v>
      </c>
      <c r="C1754" s="93" t="s">
        <v>162</v>
      </c>
      <c r="D1754" s="24" t="s">
        <v>932</v>
      </c>
      <c r="E1754" s="57" t="s">
        <v>13</v>
      </c>
      <c r="F1754" s="26">
        <v>20</v>
      </c>
      <c r="G1754" s="26">
        <v>10</v>
      </c>
      <c r="H1754" s="44"/>
      <c r="I1754" s="103">
        <v>1522.37</v>
      </c>
      <c r="J1754" s="131"/>
      <c r="K1754" s="132">
        <v>2264.19</v>
      </c>
      <c r="L1754" s="47"/>
      <c r="M1754" s="103"/>
      <c r="N1754" s="38" t="s">
        <v>1162</v>
      </c>
      <c r="O1754" s="68"/>
      <c r="P1754" s="66">
        <v>45352</v>
      </c>
    </row>
    <row r="1755" spans="1:16" ht="12.75" customHeight="1">
      <c r="A1755" s="13">
        <f t="shared" si="35"/>
        <v>1733</v>
      </c>
      <c r="B1755" s="14" t="s">
        <v>449</v>
      </c>
      <c r="C1755" s="93" t="s">
        <v>162</v>
      </c>
      <c r="D1755" s="24" t="s">
        <v>932</v>
      </c>
      <c r="E1755" s="57" t="s">
        <v>13</v>
      </c>
      <c r="F1755" s="27">
        <v>16</v>
      </c>
      <c r="G1755" s="27">
        <v>14</v>
      </c>
      <c r="H1755" s="41"/>
      <c r="I1755" s="179">
        <v>1707.83</v>
      </c>
      <c r="J1755" s="144"/>
      <c r="K1755" s="151">
        <v>1840.3</v>
      </c>
      <c r="L1755" s="53"/>
      <c r="M1755" s="152"/>
      <c r="N1755" s="38" t="s">
        <v>1162</v>
      </c>
      <c r="O1755" s="68"/>
      <c r="P1755" s="66">
        <v>45352</v>
      </c>
    </row>
    <row r="1756" spans="1:16" ht="12.75" customHeight="1">
      <c r="A1756" s="13">
        <f t="shared" si="35"/>
        <v>1734</v>
      </c>
      <c r="B1756" s="14" t="s">
        <v>449</v>
      </c>
      <c r="C1756" s="93" t="s">
        <v>162</v>
      </c>
      <c r="D1756" s="24" t="s">
        <v>932</v>
      </c>
      <c r="E1756" s="57" t="s">
        <v>13</v>
      </c>
      <c r="F1756" s="27">
        <v>20</v>
      </c>
      <c r="G1756" s="27">
        <v>10</v>
      </c>
      <c r="H1756" s="41"/>
      <c r="I1756" s="179">
        <v>1789.82</v>
      </c>
      <c r="J1756" s="144"/>
      <c r="K1756" s="151">
        <v>2645.88</v>
      </c>
      <c r="L1756" s="53"/>
      <c r="M1756" s="152"/>
      <c r="N1756" s="38" t="s">
        <v>1180</v>
      </c>
      <c r="O1756" s="68"/>
      <c r="P1756" s="66">
        <v>45689</v>
      </c>
    </row>
    <row r="1757" spans="1:16" ht="12.75" customHeight="1">
      <c r="A1757" s="13">
        <f t="shared" si="35"/>
        <v>1735</v>
      </c>
      <c r="B1757" s="14" t="s">
        <v>449</v>
      </c>
      <c r="C1757" s="93" t="s">
        <v>162</v>
      </c>
      <c r="D1757" s="24" t="s">
        <v>932</v>
      </c>
      <c r="E1757" s="57" t="s">
        <v>13</v>
      </c>
      <c r="F1757" s="27">
        <v>16</v>
      </c>
      <c r="G1757" s="27">
        <v>14</v>
      </c>
      <c r="H1757" s="41"/>
      <c r="I1757" s="179">
        <v>2003.83</v>
      </c>
      <c r="J1757" s="144"/>
      <c r="K1757" s="151">
        <v>2156.6799999999998</v>
      </c>
      <c r="L1757" s="53"/>
      <c r="M1757" s="152"/>
      <c r="N1757" s="38" t="s">
        <v>1180</v>
      </c>
      <c r="O1757" s="68"/>
      <c r="P1757" s="66">
        <v>45689</v>
      </c>
    </row>
    <row r="1758" spans="1:16" ht="12.75" customHeight="1">
      <c r="A1758" s="13">
        <f t="shared" si="35"/>
        <v>1736</v>
      </c>
      <c r="B1758" s="156" t="s">
        <v>449</v>
      </c>
      <c r="C1758" s="93" t="s">
        <v>162</v>
      </c>
      <c r="D1758" s="24" t="s">
        <v>932</v>
      </c>
      <c r="E1758" s="57" t="s">
        <v>13</v>
      </c>
      <c r="F1758" s="27">
        <v>20</v>
      </c>
      <c r="G1758" s="27">
        <v>10</v>
      </c>
      <c r="H1758" s="41"/>
      <c r="I1758" s="179">
        <v>2072.38</v>
      </c>
      <c r="J1758" s="144"/>
      <c r="K1758" s="151">
        <v>3031.67</v>
      </c>
      <c r="L1758" s="53"/>
      <c r="M1758" s="152"/>
      <c r="N1758" s="38" t="s">
        <v>1180</v>
      </c>
      <c r="O1758" s="68"/>
      <c r="P1758" s="193">
        <v>46082</v>
      </c>
    </row>
    <row r="1759" spans="1:16" ht="12.75" customHeight="1">
      <c r="A1759" s="13">
        <f t="shared" si="35"/>
        <v>1737</v>
      </c>
      <c r="B1759" s="156" t="s">
        <v>449</v>
      </c>
      <c r="C1759" s="93" t="s">
        <v>162</v>
      </c>
      <c r="D1759" s="24" t="s">
        <v>932</v>
      </c>
      <c r="E1759" s="57" t="s">
        <v>13</v>
      </c>
      <c r="F1759" s="27">
        <v>16</v>
      </c>
      <c r="G1759" s="27">
        <v>14</v>
      </c>
      <c r="H1759" s="41"/>
      <c r="I1759" s="179">
        <v>2312.1999999999998</v>
      </c>
      <c r="J1759" s="144"/>
      <c r="K1759" s="151">
        <v>2483.5</v>
      </c>
      <c r="L1759" s="53"/>
      <c r="M1759" s="152"/>
      <c r="N1759" s="38" t="s">
        <v>1180</v>
      </c>
      <c r="O1759" s="68"/>
      <c r="P1759" s="193">
        <v>46082</v>
      </c>
    </row>
    <row r="1760" spans="1:16" ht="12.75" customHeight="1">
      <c r="A1760" s="13">
        <f t="shared" si="35"/>
        <v>1738</v>
      </c>
      <c r="B1760" s="52" t="s">
        <v>450</v>
      </c>
      <c r="C1760" s="14" t="s">
        <v>162</v>
      </c>
      <c r="D1760" s="15" t="s">
        <v>165</v>
      </c>
      <c r="E1760" s="57" t="s">
        <v>13</v>
      </c>
      <c r="F1760" s="26">
        <v>20</v>
      </c>
      <c r="G1760" s="26">
        <v>10</v>
      </c>
      <c r="H1760" s="44">
        <v>938.02</v>
      </c>
      <c r="I1760" s="103">
        <v>941.03</v>
      </c>
      <c r="J1760" s="131">
        <v>1383.97</v>
      </c>
      <c r="K1760" s="132">
        <v>1390.01</v>
      </c>
      <c r="L1760" s="47">
        <v>0</v>
      </c>
      <c r="M1760" s="103"/>
      <c r="N1760" s="38" t="s">
        <v>641</v>
      </c>
      <c r="O1760" s="68">
        <v>595</v>
      </c>
      <c r="P1760" s="66">
        <v>43617</v>
      </c>
    </row>
    <row r="1761" spans="1:17" ht="12.75" customHeight="1">
      <c r="A1761" s="13">
        <f t="shared" si="35"/>
        <v>1739</v>
      </c>
      <c r="B1761" s="14" t="s">
        <v>450</v>
      </c>
      <c r="C1761" s="14" t="s">
        <v>162</v>
      </c>
      <c r="D1761" s="24" t="s">
        <v>165</v>
      </c>
      <c r="E1761" s="25" t="s">
        <v>13</v>
      </c>
      <c r="F1761" s="26">
        <v>20</v>
      </c>
      <c r="G1761" s="26">
        <v>10</v>
      </c>
      <c r="H1761" s="44"/>
      <c r="I1761" s="103">
        <v>1176.52</v>
      </c>
      <c r="J1761" s="131"/>
      <c r="K1761" s="132">
        <v>1777.4</v>
      </c>
      <c r="L1761" s="47"/>
      <c r="M1761" s="103"/>
      <c r="N1761" s="38" t="s">
        <v>641</v>
      </c>
      <c r="O1761" s="68"/>
      <c r="P1761" s="66">
        <v>44562</v>
      </c>
    </row>
    <row r="1762" spans="1:17" ht="12.75" customHeight="1">
      <c r="A1762" s="13">
        <f t="shared" si="35"/>
        <v>1740</v>
      </c>
      <c r="B1762" s="14" t="s">
        <v>450</v>
      </c>
      <c r="C1762" s="14" t="s">
        <v>162</v>
      </c>
      <c r="D1762" s="24" t="s">
        <v>165</v>
      </c>
      <c r="E1762" s="25" t="s">
        <v>13</v>
      </c>
      <c r="F1762" s="26">
        <v>20</v>
      </c>
      <c r="G1762" s="26">
        <v>10</v>
      </c>
      <c r="H1762" s="44"/>
      <c r="I1762" s="103">
        <v>1255.55</v>
      </c>
      <c r="J1762" s="131"/>
      <c r="K1762" s="132">
        <v>1906.7</v>
      </c>
      <c r="L1762" s="47"/>
      <c r="M1762" s="103"/>
      <c r="N1762" s="38" t="s">
        <v>641</v>
      </c>
      <c r="O1762" s="68"/>
      <c r="P1762" s="66">
        <v>45170</v>
      </c>
    </row>
    <row r="1763" spans="1:17" ht="12.75" customHeight="1">
      <c r="A1763" s="13">
        <f t="shared" si="35"/>
        <v>1741</v>
      </c>
      <c r="B1763" s="14" t="s">
        <v>450</v>
      </c>
      <c r="C1763" s="93" t="s">
        <v>162</v>
      </c>
      <c r="D1763" s="24" t="s">
        <v>165</v>
      </c>
      <c r="E1763" s="25" t="s">
        <v>13</v>
      </c>
      <c r="F1763" s="26">
        <v>20</v>
      </c>
      <c r="G1763" s="26">
        <v>10</v>
      </c>
      <c r="H1763" s="44"/>
      <c r="I1763" s="103">
        <v>1436.83</v>
      </c>
      <c r="J1763" s="131"/>
      <c r="K1763" s="132">
        <v>2178.66</v>
      </c>
      <c r="L1763" s="47"/>
      <c r="M1763" s="103"/>
      <c r="N1763" s="38" t="s">
        <v>1162</v>
      </c>
      <c r="O1763" s="68"/>
      <c r="P1763" s="66">
        <v>45352</v>
      </c>
    </row>
    <row r="1764" spans="1:17" ht="12.75" customHeight="1">
      <c r="A1764" s="13">
        <f t="shared" si="35"/>
        <v>1742</v>
      </c>
      <c r="B1764" s="14" t="s">
        <v>450</v>
      </c>
      <c r="C1764" s="93" t="s">
        <v>162</v>
      </c>
      <c r="D1764" s="24" t="s">
        <v>165</v>
      </c>
      <c r="E1764" s="25" t="s">
        <v>13</v>
      </c>
      <c r="F1764" s="27">
        <v>16</v>
      </c>
      <c r="G1764" s="27">
        <v>14</v>
      </c>
      <c r="H1764" s="41"/>
      <c r="I1764" s="179">
        <v>1622.29</v>
      </c>
      <c r="J1764" s="144"/>
      <c r="K1764" s="151">
        <v>1754.76</v>
      </c>
      <c r="L1764" s="53"/>
      <c r="M1764" s="152"/>
      <c r="N1764" s="38" t="s">
        <v>1162</v>
      </c>
      <c r="O1764" s="68"/>
      <c r="P1764" s="66">
        <v>45352</v>
      </c>
    </row>
    <row r="1765" spans="1:17" ht="12.75" customHeight="1">
      <c r="A1765" s="13">
        <f t="shared" si="35"/>
        <v>1743</v>
      </c>
      <c r="B1765" s="14" t="s">
        <v>450</v>
      </c>
      <c r="C1765" s="93" t="s">
        <v>162</v>
      </c>
      <c r="D1765" s="24" t="s">
        <v>165</v>
      </c>
      <c r="E1765" s="25" t="s">
        <v>13</v>
      </c>
      <c r="F1765" s="26">
        <v>20</v>
      </c>
      <c r="G1765" s="26">
        <v>10</v>
      </c>
      <c r="H1765" s="41"/>
      <c r="I1765" s="179">
        <v>1688.88</v>
      </c>
      <c r="J1765" s="144"/>
      <c r="K1765" s="151">
        <v>2055.75</v>
      </c>
      <c r="L1765" s="53"/>
      <c r="M1765" s="152"/>
      <c r="N1765" s="38" t="s">
        <v>1180</v>
      </c>
      <c r="O1765" s="68"/>
      <c r="P1765" s="66">
        <v>45689</v>
      </c>
    </row>
    <row r="1766" spans="1:17" ht="12.75" customHeight="1">
      <c r="A1766" s="13">
        <f t="shared" si="35"/>
        <v>1744</v>
      </c>
      <c r="B1766" s="14" t="s">
        <v>450</v>
      </c>
      <c r="C1766" s="93" t="s">
        <v>162</v>
      </c>
      <c r="D1766" s="24" t="s">
        <v>165</v>
      </c>
      <c r="E1766" s="25" t="s">
        <v>13</v>
      </c>
      <c r="F1766" s="27">
        <v>16</v>
      </c>
      <c r="G1766" s="27">
        <v>14</v>
      </c>
      <c r="H1766" s="41"/>
      <c r="I1766" s="179">
        <v>1902.91</v>
      </c>
      <c r="J1766" s="144"/>
      <c r="K1766" s="151">
        <v>2544.94</v>
      </c>
      <c r="L1766" s="53"/>
      <c r="M1766" s="152"/>
      <c r="N1766" s="38" t="s">
        <v>1180</v>
      </c>
      <c r="O1766" s="68"/>
      <c r="P1766" s="66">
        <v>45689</v>
      </c>
    </row>
    <row r="1767" spans="1:17" ht="12.75" customHeight="1">
      <c r="A1767" s="13">
        <f t="shared" si="35"/>
        <v>1745</v>
      </c>
      <c r="B1767" s="156" t="s">
        <v>450</v>
      </c>
      <c r="C1767" s="93" t="s">
        <v>162</v>
      </c>
      <c r="D1767" s="24" t="s">
        <v>165</v>
      </c>
      <c r="E1767" s="25" t="s">
        <v>13</v>
      </c>
      <c r="F1767" s="26">
        <v>20</v>
      </c>
      <c r="G1767" s="26">
        <v>10</v>
      </c>
      <c r="H1767" s="41"/>
      <c r="I1767" s="179">
        <v>1935.3</v>
      </c>
      <c r="J1767" s="144"/>
      <c r="K1767" s="151">
        <v>2894.59</v>
      </c>
      <c r="L1767" s="53"/>
      <c r="M1767" s="152"/>
      <c r="N1767" s="38" t="s">
        <v>1180</v>
      </c>
      <c r="O1767" s="68"/>
      <c r="P1767" s="193">
        <v>46082</v>
      </c>
    </row>
    <row r="1768" spans="1:17" ht="12.75" customHeight="1">
      <c r="A1768" s="13">
        <f t="shared" si="35"/>
        <v>1746</v>
      </c>
      <c r="B1768" s="156" t="s">
        <v>450</v>
      </c>
      <c r="C1768" s="93" t="s">
        <v>162</v>
      </c>
      <c r="D1768" s="24" t="s">
        <v>165</v>
      </c>
      <c r="E1768" s="25" t="s">
        <v>13</v>
      </c>
      <c r="F1768" s="27">
        <v>16</v>
      </c>
      <c r="G1768" s="27">
        <v>14</v>
      </c>
      <c r="H1768" s="41"/>
      <c r="I1768" s="179">
        <v>2175.13</v>
      </c>
      <c r="J1768" s="144"/>
      <c r="K1768" s="151">
        <v>2346.42</v>
      </c>
      <c r="L1768" s="53"/>
      <c r="M1768" s="152"/>
      <c r="N1768" s="38" t="s">
        <v>1180</v>
      </c>
      <c r="O1768" s="68"/>
      <c r="P1768" s="193">
        <v>46082</v>
      </c>
    </row>
    <row r="1769" spans="1:17" ht="12.75" customHeight="1">
      <c r="A1769" s="13">
        <f t="shared" si="35"/>
        <v>1747</v>
      </c>
      <c r="B1769" s="52" t="s">
        <v>451</v>
      </c>
      <c r="C1769" s="14" t="s">
        <v>162</v>
      </c>
      <c r="D1769" s="24" t="s">
        <v>563</v>
      </c>
      <c r="E1769" s="57" t="s">
        <v>13</v>
      </c>
      <c r="F1769" s="26">
        <v>20</v>
      </c>
      <c r="G1769" s="26">
        <v>10</v>
      </c>
      <c r="H1769" s="44">
        <v>978.04</v>
      </c>
      <c r="I1769" s="103">
        <v>981.06</v>
      </c>
      <c r="J1769" s="131">
        <v>1423.99</v>
      </c>
      <c r="K1769" s="132">
        <v>1430.04</v>
      </c>
      <c r="L1769" s="47">
        <v>0</v>
      </c>
      <c r="M1769" s="103"/>
      <c r="N1769" s="38" t="s">
        <v>641</v>
      </c>
      <c r="O1769" s="68">
        <v>595</v>
      </c>
      <c r="P1769" s="66">
        <v>43617</v>
      </c>
    </row>
    <row r="1770" spans="1:17" ht="12.75" customHeight="1">
      <c r="A1770" s="13">
        <f t="shared" si="35"/>
        <v>1748</v>
      </c>
      <c r="B1770" s="14" t="s">
        <v>451</v>
      </c>
      <c r="C1770" s="14" t="s">
        <v>162</v>
      </c>
      <c r="D1770" s="24" t="s">
        <v>916</v>
      </c>
      <c r="E1770" s="57" t="s">
        <v>13</v>
      </c>
      <c r="F1770" s="26">
        <v>20</v>
      </c>
      <c r="G1770" s="26">
        <v>10</v>
      </c>
      <c r="H1770" s="44"/>
      <c r="I1770" s="103">
        <v>1189.8599999999999</v>
      </c>
      <c r="J1770" s="131"/>
      <c r="K1770" s="132">
        <v>1790.75</v>
      </c>
      <c r="L1770" s="47"/>
      <c r="M1770" s="103"/>
      <c r="N1770" s="38" t="s">
        <v>641</v>
      </c>
      <c r="O1770" s="68"/>
      <c r="P1770" s="66">
        <v>44562</v>
      </c>
      <c r="Q1770" t="s">
        <v>885</v>
      </c>
    </row>
    <row r="1771" spans="1:17" ht="12.75" customHeight="1">
      <c r="A1771" s="13">
        <f t="shared" si="35"/>
        <v>1749</v>
      </c>
      <c r="B1771" s="14" t="s">
        <v>451</v>
      </c>
      <c r="C1771" s="14" t="s">
        <v>162</v>
      </c>
      <c r="D1771" s="24" t="s">
        <v>916</v>
      </c>
      <c r="E1771" s="57" t="s">
        <v>13</v>
      </c>
      <c r="F1771" s="26">
        <v>20</v>
      </c>
      <c r="G1771" s="26">
        <v>10</v>
      </c>
      <c r="H1771" s="44"/>
      <c r="I1771" s="103">
        <v>1269.57</v>
      </c>
      <c r="J1771" s="131"/>
      <c r="K1771" s="132">
        <v>1920.73</v>
      </c>
      <c r="L1771" s="47"/>
      <c r="M1771" s="103"/>
      <c r="N1771" s="38" t="s">
        <v>641</v>
      </c>
      <c r="O1771" s="68"/>
      <c r="P1771" s="66">
        <v>45170</v>
      </c>
    </row>
    <row r="1772" spans="1:17" ht="12.75" customHeight="1">
      <c r="A1772" s="13">
        <f t="shared" si="35"/>
        <v>1750</v>
      </c>
      <c r="B1772" s="14" t="s">
        <v>451</v>
      </c>
      <c r="C1772" s="93" t="s">
        <v>162</v>
      </c>
      <c r="D1772" s="24" t="s">
        <v>916</v>
      </c>
      <c r="E1772" s="57" t="s">
        <v>13</v>
      </c>
      <c r="F1772" s="26">
        <v>20</v>
      </c>
      <c r="G1772" s="26">
        <v>10</v>
      </c>
      <c r="H1772" s="44"/>
      <c r="I1772" s="103">
        <v>1452.96</v>
      </c>
      <c r="J1772" s="131"/>
      <c r="K1772" s="132">
        <v>2194.79</v>
      </c>
      <c r="L1772" s="47"/>
      <c r="M1772" s="103"/>
      <c r="N1772" s="38" t="s">
        <v>1162</v>
      </c>
      <c r="O1772" s="68"/>
      <c r="P1772" s="66">
        <v>45352</v>
      </c>
    </row>
    <row r="1773" spans="1:17" ht="12.75" customHeight="1">
      <c r="A1773" s="13">
        <f t="shared" si="35"/>
        <v>1751</v>
      </c>
      <c r="B1773" s="14" t="s">
        <v>451</v>
      </c>
      <c r="C1773" s="93" t="s">
        <v>162</v>
      </c>
      <c r="D1773" s="24" t="s">
        <v>916</v>
      </c>
      <c r="E1773" s="57" t="s">
        <v>13</v>
      </c>
      <c r="F1773" s="27">
        <v>18</v>
      </c>
      <c r="G1773" s="27">
        <v>16</v>
      </c>
      <c r="H1773" s="41"/>
      <c r="I1773" s="103">
        <v>1535.36</v>
      </c>
      <c r="J1773" s="171"/>
      <c r="K1773" s="132">
        <v>1638.41</v>
      </c>
      <c r="L1773" s="53"/>
      <c r="M1773" s="152"/>
      <c r="N1773" s="38" t="s">
        <v>1162</v>
      </c>
      <c r="O1773" s="68"/>
      <c r="P1773" s="66">
        <v>45352</v>
      </c>
    </row>
    <row r="1774" spans="1:17" ht="12.75" customHeight="1">
      <c r="A1774" s="13">
        <f t="shared" si="35"/>
        <v>1752</v>
      </c>
      <c r="B1774" s="14" t="s">
        <v>451</v>
      </c>
      <c r="C1774" s="93" t="s">
        <v>162</v>
      </c>
      <c r="D1774" s="24" t="s">
        <v>916</v>
      </c>
      <c r="E1774" s="57" t="s">
        <v>13</v>
      </c>
      <c r="F1774" s="26">
        <v>20</v>
      </c>
      <c r="G1774" s="26">
        <v>10</v>
      </c>
      <c r="H1774" s="41"/>
      <c r="I1774" s="103">
        <v>1698.33</v>
      </c>
      <c r="J1774" s="171"/>
      <c r="K1774" s="132">
        <v>2554.39</v>
      </c>
      <c r="L1774" s="53"/>
      <c r="M1774" s="152"/>
      <c r="N1774" s="38" t="s">
        <v>1180</v>
      </c>
      <c r="O1774" s="68"/>
      <c r="P1774" s="66">
        <v>45689</v>
      </c>
    </row>
    <row r="1775" spans="1:17" ht="12.75" customHeight="1">
      <c r="A1775" s="13">
        <f t="shared" si="35"/>
        <v>1753</v>
      </c>
      <c r="B1775" s="14" t="s">
        <v>451</v>
      </c>
      <c r="C1775" s="93" t="s">
        <v>162</v>
      </c>
      <c r="D1775" s="24" t="s">
        <v>916</v>
      </c>
      <c r="E1775" s="57" t="s">
        <v>13</v>
      </c>
      <c r="F1775" s="27">
        <v>18</v>
      </c>
      <c r="G1775" s="27">
        <v>16</v>
      </c>
      <c r="H1775" s="41"/>
      <c r="I1775" s="103">
        <v>1793.43</v>
      </c>
      <c r="J1775" s="171"/>
      <c r="K1775" s="132">
        <v>1912.35</v>
      </c>
      <c r="L1775" s="53"/>
      <c r="M1775" s="152"/>
      <c r="N1775" s="38" t="s">
        <v>1180</v>
      </c>
      <c r="O1775" s="68"/>
      <c r="P1775" s="66">
        <v>45689</v>
      </c>
    </row>
    <row r="1776" spans="1:17" ht="12.75" customHeight="1">
      <c r="A1776" s="13">
        <f t="shared" si="35"/>
        <v>1754</v>
      </c>
      <c r="B1776" s="156" t="s">
        <v>451</v>
      </c>
      <c r="C1776" s="93" t="s">
        <v>162</v>
      </c>
      <c r="D1776" s="24" t="s">
        <v>916</v>
      </c>
      <c r="E1776" s="57" t="s">
        <v>13</v>
      </c>
      <c r="F1776" s="26">
        <v>20</v>
      </c>
      <c r="G1776" s="26">
        <v>10</v>
      </c>
      <c r="H1776" s="41"/>
      <c r="I1776" s="103">
        <v>1994.8</v>
      </c>
      <c r="J1776" s="171"/>
      <c r="K1776" s="132">
        <v>2904.1</v>
      </c>
      <c r="L1776" s="53"/>
      <c r="M1776" s="152"/>
      <c r="N1776" s="38" t="s">
        <v>1180</v>
      </c>
      <c r="O1776" s="68"/>
      <c r="P1776" s="193">
        <v>46082</v>
      </c>
    </row>
    <row r="1777" spans="1:16" ht="12.75" customHeight="1">
      <c r="A1777" s="13">
        <f t="shared" si="35"/>
        <v>1755</v>
      </c>
      <c r="B1777" s="156" t="s">
        <v>451</v>
      </c>
      <c r="C1777" s="93" t="s">
        <v>162</v>
      </c>
      <c r="D1777" s="24" t="s">
        <v>916</v>
      </c>
      <c r="E1777" s="57" t="s">
        <v>13</v>
      </c>
      <c r="F1777" s="27">
        <v>18</v>
      </c>
      <c r="G1777" s="27">
        <v>16</v>
      </c>
      <c r="H1777" s="41"/>
      <c r="I1777" s="103">
        <v>2051.38</v>
      </c>
      <c r="J1777" s="171"/>
      <c r="K1777" s="132">
        <v>2184.62</v>
      </c>
      <c r="L1777" s="53"/>
      <c r="M1777" s="152"/>
      <c r="N1777" s="38" t="s">
        <v>1180</v>
      </c>
      <c r="O1777" s="68"/>
      <c r="P1777" s="193">
        <v>46082</v>
      </c>
    </row>
    <row r="1778" spans="1:16" ht="12.75" customHeight="1">
      <c r="A1778" s="13">
        <f t="shared" si="35"/>
        <v>1756</v>
      </c>
      <c r="B1778" s="54" t="s">
        <v>452</v>
      </c>
      <c r="C1778" s="14" t="s">
        <v>167</v>
      </c>
      <c r="D1778" s="15" t="s">
        <v>168</v>
      </c>
      <c r="E1778" s="57" t="s">
        <v>13</v>
      </c>
      <c r="F1778" s="26">
        <v>20</v>
      </c>
      <c r="G1778" s="26">
        <v>10</v>
      </c>
      <c r="H1778" s="44">
        <v>1418.5</v>
      </c>
      <c r="I1778" s="103"/>
      <c r="J1778" s="131">
        <v>2035.94</v>
      </c>
      <c r="K1778" s="132"/>
      <c r="L1778" s="47">
        <v>0</v>
      </c>
      <c r="M1778" s="103"/>
      <c r="N1778" s="39" t="s">
        <v>644</v>
      </c>
      <c r="O1778" s="68">
        <v>606</v>
      </c>
      <c r="P1778" s="66">
        <v>41275</v>
      </c>
    </row>
    <row r="1779" spans="1:16" ht="12.75" customHeight="1">
      <c r="A1779" s="13">
        <f t="shared" si="35"/>
        <v>1757</v>
      </c>
      <c r="B1779" s="54" t="s">
        <v>453</v>
      </c>
      <c r="C1779" s="14" t="s">
        <v>167</v>
      </c>
      <c r="D1779" s="15" t="s">
        <v>169</v>
      </c>
      <c r="E1779" s="57" t="s">
        <v>13</v>
      </c>
      <c r="F1779" s="26">
        <v>20</v>
      </c>
      <c r="G1779" s="26">
        <v>10</v>
      </c>
      <c r="H1779" s="44">
        <v>1140.6400000000001</v>
      </c>
      <c r="I1779" s="103"/>
      <c r="J1779" s="131">
        <v>1758.08</v>
      </c>
      <c r="K1779" s="132"/>
      <c r="L1779" s="47">
        <v>0</v>
      </c>
      <c r="M1779" s="103"/>
      <c r="N1779" s="39" t="s">
        <v>644</v>
      </c>
      <c r="O1779" s="68">
        <v>606</v>
      </c>
      <c r="P1779" s="66">
        <v>41275</v>
      </c>
    </row>
    <row r="1780" spans="1:16" ht="12.75" customHeight="1">
      <c r="A1780" s="13">
        <f t="shared" si="35"/>
        <v>1758</v>
      </c>
      <c r="B1780" s="54" t="s">
        <v>454</v>
      </c>
      <c r="C1780" s="14" t="s">
        <v>167</v>
      </c>
      <c r="D1780" s="15" t="s">
        <v>170</v>
      </c>
      <c r="E1780" s="57" t="s">
        <v>13</v>
      </c>
      <c r="F1780" s="26">
        <v>20</v>
      </c>
      <c r="G1780" s="26">
        <v>10</v>
      </c>
      <c r="H1780" s="44">
        <v>1331.31</v>
      </c>
      <c r="I1780" s="103"/>
      <c r="J1780" s="131">
        <v>1948.73</v>
      </c>
      <c r="K1780" s="132"/>
      <c r="L1780" s="47">
        <v>0</v>
      </c>
      <c r="M1780" s="103"/>
      <c r="N1780" s="39" t="s">
        <v>644</v>
      </c>
      <c r="O1780" s="68">
        <v>606</v>
      </c>
      <c r="P1780" s="66">
        <v>41275</v>
      </c>
    </row>
    <row r="1781" spans="1:16" ht="12.75" customHeight="1">
      <c r="A1781" s="13">
        <f t="shared" si="35"/>
        <v>1759</v>
      </c>
      <c r="B1781" s="52" t="s">
        <v>455</v>
      </c>
      <c r="C1781" s="14" t="s">
        <v>171</v>
      </c>
      <c r="D1781" s="15" t="s">
        <v>172</v>
      </c>
      <c r="E1781" s="57" t="s">
        <v>13</v>
      </c>
      <c r="F1781" s="26">
        <v>20</v>
      </c>
      <c r="G1781" s="26">
        <v>10</v>
      </c>
      <c r="H1781" s="44">
        <v>1060.8800000000001</v>
      </c>
      <c r="I1781" s="103">
        <v>1068.25</v>
      </c>
      <c r="J1781" s="131">
        <v>1484.08</v>
      </c>
      <c r="K1781" s="132">
        <v>1498.81</v>
      </c>
      <c r="L1781" s="47">
        <v>0</v>
      </c>
      <c r="M1781" s="103"/>
      <c r="N1781" s="38" t="s">
        <v>643</v>
      </c>
      <c r="O1781" s="69">
        <v>609</v>
      </c>
      <c r="P1781" s="66">
        <v>43617</v>
      </c>
    </row>
    <row r="1782" spans="1:16" ht="12.75" customHeight="1">
      <c r="A1782" s="13">
        <f t="shared" si="35"/>
        <v>1760</v>
      </c>
      <c r="B1782" s="54" t="s">
        <v>455</v>
      </c>
      <c r="C1782" s="14" t="s">
        <v>171</v>
      </c>
      <c r="D1782" s="15" t="s">
        <v>172</v>
      </c>
      <c r="E1782" s="25" t="s">
        <v>13</v>
      </c>
      <c r="F1782" s="26">
        <v>20</v>
      </c>
      <c r="G1782" s="26">
        <v>10</v>
      </c>
      <c r="H1782" s="44"/>
      <c r="I1782" s="103">
        <v>1073.77</v>
      </c>
      <c r="J1782" s="131"/>
      <c r="K1782" s="132">
        <v>1509.87</v>
      </c>
      <c r="L1782" s="47"/>
      <c r="M1782" s="103"/>
      <c r="N1782" s="38" t="s">
        <v>643</v>
      </c>
      <c r="O1782" s="69"/>
      <c r="P1782" s="66">
        <v>44562</v>
      </c>
    </row>
    <row r="1783" spans="1:16" ht="12.75" customHeight="1">
      <c r="A1783" s="13">
        <f t="shared" si="35"/>
        <v>1761</v>
      </c>
      <c r="B1783" s="54" t="s">
        <v>456</v>
      </c>
      <c r="C1783" s="14" t="s">
        <v>173</v>
      </c>
      <c r="D1783" s="15" t="s">
        <v>174</v>
      </c>
      <c r="E1783" s="57" t="s">
        <v>13</v>
      </c>
      <c r="F1783" s="26">
        <v>20</v>
      </c>
      <c r="G1783" s="26">
        <v>10</v>
      </c>
      <c r="H1783" s="44">
        <v>1099.6500000000001</v>
      </c>
      <c r="I1783" s="103"/>
      <c r="J1783" s="131">
        <v>1618.46</v>
      </c>
      <c r="K1783" s="132"/>
      <c r="L1783" s="47">
        <v>0</v>
      </c>
      <c r="M1783" s="103"/>
      <c r="N1783" s="99" t="s">
        <v>642</v>
      </c>
      <c r="O1783" s="68">
        <v>603</v>
      </c>
      <c r="P1783" s="66">
        <v>41162</v>
      </c>
    </row>
    <row r="1784" spans="1:16" ht="12.75" customHeight="1">
      <c r="A1784" s="13">
        <f t="shared" si="35"/>
        <v>1762</v>
      </c>
      <c r="B1784" s="54" t="s">
        <v>457</v>
      </c>
      <c r="C1784" s="14" t="s">
        <v>171</v>
      </c>
      <c r="D1784" s="15" t="s">
        <v>88</v>
      </c>
      <c r="E1784" s="57" t="s">
        <v>13</v>
      </c>
      <c r="F1784" s="26">
        <v>20</v>
      </c>
      <c r="G1784" s="26">
        <v>10</v>
      </c>
      <c r="H1784" s="44">
        <v>914.54</v>
      </c>
      <c r="I1784" s="103">
        <v>921.9</v>
      </c>
      <c r="J1784" s="131">
        <v>1404.42</v>
      </c>
      <c r="K1784" s="132">
        <v>1419.14</v>
      </c>
      <c r="L1784" s="47">
        <v>0</v>
      </c>
      <c r="M1784" s="165" t="s">
        <v>262</v>
      </c>
      <c r="N1784" s="38" t="s">
        <v>643</v>
      </c>
      <c r="O1784" s="69">
        <v>609</v>
      </c>
      <c r="P1784" s="66">
        <v>43617</v>
      </c>
    </row>
    <row r="1785" spans="1:16" ht="12.75" customHeight="1">
      <c r="A1785" s="13">
        <f t="shared" si="35"/>
        <v>1763</v>
      </c>
      <c r="B1785" s="52" t="s">
        <v>458</v>
      </c>
      <c r="C1785" s="14" t="s">
        <v>171</v>
      </c>
      <c r="D1785" s="15" t="s">
        <v>175</v>
      </c>
      <c r="E1785" s="57" t="s">
        <v>13</v>
      </c>
      <c r="F1785" s="26">
        <v>20</v>
      </c>
      <c r="G1785" s="26">
        <v>10</v>
      </c>
      <c r="H1785" s="44">
        <v>1053.52</v>
      </c>
      <c r="I1785" s="103">
        <v>1060.8800000000001</v>
      </c>
      <c r="J1785" s="131">
        <v>1543.4</v>
      </c>
      <c r="K1785" s="132">
        <v>1558.12</v>
      </c>
      <c r="L1785" s="47">
        <v>0</v>
      </c>
      <c r="M1785" s="103"/>
      <c r="N1785" s="38" t="s">
        <v>643</v>
      </c>
      <c r="O1785" s="69">
        <v>609</v>
      </c>
      <c r="P1785" s="66">
        <v>43617</v>
      </c>
    </row>
    <row r="1786" spans="1:16" ht="12.75" customHeight="1">
      <c r="A1786" s="13">
        <f t="shared" si="35"/>
        <v>1764</v>
      </c>
      <c r="B1786" s="54" t="s">
        <v>458</v>
      </c>
      <c r="C1786" s="14" t="s">
        <v>171</v>
      </c>
      <c r="D1786" s="15" t="s">
        <v>175</v>
      </c>
      <c r="E1786" s="57" t="s">
        <v>13</v>
      </c>
      <c r="F1786" s="26">
        <v>20</v>
      </c>
      <c r="G1786" s="26">
        <v>10</v>
      </c>
      <c r="H1786" s="44"/>
      <c r="I1786" s="103">
        <v>1066.4000000000001</v>
      </c>
      <c r="J1786" s="131"/>
      <c r="K1786" s="132">
        <v>1569.18</v>
      </c>
      <c r="L1786" s="47"/>
      <c r="M1786" s="103"/>
      <c r="N1786" s="38" t="s">
        <v>643</v>
      </c>
      <c r="O1786" s="69"/>
      <c r="P1786" s="66">
        <v>44562</v>
      </c>
    </row>
    <row r="1787" spans="1:16" ht="12.75" customHeight="1">
      <c r="A1787" s="13">
        <f t="shared" si="35"/>
        <v>1765</v>
      </c>
      <c r="B1787" s="52" t="s">
        <v>459</v>
      </c>
      <c r="C1787" s="23" t="s">
        <v>564</v>
      </c>
      <c r="D1787" s="24" t="s">
        <v>565</v>
      </c>
      <c r="E1787" s="57" t="s">
        <v>13</v>
      </c>
      <c r="F1787" s="26">
        <v>20</v>
      </c>
      <c r="G1787" s="26">
        <v>10</v>
      </c>
      <c r="H1787" s="44">
        <v>1010.4</v>
      </c>
      <c r="I1787" s="103">
        <v>1018.14</v>
      </c>
      <c r="J1787" s="131">
        <v>1486.75</v>
      </c>
      <c r="K1787" s="132">
        <v>1485.77</v>
      </c>
      <c r="L1787" s="47">
        <v>0</v>
      </c>
      <c r="M1787" s="103"/>
      <c r="N1787" s="38" t="s">
        <v>640</v>
      </c>
      <c r="O1787" s="69">
        <v>589</v>
      </c>
      <c r="P1787" s="66">
        <v>43617</v>
      </c>
    </row>
    <row r="1788" spans="1:16" ht="12.75" customHeight="1">
      <c r="A1788" s="13">
        <f t="shared" si="35"/>
        <v>1766</v>
      </c>
      <c r="B1788" s="23" t="s">
        <v>459</v>
      </c>
      <c r="C1788" s="23" t="s">
        <v>564</v>
      </c>
      <c r="D1788" s="24" t="s">
        <v>565</v>
      </c>
      <c r="E1788" s="25" t="s">
        <v>13</v>
      </c>
      <c r="F1788" s="26">
        <v>19</v>
      </c>
      <c r="G1788" s="26">
        <v>10</v>
      </c>
      <c r="H1788" s="44"/>
      <c r="I1788" s="103">
        <v>992.17</v>
      </c>
      <c r="J1788" s="131"/>
      <c r="K1788" s="132">
        <v>1485.77</v>
      </c>
      <c r="L1788" s="47"/>
      <c r="M1788" s="103"/>
      <c r="N1788" s="38" t="s">
        <v>640</v>
      </c>
      <c r="O1788" s="69"/>
      <c r="P1788" s="66">
        <v>43617</v>
      </c>
    </row>
    <row r="1789" spans="1:16" ht="12.75" customHeight="1">
      <c r="A1789" s="13">
        <f t="shared" si="35"/>
        <v>1767</v>
      </c>
      <c r="B1789" s="23" t="s">
        <v>459</v>
      </c>
      <c r="C1789" s="23" t="s">
        <v>564</v>
      </c>
      <c r="D1789" s="24" t="s">
        <v>565</v>
      </c>
      <c r="E1789" s="25" t="s">
        <v>13</v>
      </c>
      <c r="F1789" s="26">
        <v>20</v>
      </c>
      <c r="G1789" s="26">
        <v>10</v>
      </c>
      <c r="H1789" s="44"/>
      <c r="I1789" s="103">
        <v>1124.76</v>
      </c>
      <c r="J1789" s="131"/>
      <c r="K1789" s="132">
        <v>1717.47</v>
      </c>
      <c r="L1789" s="47"/>
      <c r="M1789" s="103"/>
      <c r="N1789" s="38" t="s">
        <v>640</v>
      </c>
      <c r="O1789" s="69"/>
      <c r="P1789" s="66">
        <v>44562</v>
      </c>
    </row>
    <row r="1790" spans="1:16" ht="12.75" customHeight="1">
      <c r="A1790" s="13">
        <f t="shared" si="35"/>
        <v>1768</v>
      </c>
      <c r="B1790" s="23" t="s">
        <v>459</v>
      </c>
      <c r="C1790" s="23" t="s">
        <v>564</v>
      </c>
      <c r="D1790" s="24" t="s">
        <v>565</v>
      </c>
      <c r="E1790" s="25" t="s">
        <v>13</v>
      </c>
      <c r="F1790" s="26">
        <v>20</v>
      </c>
      <c r="G1790" s="26">
        <v>10</v>
      </c>
      <c r="H1790" s="44"/>
      <c r="I1790" s="103">
        <v>1158.1099999999999</v>
      </c>
      <c r="J1790" s="131"/>
      <c r="K1790" s="132">
        <v>1769.36</v>
      </c>
      <c r="L1790" s="47"/>
      <c r="M1790" s="103"/>
      <c r="N1790" s="38" t="s">
        <v>640</v>
      </c>
      <c r="O1790" s="69"/>
      <c r="P1790" s="66">
        <v>44713</v>
      </c>
    </row>
    <row r="1791" spans="1:16" ht="12.75" customHeight="1">
      <c r="A1791" s="13">
        <f t="shared" si="35"/>
        <v>1769</v>
      </c>
      <c r="B1791" s="180" t="s">
        <v>459</v>
      </c>
      <c r="C1791" s="23" t="s">
        <v>564</v>
      </c>
      <c r="D1791" s="24" t="s">
        <v>565</v>
      </c>
      <c r="E1791" s="25" t="s">
        <v>13</v>
      </c>
      <c r="F1791" s="26">
        <v>20</v>
      </c>
      <c r="G1791" s="26">
        <v>10</v>
      </c>
      <c r="H1791" s="44"/>
      <c r="I1791" s="103">
        <v>1310.8</v>
      </c>
      <c r="J1791" s="131"/>
      <c r="K1791" s="132">
        <v>1994.28</v>
      </c>
      <c r="L1791" s="47"/>
      <c r="M1791" s="103"/>
      <c r="N1791" s="38" t="s">
        <v>640</v>
      </c>
      <c r="O1791" s="69"/>
      <c r="P1791" s="66">
        <v>45352</v>
      </c>
    </row>
    <row r="1792" spans="1:16" ht="12.75" customHeight="1">
      <c r="A1792" s="13">
        <f t="shared" si="35"/>
        <v>1770</v>
      </c>
      <c r="B1792" s="180" t="s">
        <v>459</v>
      </c>
      <c r="C1792" s="23" t="s">
        <v>564</v>
      </c>
      <c r="D1792" s="24" t="s">
        <v>565</v>
      </c>
      <c r="E1792" s="25" t="s">
        <v>13</v>
      </c>
      <c r="F1792" s="26">
        <v>18</v>
      </c>
      <c r="G1792" s="26">
        <v>12</v>
      </c>
      <c r="H1792" s="44"/>
      <c r="I1792" s="103">
        <v>1386.6</v>
      </c>
      <c r="J1792" s="131"/>
      <c r="K1792" s="132">
        <v>1766.37</v>
      </c>
      <c r="L1792" s="47"/>
      <c r="M1792" s="103"/>
      <c r="N1792" s="38" t="s">
        <v>640</v>
      </c>
      <c r="O1792" s="69"/>
      <c r="P1792" s="66">
        <v>45352</v>
      </c>
    </row>
    <row r="1793" spans="1:16" ht="12.75" customHeight="1">
      <c r="A1793" s="13">
        <f t="shared" si="35"/>
        <v>1771</v>
      </c>
      <c r="B1793" s="156" t="s">
        <v>459</v>
      </c>
      <c r="C1793" s="23" t="s">
        <v>564</v>
      </c>
      <c r="D1793" s="24" t="s">
        <v>565</v>
      </c>
      <c r="E1793" s="25" t="s">
        <v>13</v>
      </c>
      <c r="F1793" s="26">
        <v>20</v>
      </c>
      <c r="G1793" s="26">
        <v>14</v>
      </c>
      <c r="H1793" s="44"/>
      <c r="I1793" s="103">
        <v>1158.1099999999999</v>
      </c>
      <c r="J1793" s="131"/>
      <c r="K1793" s="132">
        <v>1420.05</v>
      </c>
      <c r="L1793" s="47"/>
      <c r="M1793" s="103"/>
      <c r="N1793" s="38" t="s">
        <v>640</v>
      </c>
      <c r="O1793" s="69"/>
      <c r="P1793" s="66">
        <v>45352</v>
      </c>
    </row>
    <row r="1794" spans="1:16" ht="12.75" customHeight="1">
      <c r="A1794" s="13">
        <f t="shared" si="35"/>
        <v>1772</v>
      </c>
      <c r="B1794" s="156" t="s">
        <v>459</v>
      </c>
      <c r="C1794" s="23" t="s">
        <v>564</v>
      </c>
      <c r="D1794" s="24" t="s">
        <v>565</v>
      </c>
      <c r="E1794" s="25" t="s">
        <v>13</v>
      </c>
      <c r="F1794" s="26">
        <v>19</v>
      </c>
      <c r="G1794" s="26">
        <v>16</v>
      </c>
      <c r="H1794" s="44"/>
      <c r="I1794" s="103">
        <v>1190.26</v>
      </c>
      <c r="J1794" s="131"/>
      <c r="K1794" s="132">
        <v>1310.91</v>
      </c>
      <c r="L1794" s="47"/>
      <c r="M1794" s="103"/>
      <c r="N1794" s="38" t="s">
        <v>640</v>
      </c>
      <c r="O1794" s="69"/>
      <c r="P1794" s="66">
        <v>45352</v>
      </c>
    </row>
    <row r="1795" spans="1:16" ht="12.75" customHeight="1">
      <c r="A1795" s="13">
        <f t="shared" si="35"/>
        <v>1773</v>
      </c>
      <c r="B1795" s="156" t="s">
        <v>459</v>
      </c>
      <c r="C1795" s="23" t="s">
        <v>564</v>
      </c>
      <c r="D1795" s="24" t="s">
        <v>565</v>
      </c>
      <c r="E1795" s="25" t="s">
        <v>13</v>
      </c>
      <c r="F1795" s="26">
        <v>20</v>
      </c>
      <c r="G1795" s="26">
        <v>10</v>
      </c>
      <c r="H1795" s="44"/>
      <c r="I1795" s="103">
        <v>1545.78</v>
      </c>
      <c r="J1795" s="131"/>
      <c r="K1795" s="132">
        <v>2359.89</v>
      </c>
      <c r="L1795" s="47"/>
      <c r="M1795" s="103"/>
      <c r="N1795" s="38" t="s">
        <v>640</v>
      </c>
      <c r="O1795" s="69"/>
      <c r="P1795" s="66">
        <v>45689</v>
      </c>
    </row>
    <row r="1796" spans="1:16" ht="12.75" customHeight="1">
      <c r="A1796" s="13">
        <f t="shared" ref="A1796:A1859" si="36">A1795+1</f>
        <v>1774</v>
      </c>
      <c r="B1796" s="156" t="s">
        <v>459</v>
      </c>
      <c r="C1796" s="23" t="s">
        <v>564</v>
      </c>
      <c r="D1796" s="24" t="s">
        <v>565</v>
      </c>
      <c r="E1796" s="25" t="s">
        <v>13</v>
      </c>
      <c r="F1796" s="26">
        <v>18</v>
      </c>
      <c r="G1796" s="26">
        <v>12</v>
      </c>
      <c r="H1796" s="44"/>
      <c r="I1796" s="103">
        <v>1636.24</v>
      </c>
      <c r="J1796" s="131"/>
      <c r="K1796" s="132">
        <v>2088.5100000000002</v>
      </c>
      <c r="L1796" s="47"/>
      <c r="M1796" s="103"/>
      <c r="N1796" s="38" t="s">
        <v>640</v>
      </c>
      <c r="O1796" s="69"/>
      <c r="P1796" s="66">
        <v>45689</v>
      </c>
    </row>
    <row r="1797" spans="1:16" ht="12.75" customHeight="1">
      <c r="A1797" s="13">
        <f t="shared" si="36"/>
        <v>1775</v>
      </c>
      <c r="B1797" s="54" t="s">
        <v>460</v>
      </c>
      <c r="C1797" s="14" t="s">
        <v>167</v>
      </c>
      <c r="D1797" s="15" t="s">
        <v>176</v>
      </c>
      <c r="E1797" s="57" t="s">
        <v>13</v>
      </c>
      <c r="F1797" s="26">
        <v>20</v>
      </c>
      <c r="G1797" s="26">
        <v>10</v>
      </c>
      <c r="H1797" s="44">
        <v>1172.3900000000001</v>
      </c>
      <c r="I1797" s="103"/>
      <c r="J1797" s="131">
        <v>1827.49</v>
      </c>
      <c r="K1797" s="132"/>
      <c r="L1797" s="70" t="s">
        <v>262</v>
      </c>
      <c r="M1797" s="165"/>
      <c r="N1797" s="39" t="s">
        <v>644</v>
      </c>
      <c r="O1797" s="68">
        <v>606</v>
      </c>
      <c r="P1797" s="66">
        <v>41699</v>
      </c>
    </row>
    <row r="1798" spans="1:16" ht="12.75" customHeight="1">
      <c r="A1798" s="13">
        <f t="shared" si="36"/>
        <v>1776</v>
      </c>
      <c r="B1798" s="54" t="s">
        <v>461</v>
      </c>
      <c r="C1798" s="14" t="s">
        <v>154</v>
      </c>
      <c r="D1798" s="15" t="s">
        <v>155</v>
      </c>
      <c r="E1798" s="14" t="s">
        <v>19</v>
      </c>
      <c r="F1798" s="26">
        <v>16</v>
      </c>
      <c r="G1798" s="26">
        <v>10</v>
      </c>
      <c r="H1798" s="34">
        <v>2982.73</v>
      </c>
      <c r="I1798" s="84"/>
      <c r="J1798" s="136">
        <v>3395.79</v>
      </c>
      <c r="K1798" s="118"/>
      <c r="L1798" s="34">
        <v>9365.25</v>
      </c>
      <c r="M1798" s="84"/>
      <c r="N1798" s="107" t="s">
        <v>820</v>
      </c>
      <c r="O1798" s="69">
        <v>589</v>
      </c>
      <c r="P1798" s="66">
        <v>41306</v>
      </c>
    </row>
    <row r="1799" spans="1:16" s="8" customFormat="1" ht="12.75" customHeight="1">
      <c r="A1799" s="13">
        <f t="shared" si="36"/>
        <v>1777</v>
      </c>
      <c r="B1799" s="54" t="s">
        <v>462</v>
      </c>
      <c r="C1799" s="14" t="s">
        <v>177</v>
      </c>
      <c r="D1799" s="15" t="s">
        <v>178</v>
      </c>
      <c r="E1799" s="14" t="s">
        <v>19</v>
      </c>
      <c r="F1799" s="26">
        <v>17</v>
      </c>
      <c r="G1799" s="26">
        <v>10</v>
      </c>
      <c r="H1799" s="34">
        <v>1879.53</v>
      </c>
      <c r="I1799" s="84"/>
      <c r="J1799" s="136">
        <v>2504.58</v>
      </c>
      <c r="K1799" s="118"/>
      <c r="L1799" s="34">
        <v>11764.35</v>
      </c>
      <c r="M1799" s="84"/>
      <c r="N1799" s="99" t="s">
        <v>642</v>
      </c>
      <c r="O1799" s="68">
        <v>596</v>
      </c>
      <c r="P1799" s="66">
        <v>41306</v>
      </c>
    </row>
    <row r="1800" spans="1:16" s="8" customFormat="1" ht="12.75" customHeight="1">
      <c r="A1800" s="13">
        <f t="shared" si="36"/>
        <v>1778</v>
      </c>
      <c r="B1800" s="54" t="s">
        <v>463</v>
      </c>
      <c r="C1800" s="14" t="s">
        <v>179</v>
      </c>
      <c r="D1800" s="15" t="s">
        <v>180</v>
      </c>
      <c r="E1800" s="14" t="s">
        <v>19</v>
      </c>
      <c r="F1800" s="26">
        <v>20</v>
      </c>
      <c r="G1800" s="26">
        <v>10</v>
      </c>
      <c r="H1800" s="34">
        <v>2049.96</v>
      </c>
      <c r="I1800" s="84"/>
      <c r="J1800" s="136">
        <v>2611.4499999999998</v>
      </c>
      <c r="K1800" s="118"/>
      <c r="L1800" s="34">
        <v>14875.65</v>
      </c>
      <c r="M1800" s="84"/>
      <c r="N1800" s="38" t="s">
        <v>796</v>
      </c>
      <c r="O1800" s="69">
        <v>604</v>
      </c>
      <c r="P1800" s="66">
        <v>41306</v>
      </c>
    </row>
    <row r="1801" spans="1:16" s="8" customFormat="1" ht="12.75" customHeight="1">
      <c r="A1801" s="13">
        <f t="shared" si="36"/>
        <v>1779</v>
      </c>
      <c r="B1801" s="54" t="s">
        <v>464</v>
      </c>
      <c r="C1801" s="14" t="s">
        <v>160</v>
      </c>
      <c r="D1801" s="24" t="s">
        <v>181</v>
      </c>
      <c r="E1801" s="14" t="s">
        <v>19</v>
      </c>
      <c r="F1801" s="26">
        <v>20</v>
      </c>
      <c r="G1801" s="26">
        <v>10</v>
      </c>
      <c r="H1801" s="34">
        <v>1766.25</v>
      </c>
      <c r="I1801" s="84"/>
      <c r="J1801" s="136">
        <v>2244.12</v>
      </c>
      <c r="K1801" s="118"/>
      <c r="L1801" s="34">
        <v>12976.59</v>
      </c>
      <c r="M1801" s="84"/>
      <c r="N1801" s="39" t="s">
        <v>644</v>
      </c>
      <c r="O1801" s="68">
        <v>606</v>
      </c>
      <c r="P1801" s="66">
        <v>41306</v>
      </c>
    </row>
    <row r="1802" spans="1:16" s="8" customFormat="1" ht="12.75" customHeight="1">
      <c r="A1802" s="13">
        <f t="shared" si="36"/>
        <v>1780</v>
      </c>
      <c r="B1802" s="54" t="s">
        <v>465</v>
      </c>
      <c r="C1802" s="14" t="s">
        <v>182</v>
      </c>
      <c r="D1802" s="15" t="s">
        <v>159</v>
      </c>
      <c r="E1802" s="14" t="s">
        <v>19</v>
      </c>
      <c r="F1802" s="26">
        <v>20</v>
      </c>
      <c r="G1802" s="26">
        <v>10</v>
      </c>
      <c r="H1802" s="34">
        <v>2027.27</v>
      </c>
      <c r="I1802" s="84"/>
      <c r="J1802" s="136">
        <v>2529.5700000000002</v>
      </c>
      <c r="K1802" s="118"/>
      <c r="L1802" s="34">
        <v>13613.08</v>
      </c>
      <c r="M1802" s="84"/>
      <c r="N1802" s="107" t="s">
        <v>820</v>
      </c>
      <c r="O1802" s="68"/>
      <c r="P1802" s="66">
        <v>41306</v>
      </c>
    </row>
    <row r="1803" spans="1:16" s="8" customFormat="1" ht="12.75" customHeight="1">
      <c r="A1803" s="13">
        <f t="shared" si="36"/>
        <v>1781</v>
      </c>
      <c r="B1803" s="54" t="s">
        <v>466</v>
      </c>
      <c r="C1803" s="14" t="s">
        <v>179</v>
      </c>
      <c r="D1803" s="15" t="s">
        <v>147</v>
      </c>
      <c r="E1803" s="14" t="s">
        <v>19</v>
      </c>
      <c r="F1803" s="26">
        <v>20</v>
      </c>
      <c r="G1803" s="26">
        <v>10</v>
      </c>
      <c r="H1803" s="34">
        <v>1916.73</v>
      </c>
      <c r="I1803" s="84"/>
      <c r="J1803" s="136">
        <v>2388.42</v>
      </c>
      <c r="K1803" s="118"/>
      <c r="L1803" s="34">
        <v>11550.42</v>
      </c>
      <c r="M1803" s="84"/>
      <c r="N1803" s="38" t="s">
        <v>796</v>
      </c>
      <c r="O1803" s="69">
        <v>604</v>
      </c>
      <c r="P1803" s="66">
        <v>41306</v>
      </c>
    </row>
    <row r="1804" spans="1:16" s="8" customFormat="1" ht="12.75" customHeight="1">
      <c r="A1804" s="13">
        <f t="shared" si="36"/>
        <v>1782</v>
      </c>
      <c r="B1804" s="54" t="s">
        <v>801</v>
      </c>
      <c r="C1804" s="14" t="s">
        <v>160</v>
      </c>
      <c r="D1804" s="24" t="s">
        <v>802</v>
      </c>
      <c r="E1804" s="14" t="s">
        <v>19</v>
      </c>
      <c r="F1804" s="73">
        <v>16.5</v>
      </c>
      <c r="G1804" s="26">
        <v>10</v>
      </c>
      <c r="H1804" s="34"/>
      <c r="I1804" s="84">
        <v>2474.5100000000002</v>
      </c>
      <c r="J1804" s="136"/>
      <c r="K1804" s="118">
        <v>3567.05</v>
      </c>
      <c r="L1804" s="34"/>
      <c r="M1804" s="84">
        <v>16760.52</v>
      </c>
      <c r="N1804" s="39" t="s">
        <v>644</v>
      </c>
      <c r="O1804" s="69">
        <v>606</v>
      </c>
      <c r="P1804" s="66">
        <v>43617</v>
      </c>
    </row>
    <row r="1805" spans="1:16" s="8" customFormat="1" ht="12.75" customHeight="1">
      <c r="A1805" s="13">
        <f t="shared" si="36"/>
        <v>1783</v>
      </c>
      <c r="B1805" s="54" t="s">
        <v>467</v>
      </c>
      <c r="C1805" s="14" t="s">
        <v>160</v>
      </c>
      <c r="D1805" s="24" t="s">
        <v>743</v>
      </c>
      <c r="E1805" s="14" t="s">
        <v>19</v>
      </c>
      <c r="F1805" s="73">
        <v>16.5</v>
      </c>
      <c r="G1805" s="26">
        <v>10</v>
      </c>
      <c r="H1805" s="34">
        <v>2186.63</v>
      </c>
      <c r="I1805" s="84"/>
      <c r="J1805" s="136">
        <v>2561.2199999999998</v>
      </c>
      <c r="K1805" s="118"/>
      <c r="L1805" s="34">
        <v>11159.12</v>
      </c>
      <c r="M1805" s="84"/>
      <c r="N1805" s="39" t="s">
        <v>644</v>
      </c>
      <c r="O1805" s="68">
        <v>606</v>
      </c>
      <c r="P1805" s="66">
        <v>43405</v>
      </c>
    </row>
    <row r="1806" spans="1:16" s="8" customFormat="1" ht="12.75" customHeight="1">
      <c r="A1806" s="13">
        <f t="shared" si="36"/>
        <v>1784</v>
      </c>
      <c r="B1806" s="32" t="s">
        <v>915</v>
      </c>
      <c r="C1806" s="23" t="s">
        <v>914</v>
      </c>
      <c r="D1806" s="15" t="s">
        <v>163</v>
      </c>
      <c r="E1806" s="14" t="s">
        <v>19</v>
      </c>
      <c r="F1806" s="26">
        <v>20</v>
      </c>
      <c r="G1806" s="26">
        <v>10</v>
      </c>
      <c r="H1806" s="34"/>
      <c r="I1806" s="84">
        <v>1520.24</v>
      </c>
      <c r="J1806" s="136"/>
      <c r="K1806" s="118">
        <v>2510.91</v>
      </c>
      <c r="L1806" s="34"/>
      <c r="M1806" s="84">
        <v>19813.259999999998</v>
      </c>
      <c r="N1806" s="38" t="s">
        <v>641</v>
      </c>
      <c r="O1806" s="68"/>
      <c r="P1806" s="66">
        <v>44562</v>
      </c>
    </row>
    <row r="1807" spans="1:16" s="8" customFormat="1" ht="12.75" customHeight="1">
      <c r="A1807" s="13">
        <f t="shared" si="36"/>
        <v>1785</v>
      </c>
      <c r="B1807" s="32" t="s">
        <v>1049</v>
      </c>
      <c r="C1807" s="23" t="s">
        <v>914</v>
      </c>
      <c r="D1807" s="15" t="s">
        <v>163</v>
      </c>
      <c r="E1807" s="14" t="s">
        <v>19</v>
      </c>
      <c r="F1807" s="31" t="s">
        <v>977</v>
      </c>
      <c r="G1807" s="26"/>
      <c r="H1807" s="34"/>
      <c r="I1807" s="84">
        <v>60464.26</v>
      </c>
      <c r="J1807" s="136"/>
      <c r="K1807" s="118"/>
      <c r="L1807" s="34"/>
      <c r="M1807" s="84"/>
      <c r="N1807" s="38" t="s">
        <v>641</v>
      </c>
      <c r="O1807" s="68"/>
      <c r="P1807" s="66">
        <v>44562</v>
      </c>
    </row>
    <row r="1808" spans="1:16" s="8" customFormat="1" ht="12.75" customHeight="1">
      <c r="A1808" s="13">
        <f t="shared" si="36"/>
        <v>1786</v>
      </c>
      <c r="B1808" s="32" t="s">
        <v>915</v>
      </c>
      <c r="C1808" s="23" t="s">
        <v>914</v>
      </c>
      <c r="D1808" s="15" t="s">
        <v>163</v>
      </c>
      <c r="E1808" s="14" t="s">
        <v>19</v>
      </c>
      <c r="F1808" s="26">
        <v>20</v>
      </c>
      <c r="G1808" s="26">
        <v>10</v>
      </c>
      <c r="H1808" s="34"/>
      <c r="I1808" s="84">
        <v>1626.92</v>
      </c>
      <c r="J1808" s="136"/>
      <c r="K1808" s="118">
        <v>2697.79</v>
      </c>
      <c r="L1808" s="34"/>
      <c r="M1808" s="84"/>
      <c r="N1808" s="38" t="s">
        <v>641</v>
      </c>
      <c r="O1808" s="68"/>
      <c r="P1808" s="66">
        <v>45170</v>
      </c>
    </row>
    <row r="1809" spans="1:16" s="8" customFormat="1" ht="12.75" customHeight="1">
      <c r="A1809" s="13">
        <f t="shared" si="36"/>
        <v>1787</v>
      </c>
      <c r="B1809" s="32" t="s">
        <v>1049</v>
      </c>
      <c r="C1809" s="23" t="s">
        <v>914</v>
      </c>
      <c r="D1809" s="15" t="s">
        <v>163</v>
      </c>
      <c r="E1809" s="14" t="s">
        <v>19</v>
      </c>
      <c r="F1809" s="31" t="s">
        <v>977</v>
      </c>
      <c r="G1809" s="26"/>
      <c r="H1809" s="34"/>
      <c r="I1809" s="84">
        <v>62774.49</v>
      </c>
      <c r="J1809" s="136"/>
      <c r="K1809" s="118"/>
      <c r="L1809" s="34"/>
      <c r="M1809" s="84"/>
      <c r="N1809" s="38" t="s">
        <v>641</v>
      </c>
      <c r="O1809" s="68"/>
      <c r="P1809" s="66">
        <v>45170</v>
      </c>
    </row>
    <row r="1810" spans="1:16" s="8" customFormat="1" ht="12.75" customHeight="1">
      <c r="A1810" s="13">
        <f t="shared" si="36"/>
        <v>1788</v>
      </c>
      <c r="B1810" s="52" t="s">
        <v>468</v>
      </c>
      <c r="C1810" s="14" t="s">
        <v>183</v>
      </c>
      <c r="D1810" s="15" t="s">
        <v>163</v>
      </c>
      <c r="E1810" s="14" t="s">
        <v>19</v>
      </c>
      <c r="F1810" s="26">
        <v>20</v>
      </c>
      <c r="G1810" s="26">
        <v>10</v>
      </c>
      <c r="H1810" s="34">
        <v>1677.29</v>
      </c>
      <c r="I1810" s="84">
        <v>1713.78</v>
      </c>
      <c r="J1810" s="136">
        <v>2832.04</v>
      </c>
      <c r="K1810" s="118">
        <v>2905.02</v>
      </c>
      <c r="L1810" s="34">
        <v>12320.52</v>
      </c>
      <c r="M1810" s="84"/>
      <c r="N1810" s="38" t="s">
        <v>641</v>
      </c>
      <c r="O1810" s="68">
        <v>595</v>
      </c>
      <c r="P1810" s="66">
        <v>43617</v>
      </c>
    </row>
    <row r="1811" spans="1:16" s="8" customFormat="1" ht="12.75" customHeight="1">
      <c r="A1811" s="13">
        <f t="shared" si="36"/>
        <v>1789</v>
      </c>
      <c r="B1811" s="32" t="s">
        <v>915</v>
      </c>
      <c r="C1811" s="23" t="s">
        <v>914</v>
      </c>
      <c r="D1811" s="15" t="s">
        <v>163</v>
      </c>
      <c r="E1811" s="14" t="s">
        <v>19</v>
      </c>
      <c r="F1811" s="26">
        <v>20</v>
      </c>
      <c r="G1811" s="26">
        <v>10</v>
      </c>
      <c r="H1811" s="34"/>
      <c r="I1811" s="84">
        <v>1857.22</v>
      </c>
      <c r="J1811" s="136"/>
      <c r="K1811" s="118">
        <v>3074.95</v>
      </c>
      <c r="L1811" s="34"/>
      <c r="M1811" s="84" t="s">
        <v>1149</v>
      </c>
      <c r="N1811" s="38" t="s">
        <v>1162</v>
      </c>
      <c r="O1811" s="68"/>
      <c r="P1811" s="66">
        <v>45352</v>
      </c>
    </row>
    <row r="1812" spans="1:16" s="8" customFormat="1" ht="12.75" customHeight="1">
      <c r="A1812" s="13">
        <f t="shared" si="36"/>
        <v>1790</v>
      </c>
      <c r="B1812" s="32" t="s">
        <v>915</v>
      </c>
      <c r="C1812" s="23" t="s">
        <v>914</v>
      </c>
      <c r="D1812" s="15" t="s">
        <v>163</v>
      </c>
      <c r="E1812" s="14" t="s">
        <v>19</v>
      </c>
      <c r="F1812" s="26">
        <v>19</v>
      </c>
      <c r="G1812" s="26">
        <v>11</v>
      </c>
      <c r="H1812" s="34"/>
      <c r="I1812" s="84">
        <v>1921.31</v>
      </c>
      <c r="J1812" s="136"/>
      <c r="K1812" s="118">
        <v>2853.54</v>
      </c>
      <c r="L1812" s="34"/>
      <c r="M1812" s="84"/>
      <c r="N1812" s="38" t="s">
        <v>1162</v>
      </c>
      <c r="O1812" s="68"/>
      <c r="P1812" s="66">
        <v>45352</v>
      </c>
    </row>
    <row r="1813" spans="1:16" s="8" customFormat="1" ht="12.75" customHeight="1">
      <c r="A1813" s="13">
        <f t="shared" si="36"/>
        <v>1791</v>
      </c>
      <c r="B1813" s="32" t="s">
        <v>915</v>
      </c>
      <c r="C1813" s="23" t="s">
        <v>914</v>
      </c>
      <c r="D1813" s="15" t="s">
        <v>163</v>
      </c>
      <c r="E1813" s="14" t="s">
        <v>19</v>
      </c>
      <c r="F1813" s="26">
        <v>18</v>
      </c>
      <c r="G1813" s="26">
        <v>12</v>
      </c>
      <c r="H1813" s="34"/>
      <c r="I1813" s="84">
        <v>1992.52</v>
      </c>
      <c r="J1813" s="136"/>
      <c r="K1813" s="118">
        <v>2669.05</v>
      </c>
      <c r="L1813" s="34"/>
      <c r="M1813" s="84"/>
      <c r="N1813" s="38" t="s">
        <v>1162</v>
      </c>
      <c r="O1813" s="68"/>
      <c r="P1813" s="66">
        <v>45352</v>
      </c>
    </row>
    <row r="1814" spans="1:16" s="8" customFormat="1" ht="12.75" customHeight="1">
      <c r="A1814" s="13">
        <f t="shared" si="36"/>
        <v>1792</v>
      </c>
      <c r="B1814" s="32" t="s">
        <v>915</v>
      </c>
      <c r="C1814" s="23" t="s">
        <v>914</v>
      </c>
      <c r="D1814" s="15" t="s">
        <v>163</v>
      </c>
      <c r="E1814" s="14" t="s">
        <v>19</v>
      </c>
      <c r="F1814" s="26">
        <v>17</v>
      </c>
      <c r="G1814" s="26">
        <v>13</v>
      </c>
      <c r="H1814" s="34"/>
      <c r="I1814" s="84">
        <v>2072.13</v>
      </c>
      <c r="J1814" s="136"/>
      <c r="K1814" s="118">
        <v>2512.9</v>
      </c>
      <c r="L1814" s="34"/>
      <c r="M1814" s="84"/>
      <c r="N1814" s="38" t="s">
        <v>1162</v>
      </c>
      <c r="O1814" s="68"/>
      <c r="P1814" s="66">
        <v>45352</v>
      </c>
    </row>
    <row r="1815" spans="1:16" s="8" customFormat="1" ht="12.75" customHeight="1">
      <c r="A1815" s="13">
        <f t="shared" si="36"/>
        <v>1793</v>
      </c>
      <c r="B1815" s="32" t="s">
        <v>915</v>
      </c>
      <c r="C1815" s="23" t="s">
        <v>914</v>
      </c>
      <c r="D1815" s="15" t="s">
        <v>163</v>
      </c>
      <c r="E1815" s="14" t="s">
        <v>19</v>
      </c>
      <c r="F1815" s="26">
        <v>16</v>
      </c>
      <c r="G1815" s="26">
        <v>14</v>
      </c>
      <c r="H1815" s="34"/>
      <c r="I1815" s="84">
        <v>2161.66</v>
      </c>
      <c r="J1815" s="136"/>
      <c r="K1815" s="118">
        <v>2379.11</v>
      </c>
      <c r="L1815" s="34"/>
      <c r="M1815" s="84"/>
      <c r="N1815" s="38" t="s">
        <v>1162</v>
      </c>
      <c r="O1815" s="68"/>
      <c r="P1815" s="66">
        <v>45352</v>
      </c>
    </row>
    <row r="1816" spans="1:16" s="8" customFormat="1" ht="12.75" customHeight="1">
      <c r="A1816" s="13">
        <f t="shared" si="36"/>
        <v>1794</v>
      </c>
      <c r="B1816" s="32" t="s">
        <v>915</v>
      </c>
      <c r="C1816" s="23" t="s">
        <v>914</v>
      </c>
      <c r="D1816" s="15" t="s">
        <v>163</v>
      </c>
      <c r="E1816" s="14" t="s">
        <v>19</v>
      </c>
      <c r="F1816" s="26">
        <v>15</v>
      </c>
      <c r="G1816" s="26"/>
      <c r="H1816" s="34"/>
      <c r="I1816" s="84">
        <v>2263.12</v>
      </c>
      <c r="J1816" s="136"/>
      <c r="K1816" s="118"/>
      <c r="L1816" s="34"/>
      <c r="M1816" s="84"/>
      <c r="N1816" s="38" t="s">
        <v>1162</v>
      </c>
      <c r="O1816" s="68"/>
      <c r="P1816" s="66">
        <v>45352</v>
      </c>
    </row>
    <row r="1817" spans="1:16" s="8" customFormat="1" ht="12.75" customHeight="1">
      <c r="A1817" s="13">
        <f t="shared" si="36"/>
        <v>1795</v>
      </c>
      <c r="B1817" s="32" t="s">
        <v>915</v>
      </c>
      <c r="C1817" s="23" t="s">
        <v>914</v>
      </c>
      <c r="D1817" s="15" t="s">
        <v>163</v>
      </c>
      <c r="E1817" s="14" t="s">
        <v>19</v>
      </c>
      <c r="F1817" s="26">
        <v>20</v>
      </c>
      <c r="G1817" s="26">
        <v>10</v>
      </c>
      <c r="H1817" s="34"/>
      <c r="I1817" s="84">
        <v>2148.85</v>
      </c>
      <c r="J1817" s="136"/>
      <c r="K1817" s="118">
        <v>3562.27</v>
      </c>
      <c r="L1817" s="34"/>
      <c r="M1817" s="84">
        <v>28268.76</v>
      </c>
      <c r="N1817" s="38" t="s">
        <v>1162</v>
      </c>
      <c r="O1817" s="68"/>
      <c r="P1817" s="66">
        <v>45689</v>
      </c>
    </row>
    <row r="1818" spans="1:16" s="8" customFormat="1" ht="12.75" customHeight="1">
      <c r="A1818" s="13">
        <f t="shared" si="36"/>
        <v>1796</v>
      </c>
      <c r="B1818" s="32" t="s">
        <v>915</v>
      </c>
      <c r="C1818" s="23" t="s">
        <v>914</v>
      </c>
      <c r="D1818" s="15" t="s">
        <v>163</v>
      </c>
      <c r="E1818" s="14" t="s">
        <v>19</v>
      </c>
      <c r="F1818" s="26">
        <v>19</v>
      </c>
      <c r="G1818" s="26">
        <v>11</v>
      </c>
      <c r="H1818" s="34"/>
      <c r="I1818" s="84">
        <v>2223.2399999999998</v>
      </c>
      <c r="J1818" s="136"/>
      <c r="K1818" s="118">
        <v>3305.29</v>
      </c>
      <c r="L1818" s="34"/>
      <c r="M1818" s="84"/>
      <c r="N1818" s="38" t="s">
        <v>1162</v>
      </c>
      <c r="O1818" s="68"/>
      <c r="P1818" s="66">
        <v>45689</v>
      </c>
    </row>
    <row r="1819" spans="1:16" s="8" customFormat="1" ht="12.75" customHeight="1">
      <c r="A1819" s="13">
        <f t="shared" si="36"/>
        <v>1797</v>
      </c>
      <c r="B1819" s="32" t="s">
        <v>915</v>
      </c>
      <c r="C1819" s="23" t="s">
        <v>914</v>
      </c>
      <c r="D1819" s="15" t="s">
        <v>163</v>
      </c>
      <c r="E1819" s="14" t="s">
        <v>19</v>
      </c>
      <c r="F1819" s="26">
        <v>18</v>
      </c>
      <c r="G1819" s="26">
        <v>12</v>
      </c>
      <c r="H1819" s="34"/>
      <c r="I1819" s="84">
        <v>2305.98</v>
      </c>
      <c r="J1819" s="136"/>
      <c r="K1819" s="118">
        <v>3091.15</v>
      </c>
      <c r="L1819" s="34"/>
      <c r="M1819" s="84"/>
      <c r="N1819" s="38" t="s">
        <v>1162</v>
      </c>
      <c r="O1819" s="68"/>
      <c r="P1819" s="66">
        <v>45689</v>
      </c>
    </row>
    <row r="1820" spans="1:16" s="8" customFormat="1" ht="12.75" customHeight="1">
      <c r="A1820" s="13">
        <f t="shared" si="36"/>
        <v>1798</v>
      </c>
      <c r="B1820" s="32" t="s">
        <v>915</v>
      </c>
      <c r="C1820" s="23" t="s">
        <v>914</v>
      </c>
      <c r="D1820" s="15" t="s">
        <v>163</v>
      </c>
      <c r="E1820" s="14" t="s">
        <v>19</v>
      </c>
      <c r="F1820" s="26">
        <v>17</v>
      </c>
      <c r="G1820" s="26">
        <v>13</v>
      </c>
      <c r="H1820" s="34"/>
      <c r="I1820" s="84">
        <v>2398.29</v>
      </c>
      <c r="J1820" s="136"/>
      <c r="K1820" s="118">
        <v>2909.95</v>
      </c>
      <c r="L1820" s="34"/>
      <c r="M1820" s="84"/>
      <c r="N1820" s="38" t="s">
        <v>1162</v>
      </c>
      <c r="O1820" s="68"/>
      <c r="P1820" s="66">
        <v>45689</v>
      </c>
    </row>
    <row r="1821" spans="1:16" s="8" customFormat="1" ht="12.75" customHeight="1">
      <c r="A1821" s="13">
        <f t="shared" si="36"/>
        <v>1799</v>
      </c>
      <c r="B1821" s="32" t="s">
        <v>915</v>
      </c>
      <c r="C1821" s="23" t="s">
        <v>914</v>
      </c>
      <c r="D1821" s="15" t="s">
        <v>163</v>
      </c>
      <c r="E1821" s="14" t="s">
        <v>19</v>
      </c>
      <c r="F1821" s="26">
        <v>16</v>
      </c>
      <c r="G1821" s="26">
        <v>14</v>
      </c>
      <c r="H1821" s="34"/>
      <c r="I1821" s="84">
        <v>2502.23</v>
      </c>
      <c r="J1821" s="136"/>
      <c r="K1821" s="118">
        <v>2754.64</v>
      </c>
      <c r="L1821" s="34"/>
      <c r="M1821" s="84"/>
      <c r="N1821" s="38" t="s">
        <v>1162</v>
      </c>
      <c r="O1821" s="68"/>
      <c r="P1821" s="66">
        <v>45689</v>
      </c>
    </row>
    <row r="1822" spans="1:16" s="8" customFormat="1" ht="12.75" customHeight="1">
      <c r="A1822" s="13">
        <f t="shared" si="36"/>
        <v>1800</v>
      </c>
      <c r="B1822" s="32" t="s">
        <v>915</v>
      </c>
      <c r="C1822" s="23" t="s">
        <v>914</v>
      </c>
      <c r="D1822" s="15" t="s">
        <v>163</v>
      </c>
      <c r="E1822" s="14" t="s">
        <v>19</v>
      </c>
      <c r="F1822" s="26">
        <v>15</v>
      </c>
      <c r="G1822" s="26"/>
      <c r="H1822" s="34"/>
      <c r="I1822" s="84">
        <v>2619.98</v>
      </c>
      <c r="J1822" s="136"/>
      <c r="K1822" s="118"/>
      <c r="L1822" s="34"/>
      <c r="M1822" s="84"/>
      <c r="N1822" s="38" t="s">
        <v>1162</v>
      </c>
      <c r="O1822" s="68"/>
      <c r="P1822" s="66">
        <v>45689</v>
      </c>
    </row>
    <row r="1823" spans="1:16" s="8" customFormat="1" ht="12.75" customHeight="1">
      <c r="A1823" s="13">
        <f t="shared" si="36"/>
        <v>1801</v>
      </c>
      <c r="B1823" s="32" t="s">
        <v>1049</v>
      </c>
      <c r="C1823" s="23" t="s">
        <v>914</v>
      </c>
      <c r="D1823" s="15" t="s">
        <v>163</v>
      </c>
      <c r="E1823" s="14" t="s">
        <v>19</v>
      </c>
      <c r="F1823" s="31" t="s">
        <v>977</v>
      </c>
      <c r="G1823" s="26"/>
      <c r="H1823" s="34"/>
      <c r="I1823" s="84">
        <v>71654.03</v>
      </c>
      <c r="J1823" s="136"/>
      <c r="K1823" s="118"/>
      <c r="L1823" s="34"/>
      <c r="M1823" s="84"/>
      <c r="N1823" s="38" t="s">
        <v>1162</v>
      </c>
      <c r="O1823" s="68"/>
      <c r="P1823" s="66">
        <v>45352</v>
      </c>
    </row>
    <row r="1824" spans="1:16" s="8" customFormat="1" ht="12.75" customHeight="1">
      <c r="A1824" s="13">
        <f t="shared" si="36"/>
        <v>1802</v>
      </c>
      <c r="B1824" s="32" t="s">
        <v>1049</v>
      </c>
      <c r="C1824" s="23" t="s">
        <v>914</v>
      </c>
      <c r="D1824" s="15" t="s">
        <v>163</v>
      </c>
      <c r="E1824" s="14" t="s">
        <v>19</v>
      </c>
      <c r="F1824" s="31" t="s">
        <v>977</v>
      </c>
      <c r="G1824" s="26"/>
      <c r="H1824" s="34"/>
      <c r="I1824" s="84">
        <v>86253.18</v>
      </c>
      <c r="J1824" s="136"/>
      <c r="K1824" s="118"/>
      <c r="L1824" s="34"/>
      <c r="M1824" s="84"/>
      <c r="N1824" s="38" t="s">
        <v>1162</v>
      </c>
      <c r="O1824" s="68"/>
      <c r="P1824" s="66">
        <v>45689</v>
      </c>
    </row>
    <row r="1825" spans="1:16" s="8" customFormat="1" ht="12.75" customHeight="1">
      <c r="A1825" s="13">
        <f t="shared" si="36"/>
        <v>1803</v>
      </c>
      <c r="B1825" s="156" t="s">
        <v>915</v>
      </c>
      <c r="C1825" s="23" t="s">
        <v>914</v>
      </c>
      <c r="D1825" s="15" t="s">
        <v>163</v>
      </c>
      <c r="E1825" s="14" t="s">
        <v>19</v>
      </c>
      <c r="F1825" s="31">
        <v>20</v>
      </c>
      <c r="G1825" s="26">
        <v>10</v>
      </c>
      <c r="H1825" s="34"/>
      <c r="I1825" s="84">
        <v>2396.64</v>
      </c>
      <c r="J1825" s="136"/>
      <c r="K1825" s="118">
        <v>3951.76</v>
      </c>
      <c r="L1825" s="34"/>
      <c r="M1825" s="84">
        <v>31102.79</v>
      </c>
      <c r="N1825" s="38" t="s">
        <v>1162</v>
      </c>
      <c r="O1825" s="68"/>
      <c r="P1825" s="193">
        <v>46082</v>
      </c>
    </row>
    <row r="1826" spans="1:16" s="8" customFormat="1" ht="12.75" customHeight="1">
      <c r="A1826" s="13">
        <f t="shared" si="36"/>
        <v>1804</v>
      </c>
      <c r="B1826" s="156" t="s">
        <v>915</v>
      </c>
      <c r="C1826" s="23" t="s">
        <v>914</v>
      </c>
      <c r="D1826" s="15" t="s">
        <v>163</v>
      </c>
      <c r="E1826" s="14" t="s">
        <v>19</v>
      </c>
      <c r="F1826" s="31">
        <v>19</v>
      </c>
      <c r="G1826" s="26">
        <v>11</v>
      </c>
      <c r="H1826" s="34"/>
      <c r="I1826" s="84">
        <v>2478.4699999999998</v>
      </c>
      <c r="J1826" s="136"/>
      <c r="K1826" s="118">
        <v>3669</v>
      </c>
      <c r="L1826" s="34"/>
      <c r="M1826" s="84"/>
      <c r="N1826" s="38" t="s">
        <v>1162</v>
      </c>
      <c r="O1826" s="68"/>
      <c r="P1826" s="193">
        <v>46082</v>
      </c>
    </row>
    <row r="1827" spans="1:16" s="8" customFormat="1" ht="12.75" customHeight="1">
      <c r="A1827" s="13">
        <f t="shared" si="36"/>
        <v>1805</v>
      </c>
      <c r="B1827" s="156" t="s">
        <v>915</v>
      </c>
      <c r="C1827" s="23" t="s">
        <v>914</v>
      </c>
      <c r="D1827" s="15" t="s">
        <v>163</v>
      </c>
      <c r="E1827" s="14" t="s">
        <v>19</v>
      </c>
      <c r="F1827" s="31">
        <v>18</v>
      </c>
      <c r="G1827" s="26">
        <v>12</v>
      </c>
      <c r="H1827" s="34"/>
      <c r="I1827" s="84">
        <v>2569.4299999999998</v>
      </c>
      <c r="J1827" s="136"/>
      <c r="K1827" s="118">
        <v>3433.41</v>
      </c>
      <c r="L1827" s="34"/>
      <c r="M1827" s="84"/>
      <c r="N1827" s="38" t="s">
        <v>1162</v>
      </c>
      <c r="O1827" s="68"/>
      <c r="P1827" s="193">
        <v>46082</v>
      </c>
    </row>
    <row r="1828" spans="1:16" s="8" customFormat="1" ht="12.75" customHeight="1">
      <c r="A1828" s="13">
        <f t="shared" si="36"/>
        <v>1806</v>
      </c>
      <c r="B1828" s="156" t="s">
        <v>915</v>
      </c>
      <c r="C1828" s="23" t="s">
        <v>914</v>
      </c>
      <c r="D1828" s="15" t="s">
        <v>163</v>
      </c>
      <c r="E1828" s="14" t="s">
        <v>19</v>
      </c>
      <c r="F1828" s="31">
        <v>17</v>
      </c>
      <c r="G1828" s="26">
        <v>13</v>
      </c>
      <c r="H1828" s="34"/>
      <c r="I1828" s="84">
        <v>2671.08</v>
      </c>
      <c r="J1828" s="136"/>
      <c r="K1828" s="118">
        <v>3234</v>
      </c>
      <c r="L1828" s="34"/>
      <c r="M1828" s="84"/>
      <c r="N1828" s="38" t="s">
        <v>1162</v>
      </c>
      <c r="O1828" s="68"/>
      <c r="P1828" s="193">
        <v>46082</v>
      </c>
    </row>
    <row r="1829" spans="1:16" s="8" customFormat="1" ht="12.75" customHeight="1">
      <c r="A1829" s="13">
        <f t="shared" si="36"/>
        <v>1807</v>
      </c>
      <c r="B1829" s="156" t="s">
        <v>915</v>
      </c>
      <c r="C1829" s="23" t="s">
        <v>914</v>
      </c>
      <c r="D1829" s="15" t="s">
        <v>163</v>
      </c>
      <c r="E1829" s="14" t="s">
        <v>19</v>
      </c>
      <c r="F1829" s="31">
        <v>16</v>
      </c>
      <c r="G1829" s="26">
        <v>14</v>
      </c>
      <c r="H1829" s="34"/>
      <c r="I1829" s="84">
        <v>2785.44</v>
      </c>
      <c r="J1829" s="136"/>
      <c r="K1829" s="118">
        <v>3063.13</v>
      </c>
      <c r="L1829" s="34"/>
      <c r="M1829" s="84"/>
      <c r="N1829" s="38" t="s">
        <v>1162</v>
      </c>
      <c r="O1829" s="68"/>
      <c r="P1829" s="193">
        <v>46082</v>
      </c>
    </row>
    <row r="1830" spans="1:16" s="8" customFormat="1" ht="12.75" customHeight="1">
      <c r="A1830" s="13">
        <f t="shared" si="36"/>
        <v>1808</v>
      </c>
      <c r="B1830" s="156" t="s">
        <v>915</v>
      </c>
      <c r="C1830" s="23" t="s">
        <v>914</v>
      </c>
      <c r="D1830" s="15" t="s">
        <v>163</v>
      </c>
      <c r="E1830" s="14" t="s">
        <v>19</v>
      </c>
      <c r="F1830" s="31">
        <v>15</v>
      </c>
      <c r="G1830" s="26"/>
      <c r="H1830" s="34"/>
      <c r="I1830" s="84">
        <v>2915.01</v>
      </c>
      <c r="J1830" s="136"/>
      <c r="K1830" s="118"/>
      <c r="L1830" s="34"/>
      <c r="M1830" s="84"/>
      <c r="N1830" s="38" t="s">
        <v>1162</v>
      </c>
      <c r="O1830" s="68"/>
      <c r="P1830" s="193">
        <v>46082</v>
      </c>
    </row>
    <row r="1831" spans="1:16" s="8" customFormat="1" ht="12.75" customHeight="1">
      <c r="A1831" s="13">
        <f t="shared" si="36"/>
        <v>1809</v>
      </c>
      <c r="B1831" s="156" t="s">
        <v>1049</v>
      </c>
      <c r="C1831" s="23" t="s">
        <v>914</v>
      </c>
      <c r="D1831" s="15" t="s">
        <v>163</v>
      </c>
      <c r="E1831" s="14" t="s">
        <v>19</v>
      </c>
      <c r="F1831" s="31" t="s">
        <v>977</v>
      </c>
      <c r="G1831" s="26"/>
      <c r="H1831" s="34"/>
      <c r="I1831" s="84">
        <v>94456.44</v>
      </c>
      <c r="J1831" s="136"/>
      <c r="K1831" s="118"/>
      <c r="L1831" s="34"/>
      <c r="M1831" s="84"/>
      <c r="N1831" s="38" t="s">
        <v>1162</v>
      </c>
      <c r="O1831" s="68"/>
      <c r="P1831" s="193">
        <v>46082</v>
      </c>
    </row>
    <row r="1832" spans="1:16" s="8" customFormat="1" ht="12.75" customHeight="1">
      <c r="A1832" s="13">
        <f t="shared" si="36"/>
        <v>1810</v>
      </c>
      <c r="B1832" s="52" t="s">
        <v>806</v>
      </c>
      <c r="C1832" s="14" t="s">
        <v>183</v>
      </c>
      <c r="D1832" s="15" t="s">
        <v>164</v>
      </c>
      <c r="E1832" s="14" t="s">
        <v>19</v>
      </c>
      <c r="F1832" s="26">
        <v>20</v>
      </c>
      <c r="G1832" s="26">
        <v>10</v>
      </c>
      <c r="H1832" s="34"/>
      <c r="I1832" s="84">
        <v>1793.8</v>
      </c>
      <c r="J1832" s="136"/>
      <c r="K1832" s="118">
        <v>2985.04</v>
      </c>
      <c r="L1832" s="34"/>
      <c r="M1832" s="84"/>
      <c r="N1832" s="38" t="s">
        <v>641</v>
      </c>
      <c r="O1832" s="68" t="s">
        <v>795</v>
      </c>
      <c r="P1832" s="66">
        <v>43617</v>
      </c>
    </row>
    <row r="1833" spans="1:16" s="8" customFormat="1" ht="12.75" customHeight="1">
      <c r="A1833" s="13">
        <f t="shared" si="36"/>
        <v>1811</v>
      </c>
      <c r="B1833" s="32" t="s">
        <v>806</v>
      </c>
      <c r="C1833" s="23" t="s">
        <v>914</v>
      </c>
      <c r="D1833" s="24" t="s">
        <v>164</v>
      </c>
      <c r="E1833" s="14" t="s">
        <v>19</v>
      </c>
      <c r="F1833" s="26">
        <v>20</v>
      </c>
      <c r="G1833" s="26">
        <v>10</v>
      </c>
      <c r="H1833" s="34"/>
      <c r="I1833" s="84">
        <v>1635.21</v>
      </c>
      <c r="J1833" s="136"/>
      <c r="K1833" s="118">
        <v>2625.87</v>
      </c>
      <c r="L1833" s="34"/>
      <c r="M1833" s="84">
        <v>19813.259999999998</v>
      </c>
      <c r="N1833" s="38" t="s">
        <v>641</v>
      </c>
      <c r="O1833" s="68"/>
      <c r="P1833" s="66">
        <v>44562</v>
      </c>
    </row>
    <row r="1834" spans="1:16" s="8" customFormat="1" ht="12.75" customHeight="1">
      <c r="A1834" s="13">
        <f t="shared" si="36"/>
        <v>1812</v>
      </c>
      <c r="B1834" s="32" t="s">
        <v>1050</v>
      </c>
      <c r="C1834" s="23" t="s">
        <v>914</v>
      </c>
      <c r="D1834" s="24" t="s">
        <v>164</v>
      </c>
      <c r="E1834" s="14" t="s">
        <v>19</v>
      </c>
      <c r="F1834" s="31" t="s">
        <v>977</v>
      </c>
      <c r="G1834" s="26"/>
      <c r="H1834" s="34"/>
      <c r="I1834" s="84">
        <v>60464.26</v>
      </c>
      <c r="J1834" s="136"/>
      <c r="K1834" s="118"/>
      <c r="L1834" s="34"/>
      <c r="M1834" s="84"/>
      <c r="N1834" s="38" t="s">
        <v>641</v>
      </c>
      <c r="O1834" s="68"/>
      <c r="P1834" s="66">
        <v>44562</v>
      </c>
    </row>
    <row r="1835" spans="1:16" s="8" customFormat="1" ht="12.75" customHeight="1">
      <c r="A1835" s="13">
        <f t="shared" si="36"/>
        <v>1813</v>
      </c>
      <c r="B1835" s="32" t="s">
        <v>806</v>
      </c>
      <c r="C1835" s="23" t="s">
        <v>914</v>
      </c>
      <c r="D1835" s="24" t="s">
        <v>164</v>
      </c>
      <c r="E1835" s="14" t="s">
        <v>19</v>
      </c>
      <c r="F1835" s="26">
        <v>20</v>
      </c>
      <c r="G1835" s="26">
        <v>10</v>
      </c>
      <c r="H1835" s="34"/>
      <c r="I1835" s="84">
        <v>1747.62</v>
      </c>
      <c r="J1835" s="136"/>
      <c r="K1835" s="118">
        <v>2818.5</v>
      </c>
      <c r="L1835" s="34"/>
      <c r="M1835" s="84"/>
      <c r="N1835" s="38" t="s">
        <v>641</v>
      </c>
      <c r="O1835" s="68"/>
      <c r="P1835" s="66">
        <v>45170</v>
      </c>
    </row>
    <row r="1836" spans="1:16" s="8" customFormat="1" ht="12.75" customHeight="1">
      <c r="A1836" s="13">
        <f t="shared" si="36"/>
        <v>1814</v>
      </c>
      <c r="B1836" s="32" t="s">
        <v>1050</v>
      </c>
      <c r="C1836" s="23" t="s">
        <v>914</v>
      </c>
      <c r="D1836" s="24" t="s">
        <v>164</v>
      </c>
      <c r="E1836" s="14" t="s">
        <v>19</v>
      </c>
      <c r="F1836" s="31" t="s">
        <v>977</v>
      </c>
      <c r="G1836" s="26"/>
      <c r="H1836" s="34"/>
      <c r="I1836" s="84">
        <v>62774.49</v>
      </c>
      <c r="J1836" s="136"/>
      <c r="K1836" s="118"/>
      <c r="L1836" s="34"/>
      <c r="M1836" s="84"/>
      <c r="N1836" s="38" t="s">
        <v>641</v>
      </c>
      <c r="O1836" s="68"/>
      <c r="P1836" s="66">
        <v>45170</v>
      </c>
    </row>
    <row r="1837" spans="1:16" s="8" customFormat="1" ht="12.75" customHeight="1">
      <c r="A1837" s="13">
        <f t="shared" si="36"/>
        <v>1815</v>
      </c>
      <c r="B1837" s="52" t="s">
        <v>469</v>
      </c>
      <c r="C1837" s="14" t="s">
        <v>183</v>
      </c>
      <c r="D1837" s="15" t="s">
        <v>164</v>
      </c>
      <c r="E1837" s="14" t="s">
        <v>19</v>
      </c>
      <c r="F1837" s="26">
        <v>20</v>
      </c>
      <c r="G1837" s="26">
        <v>10</v>
      </c>
      <c r="H1837" s="34">
        <v>1757.33</v>
      </c>
      <c r="I1837" s="84"/>
      <c r="J1837" s="136">
        <v>2912.08</v>
      </c>
      <c r="K1837" s="118"/>
      <c r="L1837" s="34">
        <v>12320.52</v>
      </c>
      <c r="M1837" s="84"/>
      <c r="N1837" s="38" t="s">
        <v>641</v>
      </c>
      <c r="O1837" s="68">
        <v>595</v>
      </c>
      <c r="P1837" s="66">
        <v>43234</v>
      </c>
    </row>
    <row r="1838" spans="1:16" s="8" customFormat="1" ht="12.75" customHeight="1">
      <c r="A1838" s="13">
        <f t="shared" si="36"/>
        <v>1816</v>
      </c>
      <c r="B1838" s="32" t="s">
        <v>806</v>
      </c>
      <c r="C1838" s="14" t="s">
        <v>914</v>
      </c>
      <c r="D1838" s="15" t="s">
        <v>164</v>
      </c>
      <c r="E1838" s="14" t="s">
        <v>19</v>
      </c>
      <c r="F1838" s="26">
        <v>20</v>
      </c>
      <c r="G1838" s="26">
        <v>10</v>
      </c>
      <c r="H1838" s="34"/>
      <c r="I1838" s="84">
        <v>1996.05</v>
      </c>
      <c r="J1838" s="136"/>
      <c r="K1838" s="118">
        <v>3213.77</v>
      </c>
      <c r="L1838" s="34"/>
      <c r="M1838" s="84" t="s">
        <v>1149</v>
      </c>
      <c r="N1838" s="38" t="s">
        <v>1162</v>
      </c>
      <c r="O1838" s="68"/>
      <c r="P1838" s="66">
        <v>45352</v>
      </c>
    </row>
    <row r="1839" spans="1:16" s="8" customFormat="1" ht="12.75" customHeight="1">
      <c r="A1839" s="13">
        <f t="shared" si="36"/>
        <v>1817</v>
      </c>
      <c r="B1839" s="32" t="s">
        <v>806</v>
      </c>
      <c r="C1839" s="14" t="s">
        <v>914</v>
      </c>
      <c r="D1839" s="15" t="s">
        <v>164</v>
      </c>
      <c r="E1839" s="14" t="s">
        <v>19</v>
      </c>
      <c r="F1839" s="26">
        <v>19</v>
      </c>
      <c r="G1839" s="26">
        <v>11</v>
      </c>
      <c r="H1839" s="34"/>
      <c r="I1839" s="84">
        <v>2060.13</v>
      </c>
      <c r="J1839" s="136"/>
      <c r="K1839" s="118">
        <v>2992.37</v>
      </c>
      <c r="L1839" s="34"/>
      <c r="M1839" s="84"/>
      <c r="N1839" s="38" t="s">
        <v>1162</v>
      </c>
      <c r="O1839" s="68"/>
      <c r="P1839" s="66">
        <v>45352</v>
      </c>
    </row>
    <row r="1840" spans="1:16" s="8" customFormat="1" ht="12.75" customHeight="1">
      <c r="A1840" s="13">
        <f t="shared" si="36"/>
        <v>1818</v>
      </c>
      <c r="B1840" s="32" t="s">
        <v>806</v>
      </c>
      <c r="C1840" s="14" t="s">
        <v>914</v>
      </c>
      <c r="D1840" s="15" t="s">
        <v>164</v>
      </c>
      <c r="E1840" s="14" t="s">
        <v>19</v>
      </c>
      <c r="F1840" s="26">
        <v>18</v>
      </c>
      <c r="G1840" s="26">
        <v>12</v>
      </c>
      <c r="H1840" s="34"/>
      <c r="I1840" s="84">
        <v>2131.34</v>
      </c>
      <c r="J1840" s="136"/>
      <c r="K1840" s="118">
        <v>2807.85</v>
      </c>
      <c r="L1840" s="34"/>
      <c r="M1840" s="84"/>
      <c r="N1840" s="38" t="s">
        <v>1162</v>
      </c>
      <c r="O1840" s="68"/>
      <c r="P1840" s="66">
        <v>45352</v>
      </c>
    </row>
    <row r="1841" spans="1:16" s="8" customFormat="1" ht="12.75" customHeight="1">
      <c r="A1841" s="13">
        <f t="shared" si="36"/>
        <v>1819</v>
      </c>
      <c r="B1841" s="32" t="s">
        <v>806</v>
      </c>
      <c r="C1841" s="14" t="s">
        <v>914</v>
      </c>
      <c r="D1841" s="15" t="s">
        <v>164</v>
      </c>
      <c r="E1841" s="14" t="s">
        <v>19</v>
      </c>
      <c r="F1841" s="26">
        <v>17</v>
      </c>
      <c r="G1841" s="26">
        <v>13</v>
      </c>
      <c r="H1841" s="34"/>
      <c r="I1841" s="84">
        <v>2210.9299999999998</v>
      </c>
      <c r="J1841" s="136"/>
      <c r="K1841" s="118">
        <v>2651.72</v>
      </c>
      <c r="L1841" s="34"/>
      <c r="M1841" s="84"/>
      <c r="N1841" s="38" t="s">
        <v>1162</v>
      </c>
      <c r="O1841" s="68"/>
      <c r="P1841" s="66">
        <v>45352</v>
      </c>
    </row>
    <row r="1842" spans="1:16" s="8" customFormat="1" ht="12.75" customHeight="1">
      <c r="A1842" s="13">
        <f t="shared" si="36"/>
        <v>1820</v>
      </c>
      <c r="B1842" s="32" t="s">
        <v>806</v>
      </c>
      <c r="C1842" s="14" t="s">
        <v>914</v>
      </c>
      <c r="D1842" s="15" t="s">
        <v>164</v>
      </c>
      <c r="E1842" s="14" t="s">
        <v>19</v>
      </c>
      <c r="F1842" s="26">
        <v>16</v>
      </c>
      <c r="G1842" s="26">
        <v>14</v>
      </c>
      <c r="H1842" s="34"/>
      <c r="I1842" s="84">
        <v>2300.4899999999998</v>
      </c>
      <c r="J1842" s="136"/>
      <c r="K1842" s="118">
        <v>2517.9299999999998</v>
      </c>
      <c r="L1842" s="34"/>
      <c r="M1842" s="84"/>
      <c r="N1842" s="38" t="s">
        <v>1162</v>
      </c>
      <c r="O1842" s="68"/>
      <c r="P1842" s="66">
        <v>45352</v>
      </c>
    </row>
    <row r="1843" spans="1:16" s="8" customFormat="1" ht="12.75" customHeight="1">
      <c r="A1843" s="13">
        <f t="shared" si="36"/>
        <v>1821</v>
      </c>
      <c r="B1843" s="32" t="s">
        <v>806</v>
      </c>
      <c r="C1843" s="14" t="s">
        <v>914</v>
      </c>
      <c r="D1843" s="15" t="s">
        <v>164</v>
      </c>
      <c r="E1843" s="14" t="s">
        <v>19</v>
      </c>
      <c r="F1843" s="26">
        <v>15</v>
      </c>
      <c r="G1843" s="26"/>
      <c r="H1843" s="34"/>
      <c r="I1843" s="84">
        <v>2401.94</v>
      </c>
      <c r="J1843" s="136"/>
      <c r="K1843" s="118"/>
      <c r="L1843" s="34"/>
      <c r="M1843" s="84"/>
      <c r="N1843" s="38" t="s">
        <v>1162</v>
      </c>
      <c r="O1843" s="68"/>
      <c r="P1843" s="66">
        <v>45352</v>
      </c>
    </row>
    <row r="1844" spans="1:16" s="8" customFormat="1" ht="12.75" customHeight="1">
      <c r="A1844" s="13">
        <f t="shared" si="36"/>
        <v>1822</v>
      </c>
      <c r="B1844" s="32" t="s">
        <v>806</v>
      </c>
      <c r="C1844" s="14" t="s">
        <v>914</v>
      </c>
      <c r="D1844" s="15" t="s">
        <v>164</v>
      </c>
      <c r="E1844" s="14" t="s">
        <v>19</v>
      </c>
      <c r="F1844" s="26">
        <v>20</v>
      </c>
      <c r="G1844" s="26">
        <v>10</v>
      </c>
      <c r="H1844" s="34"/>
      <c r="I1844" s="84">
        <v>2331.86</v>
      </c>
      <c r="J1844" s="136"/>
      <c r="K1844" s="118">
        <v>3745.27</v>
      </c>
      <c r="L1844" s="34"/>
      <c r="M1844" s="84">
        <v>28268.76</v>
      </c>
      <c r="N1844" s="38" t="s">
        <v>1162</v>
      </c>
      <c r="O1844" s="68"/>
      <c r="P1844" s="66">
        <v>45689</v>
      </c>
    </row>
    <row r="1845" spans="1:16" s="8" customFormat="1" ht="12.75" customHeight="1">
      <c r="A1845" s="13">
        <f t="shared" si="36"/>
        <v>1823</v>
      </c>
      <c r="B1845" s="32" t="s">
        <v>806</v>
      </c>
      <c r="C1845" s="14" t="s">
        <v>914</v>
      </c>
      <c r="D1845" s="15" t="s">
        <v>164</v>
      </c>
      <c r="E1845" s="14" t="s">
        <v>19</v>
      </c>
      <c r="F1845" s="26">
        <v>19</v>
      </c>
      <c r="G1845" s="26">
        <v>11</v>
      </c>
      <c r="H1845" s="34"/>
      <c r="I1845" s="84">
        <v>2406.23</v>
      </c>
      <c r="J1845" s="136"/>
      <c r="K1845" s="118">
        <v>3488.27</v>
      </c>
      <c r="L1845" s="34"/>
      <c r="M1845" s="84"/>
      <c r="N1845" s="38" t="s">
        <v>1162</v>
      </c>
      <c r="O1845" s="68"/>
      <c r="P1845" s="66">
        <v>45689</v>
      </c>
    </row>
    <row r="1846" spans="1:16" s="8" customFormat="1" ht="12.75" customHeight="1">
      <c r="A1846" s="13">
        <f t="shared" si="36"/>
        <v>1824</v>
      </c>
      <c r="B1846" s="32" t="s">
        <v>806</v>
      </c>
      <c r="C1846" s="14" t="s">
        <v>914</v>
      </c>
      <c r="D1846" s="15" t="s">
        <v>164</v>
      </c>
      <c r="E1846" s="14" t="s">
        <v>19</v>
      </c>
      <c r="F1846" s="26">
        <v>18</v>
      </c>
      <c r="G1846" s="26">
        <v>12</v>
      </c>
      <c r="H1846" s="34"/>
      <c r="I1846" s="84">
        <v>2488.89</v>
      </c>
      <c r="J1846" s="136"/>
      <c r="K1846" s="118">
        <v>9274.14</v>
      </c>
      <c r="L1846" s="34"/>
      <c r="M1846" s="84"/>
      <c r="N1846" s="38" t="s">
        <v>1162</v>
      </c>
      <c r="O1846" s="68"/>
      <c r="P1846" s="66">
        <v>45689</v>
      </c>
    </row>
    <row r="1847" spans="1:16" s="8" customFormat="1" ht="12.75" customHeight="1">
      <c r="A1847" s="13">
        <f t="shared" si="36"/>
        <v>1825</v>
      </c>
      <c r="B1847" s="32" t="s">
        <v>806</v>
      </c>
      <c r="C1847" s="14" t="s">
        <v>914</v>
      </c>
      <c r="D1847" s="15" t="s">
        <v>164</v>
      </c>
      <c r="E1847" s="14" t="s">
        <v>19</v>
      </c>
      <c r="F1847" s="26">
        <v>17</v>
      </c>
      <c r="G1847" s="26">
        <v>13</v>
      </c>
      <c r="H1847" s="34"/>
      <c r="I1847" s="84">
        <v>2581.2800000000002</v>
      </c>
      <c r="J1847" s="136"/>
      <c r="K1847" s="118">
        <v>3092.94</v>
      </c>
      <c r="L1847" s="34"/>
      <c r="M1847" s="84"/>
      <c r="N1847" s="38" t="s">
        <v>1162</v>
      </c>
      <c r="O1847" s="68"/>
      <c r="P1847" s="66">
        <v>45689</v>
      </c>
    </row>
    <row r="1848" spans="1:16" s="8" customFormat="1" ht="12.75" customHeight="1">
      <c r="A1848" s="13">
        <f t="shared" si="36"/>
        <v>1826</v>
      </c>
      <c r="B1848" s="32" t="s">
        <v>806</v>
      </c>
      <c r="C1848" s="14" t="s">
        <v>914</v>
      </c>
      <c r="D1848" s="15" t="s">
        <v>164</v>
      </c>
      <c r="E1848" s="14" t="s">
        <v>19</v>
      </c>
      <c r="F1848" s="26">
        <v>16</v>
      </c>
      <c r="G1848" s="26">
        <v>14</v>
      </c>
      <c r="H1848" s="34"/>
      <c r="I1848" s="84">
        <v>2685.23</v>
      </c>
      <c r="J1848" s="136"/>
      <c r="K1848" s="118">
        <v>2937.61</v>
      </c>
      <c r="L1848" s="34"/>
      <c r="M1848" s="84"/>
      <c r="N1848" s="38" t="s">
        <v>1162</v>
      </c>
      <c r="O1848" s="68"/>
      <c r="P1848" s="66">
        <v>45689</v>
      </c>
    </row>
    <row r="1849" spans="1:16" s="8" customFormat="1" ht="12.75" customHeight="1">
      <c r="A1849" s="13">
        <f t="shared" si="36"/>
        <v>1827</v>
      </c>
      <c r="B1849" s="32" t="s">
        <v>806</v>
      </c>
      <c r="C1849" s="14" t="s">
        <v>914</v>
      </c>
      <c r="D1849" s="15" t="s">
        <v>164</v>
      </c>
      <c r="E1849" s="14" t="s">
        <v>19</v>
      </c>
      <c r="F1849" s="26">
        <v>15</v>
      </c>
      <c r="G1849" s="26"/>
      <c r="H1849" s="34"/>
      <c r="I1849" s="84">
        <v>2802.97</v>
      </c>
      <c r="J1849" s="136"/>
      <c r="K1849" s="118"/>
      <c r="L1849" s="34"/>
      <c r="M1849" s="84"/>
      <c r="N1849" s="38" t="s">
        <v>1162</v>
      </c>
      <c r="O1849" s="68"/>
      <c r="P1849" s="66">
        <v>45689</v>
      </c>
    </row>
    <row r="1850" spans="1:16" s="8" customFormat="1" ht="12.75" customHeight="1">
      <c r="A1850" s="13">
        <f t="shared" si="36"/>
        <v>1828</v>
      </c>
      <c r="B1850" s="32" t="s">
        <v>1050</v>
      </c>
      <c r="C1850" s="14" t="s">
        <v>914</v>
      </c>
      <c r="D1850" s="15" t="s">
        <v>164</v>
      </c>
      <c r="E1850" s="14" t="s">
        <v>19</v>
      </c>
      <c r="F1850" s="26" t="s">
        <v>977</v>
      </c>
      <c r="G1850" s="26"/>
      <c r="H1850" s="34"/>
      <c r="I1850" s="84">
        <v>71654.03</v>
      </c>
      <c r="J1850" s="136"/>
      <c r="K1850" s="118"/>
      <c r="L1850" s="34"/>
      <c r="M1850" s="84"/>
      <c r="N1850" s="38" t="s">
        <v>1162</v>
      </c>
      <c r="O1850" s="68"/>
      <c r="P1850" s="66">
        <v>45352</v>
      </c>
    </row>
    <row r="1851" spans="1:16" s="8" customFormat="1" ht="12.75" customHeight="1">
      <c r="A1851" s="13">
        <f t="shared" si="36"/>
        <v>1829</v>
      </c>
      <c r="B1851" s="32" t="s">
        <v>1050</v>
      </c>
      <c r="C1851" s="14" t="s">
        <v>914</v>
      </c>
      <c r="D1851" s="15" t="s">
        <v>164</v>
      </c>
      <c r="E1851" s="14" t="s">
        <v>19</v>
      </c>
      <c r="F1851" s="26" t="s">
        <v>977</v>
      </c>
      <c r="G1851" s="26"/>
      <c r="H1851" s="34"/>
      <c r="I1851" s="84">
        <v>86253.18</v>
      </c>
      <c r="J1851" s="136"/>
      <c r="K1851" s="118"/>
      <c r="L1851" s="34"/>
      <c r="M1851" s="84"/>
      <c r="N1851" s="38" t="s">
        <v>1162</v>
      </c>
      <c r="O1851" s="68"/>
      <c r="P1851" s="66">
        <v>45689</v>
      </c>
    </row>
    <row r="1852" spans="1:16" s="8" customFormat="1" ht="12.75" customHeight="1">
      <c r="A1852" s="13">
        <f t="shared" si="36"/>
        <v>1830</v>
      </c>
      <c r="B1852" s="156" t="s">
        <v>806</v>
      </c>
      <c r="C1852" s="14" t="s">
        <v>914</v>
      </c>
      <c r="D1852" s="15" t="s">
        <v>164</v>
      </c>
      <c r="E1852" s="14" t="s">
        <v>19</v>
      </c>
      <c r="F1852" s="26">
        <v>20</v>
      </c>
      <c r="G1852" s="26">
        <v>10</v>
      </c>
      <c r="H1852" s="34"/>
      <c r="I1852" s="84">
        <v>2651.81</v>
      </c>
      <c r="J1852" s="136"/>
      <c r="K1852" s="118">
        <v>4206.93</v>
      </c>
      <c r="L1852" s="34"/>
      <c r="M1852" s="84">
        <v>31102.79</v>
      </c>
      <c r="N1852" s="38" t="s">
        <v>1162</v>
      </c>
      <c r="O1852" s="68"/>
      <c r="P1852" s="193">
        <v>46082</v>
      </c>
    </row>
    <row r="1853" spans="1:16" s="8" customFormat="1" ht="12.75" customHeight="1">
      <c r="A1853" s="13">
        <f t="shared" si="36"/>
        <v>1831</v>
      </c>
      <c r="B1853" s="156" t="s">
        <v>806</v>
      </c>
      <c r="C1853" s="14" t="s">
        <v>914</v>
      </c>
      <c r="D1853" s="15" t="s">
        <v>164</v>
      </c>
      <c r="E1853" s="14" t="s">
        <v>19</v>
      </c>
      <c r="F1853" s="26">
        <v>19</v>
      </c>
      <c r="G1853" s="26">
        <v>11</v>
      </c>
      <c r="H1853" s="34"/>
      <c r="I1853" s="84">
        <v>2733.64</v>
      </c>
      <c r="J1853" s="136"/>
      <c r="K1853" s="118">
        <v>3924.17</v>
      </c>
      <c r="L1853" s="34"/>
      <c r="M1853" s="84"/>
      <c r="N1853" s="38" t="s">
        <v>1162</v>
      </c>
      <c r="O1853" s="68"/>
      <c r="P1853" s="193">
        <v>46082</v>
      </c>
    </row>
    <row r="1854" spans="1:16" s="8" customFormat="1" ht="12.75" customHeight="1">
      <c r="A1854" s="13">
        <f t="shared" si="36"/>
        <v>1832</v>
      </c>
      <c r="B1854" s="156" t="s">
        <v>806</v>
      </c>
      <c r="C1854" s="14" t="s">
        <v>914</v>
      </c>
      <c r="D1854" s="15" t="s">
        <v>164</v>
      </c>
      <c r="E1854" s="14" t="s">
        <v>19</v>
      </c>
      <c r="F1854" s="26">
        <v>18</v>
      </c>
      <c r="G1854" s="26">
        <v>12</v>
      </c>
      <c r="H1854" s="34"/>
      <c r="I1854" s="84">
        <v>2824.59</v>
      </c>
      <c r="J1854" s="136"/>
      <c r="K1854" s="118">
        <v>3688.58</v>
      </c>
      <c r="L1854" s="34"/>
      <c r="M1854" s="84"/>
      <c r="N1854" s="38" t="s">
        <v>1162</v>
      </c>
      <c r="O1854" s="68"/>
      <c r="P1854" s="193">
        <v>46082</v>
      </c>
    </row>
    <row r="1855" spans="1:16" s="8" customFormat="1" ht="12.75" customHeight="1">
      <c r="A1855" s="13">
        <f t="shared" si="36"/>
        <v>1833</v>
      </c>
      <c r="B1855" s="156" t="s">
        <v>806</v>
      </c>
      <c r="C1855" s="14" t="s">
        <v>914</v>
      </c>
      <c r="D1855" s="15" t="s">
        <v>164</v>
      </c>
      <c r="E1855" s="14" t="s">
        <v>19</v>
      </c>
      <c r="F1855" s="26">
        <v>17</v>
      </c>
      <c r="G1855" s="26">
        <v>13</v>
      </c>
      <c r="H1855" s="34"/>
      <c r="I1855" s="84">
        <v>2926.25</v>
      </c>
      <c r="J1855" s="136"/>
      <c r="K1855" s="118">
        <v>3489.18</v>
      </c>
      <c r="L1855" s="34"/>
      <c r="M1855" s="84"/>
      <c r="N1855" s="38" t="s">
        <v>1162</v>
      </c>
      <c r="O1855" s="68"/>
      <c r="P1855" s="193">
        <v>46082</v>
      </c>
    </row>
    <row r="1856" spans="1:16" s="8" customFormat="1" ht="12.75" customHeight="1">
      <c r="A1856" s="13">
        <f t="shared" si="36"/>
        <v>1834</v>
      </c>
      <c r="B1856" s="156" t="s">
        <v>806</v>
      </c>
      <c r="C1856" s="14" t="s">
        <v>914</v>
      </c>
      <c r="D1856" s="15" t="s">
        <v>164</v>
      </c>
      <c r="E1856" s="14" t="s">
        <v>19</v>
      </c>
      <c r="F1856" s="26">
        <v>16</v>
      </c>
      <c r="G1856" s="26">
        <v>14</v>
      </c>
      <c r="H1856" s="34"/>
      <c r="I1856" s="84">
        <v>3040.6</v>
      </c>
      <c r="J1856" s="136"/>
      <c r="K1856" s="118">
        <v>3318.3</v>
      </c>
      <c r="L1856" s="34"/>
      <c r="M1856" s="84"/>
      <c r="N1856" s="38" t="s">
        <v>1162</v>
      </c>
      <c r="O1856" s="68"/>
      <c r="P1856" s="193">
        <v>46082</v>
      </c>
    </row>
    <row r="1857" spans="1:16" s="8" customFormat="1" ht="12.75" customHeight="1">
      <c r="A1857" s="13">
        <f t="shared" si="36"/>
        <v>1835</v>
      </c>
      <c r="B1857" s="156" t="s">
        <v>806</v>
      </c>
      <c r="C1857" s="14" t="s">
        <v>914</v>
      </c>
      <c r="D1857" s="15" t="s">
        <v>164</v>
      </c>
      <c r="E1857" s="14" t="s">
        <v>19</v>
      </c>
      <c r="F1857" s="26">
        <v>15</v>
      </c>
      <c r="G1857" s="26"/>
      <c r="H1857" s="34"/>
      <c r="I1857" s="84">
        <v>3170.18</v>
      </c>
      <c r="J1857" s="136"/>
      <c r="K1857" s="118"/>
      <c r="L1857" s="34"/>
      <c r="M1857" s="84"/>
      <c r="N1857" s="38" t="s">
        <v>1162</v>
      </c>
      <c r="O1857" s="68"/>
      <c r="P1857" s="195">
        <v>46082</v>
      </c>
    </row>
    <row r="1858" spans="1:16" s="8" customFormat="1" ht="12.75" customHeight="1">
      <c r="A1858" s="13">
        <f t="shared" si="36"/>
        <v>1836</v>
      </c>
      <c r="B1858" s="156" t="s">
        <v>1050</v>
      </c>
      <c r="C1858" s="14" t="s">
        <v>914</v>
      </c>
      <c r="D1858" s="15" t="s">
        <v>164</v>
      </c>
      <c r="E1858" s="14" t="s">
        <v>19</v>
      </c>
      <c r="F1858" s="26" t="s">
        <v>977</v>
      </c>
      <c r="G1858" s="26"/>
      <c r="H1858" s="34"/>
      <c r="I1858" s="84">
        <v>94456.44</v>
      </c>
      <c r="J1858" s="136"/>
      <c r="K1858" s="118"/>
      <c r="L1858" s="34"/>
      <c r="M1858" s="84"/>
      <c r="N1858" s="38" t="s">
        <v>1162</v>
      </c>
      <c r="O1858" s="68"/>
      <c r="P1858" s="193">
        <v>46082</v>
      </c>
    </row>
    <row r="1859" spans="1:16" s="8" customFormat="1" ht="12.75" customHeight="1">
      <c r="A1859" s="13">
        <f t="shared" si="36"/>
        <v>1837</v>
      </c>
      <c r="B1859" s="52" t="s">
        <v>807</v>
      </c>
      <c r="C1859" s="14" t="s">
        <v>183</v>
      </c>
      <c r="D1859" s="15" t="s">
        <v>165</v>
      </c>
      <c r="E1859" s="14" t="s">
        <v>19</v>
      </c>
      <c r="F1859" s="26">
        <v>20</v>
      </c>
      <c r="G1859" s="26">
        <v>10</v>
      </c>
      <c r="H1859" s="34"/>
      <c r="I1859" s="84">
        <v>1713.78</v>
      </c>
      <c r="J1859" s="136"/>
      <c r="K1859" s="118">
        <v>2905.02</v>
      </c>
      <c r="L1859" s="34"/>
      <c r="M1859" s="84"/>
      <c r="N1859" s="38" t="s">
        <v>641</v>
      </c>
      <c r="O1859" s="68">
        <v>595</v>
      </c>
      <c r="P1859" s="66">
        <v>43617</v>
      </c>
    </row>
    <row r="1860" spans="1:16" s="8" customFormat="1" ht="12.75" customHeight="1">
      <c r="A1860" s="13">
        <f t="shared" ref="A1860:A1923" si="37">A1859+1</f>
        <v>1838</v>
      </c>
      <c r="B1860" s="32" t="s">
        <v>807</v>
      </c>
      <c r="C1860" s="14" t="s">
        <v>183</v>
      </c>
      <c r="D1860" s="24" t="s">
        <v>165</v>
      </c>
      <c r="E1860" s="14" t="s">
        <v>19</v>
      </c>
      <c r="F1860" s="26">
        <v>20</v>
      </c>
      <c r="G1860" s="26">
        <v>10</v>
      </c>
      <c r="H1860" s="34"/>
      <c r="I1860" s="84">
        <v>1564.39</v>
      </c>
      <c r="J1860" s="136"/>
      <c r="K1860" s="118">
        <v>2555.04</v>
      </c>
      <c r="L1860" s="34"/>
      <c r="M1860" s="84">
        <v>19813.259999999998</v>
      </c>
      <c r="N1860" s="38" t="s">
        <v>641</v>
      </c>
      <c r="O1860" s="68"/>
      <c r="P1860" s="66">
        <v>44562</v>
      </c>
    </row>
    <row r="1861" spans="1:16" s="8" customFormat="1" ht="12.75" customHeight="1">
      <c r="A1861" s="13">
        <f t="shared" si="37"/>
        <v>1839</v>
      </c>
      <c r="B1861" s="32" t="s">
        <v>1051</v>
      </c>
      <c r="C1861" s="14" t="s">
        <v>183</v>
      </c>
      <c r="D1861" s="24" t="s">
        <v>165</v>
      </c>
      <c r="E1861" s="14" t="s">
        <v>19</v>
      </c>
      <c r="F1861" s="31" t="s">
        <v>977</v>
      </c>
      <c r="G1861" s="26"/>
      <c r="H1861" s="34"/>
      <c r="I1861" s="84">
        <v>60464.26</v>
      </c>
      <c r="J1861" s="136"/>
      <c r="K1861" s="118"/>
      <c r="L1861" s="34"/>
      <c r="M1861" s="84"/>
      <c r="N1861" s="38" t="s">
        <v>641</v>
      </c>
      <c r="O1861" s="68"/>
      <c r="P1861" s="66">
        <v>44562</v>
      </c>
    </row>
    <row r="1862" spans="1:16" s="8" customFormat="1" ht="12.75" customHeight="1">
      <c r="A1862" s="13">
        <f t="shared" si="37"/>
        <v>1840</v>
      </c>
      <c r="B1862" s="52" t="s">
        <v>470</v>
      </c>
      <c r="C1862" s="14" t="s">
        <v>183</v>
      </c>
      <c r="D1862" s="15" t="s">
        <v>165</v>
      </c>
      <c r="E1862" s="14" t="s">
        <v>19</v>
      </c>
      <c r="F1862" s="26">
        <v>20</v>
      </c>
      <c r="G1862" s="26">
        <v>10</v>
      </c>
      <c r="H1862" s="34">
        <v>1677.29</v>
      </c>
      <c r="I1862" s="84"/>
      <c r="J1862" s="136">
        <v>2832.04</v>
      </c>
      <c r="K1862" s="118"/>
      <c r="L1862" s="34">
        <v>12320.52</v>
      </c>
      <c r="M1862" s="84"/>
      <c r="N1862" s="38" t="s">
        <v>641</v>
      </c>
      <c r="O1862" s="68">
        <v>595</v>
      </c>
      <c r="P1862" s="66">
        <v>43234</v>
      </c>
    </row>
    <row r="1863" spans="1:16" s="8" customFormat="1" ht="12.75" customHeight="1">
      <c r="A1863" s="13">
        <f t="shared" si="37"/>
        <v>1841</v>
      </c>
      <c r="B1863" s="32" t="s">
        <v>807</v>
      </c>
      <c r="C1863" s="14" t="s">
        <v>183</v>
      </c>
      <c r="D1863" s="24" t="s">
        <v>165</v>
      </c>
      <c r="E1863" s="14" t="s">
        <v>19</v>
      </c>
      <c r="F1863" s="26">
        <v>20</v>
      </c>
      <c r="G1863" s="26">
        <v>10</v>
      </c>
      <c r="H1863" s="34"/>
      <c r="I1863" s="84">
        <v>1673.24</v>
      </c>
      <c r="J1863" s="136"/>
      <c r="K1863" s="118">
        <v>2744.13</v>
      </c>
      <c r="L1863" s="34"/>
      <c r="M1863" s="84"/>
      <c r="N1863" s="38" t="s">
        <v>641</v>
      </c>
      <c r="O1863" s="68"/>
      <c r="P1863" s="66">
        <v>45170</v>
      </c>
    </row>
    <row r="1864" spans="1:16" s="8" customFormat="1" ht="12.75" customHeight="1">
      <c r="A1864" s="13">
        <f t="shared" si="37"/>
        <v>1842</v>
      </c>
      <c r="B1864" s="32" t="s">
        <v>1051</v>
      </c>
      <c r="C1864" s="14" t="s">
        <v>183</v>
      </c>
      <c r="D1864" s="24" t="s">
        <v>165</v>
      </c>
      <c r="E1864" s="14" t="s">
        <v>19</v>
      </c>
      <c r="F1864" s="31" t="s">
        <v>977</v>
      </c>
      <c r="G1864" s="26"/>
      <c r="H1864" s="34"/>
      <c r="I1864" s="84">
        <v>62774.49</v>
      </c>
      <c r="J1864" s="136"/>
      <c r="K1864" s="118"/>
      <c r="L1864" s="34"/>
      <c r="M1864" s="84"/>
      <c r="N1864" s="38" t="s">
        <v>641</v>
      </c>
      <c r="O1864" s="68"/>
      <c r="P1864" s="66">
        <v>45170</v>
      </c>
    </row>
    <row r="1865" spans="1:16" s="8" customFormat="1" ht="12.75" customHeight="1">
      <c r="A1865" s="13">
        <f t="shared" si="37"/>
        <v>1843</v>
      </c>
      <c r="B1865" s="32" t="s">
        <v>807</v>
      </c>
      <c r="C1865" s="14" t="s">
        <v>183</v>
      </c>
      <c r="D1865" s="24" t="s">
        <v>165</v>
      </c>
      <c r="E1865" s="14" t="s">
        <v>19</v>
      </c>
      <c r="F1865" s="26">
        <v>20</v>
      </c>
      <c r="G1865" s="26">
        <v>10</v>
      </c>
      <c r="H1865" s="34"/>
      <c r="I1865" s="84">
        <v>1910.51</v>
      </c>
      <c r="J1865" s="136"/>
      <c r="K1865" s="118">
        <v>3128.24</v>
      </c>
      <c r="L1865" s="34"/>
      <c r="M1865" s="84" t="s">
        <v>1149</v>
      </c>
      <c r="N1865" s="38" t="s">
        <v>1162</v>
      </c>
      <c r="O1865" s="68"/>
      <c r="P1865" s="66">
        <v>45352</v>
      </c>
    </row>
    <row r="1866" spans="1:16" s="8" customFormat="1" ht="12.75" customHeight="1">
      <c r="A1866" s="13">
        <f t="shared" si="37"/>
        <v>1844</v>
      </c>
      <c r="B1866" s="32" t="s">
        <v>807</v>
      </c>
      <c r="C1866" s="14" t="s">
        <v>183</v>
      </c>
      <c r="D1866" s="24" t="s">
        <v>165</v>
      </c>
      <c r="E1866" s="14" t="s">
        <v>19</v>
      </c>
      <c r="F1866" s="26">
        <v>19</v>
      </c>
      <c r="G1866" s="26">
        <v>11</v>
      </c>
      <c r="H1866" s="34"/>
      <c r="I1866" s="84">
        <v>1974.6</v>
      </c>
      <c r="J1866" s="136"/>
      <c r="K1866" s="118">
        <v>2906.83</v>
      </c>
      <c r="L1866" s="34"/>
      <c r="M1866" s="84"/>
      <c r="N1866" s="38" t="s">
        <v>1162</v>
      </c>
      <c r="O1866" s="68"/>
      <c r="P1866" s="66">
        <v>45352</v>
      </c>
    </row>
    <row r="1867" spans="1:16" s="8" customFormat="1" ht="12.75" customHeight="1">
      <c r="A1867" s="13">
        <f t="shared" si="37"/>
        <v>1845</v>
      </c>
      <c r="B1867" s="32" t="s">
        <v>807</v>
      </c>
      <c r="C1867" s="14" t="s">
        <v>183</v>
      </c>
      <c r="D1867" s="24" t="s">
        <v>165</v>
      </c>
      <c r="E1867" s="14" t="s">
        <v>19</v>
      </c>
      <c r="F1867" s="26">
        <v>18</v>
      </c>
      <c r="G1867" s="26">
        <v>12</v>
      </c>
      <c r="H1867" s="34"/>
      <c r="I1867" s="84">
        <v>2045.81</v>
      </c>
      <c r="J1867" s="136"/>
      <c r="K1867" s="118">
        <v>2722.31</v>
      </c>
      <c r="L1867" s="34"/>
      <c r="M1867" s="84"/>
      <c r="N1867" s="38" t="s">
        <v>1162</v>
      </c>
      <c r="O1867" s="68"/>
      <c r="P1867" s="66">
        <v>45352</v>
      </c>
    </row>
    <row r="1868" spans="1:16" s="8" customFormat="1" ht="12.75" customHeight="1">
      <c r="A1868" s="13">
        <f t="shared" si="37"/>
        <v>1846</v>
      </c>
      <c r="B1868" s="32" t="s">
        <v>807</v>
      </c>
      <c r="C1868" s="14" t="s">
        <v>183</v>
      </c>
      <c r="D1868" s="24" t="s">
        <v>165</v>
      </c>
      <c r="E1868" s="14" t="s">
        <v>19</v>
      </c>
      <c r="F1868" s="26">
        <v>17</v>
      </c>
      <c r="G1868" s="26">
        <v>13</v>
      </c>
      <c r="H1868" s="34"/>
      <c r="I1868" s="84">
        <v>2125.41</v>
      </c>
      <c r="J1868" s="136"/>
      <c r="K1868" s="118">
        <v>2566.19</v>
      </c>
      <c r="L1868" s="34"/>
      <c r="M1868" s="84"/>
      <c r="N1868" s="38" t="s">
        <v>1162</v>
      </c>
      <c r="O1868" s="68"/>
      <c r="P1868" s="66">
        <v>45352</v>
      </c>
    </row>
    <row r="1869" spans="1:16" s="8" customFormat="1" ht="12.75" customHeight="1">
      <c r="A1869" s="13">
        <f t="shared" si="37"/>
        <v>1847</v>
      </c>
      <c r="B1869" s="32" t="s">
        <v>807</v>
      </c>
      <c r="C1869" s="14" t="s">
        <v>183</v>
      </c>
      <c r="D1869" s="24" t="s">
        <v>165</v>
      </c>
      <c r="E1869" s="14" t="s">
        <v>19</v>
      </c>
      <c r="F1869" s="26">
        <v>16</v>
      </c>
      <c r="G1869" s="26">
        <v>14</v>
      </c>
      <c r="H1869" s="34"/>
      <c r="I1869" s="84">
        <v>2214.9499999999998</v>
      </c>
      <c r="J1869" s="136"/>
      <c r="K1869" s="118">
        <v>2432.4</v>
      </c>
      <c r="L1869" s="34"/>
      <c r="M1869" s="84"/>
      <c r="N1869" s="38" t="s">
        <v>1162</v>
      </c>
      <c r="O1869" s="68"/>
      <c r="P1869" s="66">
        <v>45352</v>
      </c>
    </row>
    <row r="1870" spans="1:16" s="8" customFormat="1" ht="12.75" customHeight="1">
      <c r="A1870" s="13">
        <f t="shared" si="37"/>
        <v>1848</v>
      </c>
      <c r="B1870" s="32" t="s">
        <v>807</v>
      </c>
      <c r="C1870" s="14" t="s">
        <v>183</v>
      </c>
      <c r="D1870" s="24" t="s">
        <v>165</v>
      </c>
      <c r="E1870" s="14" t="s">
        <v>19</v>
      </c>
      <c r="F1870" s="26">
        <v>15</v>
      </c>
      <c r="G1870" s="26"/>
      <c r="H1870" s="34"/>
      <c r="I1870" s="84">
        <v>2316.41</v>
      </c>
      <c r="J1870" s="136"/>
      <c r="K1870" s="118"/>
      <c r="L1870" s="34"/>
      <c r="M1870" s="84"/>
      <c r="N1870" s="38" t="s">
        <v>1162</v>
      </c>
      <c r="O1870" s="68"/>
      <c r="P1870" s="66">
        <v>45352</v>
      </c>
    </row>
    <row r="1871" spans="1:16" s="8" customFormat="1" ht="12.75" customHeight="1">
      <c r="A1871" s="13">
        <f t="shared" si="37"/>
        <v>1849</v>
      </c>
      <c r="B1871" s="32" t="s">
        <v>807</v>
      </c>
      <c r="C1871" s="14" t="s">
        <v>183</v>
      </c>
      <c r="D1871" s="24" t="s">
        <v>165</v>
      </c>
      <c r="E1871" s="14" t="s">
        <v>19</v>
      </c>
      <c r="F1871" s="26">
        <v>20</v>
      </c>
      <c r="G1871" s="26">
        <v>10</v>
      </c>
      <c r="H1871" s="34"/>
      <c r="I1871" s="84">
        <v>2230.91</v>
      </c>
      <c r="J1871" s="136"/>
      <c r="K1871" s="118">
        <v>3644.33</v>
      </c>
      <c r="L1871" s="34"/>
      <c r="M1871" s="84">
        <v>28268.76</v>
      </c>
      <c r="N1871" s="38" t="s">
        <v>1162</v>
      </c>
      <c r="O1871" s="68"/>
      <c r="P1871" s="66">
        <v>45689</v>
      </c>
    </row>
    <row r="1872" spans="1:16" s="8" customFormat="1" ht="12.75" customHeight="1">
      <c r="A1872" s="13">
        <f t="shared" si="37"/>
        <v>1850</v>
      </c>
      <c r="B1872" s="32" t="s">
        <v>807</v>
      </c>
      <c r="C1872" s="14" t="s">
        <v>183</v>
      </c>
      <c r="D1872" s="24" t="s">
        <v>165</v>
      </c>
      <c r="E1872" s="14" t="s">
        <v>19</v>
      </c>
      <c r="F1872" s="26">
        <v>19</v>
      </c>
      <c r="G1872" s="26">
        <v>11</v>
      </c>
      <c r="H1872" s="34"/>
      <c r="I1872" s="84">
        <v>2305.29</v>
      </c>
      <c r="J1872" s="136"/>
      <c r="K1872" s="118">
        <v>3387.34</v>
      </c>
      <c r="L1872" s="34"/>
      <c r="M1872" s="84"/>
      <c r="N1872" s="38" t="s">
        <v>1162</v>
      </c>
      <c r="O1872" s="68"/>
      <c r="P1872" s="66">
        <v>45689</v>
      </c>
    </row>
    <row r="1873" spans="1:16" s="8" customFormat="1" ht="12.75" customHeight="1">
      <c r="A1873" s="13">
        <f t="shared" si="37"/>
        <v>1851</v>
      </c>
      <c r="B1873" s="32" t="s">
        <v>807</v>
      </c>
      <c r="C1873" s="14" t="s">
        <v>183</v>
      </c>
      <c r="D1873" s="24" t="s">
        <v>165</v>
      </c>
      <c r="E1873" s="14" t="s">
        <v>19</v>
      </c>
      <c r="F1873" s="26">
        <v>18</v>
      </c>
      <c r="G1873" s="26">
        <v>12</v>
      </c>
      <c r="H1873" s="34"/>
      <c r="I1873" s="84">
        <v>2387.96</v>
      </c>
      <c r="J1873" s="136"/>
      <c r="K1873" s="118">
        <v>3173.21</v>
      </c>
      <c r="L1873" s="34"/>
      <c r="M1873" s="84"/>
      <c r="N1873" s="38" t="s">
        <v>1162</v>
      </c>
      <c r="O1873" s="68"/>
      <c r="P1873" s="66">
        <v>45689</v>
      </c>
    </row>
    <row r="1874" spans="1:16" s="8" customFormat="1" ht="12.75" customHeight="1">
      <c r="A1874" s="13">
        <f t="shared" si="37"/>
        <v>1852</v>
      </c>
      <c r="B1874" s="32" t="s">
        <v>807</v>
      </c>
      <c r="C1874" s="14" t="s">
        <v>183</v>
      </c>
      <c r="D1874" s="24" t="s">
        <v>165</v>
      </c>
      <c r="E1874" s="14" t="s">
        <v>19</v>
      </c>
      <c r="F1874" s="26">
        <v>17</v>
      </c>
      <c r="G1874" s="26">
        <v>13</v>
      </c>
      <c r="H1874" s="34"/>
      <c r="I1874" s="84">
        <v>2480.35</v>
      </c>
      <c r="J1874" s="136"/>
      <c r="K1874" s="118">
        <v>2992</v>
      </c>
      <c r="L1874" s="34"/>
      <c r="M1874" s="84"/>
      <c r="N1874" s="38" t="s">
        <v>1162</v>
      </c>
      <c r="O1874" s="68"/>
      <c r="P1874" s="66">
        <v>45689</v>
      </c>
    </row>
    <row r="1875" spans="1:16" s="8" customFormat="1" ht="12.75" customHeight="1">
      <c r="A1875" s="13">
        <f t="shared" si="37"/>
        <v>1853</v>
      </c>
      <c r="B1875" s="32" t="s">
        <v>807</v>
      </c>
      <c r="C1875" s="14" t="s">
        <v>183</v>
      </c>
      <c r="D1875" s="24" t="s">
        <v>165</v>
      </c>
      <c r="E1875" s="14" t="s">
        <v>19</v>
      </c>
      <c r="F1875" s="26">
        <v>16</v>
      </c>
      <c r="G1875" s="26">
        <v>14</v>
      </c>
      <c r="H1875" s="34"/>
      <c r="I1875" s="84">
        <v>2584.29</v>
      </c>
      <c r="J1875" s="136"/>
      <c r="K1875" s="118">
        <v>2836.7</v>
      </c>
      <c r="L1875" s="34"/>
      <c r="M1875" s="84"/>
      <c r="N1875" s="38" t="s">
        <v>1162</v>
      </c>
      <c r="O1875" s="68"/>
      <c r="P1875" s="66">
        <v>45689</v>
      </c>
    </row>
    <row r="1876" spans="1:16" s="8" customFormat="1" ht="12.75" customHeight="1">
      <c r="A1876" s="13">
        <f t="shared" si="37"/>
        <v>1854</v>
      </c>
      <c r="B1876" s="32" t="s">
        <v>807</v>
      </c>
      <c r="C1876" s="14" t="s">
        <v>183</v>
      </c>
      <c r="D1876" s="24" t="s">
        <v>165</v>
      </c>
      <c r="E1876" s="14" t="s">
        <v>19</v>
      </c>
      <c r="F1876" s="26">
        <v>15</v>
      </c>
      <c r="G1876" s="26"/>
      <c r="H1876" s="34"/>
      <c r="I1876" s="84">
        <v>2702.04</v>
      </c>
      <c r="J1876" s="136"/>
      <c r="K1876" s="118"/>
      <c r="L1876" s="34"/>
      <c r="M1876" s="84"/>
      <c r="N1876" s="38" t="s">
        <v>1162</v>
      </c>
      <c r="O1876" s="68"/>
      <c r="P1876" s="66">
        <v>45689</v>
      </c>
    </row>
    <row r="1877" spans="1:16" s="8" customFormat="1" ht="12.75" customHeight="1">
      <c r="A1877" s="13">
        <f t="shared" si="37"/>
        <v>1855</v>
      </c>
      <c r="B1877" s="32" t="s">
        <v>1051</v>
      </c>
      <c r="C1877" s="14" t="s">
        <v>183</v>
      </c>
      <c r="D1877" s="24" t="s">
        <v>165</v>
      </c>
      <c r="E1877" s="14" t="s">
        <v>19</v>
      </c>
      <c r="F1877" s="31" t="s">
        <v>977</v>
      </c>
      <c r="G1877" s="26"/>
      <c r="H1877" s="34"/>
      <c r="I1877" s="84">
        <v>71654.03</v>
      </c>
      <c r="J1877" s="136"/>
      <c r="K1877" s="118"/>
      <c r="L1877" s="34"/>
      <c r="M1877" s="84"/>
      <c r="N1877" s="38" t="s">
        <v>1162</v>
      </c>
      <c r="O1877" s="68"/>
      <c r="P1877" s="66">
        <v>45352</v>
      </c>
    </row>
    <row r="1878" spans="1:16" s="8" customFormat="1" ht="12.75" customHeight="1">
      <c r="A1878" s="13">
        <f t="shared" si="37"/>
        <v>1856</v>
      </c>
      <c r="B1878" s="32" t="s">
        <v>1051</v>
      </c>
      <c r="C1878" s="14" t="s">
        <v>183</v>
      </c>
      <c r="D1878" s="24" t="s">
        <v>165</v>
      </c>
      <c r="E1878" s="14" t="s">
        <v>19</v>
      </c>
      <c r="F1878" s="31" t="s">
        <v>977</v>
      </c>
      <c r="G1878" s="26"/>
      <c r="H1878" s="34"/>
      <c r="I1878" s="84">
        <v>86253.18</v>
      </c>
      <c r="J1878" s="136"/>
      <c r="K1878" s="118"/>
      <c r="L1878" s="34"/>
      <c r="M1878" s="84"/>
      <c r="N1878" s="38" t="s">
        <v>1162</v>
      </c>
      <c r="O1878" s="68"/>
      <c r="P1878" s="66">
        <v>45689</v>
      </c>
    </row>
    <row r="1879" spans="1:16" s="8" customFormat="1" ht="12.75" customHeight="1">
      <c r="A1879" s="13">
        <f t="shared" si="37"/>
        <v>1857</v>
      </c>
      <c r="B1879" s="156" t="s">
        <v>807</v>
      </c>
      <c r="C1879" s="14" t="s">
        <v>183</v>
      </c>
      <c r="D1879" s="24" t="s">
        <v>165</v>
      </c>
      <c r="E1879" s="14" t="s">
        <v>19</v>
      </c>
      <c r="F1879" s="26">
        <v>20</v>
      </c>
      <c r="G1879" s="26">
        <v>10</v>
      </c>
      <c r="H1879" s="34"/>
      <c r="I1879" s="84">
        <v>2514.73</v>
      </c>
      <c r="J1879" s="136"/>
      <c r="K1879" s="118">
        <v>4069.86</v>
      </c>
      <c r="L1879" s="34"/>
      <c r="M1879" s="84">
        <v>31102.79</v>
      </c>
      <c r="N1879" s="38" t="s">
        <v>1162</v>
      </c>
      <c r="O1879" s="68"/>
      <c r="P1879" s="193">
        <v>46082</v>
      </c>
    </row>
    <row r="1880" spans="1:16" s="8" customFormat="1" ht="12.75" customHeight="1">
      <c r="A1880" s="13">
        <f t="shared" si="37"/>
        <v>1858</v>
      </c>
      <c r="B1880" s="156" t="s">
        <v>807</v>
      </c>
      <c r="C1880" s="14" t="s">
        <v>183</v>
      </c>
      <c r="D1880" s="24" t="s">
        <v>165</v>
      </c>
      <c r="E1880" s="14" t="s">
        <v>19</v>
      </c>
      <c r="F1880" s="26">
        <v>19</v>
      </c>
      <c r="G1880" s="26">
        <v>11</v>
      </c>
      <c r="H1880" s="34"/>
      <c r="I1880" s="84">
        <v>2596.56</v>
      </c>
      <c r="J1880" s="136"/>
      <c r="K1880" s="118">
        <v>3787.08</v>
      </c>
      <c r="L1880" s="34"/>
      <c r="M1880" s="84"/>
      <c r="N1880" s="38" t="s">
        <v>1162</v>
      </c>
      <c r="O1880" s="68"/>
      <c r="P1880" s="193">
        <v>46082</v>
      </c>
    </row>
    <row r="1881" spans="1:16" s="8" customFormat="1" ht="12.75" customHeight="1">
      <c r="A1881" s="13">
        <f t="shared" si="37"/>
        <v>1859</v>
      </c>
      <c r="B1881" s="156" t="s">
        <v>807</v>
      </c>
      <c r="C1881" s="14" t="s">
        <v>183</v>
      </c>
      <c r="D1881" s="24" t="s">
        <v>165</v>
      </c>
      <c r="E1881" s="14" t="s">
        <v>19</v>
      </c>
      <c r="F1881" s="26">
        <v>18</v>
      </c>
      <c r="G1881" s="26">
        <v>12</v>
      </c>
      <c r="H1881" s="34"/>
      <c r="I1881" s="84">
        <v>2687.52</v>
      </c>
      <c r="J1881" s="136"/>
      <c r="K1881" s="118">
        <v>3551.5</v>
      </c>
      <c r="L1881" s="34"/>
      <c r="M1881" s="84"/>
      <c r="N1881" s="38" t="s">
        <v>1162</v>
      </c>
      <c r="O1881" s="68"/>
      <c r="P1881" s="193">
        <v>46082</v>
      </c>
    </row>
    <row r="1882" spans="1:16" s="8" customFormat="1" ht="12.75" customHeight="1">
      <c r="A1882" s="13">
        <f t="shared" si="37"/>
        <v>1860</v>
      </c>
      <c r="B1882" s="156" t="s">
        <v>807</v>
      </c>
      <c r="C1882" s="14" t="s">
        <v>183</v>
      </c>
      <c r="D1882" s="24" t="s">
        <v>165</v>
      </c>
      <c r="E1882" s="14" t="s">
        <v>19</v>
      </c>
      <c r="F1882" s="26">
        <v>17</v>
      </c>
      <c r="G1882" s="26">
        <v>13</v>
      </c>
      <c r="H1882" s="34"/>
      <c r="I1882" s="84">
        <v>2789.18</v>
      </c>
      <c r="J1882" s="136"/>
      <c r="K1882" s="118">
        <v>3352.08</v>
      </c>
      <c r="L1882" s="34"/>
      <c r="M1882" s="84"/>
      <c r="N1882" s="38" t="s">
        <v>1162</v>
      </c>
      <c r="O1882" s="68"/>
      <c r="P1882" s="193">
        <v>46082</v>
      </c>
    </row>
    <row r="1883" spans="1:16" s="8" customFormat="1" ht="12.75" customHeight="1">
      <c r="A1883" s="13">
        <f t="shared" si="37"/>
        <v>1861</v>
      </c>
      <c r="B1883" s="156" t="s">
        <v>807</v>
      </c>
      <c r="C1883" s="14" t="s">
        <v>183</v>
      </c>
      <c r="D1883" s="24" t="s">
        <v>165</v>
      </c>
      <c r="E1883" s="14" t="s">
        <v>19</v>
      </c>
      <c r="F1883" s="26">
        <v>16</v>
      </c>
      <c r="G1883" s="26">
        <v>14</v>
      </c>
      <c r="H1883" s="34"/>
      <c r="I1883" s="84">
        <v>2903.53</v>
      </c>
      <c r="J1883" s="136"/>
      <c r="K1883" s="118">
        <v>3181.23</v>
      </c>
      <c r="L1883" s="34"/>
      <c r="M1883" s="84"/>
      <c r="N1883" s="38" t="s">
        <v>1162</v>
      </c>
      <c r="O1883" s="68"/>
      <c r="P1883" s="193">
        <v>46082</v>
      </c>
    </row>
    <row r="1884" spans="1:16" s="8" customFormat="1" ht="12.75" customHeight="1">
      <c r="A1884" s="13">
        <f t="shared" si="37"/>
        <v>1862</v>
      </c>
      <c r="B1884" s="156" t="s">
        <v>807</v>
      </c>
      <c r="C1884" s="14" t="s">
        <v>183</v>
      </c>
      <c r="D1884" s="24" t="s">
        <v>165</v>
      </c>
      <c r="E1884" s="14" t="s">
        <v>19</v>
      </c>
      <c r="F1884" s="26">
        <v>15</v>
      </c>
      <c r="G1884" s="26"/>
      <c r="H1884" s="34"/>
      <c r="I1884" s="84">
        <v>3033.1</v>
      </c>
      <c r="J1884" s="136"/>
      <c r="K1884" s="118"/>
      <c r="L1884" s="34"/>
      <c r="M1884" s="84"/>
      <c r="N1884" s="38" t="s">
        <v>1162</v>
      </c>
      <c r="O1884" s="68"/>
      <c r="P1884" s="193">
        <v>46082</v>
      </c>
    </row>
    <row r="1885" spans="1:16" s="8" customFormat="1" ht="12.75" customHeight="1">
      <c r="A1885" s="13">
        <f t="shared" si="37"/>
        <v>1863</v>
      </c>
      <c r="B1885" s="156" t="s">
        <v>1051</v>
      </c>
      <c r="C1885" s="14" t="s">
        <v>183</v>
      </c>
      <c r="D1885" s="24" t="s">
        <v>165</v>
      </c>
      <c r="E1885" s="14" t="s">
        <v>19</v>
      </c>
      <c r="F1885" s="31" t="s">
        <v>977</v>
      </c>
      <c r="G1885" s="26"/>
      <c r="H1885" s="34"/>
      <c r="I1885" s="84">
        <v>94456.44</v>
      </c>
      <c r="J1885" s="136"/>
      <c r="K1885" s="118"/>
      <c r="L1885" s="34"/>
      <c r="M1885" s="84"/>
      <c r="N1885" s="38" t="s">
        <v>1162</v>
      </c>
      <c r="O1885" s="68"/>
      <c r="P1885" s="193">
        <v>46082</v>
      </c>
    </row>
    <row r="1886" spans="1:16" s="8" customFormat="1" ht="12.75" customHeight="1">
      <c r="A1886" s="13">
        <f t="shared" si="37"/>
        <v>1864</v>
      </c>
      <c r="B1886" s="52" t="s">
        <v>808</v>
      </c>
      <c r="C1886" s="14" t="s">
        <v>183</v>
      </c>
      <c r="D1886" s="15" t="s">
        <v>166</v>
      </c>
      <c r="E1886" s="14" t="s">
        <v>19</v>
      </c>
      <c r="F1886" s="26">
        <v>20</v>
      </c>
      <c r="G1886" s="26">
        <v>10</v>
      </c>
      <c r="H1886" s="34"/>
      <c r="I1886" s="84">
        <v>1753.8</v>
      </c>
      <c r="J1886" s="136"/>
      <c r="K1886" s="118">
        <v>2945.04</v>
      </c>
      <c r="L1886" s="34"/>
      <c r="M1886" s="84"/>
      <c r="N1886" s="38" t="s">
        <v>641</v>
      </c>
      <c r="O1886" s="68" t="s">
        <v>795</v>
      </c>
      <c r="P1886" s="66">
        <v>43617</v>
      </c>
    </row>
    <row r="1887" spans="1:16" s="8" customFormat="1" ht="12.75" customHeight="1">
      <c r="A1887" s="13">
        <f t="shared" si="37"/>
        <v>1865</v>
      </c>
      <c r="B1887" s="32" t="s">
        <v>808</v>
      </c>
      <c r="C1887" s="14" t="s">
        <v>183</v>
      </c>
      <c r="D1887" s="24" t="s">
        <v>166</v>
      </c>
      <c r="E1887" s="14" t="s">
        <v>19</v>
      </c>
      <c r="F1887" s="26">
        <v>20</v>
      </c>
      <c r="G1887" s="26">
        <v>10</v>
      </c>
      <c r="H1887" s="34"/>
      <c r="I1887" s="84">
        <v>1577.73</v>
      </c>
      <c r="J1887" s="136"/>
      <c r="K1887" s="118">
        <v>2568.39</v>
      </c>
      <c r="L1887" s="34"/>
      <c r="M1887" s="84">
        <v>19813.259999999998</v>
      </c>
      <c r="N1887" s="38" t="s">
        <v>641</v>
      </c>
      <c r="O1887" s="68"/>
      <c r="P1887" s="66">
        <v>44562</v>
      </c>
    </row>
    <row r="1888" spans="1:16" s="8" customFormat="1" ht="12.75" customHeight="1">
      <c r="A1888" s="13">
        <f t="shared" si="37"/>
        <v>1866</v>
      </c>
      <c r="B1888" s="32" t="s">
        <v>1052</v>
      </c>
      <c r="C1888" s="23" t="s">
        <v>914</v>
      </c>
      <c r="D1888" s="24" t="s">
        <v>166</v>
      </c>
      <c r="E1888" s="23" t="s">
        <v>19</v>
      </c>
      <c r="F1888" s="31" t="s">
        <v>977</v>
      </c>
      <c r="G1888" s="26"/>
      <c r="H1888" s="34"/>
      <c r="I1888" s="84">
        <v>60464.26</v>
      </c>
      <c r="J1888" s="136"/>
      <c r="K1888" s="118"/>
      <c r="L1888" s="34"/>
      <c r="M1888" s="84"/>
      <c r="N1888" s="38" t="s">
        <v>641</v>
      </c>
      <c r="O1888" s="68"/>
      <c r="P1888" s="66">
        <v>44562</v>
      </c>
    </row>
    <row r="1889" spans="1:16" s="8" customFormat="1" ht="12.75" customHeight="1">
      <c r="A1889" s="13">
        <f t="shared" si="37"/>
        <v>1867</v>
      </c>
      <c r="B1889" s="52" t="s">
        <v>471</v>
      </c>
      <c r="C1889" s="14" t="s">
        <v>183</v>
      </c>
      <c r="D1889" s="15" t="s">
        <v>166</v>
      </c>
      <c r="E1889" s="14" t="s">
        <v>19</v>
      </c>
      <c r="F1889" s="26">
        <v>20</v>
      </c>
      <c r="G1889" s="26">
        <v>10</v>
      </c>
      <c r="H1889" s="34">
        <v>1717.33</v>
      </c>
      <c r="I1889" s="84"/>
      <c r="J1889" s="136">
        <v>2872.08</v>
      </c>
      <c r="K1889" s="118"/>
      <c r="L1889" s="34">
        <v>12320.52</v>
      </c>
      <c r="M1889" s="84"/>
      <c r="N1889" s="38" t="s">
        <v>641</v>
      </c>
      <c r="O1889" s="68">
        <v>595</v>
      </c>
      <c r="P1889" s="66">
        <v>43234</v>
      </c>
    </row>
    <row r="1890" spans="1:16" s="8" customFormat="1" ht="12.75" customHeight="1">
      <c r="A1890" s="13">
        <f t="shared" si="37"/>
        <v>1868</v>
      </c>
      <c r="B1890" s="32" t="s">
        <v>808</v>
      </c>
      <c r="C1890" s="14" t="s">
        <v>183</v>
      </c>
      <c r="D1890" s="24" t="s">
        <v>166</v>
      </c>
      <c r="E1890" s="14" t="s">
        <v>19</v>
      </c>
      <c r="F1890" s="26">
        <v>20</v>
      </c>
      <c r="G1890" s="26">
        <v>10</v>
      </c>
      <c r="H1890" s="34"/>
      <c r="I1890" s="84">
        <v>1687.28</v>
      </c>
      <c r="J1890" s="136"/>
      <c r="K1890" s="118">
        <v>2758.15</v>
      </c>
      <c r="L1890" s="34"/>
      <c r="M1890" s="84"/>
      <c r="N1890" s="38" t="s">
        <v>641</v>
      </c>
      <c r="O1890" s="68"/>
      <c r="P1890" s="66">
        <v>45170</v>
      </c>
    </row>
    <row r="1891" spans="1:16" s="8" customFormat="1" ht="12.75" customHeight="1">
      <c r="A1891" s="13">
        <f t="shared" si="37"/>
        <v>1869</v>
      </c>
      <c r="B1891" s="32" t="s">
        <v>1052</v>
      </c>
      <c r="C1891" s="23" t="s">
        <v>914</v>
      </c>
      <c r="D1891" s="24" t="s">
        <v>166</v>
      </c>
      <c r="E1891" s="23" t="s">
        <v>19</v>
      </c>
      <c r="F1891" s="31" t="s">
        <v>977</v>
      </c>
      <c r="G1891" s="26"/>
      <c r="H1891" s="34"/>
      <c r="I1891" s="84">
        <v>62774.49</v>
      </c>
      <c r="J1891" s="136"/>
      <c r="K1891" s="118"/>
      <c r="L1891" s="34"/>
      <c r="M1891" s="84"/>
      <c r="N1891" s="38" t="s">
        <v>641</v>
      </c>
      <c r="O1891" s="68"/>
      <c r="P1891" s="66">
        <v>45170</v>
      </c>
    </row>
    <row r="1892" spans="1:16" s="8" customFormat="1" ht="12.75" customHeight="1">
      <c r="A1892" s="13">
        <f t="shared" si="37"/>
        <v>1870</v>
      </c>
      <c r="B1892" s="32" t="s">
        <v>808</v>
      </c>
      <c r="C1892" s="23" t="s">
        <v>183</v>
      </c>
      <c r="D1892" s="24" t="s">
        <v>166</v>
      </c>
      <c r="E1892" s="23" t="s">
        <v>19</v>
      </c>
      <c r="F1892" s="31">
        <v>20</v>
      </c>
      <c r="G1892" s="26">
        <v>10</v>
      </c>
      <c r="H1892" s="34"/>
      <c r="I1892" s="84">
        <v>1926.64</v>
      </c>
      <c r="J1892" s="136"/>
      <c r="K1892" s="118">
        <v>3144.36</v>
      </c>
      <c r="L1892" s="34"/>
      <c r="M1892" s="84"/>
      <c r="N1892" s="38" t="s">
        <v>1162</v>
      </c>
      <c r="O1892" s="68"/>
      <c r="P1892" s="66">
        <v>45352</v>
      </c>
    </row>
    <row r="1893" spans="1:16" s="8" customFormat="1" ht="12.75" customHeight="1">
      <c r="A1893" s="13">
        <f t="shared" si="37"/>
        <v>1871</v>
      </c>
      <c r="B1893" s="32" t="s">
        <v>808</v>
      </c>
      <c r="C1893" s="23" t="s">
        <v>183</v>
      </c>
      <c r="D1893" s="24" t="s">
        <v>166</v>
      </c>
      <c r="E1893" s="23" t="s">
        <v>19</v>
      </c>
      <c r="F1893" s="31">
        <v>19</v>
      </c>
      <c r="G1893" s="26">
        <v>11</v>
      </c>
      <c r="H1893" s="34"/>
      <c r="I1893" s="84">
        <v>1990.71</v>
      </c>
      <c r="J1893" s="136"/>
      <c r="K1893" s="118">
        <v>2922.96</v>
      </c>
      <c r="L1893" s="34"/>
      <c r="M1893" s="84"/>
      <c r="N1893" s="38" t="s">
        <v>1162</v>
      </c>
      <c r="O1893" s="68"/>
      <c r="P1893" s="66">
        <v>45352</v>
      </c>
    </row>
    <row r="1894" spans="1:16" s="8" customFormat="1" ht="12.75" customHeight="1">
      <c r="A1894" s="13">
        <f t="shared" si="37"/>
        <v>1872</v>
      </c>
      <c r="B1894" s="32" t="s">
        <v>808</v>
      </c>
      <c r="C1894" s="23" t="s">
        <v>183</v>
      </c>
      <c r="D1894" s="24" t="s">
        <v>166</v>
      </c>
      <c r="E1894" s="23" t="s">
        <v>19</v>
      </c>
      <c r="F1894" s="31">
        <v>18</v>
      </c>
      <c r="G1894" s="26">
        <v>12</v>
      </c>
      <c r="H1894" s="34"/>
      <c r="I1894" s="84">
        <v>2061.94</v>
      </c>
      <c r="J1894" s="136"/>
      <c r="K1894" s="118">
        <v>2738.45</v>
      </c>
      <c r="L1894" s="34"/>
      <c r="M1894" s="84"/>
      <c r="N1894" s="38" t="s">
        <v>1162</v>
      </c>
      <c r="O1894" s="68"/>
      <c r="P1894" s="66">
        <v>45352</v>
      </c>
    </row>
    <row r="1895" spans="1:16" s="8" customFormat="1" ht="12.75" customHeight="1">
      <c r="A1895" s="13">
        <f t="shared" si="37"/>
        <v>1873</v>
      </c>
      <c r="B1895" s="32" t="s">
        <v>808</v>
      </c>
      <c r="C1895" s="23" t="s">
        <v>183</v>
      </c>
      <c r="D1895" s="24" t="s">
        <v>166</v>
      </c>
      <c r="E1895" s="23" t="s">
        <v>19</v>
      </c>
      <c r="F1895" s="31">
        <v>17</v>
      </c>
      <c r="G1895" s="26">
        <v>13</v>
      </c>
      <c r="H1895" s="34"/>
      <c r="I1895" s="84">
        <v>2141.5300000000002</v>
      </c>
      <c r="J1895" s="136"/>
      <c r="K1895" s="118">
        <v>2582.31</v>
      </c>
      <c r="L1895" s="34"/>
      <c r="M1895" s="84"/>
      <c r="N1895" s="38" t="s">
        <v>1162</v>
      </c>
      <c r="O1895" s="68"/>
      <c r="P1895" s="66">
        <v>45352</v>
      </c>
    </row>
    <row r="1896" spans="1:16" s="8" customFormat="1" ht="12.75" customHeight="1">
      <c r="A1896" s="13">
        <f t="shared" si="37"/>
        <v>1874</v>
      </c>
      <c r="B1896" s="32" t="s">
        <v>808</v>
      </c>
      <c r="C1896" s="23" t="s">
        <v>183</v>
      </c>
      <c r="D1896" s="24" t="s">
        <v>166</v>
      </c>
      <c r="E1896" s="23" t="s">
        <v>19</v>
      </c>
      <c r="F1896" s="31">
        <v>16</v>
      </c>
      <c r="G1896" s="26">
        <v>14</v>
      </c>
      <c r="H1896" s="34"/>
      <c r="I1896" s="84">
        <v>2231.06</v>
      </c>
      <c r="J1896" s="136"/>
      <c r="K1896" s="118">
        <v>2448.5300000000002</v>
      </c>
      <c r="L1896" s="34"/>
      <c r="M1896" s="84"/>
      <c r="N1896" s="38" t="s">
        <v>1162</v>
      </c>
      <c r="O1896" s="68"/>
      <c r="P1896" s="66">
        <v>45352</v>
      </c>
    </row>
    <row r="1897" spans="1:16" s="8" customFormat="1" ht="12.75" customHeight="1">
      <c r="A1897" s="13">
        <f t="shared" si="37"/>
        <v>1875</v>
      </c>
      <c r="B1897" s="32" t="s">
        <v>808</v>
      </c>
      <c r="C1897" s="23" t="s">
        <v>183</v>
      </c>
      <c r="D1897" s="24" t="s">
        <v>166</v>
      </c>
      <c r="E1897" s="23" t="s">
        <v>19</v>
      </c>
      <c r="F1897" s="31">
        <v>15</v>
      </c>
      <c r="G1897" s="26"/>
      <c r="H1897" s="34"/>
      <c r="I1897" s="84">
        <v>2332.54</v>
      </c>
      <c r="J1897" s="136"/>
      <c r="K1897" s="118"/>
      <c r="L1897" s="34"/>
      <c r="M1897" s="84"/>
      <c r="N1897" s="38" t="s">
        <v>1162</v>
      </c>
      <c r="O1897" s="68"/>
      <c r="P1897" s="66">
        <v>45352</v>
      </c>
    </row>
    <row r="1898" spans="1:16" s="8" customFormat="1" ht="12.75" customHeight="1">
      <c r="A1898" s="13">
        <f t="shared" si="37"/>
        <v>1876</v>
      </c>
      <c r="B1898" s="32" t="s">
        <v>808</v>
      </c>
      <c r="C1898" s="23" t="s">
        <v>183</v>
      </c>
      <c r="D1898" s="24" t="s">
        <v>166</v>
      </c>
      <c r="E1898" s="23" t="s">
        <v>19</v>
      </c>
      <c r="F1898" s="31">
        <v>20</v>
      </c>
      <c r="G1898" s="26">
        <v>10</v>
      </c>
      <c r="H1898" s="34"/>
      <c r="I1898" s="84">
        <v>2240.37</v>
      </c>
      <c r="J1898" s="136"/>
      <c r="K1898" s="118">
        <v>3653.78</v>
      </c>
      <c r="L1898" s="34"/>
      <c r="M1898" s="84">
        <v>28268.76</v>
      </c>
      <c r="N1898" s="38" t="s">
        <v>1162</v>
      </c>
      <c r="O1898" s="68"/>
      <c r="P1898" s="66">
        <v>45689</v>
      </c>
    </row>
    <row r="1899" spans="1:16" s="8" customFormat="1" ht="12.75" customHeight="1">
      <c r="A1899" s="13">
        <f t="shared" si="37"/>
        <v>1877</v>
      </c>
      <c r="B1899" s="32" t="s">
        <v>808</v>
      </c>
      <c r="C1899" s="23" t="s">
        <v>183</v>
      </c>
      <c r="D1899" s="24" t="s">
        <v>166</v>
      </c>
      <c r="E1899" s="23" t="s">
        <v>19</v>
      </c>
      <c r="F1899" s="31">
        <v>19</v>
      </c>
      <c r="G1899" s="26">
        <v>11</v>
      </c>
      <c r="H1899" s="34"/>
      <c r="I1899" s="84">
        <v>2314.7399999999998</v>
      </c>
      <c r="J1899" s="136"/>
      <c r="K1899" s="118">
        <v>3396.78</v>
      </c>
      <c r="L1899" s="34"/>
      <c r="M1899" s="84"/>
      <c r="N1899" s="38" t="s">
        <v>1162</v>
      </c>
      <c r="O1899" s="68"/>
      <c r="P1899" s="66">
        <v>45689</v>
      </c>
    </row>
    <row r="1900" spans="1:16" s="8" customFormat="1" ht="12.75" customHeight="1">
      <c r="A1900" s="13">
        <f t="shared" si="37"/>
        <v>1878</v>
      </c>
      <c r="B1900" s="32" t="s">
        <v>808</v>
      </c>
      <c r="C1900" s="23" t="s">
        <v>183</v>
      </c>
      <c r="D1900" s="24" t="s">
        <v>166</v>
      </c>
      <c r="E1900" s="23" t="s">
        <v>19</v>
      </c>
      <c r="F1900" s="31">
        <v>18</v>
      </c>
      <c r="G1900" s="26">
        <v>12</v>
      </c>
      <c r="H1900" s="34"/>
      <c r="I1900" s="84">
        <v>2397.41</v>
      </c>
      <c r="J1900" s="136"/>
      <c r="K1900" s="118">
        <v>3182.65</v>
      </c>
      <c r="L1900" s="34"/>
      <c r="M1900" s="84"/>
      <c r="N1900" s="38" t="s">
        <v>1162</v>
      </c>
      <c r="O1900" s="68"/>
      <c r="P1900" s="66">
        <v>45689</v>
      </c>
    </row>
    <row r="1901" spans="1:16" s="8" customFormat="1" ht="12.75" customHeight="1">
      <c r="A1901" s="13">
        <f t="shared" si="37"/>
        <v>1879</v>
      </c>
      <c r="B1901" s="32" t="s">
        <v>808</v>
      </c>
      <c r="C1901" s="23" t="s">
        <v>183</v>
      </c>
      <c r="D1901" s="24" t="s">
        <v>166</v>
      </c>
      <c r="E1901" s="23" t="s">
        <v>19</v>
      </c>
      <c r="F1901" s="31">
        <v>17</v>
      </c>
      <c r="G1901" s="26">
        <v>13</v>
      </c>
      <c r="H1901" s="34"/>
      <c r="I1901" s="84">
        <v>2489.79</v>
      </c>
      <c r="J1901" s="136"/>
      <c r="K1901" s="118">
        <v>3001.45</v>
      </c>
      <c r="L1901" s="34"/>
      <c r="M1901" s="84"/>
      <c r="N1901" s="38" t="s">
        <v>1162</v>
      </c>
      <c r="O1901" s="68"/>
      <c r="P1901" s="66">
        <v>45689</v>
      </c>
    </row>
    <row r="1902" spans="1:16" s="8" customFormat="1" ht="12.75" customHeight="1">
      <c r="A1902" s="13">
        <f t="shared" si="37"/>
        <v>1880</v>
      </c>
      <c r="B1902" s="32" t="s">
        <v>808</v>
      </c>
      <c r="C1902" s="23" t="s">
        <v>183</v>
      </c>
      <c r="D1902" s="24" t="s">
        <v>166</v>
      </c>
      <c r="E1902" s="23" t="s">
        <v>19</v>
      </c>
      <c r="F1902" s="31">
        <v>16</v>
      </c>
      <c r="G1902" s="26">
        <v>14</v>
      </c>
      <c r="H1902" s="34"/>
      <c r="I1902" s="84">
        <v>2593.73</v>
      </c>
      <c r="J1902" s="136"/>
      <c r="K1902" s="118">
        <v>2846.13</v>
      </c>
      <c r="L1902" s="34"/>
      <c r="M1902" s="84"/>
      <c r="N1902" s="38" t="s">
        <v>1162</v>
      </c>
      <c r="O1902" s="68"/>
      <c r="P1902" s="66">
        <v>45689</v>
      </c>
    </row>
    <row r="1903" spans="1:16" s="8" customFormat="1" ht="12.75" customHeight="1">
      <c r="A1903" s="13">
        <f t="shared" si="37"/>
        <v>1881</v>
      </c>
      <c r="B1903" s="32" t="s">
        <v>808</v>
      </c>
      <c r="C1903" s="23" t="s">
        <v>183</v>
      </c>
      <c r="D1903" s="24" t="s">
        <v>166</v>
      </c>
      <c r="E1903" s="23" t="s">
        <v>19</v>
      </c>
      <c r="F1903" s="31">
        <v>15</v>
      </c>
      <c r="G1903" s="26"/>
      <c r="H1903" s="34"/>
      <c r="I1903" s="84">
        <v>2711.48</v>
      </c>
      <c r="J1903" s="136"/>
      <c r="K1903" s="118"/>
      <c r="L1903" s="34"/>
      <c r="M1903" s="84"/>
      <c r="N1903" s="38" t="s">
        <v>1162</v>
      </c>
      <c r="O1903" s="68"/>
      <c r="P1903" s="66">
        <v>45689</v>
      </c>
    </row>
    <row r="1904" spans="1:16" s="8" customFormat="1" ht="12.75" customHeight="1">
      <c r="A1904" s="13">
        <f t="shared" si="37"/>
        <v>1882</v>
      </c>
      <c r="B1904" s="32" t="s">
        <v>1052</v>
      </c>
      <c r="C1904" s="23" t="s">
        <v>914</v>
      </c>
      <c r="D1904" s="24" t="s">
        <v>166</v>
      </c>
      <c r="E1904" s="23" t="s">
        <v>19</v>
      </c>
      <c r="F1904" s="31" t="s">
        <v>977</v>
      </c>
      <c r="G1904" s="26"/>
      <c r="H1904" s="34"/>
      <c r="I1904" s="84">
        <v>71654.03</v>
      </c>
      <c r="J1904" s="136"/>
      <c r="K1904" s="118"/>
      <c r="L1904" s="34"/>
      <c r="M1904" s="84"/>
      <c r="N1904" s="38" t="s">
        <v>1162</v>
      </c>
      <c r="O1904" s="68"/>
      <c r="P1904" s="66">
        <v>45352</v>
      </c>
    </row>
    <row r="1905" spans="1:16" s="8" customFormat="1" ht="12.75" customHeight="1">
      <c r="A1905" s="13">
        <f t="shared" si="37"/>
        <v>1883</v>
      </c>
      <c r="B1905" s="32" t="s">
        <v>1052</v>
      </c>
      <c r="C1905" s="23" t="s">
        <v>914</v>
      </c>
      <c r="D1905" s="24" t="s">
        <v>166</v>
      </c>
      <c r="E1905" s="23" t="s">
        <v>19</v>
      </c>
      <c r="F1905" s="31" t="s">
        <v>977</v>
      </c>
      <c r="G1905" s="26"/>
      <c r="H1905" s="34"/>
      <c r="I1905" s="84">
        <v>86253.18</v>
      </c>
      <c r="J1905" s="136"/>
      <c r="K1905" s="118"/>
      <c r="L1905" s="34"/>
      <c r="M1905" s="84"/>
      <c r="N1905" s="38" t="s">
        <v>1162</v>
      </c>
      <c r="O1905" s="68"/>
      <c r="P1905" s="66">
        <v>45689</v>
      </c>
    </row>
    <row r="1906" spans="1:16" s="8" customFormat="1" ht="12.75" customHeight="1">
      <c r="A1906" s="13">
        <f t="shared" si="37"/>
        <v>1884</v>
      </c>
      <c r="B1906" s="156" t="s">
        <v>808</v>
      </c>
      <c r="C1906" s="23" t="s">
        <v>914</v>
      </c>
      <c r="D1906" s="24" t="s">
        <v>166</v>
      </c>
      <c r="E1906" s="23" t="s">
        <v>19</v>
      </c>
      <c r="F1906" s="31">
        <v>20</v>
      </c>
      <c r="G1906" s="26">
        <v>10</v>
      </c>
      <c r="H1906" s="34"/>
      <c r="I1906" s="84">
        <v>2524.23</v>
      </c>
      <c r="J1906" s="136"/>
      <c r="K1906" s="118">
        <v>4079.37</v>
      </c>
      <c r="L1906" s="34"/>
      <c r="M1906" s="84">
        <v>31102.79</v>
      </c>
      <c r="N1906" s="38" t="s">
        <v>1162</v>
      </c>
      <c r="O1906" s="68"/>
      <c r="P1906" s="193">
        <v>46082</v>
      </c>
    </row>
    <row r="1907" spans="1:16" s="8" customFormat="1" ht="12.75" customHeight="1">
      <c r="A1907" s="13">
        <f t="shared" si="37"/>
        <v>1885</v>
      </c>
      <c r="B1907" s="156" t="s">
        <v>808</v>
      </c>
      <c r="C1907" s="23" t="s">
        <v>914</v>
      </c>
      <c r="D1907" s="24" t="s">
        <v>166</v>
      </c>
      <c r="E1907" s="23" t="s">
        <v>19</v>
      </c>
      <c r="F1907" s="31">
        <v>19</v>
      </c>
      <c r="G1907" s="26">
        <v>11</v>
      </c>
      <c r="H1907" s="34"/>
      <c r="I1907" s="84">
        <v>2606.06</v>
      </c>
      <c r="J1907" s="136"/>
      <c r="K1907" s="118">
        <v>3796.6</v>
      </c>
      <c r="L1907" s="34"/>
      <c r="M1907" s="84"/>
      <c r="N1907" s="38" t="s">
        <v>1162</v>
      </c>
      <c r="O1907" s="68"/>
      <c r="P1907" s="193">
        <v>46082</v>
      </c>
    </row>
    <row r="1908" spans="1:16" s="8" customFormat="1" ht="12.75" customHeight="1">
      <c r="A1908" s="13">
        <f t="shared" si="37"/>
        <v>1886</v>
      </c>
      <c r="B1908" s="156" t="s">
        <v>808</v>
      </c>
      <c r="C1908" s="23" t="s">
        <v>914</v>
      </c>
      <c r="D1908" s="24" t="s">
        <v>166</v>
      </c>
      <c r="E1908" s="23" t="s">
        <v>19</v>
      </c>
      <c r="F1908" s="31">
        <v>18</v>
      </c>
      <c r="G1908" s="26">
        <v>12</v>
      </c>
      <c r="H1908" s="34"/>
      <c r="I1908" s="84">
        <v>2697.02</v>
      </c>
      <c r="J1908" s="136"/>
      <c r="K1908" s="118">
        <v>3561</v>
      </c>
      <c r="L1908" s="34"/>
      <c r="M1908" s="84"/>
      <c r="N1908" s="38" t="s">
        <v>1162</v>
      </c>
      <c r="O1908" s="68"/>
      <c r="P1908" s="193">
        <v>46082</v>
      </c>
    </row>
    <row r="1909" spans="1:16" s="8" customFormat="1" ht="12.75" customHeight="1">
      <c r="A1909" s="13">
        <f t="shared" si="37"/>
        <v>1887</v>
      </c>
      <c r="B1909" s="156" t="s">
        <v>808</v>
      </c>
      <c r="C1909" s="23" t="s">
        <v>914</v>
      </c>
      <c r="D1909" s="24" t="s">
        <v>166</v>
      </c>
      <c r="E1909" s="23" t="s">
        <v>19</v>
      </c>
      <c r="F1909" s="31">
        <v>17</v>
      </c>
      <c r="G1909" s="26">
        <v>13</v>
      </c>
      <c r="H1909" s="34"/>
      <c r="I1909" s="84">
        <v>2798.67</v>
      </c>
      <c r="J1909" s="136"/>
      <c r="K1909" s="118">
        <v>3361.6</v>
      </c>
      <c r="L1909" s="34"/>
      <c r="M1909" s="84"/>
      <c r="N1909" s="38" t="s">
        <v>1162</v>
      </c>
      <c r="O1909" s="68"/>
      <c r="P1909" s="193">
        <v>46082</v>
      </c>
    </row>
    <row r="1910" spans="1:16" s="8" customFormat="1" ht="12.75" customHeight="1">
      <c r="A1910" s="13">
        <f t="shared" si="37"/>
        <v>1888</v>
      </c>
      <c r="B1910" s="156" t="s">
        <v>808</v>
      </c>
      <c r="C1910" s="23" t="s">
        <v>914</v>
      </c>
      <c r="D1910" s="24" t="s">
        <v>166</v>
      </c>
      <c r="E1910" s="23" t="s">
        <v>19</v>
      </c>
      <c r="F1910" s="31">
        <v>16</v>
      </c>
      <c r="G1910" s="26">
        <v>14</v>
      </c>
      <c r="H1910" s="34"/>
      <c r="I1910" s="84">
        <v>2913.02</v>
      </c>
      <c r="J1910" s="136"/>
      <c r="K1910" s="118">
        <v>3190.72</v>
      </c>
      <c r="L1910" s="34"/>
      <c r="M1910" s="84"/>
      <c r="N1910" s="38" t="s">
        <v>1162</v>
      </c>
      <c r="O1910" s="68"/>
      <c r="P1910" s="193">
        <v>46082</v>
      </c>
    </row>
    <row r="1911" spans="1:16" s="8" customFormat="1" ht="12.75" customHeight="1">
      <c r="A1911" s="13">
        <f t="shared" si="37"/>
        <v>1889</v>
      </c>
      <c r="B1911" s="156" t="s">
        <v>808</v>
      </c>
      <c r="C1911" s="23" t="s">
        <v>914</v>
      </c>
      <c r="D1911" s="24" t="s">
        <v>166</v>
      </c>
      <c r="E1911" s="23" t="s">
        <v>19</v>
      </c>
      <c r="F1911" s="31">
        <v>15</v>
      </c>
      <c r="G1911" s="26"/>
      <c r="H1911" s="34"/>
      <c r="I1911" s="84">
        <v>3042.6</v>
      </c>
      <c r="J1911" s="136"/>
      <c r="K1911" s="118"/>
      <c r="L1911" s="34"/>
      <c r="M1911" s="84"/>
      <c r="N1911" s="38" t="s">
        <v>1162</v>
      </c>
      <c r="O1911" s="68"/>
      <c r="P1911" s="193">
        <v>46082</v>
      </c>
    </row>
    <row r="1912" spans="1:16" s="8" customFormat="1" ht="12.75" customHeight="1">
      <c r="A1912" s="13">
        <f t="shared" si="37"/>
        <v>1890</v>
      </c>
      <c r="B1912" s="156" t="s">
        <v>1052</v>
      </c>
      <c r="C1912" s="23" t="s">
        <v>914</v>
      </c>
      <c r="D1912" s="24" t="s">
        <v>166</v>
      </c>
      <c r="E1912" s="23" t="s">
        <v>19</v>
      </c>
      <c r="F1912" s="31" t="s">
        <v>977</v>
      </c>
      <c r="G1912" s="26"/>
      <c r="H1912" s="34"/>
      <c r="I1912" s="84">
        <v>94456.44</v>
      </c>
      <c r="J1912" s="136"/>
      <c r="K1912" s="118"/>
      <c r="L1912" s="34"/>
      <c r="M1912" s="84"/>
      <c r="N1912" s="38" t="s">
        <v>1162</v>
      </c>
      <c r="O1912" s="68"/>
      <c r="P1912" s="193">
        <v>46082</v>
      </c>
    </row>
    <row r="1913" spans="1:16" s="8" customFormat="1" ht="12.75" customHeight="1">
      <c r="A1913" s="13">
        <f t="shared" si="37"/>
        <v>1891</v>
      </c>
      <c r="B1913" s="52" t="s">
        <v>676</v>
      </c>
      <c r="C1913" s="23" t="s">
        <v>566</v>
      </c>
      <c r="D1913" s="24" t="s">
        <v>567</v>
      </c>
      <c r="E1913" s="14" t="s">
        <v>19</v>
      </c>
      <c r="F1913" s="26">
        <v>20</v>
      </c>
      <c r="G1913" s="26">
        <v>10</v>
      </c>
      <c r="H1913" s="34">
        <v>1677.29</v>
      </c>
      <c r="I1913" s="84">
        <v>1713.78</v>
      </c>
      <c r="J1913" s="136">
        <v>2832.04</v>
      </c>
      <c r="K1913" s="118">
        <v>2905.02</v>
      </c>
      <c r="L1913" s="34">
        <v>12320.52</v>
      </c>
      <c r="M1913" s="84"/>
      <c r="N1913" s="38" t="s">
        <v>641</v>
      </c>
      <c r="O1913" s="68">
        <v>595</v>
      </c>
      <c r="P1913" s="66">
        <v>43617</v>
      </c>
    </row>
    <row r="1914" spans="1:16" s="8" customFormat="1" ht="12.75" customHeight="1">
      <c r="A1914" s="13">
        <f t="shared" si="37"/>
        <v>1892</v>
      </c>
      <c r="B1914" s="32" t="s">
        <v>1053</v>
      </c>
      <c r="C1914" s="23" t="s">
        <v>566</v>
      </c>
      <c r="D1914" s="24" t="s">
        <v>567</v>
      </c>
      <c r="E1914" s="14" t="s">
        <v>19</v>
      </c>
      <c r="F1914" s="31" t="s">
        <v>977</v>
      </c>
      <c r="G1914" s="26"/>
      <c r="H1914" s="34"/>
      <c r="I1914" s="84">
        <v>60464.26</v>
      </c>
      <c r="J1914" s="136"/>
      <c r="K1914" s="118"/>
      <c r="L1914" s="34"/>
      <c r="M1914" s="84"/>
      <c r="N1914" s="38" t="s">
        <v>641</v>
      </c>
      <c r="O1914" s="68"/>
      <c r="P1914" s="66">
        <v>44562</v>
      </c>
    </row>
    <row r="1915" spans="1:16" s="8" customFormat="1" ht="12.75" customHeight="1">
      <c r="A1915" s="13">
        <f t="shared" si="37"/>
        <v>1893</v>
      </c>
      <c r="B1915" s="32" t="s">
        <v>676</v>
      </c>
      <c r="C1915" s="23" t="s">
        <v>566</v>
      </c>
      <c r="D1915" s="24" t="s">
        <v>567</v>
      </c>
      <c r="E1915" s="14" t="s">
        <v>19</v>
      </c>
      <c r="F1915" s="26">
        <v>20</v>
      </c>
      <c r="G1915" s="26">
        <v>10</v>
      </c>
      <c r="H1915" s="34"/>
      <c r="I1915" s="84">
        <v>1542.32</v>
      </c>
      <c r="J1915" s="136"/>
      <c r="K1915" s="118">
        <v>2532.9699999999998</v>
      </c>
      <c r="L1915" s="34"/>
      <c r="M1915" s="84">
        <v>19813.259999999998</v>
      </c>
      <c r="N1915" s="38" t="s">
        <v>641</v>
      </c>
      <c r="O1915" s="68"/>
      <c r="P1915" s="66">
        <v>44562</v>
      </c>
    </row>
    <row r="1916" spans="1:16" s="8" customFormat="1" ht="12.75" customHeight="1">
      <c r="A1916" s="13">
        <f t="shared" si="37"/>
        <v>1894</v>
      </c>
      <c r="B1916" s="32" t="s">
        <v>1053</v>
      </c>
      <c r="C1916" s="23" t="s">
        <v>566</v>
      </c>
      <c r="D1916" s="24" t="s">
        <v>567</v>
      </c>
      <c r="E1916" s="14" t="s">
        <v>19</v>
      </c>
      <c r="F1916" s="31" t="s">
        <v>977</v>
      </c>
      <c r="G1916" s="26"/>
      <c r="H1916" s="34"/>
      <c r="I1916" s="84">
        <v>62774.49</v>
      </c>
      <c r="J1916" s="136"/>
      <c r="K1916" s="118"/>
      <c r="L1916" s="34"/>
      <c r="M1916" s="84"/>
      <c r="N1916" s="38" t="s">
        <v>641</v>
      </c>
      <c r="O1916" s="68"/>
      <c r="P1916" s="66">
        <v>45170</v>
      </c>
    </row>
    <row r="1917" spans="1:16" s="8" customFormat="1" ht="12.75" customHeight="1">
      <c r="A1917" s="13">
        <f t="shared" si="37"/>
        <v>1895</v>
      </c>
      <c r="B1917" s="32" t="s">
        <v>676</v>
      </c>
      <c r="C1917" s="23" t="s">
        <v>566</v>
      </c>
      <c r="D1917" s="24" t="s">
        <v>567</v>
      </c>
      <c r="E1917" s="14" t="s">
        <v>19</v>
      </c>
      <c r="F1917" s="26">
        <v>20</v>
      </c>
      <c r="G1917" s="26">
        <v>10</v>
      </c>
      <c r="H1917" s="34"/>
      <c r="I1917" s="84">
        <v>1650.1</v>
      </c>
      <c r="J1917" s="136"/>
      <c r="K1917" s="118">
        <v>2720.96</v>
      </c>
      <c r="L1917" s="34"/>
      <c r="M1917" s="84"/>
      <c r="N1917" s="38" t="s">
        <v>641</v>
      </c>
      <c r="O1917" s="68"/>
      <c r="P1917" s="66">
        <v>45170</v>
      </c>
    </row>
    <row r="1918" spans="1:16" s="8" customFormat="1" ht="12.75" customHeight="1">
      <c r="A1918" s="13">
        <f t="shared" si="37"/>
        <v>1896</v>
      </c>
      <c r="B1918" s="32" t="s">
        <v>676</v>
      </c>
      <c r="C1918" s="23" t="s">
        <v>566</v>
      </c>
      <c r="D1918" s="24" t="s">
        <v>567</v>
      </c>
      <c r="E1918" s="14" t="s">
        <v>19</v>
      </c>
      <c r="F1918" s="26">
        <v>20</v>
      </c>
      <c r="G1918" s="26">
        <v>10</v>
      </c>
      <c r="H1918" s="34"/>
      <c r="I1918" s="84">
        <v>1883.88</v>
      </c>
      <c r="J1918" s="136"/>
      <c r="K1918" s="118">
        <v>3101.6</v>
      </c>
      <c r="L1918" s="34"/>
      <c r="M1918" s="84" t="s">
        <v>1149</v>
      </c>
      <c r="N1918" s="38" t="s">
        <v>1162</v>
      </c>
      <c r="O1918" s="68"/>
      <c r="P1918" s="66">
        <v>45352</v>
      </c>
    </row>
    <row r="1919" spans="1:16" s="8" customFormat="1" ht="12.75" customHeight="1">
      <c r="A1919" s="13">
        <f t="shared" si="37"/>
        <v>1897</v>
      </c>
      <c r="B1919" s="32" t="s">
        <v>676</v>
      </c>
      <c r="C1919" s="23" t="s">
        <v>566</v>
      </c>
      <c r="D1919" s="24" t="s">
        <v>567</v>
      </c>
      <c r="E1919" s="14" t="s">
        <v>19</v>
      </c>
      <c r="F1919" s="26">
        <v>19</v>
      </c>
      <c r="G1919" s="26">
        <v>11</v>
      </c>
      <c r="H1919" s="34"/>
      <c r="I1919" s="84">
        <v>1947.96</v>
      </c>
      <c r="J1919" s="136"/>
      <c r="K1919" s="118">
        <v>2880.2</v>
      </c>
      <c r="L1919" s="34"/>
      <c r="M1919" s="84"/>
      <c r="N1919" s="38" t="s">
        <v>1162</v>
      </c>
      <c r="O1919" s="68"/>
      <c r="P1919" s="66">
        <v>45352</v>
      </c>
    </row>
    <row r="1920" spans="1:16" s="8" customFormat="1" ht="12.75" customHeight="1">
      <c r="A1920" s="13">
        <f t="shared" si="37"/>
        <v>1898</v>
      </c>
      <c r="B1920" s="32" t="s">
        <v>676</v>
      </c>
      <c r="C1920" s="23" t="s">
        <v>566</v>
      </c>
      <c r="D1920" s="24" t="s">
        <v>567</v>
      </c>
      <c r="E1920" s="14" t="s">
        <v>19</v>
      </c>
      <c r="F1920" s="26">
        <v>18</v>
      </c>
      <c r="G1920" s="26">
        <v>12</v>
      </c>
      <c r="H1920" s="34"/>
      <c r="I1920" s="84">
        <v>2019.17</v>
      </c>
      <c r="J1920" s="136"/>
      <c r="K1920" s="118">
        <v>2695.69</v>
      </c>
      <c r="L1920" s="34"/>
      <c r="M1920" s="84"/>
      <c r="N1920" s="38" t="s">
        <v>1162</v>
      </c>
      <c r="O1920" s="68"/>
      <c r="P1920" s="66">
        <v>45352</v>
      </c>
    </row>
    <row r="1921" spans="1:16" s="8" customFormat="1" ht="12.75" customHeight="1">
      <c r="A1921" s="13">
        <f t="shared" si="37"/>
        <v>1899</v>
      </c>
      <c r="B1921" s="32" t="s">
        <v>676</v>
      </c>
      <c r="C1921" s="23" t="s">
        <v>566</v>
      </c>
      <c r="D1921" s="24" t="s">
        <v>567</v>
      </c>
      <c r="E1921" s="14" t="s">
        <v>19</v>
      </c>
      <c r="F1921" s="26">
        <v>17</v>
      </c>
      <c r="G1921" s="26">
        <v>13</v>
      </c>
      <c r="H1921" s="34"/>
      <c r="I1921" s="84">
        <v>2098.79</v>
      </c>
      <c r="J1921" s="136"/>
      <c r="K1921" s="118">
        <v>2539.56</v>
      </c>
      <c r="L1921" s="34"/>
      <c r="M1921" s="84"/>
      <c r="N1921" s="38" t="s">
        <v>1162</v>
      </c>
      <c r="O1921" s="68"/>
      <c r="P1921" s="66">
        <v>45352</v>
      </c>
    </row>
    <row r="1922" spans="1:16" s="8" customFormat="1" ht="12.75" customHeight="1">
      <c r="A1922" s="13">
        <f t="shared" si="37"/>
        <v>1900</v>
      </c>
      <c r="B1922" s="32" t="s">
        <v>676</v>
      </c>
      <c r="C1922" s="23" t="s">
        <v>566</v>
      </c>
      <c r="D1922" s="24" t="s">
        <v>567</v>
      </c>
      <c r="E1922" s="14" t="s">
        <v>19</v>
      </c>
      <c r="F1922" s="26">
        <v>16</v>
      </c>
      <c r="G1922" s="26">
        <v>14</v>
      </c>
      <c r="H1922" s="34"/>
      <c r="I1922" s="84">
        <v>2188.3200000000002</v>
      </c>
      <c r="J1922" s="136"/>
      <c r="K1922" s="118">
        <v>2405.7600000000002</v>
      </c>
      <c r="L1922" s="34"/>
      <c r="M1922" s="84"/>
      <c r="N1922" s="38" t="s">
        <v>1162</v>
      </c>
      <c r="O1922" s="68"/>
      <c r="P1922" s="66">
        <v>45352</v>
      </c>
    </row>
    <row r="1923" spans="1:16" s="8" customFormat="1" ht="12.75" customHeight="1">
      <c r="A1923" s="13">
        <f t="shared" si="37"/>
        <v>1901</v>
      </c>
      <c r="B1923" s="32" t="s">
        <v>676</v>
      </c>
      <c r="C1923" s="23" t="s">
        <v>566</v>
      </c>
      <c r="D1923" s="24" t="s">
        <v>567</v>
      </c>
      <c r="E1923" s="14" t="s">
        <v>19</v>
      </c>
      <c r="F1923" s="26">
        <v>15</v>
      </c>
      <c r="G1923" s="26"/>
      <c r="H1923" s="34"/>
      <c r="I1923" s="84">
        <v>2289.77</v>
      </c>
      <c r="J1923" s="136"/>
      <c r="K1923" s="118"/>
      <c r="L1923" s="34"/>
      <c r="M1923" s="84"/>
      <c r="N1923" s="38" t="s">
        <v>1162</v>
      </c>
      <c r="O1923" s="68"/>
      <c r="P1923" s="66">
        <v>45352</v>
      </c>
    </row>
    <row r="1924" spans="1:16" s="8" customFormat="1" ht="12.75" customHeight="1">
      <c r="A1924" s="13">
        <f t="shared" ref="A1924:A1987" si="38">A1923+1</f>
        <v>1902</v>
      </c>
      <c r="B1924" s="32" t="s">
        <v>676</v>
      </c>
      <c r="C1924" s="23" t="s">
        <v>566</v>
      </c>
      <c r="D1924" s="24" t="s">
        <v>567</v>
      </c>
      <c r="E1924" s="14" t="s">
        <v>19</v>
      </c>
      <c r="F1924" s="26">
        <v>20</v>
      </c>
      <c r="G1924" s="26">
        <v>10</v>
      </c>
      <c r="H1924" s="34"/>
      <c r="I1924" s="84">
        <v>2189.89</v>
      </c>
      <c r="J1924" s="136"/>
      <c r="K1924" s="118">
        <v>3603.3</v>
      </c>
      <c r="L1924" s="34"/>
      <c r="M1924" s="84">
        <v>28268.76</v>
      </c>
      <c r="N1924" s="38" t="s">
        <v>1162</v>
      </c>
      <c r="O1924" s="68"/>
      <c r="P1924" s="66">
        <v>45689</v>
      </c>
    </row>
    <row r="1925" spans="1:16" s="8" customFormat="1" ht="12.75" customHeight="1">
      <c r="A1925" s="13">
        <f t="shared" si="38"/>
        <v>1903</v>
      </c>
      <c r="B1925" s="32" t="s">
        <v>676</v>
      </c>
      <c r="C1925" s="23" t="s">
        <v>566</v>
      </c>
      <c r="D1925" s="24" t="s">
        <v>567</v>
      </c>
      <c r="E1925" s="14" t="s">
        <v>19</v>
      </c>
      <c r="F1925" s="26">
        <v>19</v>
      </c>
      <c r="G1925" s="26">
        <v>11</v>
      </c>
      <c r="H1925" s="34"/>
      <c r="I1925" s="84">
        <v>2264.2600000000002</v>
      </c>
      <c r="J1925" s="136"/>
      <c r="K1925" s="118">
        <v>3346.3</v>
      </c>
      <c r="L1925" s="34"/>
      <c r="M1925" s="84"/>
      <c r="N1925" s="38" t="s">
        <v>1162</v>
      </c>
      <c r="O1925" s="68"/>
      <c r="P1925" s="66">
        <v>45689</v>
      </c>
    </row>
    <row r="1926" spans="1:16" s="8" customFormat="1" ht="12.75" customHeight="1">
      <c r="A1926" s="13">
        <f t="shared" si="38"/>
        <v>1904</v>
      </c>
      <c r="B1926" s="32" t="s">
        <v>676</v>
      </c>
      <c r="C1926" s="23" t="s">
        <v>566</v>
      </c>
      <c r="D1926" s="24" t="s">
        <v>567</v>
      </c>
      <c r="E1926" s="14" t="s">
        <v>19</v>
      </c>
      <c r="F1926" s="26">
        <v>18</v>
      </c>
      <c r="G1926" s="26">
        <v>12</v>
      </c>
      <c r="H1926" s="34"/>
      <c r="I1926" s="84">
        <v>2346.94</v>
      </c>
      <c r="J1926" s="136"/>
      <c r="K1926" s="118">
        <v>3132.17</v>
      </c>
      <c r="L1926" s="34"/>
      <c r="M1926" s="84"/>
      <c r="N1926" s="38" t="s">
        <v>1162</v>
      </c>
      <c r="O1926" s="68"/>
      <c r="P1926" s="66">
        <v>45689</v>
      </c>
    </row>
    <row r="1927" spans="1:16" s="8" customFormat="1" ht="12.75" customHeight="1">
      <c r="A1927" s="13">
        <f t="shared" si="38"/>
        <v>1905</v>
      </c>
      <c r="B1927" s="32" t="s">
        <v>676</v>
      </c>
      <c r="C1927" s="23" t="s">
        <v>566</v>
      </c>
      <c r="D1927" s="24" t="s">
        <v>567</v>
      </c>
      <c r="E1927" s="14" t="s">
        <v>19</v>
      </c>
      <c r="F1927" s="26">
        <v>17</v>
      </c>
      <c r="G1927" s="26">
        <v>13</v>
      </c>
      <c r="H1927" s="34"/>
      <c r="I1927" s="84">
        <v>2439.31</v>
      </c>
      <c r="J1927" s="136"/>
      <c r="K1927" s="118">
        <v>2950.98</v>
      </c>
      <c r="L1927" s="34"/>
      <c r="M1927" s="84"/>
      <c r="N1927" s="38" t="s">
        <v>1162</v>
      </c>
      <c r="O1927" s="68"/>
      <c r="P1927" s="66">
        <v>45689</v>
      </c>
    </row>
    <row r="1928" spans="1:16" s="8" customFormat="1" ht="12.75" customHeight="1">
      <c r="A1928" s="13">
        <f t="shared" si="38"/>
        <v>1906</v>
      </c>
      <c r="B1928" s="32" t="s">
        <v>676</v>
      </c>
      <c r="C1928" s="23" t="s">
        <v>566</v>
      </c>
      <c r="D1928" s="24" t="s">
        <v>567</v>
      </c>
      <c r="E1928" s="14" t="s">
        <v>19</v>
      </c>
      <c r="F1928" s="26">
        <v>16</v>
      </c>
      <c r="G1928" s="26">
        <v>14</v>
      </c>
      <c r="H1928" s="34"/>
      <c r="I1928" s="84">
        <v>2543.27</v>
      </c>
      <c r="J1928" s="136"/>
      <c r="K1928" s="118">
        <v>2796.66</v>
      </c>
      <c r="L1928" s="34"/>
      <c r="M1928" s="84"/>
      <c r="N1928" s="38" t="s">
        <v>1162</v>
      </c>
      <c r="O1928" s="68"/>
      <c r="P1928" s="66">
        <v>45689</v>
      </c>
    </row>
    <row r="1929" spans="1:16" s="8" customFormat="1" ht="12.75" customHeight="1">
      <c r="A1929" s="13">
        <f t="shared" si="38"/>
        <v>1907</v>
      </c>
      <c r="B1929" s="32" t="s">
        <v>676</v>
      </c>
      <c r="C1929" s="23" t="s">
        <v>566</v>
      </c>
      <c r="D1929" s="24" t="s">
        <v>567</v>
      </c>
      <c r="E1929" s="14" t="s">
        <v>19</v>
      </c>
      <c r="F1929" s="26">
        <v>15</v>
      </c>
      <c r="G1929" s="26"/>
      <c r="H1929" s="34"/>
      <c r="I1929" s="84">
        <v>2661.01</v>
      </c>
      <c r="J1929" s="136"/>
      <c r="K1929" s="118"/>
      <c r="L1929" s="34"/>
      <c r="M1929" s="84"/>
      <c r="N1929" s="38" t="s">
        <v>1162</v>
      </c>
      <c r="O1929" s="68"/>
      <c r="P1929" s="66">
        <v>45689</v>
      </c>
    </row>
    <row r="1930" spans="1:16" s="8" customFormat="1" ht="12.75" customHeight="1">
      <c r="A1930" s="13">
        <f t="shared" si="38"/>
        <v>1908</v>
      </c>
      <c r="B1930" s="32" t="s">
        <v>1053</v>
      </c>
      <c r="C1930" s="23" t="s">
        <v>566</v>
      </c>
      <c r="D1930" s="24" t="s">
        <v>567</v>
      </c>
      <c r="E1930" s="14" t="s">
        <v>19</v>
      </c>
      <c r="F1930" s="26" t="s">
        <v>977</v>
      </c>
      <c r="G1930" s="26"/>
      <c r="H1930" s="34"/>
      <c r="I1930" s="84">
        <v>71654.03</v>
      </c>
      <c r="J1930" s="136"/>
      <c r="K1930" s="118"/>
      <c r="L1930" s="34"/>
      <c r="M1930" s="84"/>
      <c r="N1930" s="38" t="s">
        <v>1162</v>
      </c>
      <c r="O1930" s="68"/>
      <c r="P1930" s="66">
        <v>45352</v>
      </c>
    </row>
    <row r="1931" spans="1:16" s="8" customFormat="1" ht="12.75" customHeight="1">
      <c r="A1931" s="13">
        <f t="shared" si="38"/>
        <v>1909</v>
      </c>
      <c r="B1931" s="32" t="s">
        <v>1053</v>
      </c>
      <c r="C1931" s="23" t="s">
        <v>566</v>
      </c>
      <c r="D1931" s="24" t="s">
        <v>567</v>
      </c>
      <c r="E1931" s="14" t="s">
        <v>19</v>
      </c>
      <c r="F1931" s="26" t="s">
        <v>977</v>
      </c>
      <c r="G1931" s="26"/>
      <c r="H1931" s="34"/>
      <c r="I1931" s="84">
        <v>86253.18</v>
      </c>
      <c r="J1931" s="136"/>
      <c r="K1931" s="118"/>
      <c r="L1931" s="34"/>
      <c r="M1931" s="84"/>
      <c r="N1931" s="38" t="s">
        <v>1162</v>
      </c>
      <c r="O1931" s="68"/>
      <c r="P1931" s="66">
        <v>45689</v>
      </c>
    </row>
    <row r="1932" spans="1:16" s="8" customFormat="1" ht="12.75" customHeight="1">
      <c r="A1932" s="13">
        <f t="shared" si="38"/>
        <v>1910</v>
      </c>
      <c r="B1932" s="156" t="s">
        <v>676</v>
      </c>
      <c r="C1932" s="23" t="s">
        <v>566</v>
      </c>
      <c r="D1932" s="24" t="s">
        <v>567</v>
      </c>
      <c r="E1932" s="14" t="s">
        <v>19</v>
      </c>
      <c r="F1932" s="26">
        <v>20</v>
      </c>
      <c r="G1932" s="26">
        <v>10</v>
      </c>
      <c r="H1932" s="34"/>
      <c r="I1932" s="84">
        <v>2455.6799999999998</v>
      </c>
      <c r="J1932" s="136"/>
      <c r="K1932" s="118">
        <v>4010.81</v>
      </c>
      <c r="L1932" s="34"/>
      <c r="M1932" s="84">
        <v>31102.79</v>
      </c>
      <c r="N1932" s="38" t="s">
        <v>1162</v>
      </c>
      <c r="O1932" s="68"/>
      <c r="P1932" s="193">
        <v>46082</v>
      </c>
    </row>
    <row r="1933" spans="1:16" s="8" customFormat="1" ht="12.75" customHeight="1">
      <c r="A1933" s="13">
        <f t="shared" si="38"/>
        <v>1911</v>
      </c>
      <c r="B1933" s="156" t="s">
        <v>676</v>
      </c>
      <c r="C1933" s="23" t="s">
        <v>566</v>
      </c>
      <c r="D1933" s="24" t="s">
        <v>567</v>
      </c>
      <c r="E1933" s="14" t="s">
        <v>19</v>
      </c>
      <c r="F1933" s="26">
        <v>19</v>
      </c>
      <c r="G1933" s="26">
        <v>11</v>
      </c>
      <c r="H1933" s="34"/>
      <c r="I1933" s="84">
        <v>2537.5100000000002</v>
      </c>
      <c r="J1933" s="136"/>
      <c r="K1933" s="118">
        <v>3728.04</v>
      </c>
      <c r="L1933" s="34"/>
      <c r="M1933" s="84"/>
      <c r="N1933" s="38" t="s">
        <v>1162</v>
      </c>
      <c r="O1933" s="68"/>
      <c r="P1933" s="193">
        <v>46082</v>
      </c>
    </row>
    <row r="1934" spans="1:16" s="8" customFormat="1" ht="12.75" customHeight="1">
      <c r="A1934" s="13">
        <f t="shared" si="38"/>
        <v>1912</v>
      </c>
      <c r="B1934" s="156" t="s">
        <v>676</v>
      </c>
      <c r="C1934" s="23" t="s">
        <v>566</v>
      </c>
      <c r="D1934" s="24" t="s">
        <v>567</v>
      </c>
      <c r="E1934" s="14" t="s">
        <v>19</v>
      </c>
      <c r="F1934" s="26">
        <v>18</v>
      </c>
      <c r="G1934" s="26">
        <v>12</v>
      </c>
      <c r="H1934" s="34"/>
      <c r="I1934" s="84">
        <v>2628.47</v>
      </c>
      <c r="J1934" s="136"/>
      <c r="K1934" s="118">
        <v>3492.45</v>
      </c>
      <c r="L1934" s="34"/>
      <c r="M1934" s="84"/>
      <c r="N1934" s="38" t="s">
        <v>1162</v>
      </c>
      <c r="O1934" s="68"/>
      <c r="P1934" s="193">
        <v>46082</v>
      </c>
    </row>
    <row r="1935" spans="1:16" s="8" customFormat="1" ht="12.75" customHeight="1">
      <c r="A1935" s="13">
        <f t="shared" si="38"/>
        <v>1913</v>
      </c>
      <c r="B1935" s="156" t="s">
        <v>676</v>
      </c>
      <c r="C1935" s="23" t="s">
        <v>566</v>
      </c>
      <c r="D1935" s="24" t="s">
        <v>567</v>
      </c>
      <c r="E1935" s="14" t="s">
        <v>19</v>
      </c>
      <c r="F1935" s="26">
        <v>17</v>
      </c>
      <c r="G1935" s="26">
        <v>13</v>
      </c>
      <c r="H1935" s="34"/>
      <c r="I1935" s="84">
        <v>2730.13</v>
      </c>
      <c r="J1935" s="136"/>
      <c r="K1935" s="118">
        <v>3293.04</v>
      </c>
      <c r="L1935" s="34"/>
      <c r="M1935" s="84"/>
      <c r="N1935" s="38" t="s">
        <v>1162</v>
      </c>
      <c r="O1935" s="68"/>
      <c r="P1935" s="193">
        <v>46082</v>
      </c>
    </row>
    <row r="1936" spans="1:16" s="8" customFormat="1" ht="12.75" customHeight="1">
      <c r="A1936" s="13">
        <f t="shared" si="38"/>
        <v>1914</v>
      </c>
      <c r="B1936" s="156" t="s">
        <v>676</v>
      </c>
      <c r="C1936" s="23" t="s">
        <v>566</v>
      </c>
      <c r="D1936" s="24" t="s">
        <v>567</v>
      </c>
      <c r="E1936" s="14" t="s">
        <v>19</v>
      </c>
      <c r="F1936" s="26">
        <v>16</v>
      </c>
      <c r="G1936" s="26">
        <v>14</v>
      </c>
      <c r="H1936" s="34"/>
      <c r="I1936" s="84">
        <v>2844.48</v>
      </c>
      <c r="J1936" s="136"/>
      <c r="K1936" s="118">
        <v>3122.17</v>
      </c>
      <c r="L1936" s="34"/>
      <c r="M1936" s="84"/>
      <c r="N1936" s="38" t="s">
        <v>1162</v>
      </c>
      <c r="O1936" s="68"/>
      <c r="P1936" s="193">
        <v>46082</v>
      </c>
    </row>
    <row r="1937" spans="1:17" s="8" customFormat="1" ht="12.75" customHeight="1">
      <c r="A1937" s="13">
        <f t="shared" si="38"/>
        <v>1915</v>
      </c>
      <c r="B1937" s="156" t="s">
        <v>676</v>
      </c>
      <c r="C1937" s="23" t="s">
        <v>566</v>
      </c>
      <c r="D1937" s="24" t="s">
        <v>567</v>
      </c>
      <c r="E1937" s="14" t="s">
        <v>19</v>
      </c>
      <c r="F1937" s="26">
        <v>15</v>
      </c>
      <c r="G1937" s="26"/>
      <c r="H1937" s="34"/>
      <c r="I1937" s="84">
        <v>2974.06</v>
      </c>
      <c r="J1937" s="136"/>
      <c r="K1937" s="118"/>
      <c r="L1937" s="34"/>
      <c r="M1937" s="84"/>
      <c r="N1937" s="38" t="s">
        <v>1162</v>
      </c>
      <c r="O1937" s="68"/>
      <c r="P1937" s="193">
        <v>46082</v>
      </c>
    </row>
    <row r="1938" spans="1:17" s="8" customFormat="1" ht="12.75" customHeight="1">
      <c r="A1938" s="13">
        <f t="shared" si="38"/>
        <v>1916</v>
      </c>
      <c r="B1938" s="156" t="s">
        <v>1053</v>
      </c>
      <c r="C1938" s="23" t="s">
        <v>566</v>
      </c>
      <c r="D1938" s="24" t="s">
        <v>567</v>
      </c>
      <c r="E1938" s="14" t="s">
        <v>19</v>
      </c>
      <c r="F1938" s="26" t="s">
        <v>977</v>
      </c>
      <c r="G1938" s="26"/>
      <c r="H1938" s="34"/>
      <c r="I1938" s="84">
        <v>94456.44</v>
      </c>
      <c r="J1938" s="136"/>
      <c r="K1938" s="118"/>
      <c r="L1938" s="34"/>
      <c r="M1938" s="84"/>
      <c r="N1938" s="38" t="s">
        <v>1162</v>
      </c>
      <c r="O1938" s="68"/>
      <c r="P1938" s="193">
        <v>46082</v>
      </c>
    </row>
    <row r="1939" spans="1:17" s="8" customFormat="1" ht="12.75" customHeight="1">
      <c r="A1939" s="13">
        <f t="shared" si="38"/>
        <v>1917</v>
      </c>
      <c r="B1939" s="54" t="s">
        <v>473</v>
      </c>
      <c r="C1939" s="14" t="s">
        <v>160</v>
      </c>
      <c r="D1939" s="15" t="s">
        <v>184</v>
      </c>
      <c r="E1939" s="14" t="s">
        <v>19</v>
      </c>
      <c r="F1939" s="26">
        <v>20</v>
      </c>
      <c r="G1939" s="26">
        <v>10</v>
      </c>
      <c r="H1939" s="34">
        <v>2044.11</v>
      </c>
      <c r="I1939" s="84"/>
      <c r="J1939" s="136">
        <v>2521.98</v>
      </c>
      <c r="K1939" s="118"/>
      <c r="L1939" s="34">
        <v>12976.59</v>
      </c>
      <c r="M1939" s="84"/>
      <c r="N1939" s="39" t="s">
        <v>644</v>
      </c>
      <c r="O1939" s="68">
        <v>606</v>
      </c>
      <c r="P1939" s="66">
        <v>41306</v>
      </c>
    </row>
    <row r="1940" spans="1:17" s="8" customFormat="1">
      <c r="A1940" s="13">
        <f t="shared" si="38"/>
        <v>1918</v>
      </c>
      <c r="B1940" s="54" t="s">
        <v>474</v>
      </c>
      <c r="C1940" s="14" t="s">
        <v>160</v>
      </c>
      <c r="D1940" s="15" t="s">
        <v>185</v>
      </c>
      <c r="E1940" s="14" t="s">
        <v>19</v>
      </c>
      <c r="F1940" s="26">
        <v>20</v>
      </c>
      <c r="G1940" s="26">
        <v>10</v>
      </c>
      <c r="H1940" s="34">
        <v>1956.91</v>
      </c>
      <c r="I1940" s="84"/>
      <c r="J1940" s="136">
        <v>2434.7800000000002</v>
      </c>
      <c r="K1940" s="118"/>
      <c r="L1940" s="34">
        <v>12976.59</v>
      </c>
      <c r="M1940" s="84"/>
      <c r="N1940" s="39" t="s">
        <v>644</v>
      </c>
      <c r="O1940" s="68">
        <v>606</v>
      </c>
      <c r="P1940" s="66">
        <v>41306</v>
      </c>
    </row>
    <row r="1941" spans="1:17" s="8" customFormat="1" ht="12.75" customHeight="1">
      <c r="A1941" s="13">
        <f t="shared" si="38"/>
        <v>1919</v>
      </c>
      <c r="B1941" s="54" t="s">
        <v>475</v>
      </c>
      <c r="C1941" s="16" t="s">
        <v>186</v>
      </c>
      <c r="D1941" s="15" t="s">
        <v>187</v>
      </c>
      <c r="E1941" s="14" t="s">
        <v>19</v>
      </c>
      <c r="F1941" s="26">
        <v>20</v>
      </c>
      <c r="G1941" s="26">
        <v>10</v>
      </c>
      <c r="H1941" s="34">
        <v>3276.42</v>
      </c>
      <c r="I1941" s="84"/>
      <c r="J1941" s="136">
        <v>4073.05</v>
      </c>
      <c r="K1941" s="118"/>
      <c r="L1941" s="34">
        <v>13796.21</v>
      </c>
      <c r="M1941" s="84"/>
      <c r="N1941" s="32" t="s">
        <v>644</v>
      </c>
      <c r="O1941" s="45">
        <v>606</v>
      </c>
      <c r="P1941" s="66">
        <v>41306</v>
      </c>
    </row>
    <row r="1942" spans="1:17" s="8" customFormat="1" ht="12.75" customHeight="1">
      <c r="A1942" s="13">
        <f t="shared" si="38"/>
        <v>1920</v>
      </c>
      <c r="B1942" s="54" t="s">
        <v>476</v>
      </c>
      <c r="C1942" s="14" t="s">
        <v>188</v>
      </c>
      <c r="D1942" s="15" t="s">
        <v>88</v>
      </c>
      <c r="E1942" s="14" t="s">
        <v>19</v>
      </c>
      <c r="F1942" s="26">
        <v>20</v>
      </c>
      <c r="G1942" s="26">
        <v>10</v>
      </c>
      <c r="H1942" s="34">
        <v>1745.72</v>
      </c>
      <c r="I1942" s="84"/>
      <c r="J1942" s="136">
        <v>2408.5</v>
      </c>
      <c r="K1942" s="118"/>
      <c r="L1942" s="34">
        <v>15019.75</v>
      </c>
      <c r="M1942" s="84"/>
      <c r="N1942" s="38" t="s">
        <v>643</v>
      </c>
      <c r="O1942" s="69">
        <v>609</v>
      </c>
      <c r="P1942" s="66">
        <v>43242</v>
      </c>
    </row>
    <row r="1943" spans="1:17" s="8" customFormat="1" ht="12.75" customHeight="1">
      <c r="A1943" s="13">
        <f t="shared" si="38"/>
        <v>1921</v>
      </c>
      <c r="B1943" s="54" t="s">
        <v>814</v>
      </c>
      <c r="C1943" s="14" t="s">
        <v>188</v>
      </c>
      <c r="D1943" s="15" t="s">
        <v>88</v>
      </c>
      <c r="E1943" s="14" t="s">
        <v>19</v>
      </c>
      <c r="F1943" s="26">
        <v>20</v>
      </c>
      <c r="G1943" s="26">
        <v>10</v>
      </c>
      <c r="H1943" s="34">
        <v>1745.72</v>
      </c>
      <c r="I1943" s="84">
        <v>1690.84</v>
      </c>
      <c r="J1943" s="136">
        <v>2408.5</v>
      </c>
      <c r="K1943" s="118">
        <v>2167.13</v>
      </c>
      <c r="L1943" s="34">
        <v>15019.75</v>
      </c>
      <c r="M1943" s="84">
        <v>15109.99</v>
      </c>
      <c r="N1943" s="38" t="s">
        <v>643</v>
      </c>
      <c r="O1943" s="69">
        <v>609</v>
      </c>
      <c r="P1943" s="66">
        <v>43617</v>
      </c>
    </row>
    <row r="1944" spans="1:17" s="8" customFormat="1" ht="12.75" customHeight="1">
      <c r="A1944" s="13">
        <f t="shared" si="38"/>
        <v>1922</v>
      </c>
      <c r="B1944" s="54" t="s">
        <v>477</v>
      </c>
      <c r="C1944" s="14" t="s">
        <v>189</v>
      </c>
      <c r="D1944" s="15" t="s">
        <v>190</v>
      </c>
      <c r="E1944" s="14" t="s">
        <v>19</v>
      </c>
      <c r="F1944" s="26">
        <v>20</v>
      </c>
      <c r="G1944" s="26">
        <v>10</v>
      </c>
      <c r="H1944" s="34">
        <v>1974.5</v>
      </c>
      <c r="I1944" s="84"/>
      <c r="J1944" s="136">
        <v>2871.42</v>
      </c>
      <c r="K1944" s="118"/>
      <c r="L1944" s="34">
        <v>13733.69</v>
      </c>
      <c r="M1944" s="84"/>
      <c r="N1944" s="99" t="s">
        <v>642</v>
      </c>
      <c r="O1944" s="68">
        <v>603</v>
      </c>
      <c r="P1944" s="66">
        <v>41306</v>
      </c>
    </row>
    <row r="1945" spans="1:17" s="8" customFormat="1" ht="12.75" customHeight="1">
      <c r="A1945" s="13">
        <f t="shared" si="38"/>
        <v>1923</v>
      </c>
      <c r="B1945" s="52" t="s">
        <v>478</v>
      </c>
      <c r="C1945" s="14" t="s">
        <v>188</v>
      </c>
      <c r="D1945" s="15" t="s">
        <v>175</v>
      </c>
      <c r="E1945" s="14" t="s">
        <v>19</v>
      </c>
      <c r="F1945" s="26">
        <v>20</v>
      </c>
      <c r="G1945" s="26">
        <v>10</v>
      </c>
      <c r="H1945" s="34">
        <v>1884.69</v>
      </c>
      <c r="I1945" s="84">
        <v>1793.97</v>
      </c>
      <c r="J1945" s="136">
        <v>2547.48</v>
      </c>
      <c r="K1945" s="118">
        <v>2270.27</v>
      </c>
      <c r="L1945" s="34">
        <v>15019.75</v>
      </c>
      <c r="M1945" s="84">
        <v>15109.99</v>
      </c>
      <c r="N1945" s="38" t="s">
        <v>643</v>
      </c>
      <c r="O1945" s="69">
        <v>609</v>
      </c>
      <c r="P1945" s="66">
        <v>43617</v>
      </c>
    </row>
    <row r="1946" spans="1:17" s="8" customFormat="1" ht="12.75" customHeight="1">
      <c r="A1946" s="13">
        <f t="shared" si="38"/>
        <v>1924</v>
      </c>
      <c r="B1946" s="54" t="s">
        <v>478</v>
      </c>
      <c r="C1946" s="14" t="s">
        <v>188</v>
      </c>
      <c r="D1946" s="15" t="s">
        <v>175</v>
      </c>
      <c r="E1946" s="23" t="s">
        <v>19</v>
      </c>
      <c r="F1946" s="26">
        <v>20</v>
      </c>
      <c r="G1946" s="26">
        <v>10</v>
      </c>
      <c r="H1946" s="34"/>
      <c r="I1946" s="84">
        <v>1793.97</v>
      </c>
      <c r="J1946" s="136"/>
      <c r="K1946" s="118">
        <v>2270.27</v>
      </c>
      <c r="L1946" s="34"/>
      <c r="M1946" s="84">
        <v>15109.99</v>
      </c>
      <c r="N1946" s="38" t="s">
        <v>643</v>
      </c>
      <c r="O1946" s="69"/>
      <c r="P1946" s="66">
        <v>44562</v>
      </c>
    </row>
    <row r="1947" spans="1:17" s="8" customFormat="1" ht="12.75" customHeight="1">
      <c r="A1947" s="13">
        <f t="shared" si="38"/>
        <v>1925</v>
      </c>
      <c r="B1947" s="32" t="s">
        <v>1070</v>
      </c>
      <c r="C1947" s="23" t="s">
        <v>564</v>
      </c>
      <c r="D1947" s="24" t="s">
        <v>565</v>
      </c>
      <c r="E1947" s="14" t="s">
        <v>19</v>
      </c>
      <c r="F1947" s="26">
        <v>20</v>
      </c>
      <c r="G1947" s="26">
        <v>10</v>
      </c>
      <c r="H1947" s="34">
        <v>1965.15</v>
      </c>
      <c r="I1947" s="84">
        <v>2001.62</v>
      </c>
      <c r="J1947" s="136">
        <v>3424.5</v>
      </c>
      <c r="K1947" s="118">
        <v>3497.46</v>
      </c>
      <c r="L1947" s="34">
        <v>13289.4</v>
      </c>
      <c r="M1947" s="84">
        <v>13423.97</v>
      </c>
      <c r="N1947" s="38" t="s">
        <v>640</v>
      </c>
      <c r="O1947" s="69">
        <v>589</v>
      </c>
      <c r="P1947" s="66">
        <v>43617</v>
      </c>
      <c r="Q1947" s="8" t="s">
        <v>1071</v>
      </c>
    </row>
    <row r="1948" spans="1:17" s="8" customFormat="1" ht="12.75" customHeight="1">
      <c r="A1948" s="13">
        <f t="shared" si="38"/>
        <v>1926</v>
      </c>
      <c r="B1948" s="32" t="s">
        <v>1070</v>
      </c>
      <c r="C1948" s="23" t="s">
        <v>1104</v>
      </c>
      <c r="D1948" s="24" t="s">
        <v>565</v>
      </c>
      <c r="E1948" s="14" t="s">
        <v>19</v>
      </c>
      <c r="F1948" s="26">
        <v>20</v>
      </c>
      <c r="G1948" s="26">
        <v>10</v>
      </c>
      <c r="H1948" s="34"/>
      <c r="I1948" s="84">
        <v>1270.25</v>
      </c>
      <c r="J1948" s="136"/>
      <c r="K1948" s="118">
        <v>1993.65</v>
      </c>
      <c r="L1948" s="34"/>
      <c r="M1948" s="84"/>
      <c r="N1948" s="38" t="s">
        <v>640</v>
      </c>
      <c r="O1948" s="69"/>
      <c r="P1948" s="66">
        <v>45078</v>
      </c>
    </row>
    <row r="1949" spans="1:17" s="8" customFormat="1" ht="12.75" customHeight="1">
      <c r="A1949" s="13">
        <f t="shared" si="38"/>
        <v>1927</v>
      </c>
      <c r="B1949" s="32" t="s">
        <v>1103</v>
      </c>
      <c r="C1949" s="23" t="s">
        <v>1104</v>
      </c>
      <c r="D1949" s="24" t="s">
        <v>565</v>
      </c>
      <c r="E1949" s="14" t="s">
        <v>19</v>
      </c>
      <c r="F1949" s="31" t="s">
        <v>977</v>
      </c>
      <c r="G1949" s="26"/>
      <c r="H1949" s="34"/>
      <c r="I1949" s="84">
        <v>5944.05</v>
      </c>
      <c r="J1949" s="136"/>
      <c r="K1949" s="118"/>
      <c r="L1949" s="34"/>
      <c r="M1949" s="84"/>
      <c r="N1949" s="38" t="s">
        <v>640</v>
      </c>
      <c r="O1949" s="69"/>
      <c r="P1949" s="66">
        <v>45078</v>
      </c>
    </row>
    <row r="1950" spans="1:17" s="8" customFormat="1" ht="12.75" customHeight="1">
      <c r="A1950" s="13">
        <f t="shared" si="38"/>
        <v>1928</v>
      </c>
      <c r="B1950" s="32" t="s">
        <v>1070</v>
      </c>
      <c r="C1950" s="23" t="s">
        <v>1104</v>
      </c>
      <c r="D1950" s="24" t="s">
        <v>565</v>
      </c>
      <c r="E1950" s="14" t="s">
        <v>19</v>
      </c>
      <c r="F1950" s="26">
        <v>20</v>
      </c>
      <c r="G1950" s="26">
        <v>10</v>
      </c>
      <c r="H1950" s="34"/>
      <c r="I1950" s="84">
        <v>1253.5</v>
      </c>
      <c r="J1950" s="136"/>
      <c r="K1950" s="118" t="s">
        <v>1151</v>
      </c>
      <c r="L1950" s="34"/>
      <c r="M1950" s="84" t="s">
        <v>1152</v>
      </c>
      <c r="N1950" s="38" t="s">
        <v>640</v>
      </c>
      <c r="O1950" s="69"/>
      <c r="P1950" s="66">
        <v>45352</v>
      </c>
    </row>
    <row r="1951" spans="1:17" s="8" customFormat="1" ht="12.75" customHeight="1">
      <c r="A1951" s="13">
        <f t="shared" si="38"/>
        <v>1929</v>
      </c>
      <c r="B1951" s="32" t="s">
        <v>1070</v>
      </c>
      <c r="C1951" s="23" t="s">
        <v>1104</v>
      </c>
      <c r="D1951" s="24" t="s">
        <v>565</v>
      </c>
      <c r="E1951" s="14" t="s">
        <v>19</v>
      </c>
      <c r="F1951" s="26">
        <v>19</v>
      </c>
      <c r="G1951" s="26">
        <v>11</v>
      </c>
      <c r="H1951" s="34"/>
      <c r="I1951" s="84">
        <v>1286.8</v>
      </c>
      <c r="J1951" s="136"/>
      <c r="K1951" s="118">
        <v>1771.22</v>
      </c>
      <c r="L1951" s="34"/>
      <c r="M1951" s="84"/>
      <c r="N1951" s="38" t="s">
        <v>640</v>
      </c>
      <c r="O1951" s="69"/>
      <c r="P1951" s="66">
        <v>45352</v>
      </c>
    </row>
    <row r="1952" spans="1:17" s="8" customFormat="1" ht="12.75" customHeight="1">
      <c r="A1952" s="13">
        <f t="shared" si="38"/>
        <v>1930</v>
      </c>
      <c r="B1952" s="32" t="s">
        <v>1070</v>
      </c>
      <c r="C1952" s="23" t="s">
        <v>1104</v>
      </c>
      <c r="D1952" s="24" t="s">
        <v>565</v>
      </c>
      <c r="E1952" s="14" t="s">
        <v>19</v>
      </c>
      <c r="F1952" s="26">
        <v>18</v>
      </c>
      <c r="G1952" s="26">
        <v>12</v>
      </c>
      <c r="H1952" s="34"/>
      <c r="I1952" s="84">
        <v>1323.81</v>
      </c>
      <c r="J1952" s="136"/>
      <c r="K1952" s="118">
        <v>1675.34</v>
      </c>
      <c r="L1952" s="34"/>
      <c r="M1952" s="84"/>
      <c r="N1952" s="38" t="s">
        <v>640</v>
      </c>
      <c r="O1952" s="69"/>
      <c r="P1952" s="66">
        <v>45352</v>
      </c>
    </row>
    <row r="1953" spans="1:16" s="8" customFormat="1" ht="12.75" customHeight="1">
      <c r="A1953" s="13">
        <f t="shared" si="38"/>
        <v>1931</v>
      </c>
      <c r="B1953" s="32" t="s">
        <v>1070</v>
      </c>
      <c r="C1953" s="23" t="s">
        <v>1104</v>
      </c>
      <c r="D1953" s="24" t="s">
        <v>565</v>
      </c>
      <c r="E1953" s="14" t="s">
        <v>19</v>
      </c>
      <c r="F1953" s="26">
        <v>17</v>
      </c>
      <c r="G1953" s="26">
        <v>13</v>
      </c>
      <c r="H1953" s="34"/>
      <c r="I1953" s="84">
        <v>1365.18</v>
      </c>
      <c r="J1953" s="136"/>
      <c r="K1953" s="118">
        <v>1594.22</v>
      </c>
      <c r="L1953" s="34"/>
      <c r="M1953" s="84"/>
      <c r="N1953" s="38" t="s">
        <v>640</v>
      </c>
      <c r="O1953" s="69"/>
      <c r="P1953" s="66">
        <v>45352</v>
      </c>
    </row>
    <row r="1954" spans="1:16" s="8" customFormat="1" ht="12.75" customHeight="1">
      <c r="A1954" s="13">
        <f t="shared" si="38"/>
        <v>1932</v>
      </c>
      <c r="B1954" s="32" t="s">
        <v>1070</v>
      </c>
      <c r="C1954" s="23" t="s">
        <v>1104</v>
      </c>
      <c r="D1954" s="24" t="s">
        <v>565</v>
      </c>
      <c r="E1954" s="14" t="s">
        <v>19</v>
      </c>
      <c r="F1954" s="26">
        <v>16</v>
      </c>
      <c r="G1954" s="26">
        <v>14</v>
      </c>
      <c r="H1954" s="34"/>
      <c r="I1954" s="84">
        <v>1411.71</v>
      </c>
      <c r="J1954" s="136"/>
      <c r="K1954" s="118">
        <v>1524.68</v>
      </c>
      <c r="L1954" s="34"/>
      <c r="M1954" s="84"/>
      <c r="N1954" s="38" t="s">
        <v>640</v>
      </c>
      <c r="O1954" s="69"/>
      <c r="P1954" s="66">
        <v>45352</v>
      </c>
    </row>
    <row r="1955" spans="1:16" s="8" customFormat="1" ht="12.75" customHeight="1">
      <c r="A1955" s="13">
        <f t="shared" si="38"/>
        <v>1933</v>
      </c>
      <c r="B1955" s="32" t="s">
        <v>1070</v>
      </c>
      <c r="C1955" s="23" t="s">
        <v>1104</v>
      </c>
      <c r="D1955" s="24" t="s">
        <v>565</v>
      </c>
      <c r="E1955" s="14" t="s">
        <v>19</v>
      </c>
      <c r="F1955" s="26">
        <v>15</v>
      </c>
      <c r="G1955" s="26"/>
      <c r="H1955" s="34"/>
      <c r="I1955" s="84">
        <v>1464.43</v>
      </c>
      <c r="J1955" s="136"/>
      <c r="K1955" s="118"/>
      <c r="L1955" s="34"/>
      <c r="M1955" s="84"/>
      <c r="N1955" s="38" t="s">
        <v>640</v>
      </c>
      <c r="O1955" s="69"/>
      <c r="P1955" s="66">
        <v>45352</v>
      </c>
    </row>
    <row r="1956" spans="1:16" s="8" customFormat="1" ht="12.75" customHeight="1">
      <c r="A1956" s="13">
        <f t="shared" si="38"/>
        <v>1934</v>
      </c>
      <c r="B1956" s="156" t="s">
        <v>1070</v>
      </c>
      <c r="C1956" s="23" t="s">
        <v>1104</v>
      </c>
      <c r="D1956" s="24" t="s">
        <v>565</v>
      </c>
      <c r="E1956" s="14" t="s">
        <v>19</v>
      </c>
      <c r="F1956" s="26">
        <v>20</v>
      </c>
      <c r="G1956" s="26">
        <v>10</v>
      </c>
      <c r="H1956" s="34"/>
      <c r="I1956" s="84">
        <v>1966.42</v>
      </c>
      <c r="J1956" s="136"/>
      <c r="K1956" s="118">
        <v>3208.64</v>
      </c>
      <c r="L1956" s="34"/>
      <c r="M1956" s="84">
        <v>24844.240000000002</v>
      </c>
      <c r="N1956" s="38" t="s">
        <v>640</v>
      </c>
      <c r="O1956" s="69"/>
      <c r="P1956" s="66">
        <v>45689</v>
      </c>
    </row>
    <row r="1957" spans="1:16" s="8" customFormat="1" ht="12.75" customHeight="1">
      <c r="A1957" s="13">
        <f t="shared" si="38"/>
        <v>1935</v>
      </c>
      <c r="B1957" s="156" t="s">
        <v>1070</v>
      </c>
      <c r="C1957" s="23" t="s">
        <v>1104</v>
      </c>
      <c r="D1957" s="24" t="s">
        <v>565</v>
      </c>
      <c r="E1957" s="14" t="s">
        <v>19</v>
      </c>
      <c r="F1957" s="26">
        <v>19</v>
      </c>
      <c r="G1957" s="26">
        <v>11</v>
      </c>
      <c r="H1957" s="34"/>
      <c r="I1957" s="84">
        <v>2031.83</v>
      </c>
      <c r="J1957" s="136"/>
      <c r="K1957" s="118">
        <v>2982.79</v>
      </c>
      <c r="L1957" s="34"/>
      <c r="M1957" s="84"/>
      <c r="N1957" s="38" t="s">
        <v>640</v>
      </c>
      <c r="O1957" s="69"/>
      <c r="P1957" s="66">
        <v>45689</v>
      </c>
    </row>
    <row r="1958" spans="1:16" s="8" customFormat="1" ht="12.75" customHeight="1">
      <c r="A1958" s="13">
        <f t="shared" si="38"/>
        <v>1936</v>
      </c>
      <c r="B1958" s="156" t="s">
        <v>1070</v>
      </c>
      <c r="C1958" s="23" t="s">
        <v>1104</v>
      </c>
      <c r="D1958" s="24" t="s">
        <v>565</v>
      </c>
      <c r="E1958" s="14" t="s">
        <v>19</v>
      </c>
      <c r="F1958" s="26">
        <v>18</v>
      </c>
      <c r="G1958" s="26">
        <v>12</v>
      </c>
      <c r="H1958" s="34"/>
      <c r="I1958" s="84">
        <v>2104.42</v>
      </c>
      <c r="J1958" s="136"/>
      <c r="K1958" s="118">
        <v>2794.56</v>
      </c>
      <c r="L1958" s="34"/>
      <c r="M1958" s="84"/>
      <c r="N1958" s="38" t="s">
        <v>640</v>
      </c>
      <c r="O1958" s="69"/>
      <c r="P1958" s="66">
        <v>45689</v>
      </c>
    </row>
    <row r="1959" spans="1:16" s="8" customFormat="1" ht="12.75" customHeight="1">
      <c r="A1959" s="13">
        <f t="shared" si="38"/>
        <v>1937</v>
      </c>
      <c r="B1959" s="156" t="s">
        <v>1070</v>
      </c>
      <c r="C1959" s="23" t="s">
        <v>1104</v>
      </c>
      <c r="D1959" s="24" t="s">
        <v>565</v>
      </c>
      <c r="E1959" s="14" t="s">
        <v>19</v>
      </c>
      <c r="F1959" s="26">
        <v>17</v>
      </c>
      <c r="G1959" s="26">
        <v>13</v>
      </c>
      <c r="H1959" s="34"/>
      <c r="I1959" s="84">
        <v>2185.64</v>
      </c>
      <c r="J1959" s="136"/>
      <c r="K1959" s="118">
        <v>2635.31</v>
      </c>
      <c r="L1959" s="34"/>
      <c r="M1959" s="84"/>
      <c r="N1959" s="38" t="s">
        <v>640</v>
      </c>
      <c r="O1959" s="69"/>
      <c r="P1959" s="66">
        <v>45689</v>
      </c>
    </row>
    <row r="1960" spans="1:16" s="8" customFormat="1" ht="12.75" customHeight="1">
      <c r="A1960" s="13">
        <f t="shared" si="38"/>
        <v>1938</v>
      </c>
      <c r="B1960" s="156" t="s">
        <v>1070</v>
      </c>
      <c r="C1960" s="23" t="s">
        <v>1104</v>
      </c>
      <c r="D1960" s="24" t="s">
        <v>565</v>
      </c>
      <c r="E1960" s="14" t="s">
        <v>19</v>
      </c>
      <c r="F1960" s="26">
        <v>16</v>
      </c>
      <c r="G1960" s="26">
        <v>14</v>
      </c>
      <c r="H1960" s="34"/>
      <c r="I1960" s="84">
        <v>2276.9699999999998</v>
      </c>
      <c r="J1960" s="136"/>
      <c r="K1960" s="118">
        <v>2498.89</v>
      </c>
      <c r="L1960" s="34"/>
      <c r="M1960" s="84"/>
      <c r="N1960" s="38" t="s">
        <v>640</v>
      </c>
      <c r="O1960" s="69"/>
      <c r="P1960" s="66">
        <v>45689</v>
      </c>
    </row>
    <row r="1961" spans="1:16" s="8" customFormat="1" ht="12.75" customHeight="1">
      <c r="A1961" s="13">
        <f t="shared" si="38"/>
        <v>1939</v>
      </c>
      <c r="B1961" s="156" t="s">
        <v>1070</v>
      </c>
      <c r="C1961" s="23" t="s">
        <v>1104</v>
      </c>
      <c r="D1961" s="24" t="s">
        <v>565</v>
      </c>
      <c r="E1961" s="14" t="s">
        <v>19</v>
      </c>
      <c r="F1961" s="26">
        <v>15</v>
      </c>
      <c r="G1961" s="26"/>
      <c r="H1961" s="34"/>
      <c r="I1961" s="84">
        <v>2380.4899999999998</v>
      </c>
      <c r="J1961" s="136"/>
      <c r="K1961" s="118"/>
      <c r="L1961" s="34"/>
      <c r="M1961" s="84"/>
      <c r="N1961" s="38" t="s">
        <v>640</v>
      </c>
      <c r="O1961" s="69"/>
      <c r="P1961" s="66">
        <v>45689</v>
      </c>
    </row>
    <row r="1962" spans="1:16" s="8" customFormat="1" ht="12.75" customHeight="1">
      <c r="A1962" s="13">
        <f t="shared" si="38"/>
        <v>1940</v>
      </c>
      <c r="B1962" s="32" t="s">
        <v>1103</v>
      </c>
      <c r="C1962" s="23" t="s">
        <v>1104</v>
      </c>
      <c r="D1962" s="24" t="s">
        <v>565</v>
      </c>
      <c r="E1962" s="14" t="s">
        <v>19</v>
      </c>
      <c r="F1962" s="31" t="s">
        <v>977</v>
      </c>
      <c r="G1962" s="26"/>
      <c r="H1962" s="34"/>
      <c r="I1962" s="84">
        <v>56180.53</v>
      </c>
      <c r="J1962" s="136"/>
      <c r="K1962" s="118"/>
      <c r="L1962" s="34"/>
      <c r="M1962" s="84"/>
      <c r="N1962" s="38" t="s">
        <v>640</v>
      </c>
      <c r="O1962" s="69"/>
      <c r="P1962" s="66">
        <v>45352</v>
      </c>
    </row>
    <row r="1963" spans="1:16" s="8" customFormat="1" ht="12.75" customHeight="1">
      <c r="A1963" s="13">
        <f t="shared" si="38"/>
        <v>1941</v>
      </c>
      <c r="B1963" s="156" t="s">
        <v>1103</v>
      </c>
      <c r="C1963" s="23" t="s">
        <v>1104</v>
      </c>
      <c r="D1963" s="24" t="s">
        <v>565</v>
      </c>
      <c r="E1963" s="14" t="s">
        <v>19</v>
      </c>
      <c r="F1963" s="31" t="s">
        <v>977</v>
      </c>
      <c r="G1963" s="26"/>
      <c r="H1963" s="34"/>
      <c r="I1963" s="84">
        <v>85130.76</v>
      </c>
      <c r="J1963" s="136"/>
      <c r="K1963" s="118"/>
      <c r="L1963" s="34"/>
      <c r="M1963" s="84"/>
      <c r="N1963" s="38" t="s">
        <v>640</v>
      </c>
      <c r="O1963" s="69"/>
      <c r="P1963" s="66">
        <v>45689</v>
      </c>
    </row>
    <row r="1964" spans="1:16" s="8" customFormat="1" ht="12.75" customHeight="1">
      <c r="A1964" s="13">
        <f t="shared" si="38"/>
        <v>1942</v>
      </c>
      <c r="B1964" s="54" t="s">
        <v>480</v>
      </c>
      <c r="C1964" s="14" t="s">
        <v>160</v>
      </c>
      <c r="D1964" s="15" t="s">
        <v>191</v>
      </c>
      <c r="E1964" s="14" t="s">
        <v>19</v>
      </c>
      <c r="F1964" s="26">
        <v>20</v>
      </c>
      <c r="G1964" s="26">
        <v>10</v>
      </c>
      <c r="H1964" s="34">
        <v>1797.99</v>
      </c>
      <c r="I1964" s="84"/>
      <c r="J1964" s="136">
        <v>2313.5300000000002</v>
      </c>
      <c r="K1964" s="118"/>
      <c r="L1964" s="34">
        <v>14106.58</v>
      </c>
      <c r="M1964" s="84"/>
      <c r="N1964" s="39" t="s">
        <v>644</v>
      </c>
      <c r="O1964" s="68">
        <v>606</v>
      </c>
      <c r="P1964" s="66">
        <v>41699</v>
      </c>
    </row>
    <row r="1965" spans="1:16" s="8" customFormat="1" ht="12.75" customHeight="1">
      <c r="A1965" s="13">
        <f t="shared" si="38"/>
        <v>1943</v>
      </c>
      <c r="B1965" s="54" t="s">
        <v>481</v>
      </c>
      <c r="C1965" s="24" t="s">
        <v>272</v>
      </c>
      <c r="D1965" s="52" t="s">
        <v>273</v>
      </c>
      <c r="E1965" s="23" t="s">
        <v>13</v>
      </c>
      <c r="F1965" s="26">
        <v>20</v>
      </c>
      <c r="G1965" s="26">
        <v>10</v>
      </c>
      <c r="H1965" s="34">
        <v>1023.08</v>
      </c>
      <c r="I1965" s="84">
        <v>1008.9</v>
      </c>
      <c r="J1965" s="136">
        <v>1490.14</v>
      </c>
      <c r="K1965" s="118">
        <v>1461.77</v>
      </c>
      <c r="L1965" s="34"/>
      <c r="M1965" s="84"/>
      <c r="N1965" s="38" t="s">
        <v>796</v>
      </c>
      <c r="O1965" s="69">
        <v>604</v>
      </c>
      <c r="P1965" s="66">
        <v>43617</v>
      </c>
    </row>
    <row r="1966" spans="1:16" s="8" customFormat="1" ht="12.75" customHeight="1">
      <c r="A1966" s="13">
        <f t="shared" si="38"/>
        <v>1944</v>
      </c>
      <c r="B1966" s="54" t="s">
        <v>482</v>
      </c>
      <c r="C1966" s="24" t="s">
        <v>274</v>
      </c>
      <c r="D1966" s="52" t="s">
        <v>275</v>
      </c>
      <c r="E1966" s="23" t="s">
        <v>13</v>
      </c>
      <c r="F1966" s="26">
        <v>20</v>
      </c>
      <c r="G1966" s="26">
        <v>10</v>
      </c>
      <c r="H1966" s="34">
        <v>1008.31</v>
      </c>
      <c r="I1966" s="84"/>
      <c r="J1966" s="136">
        <v>1457.42</v>
      </c>
      <c r="K1966" s="118"/>
      <c r="L1966" s="35" t="s">
        <v>747</v>
      </c>
      <c r="M1966" s="85"/>
      <c r="N1966" s="38"/>
      <c r="O1966" s="68"/>
      <c r="P1966" s="51"/>
    </row>
    <row r="1967" spans="1:16" s="8" customFormat="1" ht="12.75" customHeight="1">
      <c r="A1967" s="13">
        <f t="shared" si="38"/>
        <v>1945</v>
      </c>
      <c r="B1967" s="54" t="s">
        <v>483</v>
      </c>
      <c r="C1967" s="24" t="s">
        <v>274</v>
      </c>
      <c r="D1967" s="52" t="s">
        <v>276</v>
      </c>
      <c r="E1967" s="23" t="s">
        <v>13</v>
      </c>
      <c r="F1967" s="26">
        <v>20</v>
      </c>
      <c r="G1967" s="26">
        <v>10</v>
      </c>
      <c r="H1967" s="34">
        <v>1039.3399999999999</v>
      </c>
      <c r="I1967" s="84"/>
      <c r="J1967" s="136">
        <v>1488.45</v>
      </c>
      <c r="K1967" s="118"/>
      <c r="L1967" s="35" t="s">
        <v>747</v>
      </c>
      <c r="M1967" s="85"/>
      <c r="N1967" s="38"/>
      <c r="O1967" s="68"/>
      <c r="P1967" s="51"/>
    </row>
    <row r="1968" spans="1:16" s="8" customFormat="1" ht="12.75" customHeight="1">
      <c r="A1968" s="13">
        <f t="shared" si="38"/>
        <v>1946</v>
      </c>
      <c r="B1968" s="54" t="s">
        <v>484</v>
      </c>
      <c r="C1968" s="24" t="s">
        <v>274</v>
      </c>
      <c r="D1968" s="52" t="s">
        <v>277</v>
      </c>
      <c r="E1968" s="23" t="s">
        <v>13</v>
      </c>
      <c r="F1968" s="26">
        <v>20</v>
      </c>
      <c r="G1968" s="26">
        <v>10</v>
      </c>
      <c r="H1968" s="34">
        <v>1023.83</v>
      </c>
      <c r="I1968" s="84"/>
      <c r="J1968" s="136">
        <v>1472.93</v>
      </c>
      <c r="K1968" s="118"/>
      <c r="L1968" s="35" t="s">
        <v>747</v>
      </c>
      <c r="M1968" s="85"/>
      <c r="N1968" s="38"/>
      <c r="O1968" s="68"/>
      <c r="P1968" s="51"/>
    </row>
    <row r="1969" spans="1:16" s="8" customFormat="1" ht="12.75" customHeight="1">
      <c r="A1969" s="13">
        <f t="shared" si="38"/>
        <v>1947</v>
      </c>
      <c r="B1969" s="54" t="s">
        <v>773</v>
      </c>
      <c r="C1969" s="14" t="s">
        <v>160</v>
      </c>
      <c r="D1969" s="52" t="s">
        <v>695</v>
      </c>
      <c r="E1969" s="23" t="s">
        <v>13</v>
      </c>
      <c r="F1969" s="27">
        <v>20</v>
      </c>
      <c r="G1969" s="27">
        <v>10</v>
      </c>
      <c r="H1969" s="34">
        <v>919.33</v>
      </c>
      <c r="I1969" s="84"/>
      <c r="J1969" s="136">
        <v>1543.01</v>
      </c>
      <c r="K1969" s="118"/>
      <c r="L1969" s="35"/>
      <c r="M1969" s="85"/>
      <c r="N1969" s="39" t="s">
        <v>644</v>
      </c>
      <c r="O1969" s="68">
        <v>606</v>
      </c>
      <c r="P1969" s="66">
        <v>43101</v>
      </c>
    </row>
    <row r="1970" spans="1:16" s="8" customFormat="1" ht="12.75" customHeight="1">
      <c r="A1970" s="13">
        <f t="shared" si="38"/>
        <v>1948</v>
      </c>
      <c r="B1970" s="54" t="s">
        <v>870</v>
      </c>
      <c r="C1970" s="14" t="s">
        <v>160</v>
      </c>
      <c r="D1970" s="52" t="s">
        <v>871</v>
      </c>
      <c r="E1970" s="23" t="s">
        <v>13</v>
      </c>
      <c r="F1970" s="27">
        <v>20</v>
      </c>
      <c r="G1970" s="27">
        <v>10</v>
      </c>
      <c r="H1970" s="34"/>
      <c r="I1970" s="84">
        <v>882.38</v>
      </c>
      <c r="J1970" s="136"/>
      <c r="K1970" s="118">
        <v>1506.06</v>
      </c>
      <c r="L1970" s="35"/>
      <c r="M1970" s="85"/>
      <c r="N1970" s="39" t="s">
        <v>644</v>
      </c>
      <c r="O1970" s="68" t="s">
        <v>865</v>
      </c>
      <c r="P1970" s="66">
        <v>43101</v>
      </c>
    </row>
    <row r="1971" spans="1:16" s="8" customFormat="1" ht="12.75" customHeight="1">
      <c r="A1971" s="13">
        <f t="shared" si="38"/>
        <v>1949</v>
      </c>
      <c r="B1971" s="54" t="s">
        <v>778</v>
      </c>
      <c r="C1971" s="14" t="s">
        <v>160</v>
      </c>
      <c r="D1971" s="52" t="s">
        <v>695</v>
      </c>
      <c r="E1971" s="23" t="s">
        <v>19</v>
      </c>
      <c r="F1971" s="27">
        <v>20</v>
      </c>
      <c r="G1971" s="27">
        <v>10</v>
      </c>
      <c r="H1971" s="34">
        <v>1629.95</v>
      </c>
      <c r="I1971" s="84"/>
      <c r="J1971" s="136">
        <v>2964.22</v>
      </c>
      <c r="K1971" s="118"/>
      <c r="L1971" s="35"/>
      <c r="M1971" s="85"/>
      <c r="N1971" s="39" t="s">
        <v>644</v>
      </c>
      <c r="O1971" s="68">
        <v>606</v>
      </c>
      <c r="P1971" s="66">
        <v>43101</v>
      </c>
    </row>
    <row r="1972" spans="1:16" s="8" customFormat="1" ht="12.75" customHeight="1">
      <c r="A1972" s="13">
        <f t="shared" si="38"/>
        <v>1950</v>
      </c>
      <c r="B1972" s="54" t="s">
        <v>777</v>
      </c>
      <c r="C1972" s="14" t="s">
        <v>160</v>
      </c>
      <c r="D1972" s="52" t="s">
        <v>774</v>
      </c>
      <c r="E1972" s="23" t="s">
        <v>19</v>
      </c>
      <c r="F1972" s="27">
        <v>20</v>
      </c>
      <c r="G1972" s="27">
        <v>10</v>
      </c>
      <c r="H1972" s="34">
        <v>1593</v>
      </c>
      <c r="I1972" s="84"/>
      <c r="J1972" s="136">
        <v>2927.28</v>
      </c>
      <c r="K1972" s="118"/>
      <c r="L1972" s="35"/>
      <c r="M1972" s="85"/>
      <c r="N1972" s="39" t="s">
        <v>644</v>
      </c>
      <c r="O1972" s="68">
        <v>606</v>
      </c>
      <c r="P1972" s="66">
        <v>43101</v>
      </c>
    </row>
    <row r="1973" spans="1:16" s="8" customFormat="1" ht="12.75" customHeight="1">
      <c r="A1973" s="13">
        <f t="shared" si="38"/>
        <v>1951</v>
      </c>
      <c r="B1973" s="54" t="s">
        <v>776</v>
      </c>
      <c r="C1973" s="14" t="s">
        <v>160</v>
      </c>
      <c r="D1973" s="52" t="s">
        <v>775</v>
      </c>
      <c r="E1973" s="23" t="s">
        <v>19</v>
      </c>
      <c r="F1973" s="27">
        <v>20</v>
      </c>
      <c r="G1973" s="27">
        <v>10</v>
      </c>
      <c r="H1973" s="34">
        <v>1611.47</v>
      </c>
      <c r="I1973" s="84"/>
      <c r="J1973" s="136">
        <v>2945.75</v>
      </c>
      <c r="K1973" s="118"/>
      <c r="L1973" s="35">
        <v>16594.91</v>
      </c>
      <c r="M1973" s="85"/>
      <c r="N1973" s="39" t="s">
        <v>644</v>
      </c>
      <c r="O1973" s="68">
        <v>606</v>
      </c>
      <c r="P1973" s="66">
        <v>43101</v>
      </c>
    </row>
    <row r="1974" spans="1:16" s="8" customFormat="1" ht="12.75" customHeight="1">
      <c r="A1974" s="13">
        <f t="shared" si="38"/>
        <v>1952</v>
      </c>
      <c r="B1974" s="54" t="s">
        <v>485</v>
      </c>
      <c r="C1974" s="14" t="s">
        <v>160</v>
      </c>
      <c r="D1974" s="52" t="s">
        <v>279</v>
      </c>
      <c r="E1974" s="23" t="s">
        <v>19</v>
      </c>
      <c r="F1974" s="26">
        <v>20</v>
      </c>
      <c r="G1974" s="26">
        <v>10</v>
      </c>
      <c r="H1974" s="34">
        <v>2237.4</v>
      </c>
      <c r="I1974" s="84"/>
      <c r="J1974" s="136">
        <v>3571.67</v>
      </c>
      <c r="K1974" s="118"/>
      <c r="L1974" s="34">
        <v>16594.91</v>
      </c>
      <c r="M1974" s="84"/>
      <c r="N1974" s="39" t="s">
        <v>644</v>
      </c>
      <c r="O1974" s="68">
        <v>606</v>
      </c>
      <c r="P1974" s="66">
        <v>43101</v>
      </c>
    </row>
    <row r="1975" spans="1:16" s="8" customFormat="1" ht="12.75" customHeight="1">
      <c r="A1975" s="13">
        <f t="shared" si="38"/>
        <v>1953</v>
      </c>
      <c r="B1975" s="54" t="s">
        <v>486</v>
      </c>
      <c r="C1975" s="14" t="s">
        <v>160</v>
      </c>
      <c r="D1975" s="52" t="s">
        <v>279</v>
      </c>
      <c r="E1975" s="23" t="s">
        <v>13</v>
      </c>
      <c r="F1975" s="26">
        <v>20</v>
      </c>
      <c r="G1975" s="26">
        <v>10</v>
      </c>
      <c r="H1975" s="34">
        <v>1526.77</v>
      </c>
      <c r="I1975" s="84"/>
      <c r="J1975" s="136">
        <v>2150.46</v>
      </c>
      <c r="K1975" s="118"/>
      <c r="L1975" s="34"/>
      <c r="M1975" s="84"/>
      <c r="N1975" s="39" t="s">
        <v>644</v>
      </c>
      <c r="O1975" s="68">
        <v>606</v>
      </c>
      <c r="P1975" s="66">
        <v>43101</v>
      </c>
    </row>
    <row r="1976" spans="1:16" s="8" customFormat="1" ht="12.75" customHeight="1">
      <c r="A1976" s="13">
        <f t="shared" si="38"/>
        <v>1954</v>
      </c>
      <c r="B1976" s="54" t="s">
        <v>677</v>
      </c>
      <c r="C1976" s="23" t="s">
        <v>280</v>
      </c>
      <c r="D1976" s="52" t="s">
        <v>273</v>
      </c>
      <c r="E1976" s="23" t="s">
        <v>19</v>
      </c>
      <c r="F1976" s="26">
        <v>20</v>
      </c>
      <c r="G1976" s="26">
        <v>10</v>
      </c>
      <c r="H1976" s="34">
        <v>1897.34</v>
      </c>
      <c r="I1976" s="84">
        <v>1933.82</v>
      </c>
      <c r="J1976" s="136">
        <v>2603.37</v>
      </c>
      <c r="K1976" s="118">
        <v>2644.35</v>
      </c>
      <c r="L1976" s="34">
        <v>12977.69</v>
      </c>
      <c r="M1976" s="84">
        <v>13112.27</v>
      </c>
      <c r="N1976" s="38" t="s">
        <v>796</v>
      </c>
      <c r="O1976" s="69">
        <v>604</v>
      </c>
      <c r="P1976" s="66">
        <v>43617</v>
      </c>
    </row>
    <row r="1977" spans="1:16" s="8" customFormat="1" ht="12.75" customHeight="1">
      <c r="A1977" s="13">
        <f t="shared" si="38"/>
        <v>1955</v>
      </c>
      <c r="B1977" s="54" t="s">
        <v>488</v>
      </c>
      <c r="C1977" s="14" t="s">
        <v>160</v>
      </c>
      <c r="D1977" s="52" t="s">
        <v>281</v>
      </c>
      <c r="E1977" s="23" t="s">
        <v>13</v>
      </c>
      <c r="F1977" s="26">
        <v>20</v>
      </c>
      <c r="G1977" s="26">
        <v>10</v>
      </c>
      <c r="H1977" s="34">
        <v>1375.09</v>
      </c>
      <c r="I1977" s="84"/>
      <c r="J1977" s="136">
        <v>1994.91</v>
      </c>
      <c r="K1977" s="118"/>
      <c r="L1977" s="35" t="s">
        <v>747</v>
      </c>
      <c r="M1977" s="85"/>
      <c r="N1977" s="39" t="s">
        <v>644</v>
      </c>
      <c r="O1977" s="68">
        <v>606</v>
      </c>
      <c r="P1977" s="66">
        <v>42712</v>
      </c>
    </row>
    <row r="1978" spans="1:16" s="8" customFormat="1" ht="12.75" customHeight="1">
      <c r="A1978" s="13">
        <f t="shared" si="38"/>
        <v>1956</v>
      </c>
      <c r="B1978" s="54" t="s">
        <v>489</v>
      </c>
      <c r="C1978" s="23" t="s">
        <v>290</v>
      </c>
      <c r="D1978" s="52" t="s">
        <v>291</v>
      </c>
      <c r="E1978" s="23" t="s">
        <v>13</v>
      </c>
      <c r="F1978" s="31" t="s">
        <v>728</v>
      </c>
      <c r="G1978" s="31" t="s">
        <v>729</v>
      </c>
      <c r="H1978" s="34">
        <v>199743.83</v>
      </c>
      <c r="I1978" s="84"/>
      <c r="J1978" s="136">
        <v>59662.36</v>
      </c>
      <c r="K1978" s="118"/>
      <c r="L1978" s="35" t="s">
        <v>262</v>
      </c>
      <c r="M1978" s="85"/>
      <c r="N1978" s="99" t="s">
        <v>642</v>
      </c>
      <c r="O1978" s="68">
        <v>597</v>
      </c>
      <c r="P1978" s="66">
        <v>41275</v>
      </c>
    </row>
    <row r="1979" spans="1:16" s="8" customFormat="1" ht="12.75" customHeight="1">
      <c r="A1979" s="13">
        <f t="shared" si="38"/>
        <v>1957</v>
      </c>
      <c r="B1979" s="54" t="s">
        <v>490</v>
      </c>
      <c r="C1979" s="23" t="s">
        <v>290</v>
      </c>
      <c r="D1979" s="52" t="s">
        <v>295</v>
      </c>
      <c r="E1979" s="23" t="s">
        <v>13</v>
      </c>
      <c r="F1979" s="31" t="s">
        <v>542</v>
      </c>
      <c r="G1979" s="31" t="s">
        <v>636</v>
      </c>
      <c r="H1979" s="34">
        <v>137547.91</v>
      </c>
      <c r="I1979" s="84"/>
      <c r="J1979" s="136">
        <v>41420.1</v>
      </c>
      <c r="K1979" s="118"/>
      <c r="L1979" s="35" t="s">
        <v>262</v>
      </c>
      <c r="M1979" s="85"/>
      <c r="N1979" s="99" t="s">
        <v>642</v>
      </c>
      <c r="O1979" s="68">
        <v>597</v>
      </c>
      <c r="P1979" s="66">
        <v>41275</v>
      </c>
    </row>
    <row r="1980" spans="1:16" s="8" customFormat="1" ht="12.75" customHeight="1">
      <c r="A1980" s="13">
        <f t="shared" si="38"/>
        <v>1958</v>
      </c>
      <c r="B1980" s="54" t="s">
        <v>491</v>
      </c>
      <c r="C1980" s="23" t="s">
        <v>158</v>
      </c>
      <c r="D1980" s="52" t="s">
        <v>297</v>
      </c>
      <c r="E1980" s="23" t="s">
        <v>13</v>
      </c>
      <c r="F1980" s="26">
        <v>18</v>
      </c>
      <c r="G1980" s="26">
        <v>10</v>
      </c>
      <c r="H1980" s="34">
        <v>1174.53</v>
      </c>
      <c r="I1980" s="84"/>
      <c r="J1980" s="136">
        <v>1642.7</v>
      </c>
      <c r="K1980" s="118"/>
      <c r="L1980" s="35" t="s">
        <v>262</v>
      </c>
      <c r="M1980" s="85"/>
      <c r="N1980" s="107" t="s">
        <v>820</v>
      </c>
      <c r="O1980" s="68"/>
      <c r="P1980" s="66">
        <v>41275</v>
      </c>
    </row>
    <row r="1981" spans="1:16" s="8" customFormat="1" ht="12.75" customHeight="1">
      <c r="A1981" s="13">
        <f t="shared" si="38"/>
        <v>1959</v>
      </c>
      <c r="B1981" s="54" t="s">
        <v>492</v>
      </c>
      <c r="C1981" s="23" t="s">
        <v>158</v>
      </c>
      <c r="D1981" s="52" t="s">
        <v>298</v>
      </c>
      <c r="E1981" s="23" t="s">
        <v>13</v>
      </c>
      <c r="F1981" s="26">
        <v>18</v>
      </c>
      <c r="G1981" s="26">
        <v>10</v>
      </c>
      <c r="H1981" s="34">
        <v>1219</v>
      </c>
      <c r="I1981" s="84"/>
      <c r="J1981" s="136">
        <v>1687.15</v>
      </c>
      <c r="K1981" s="118"/>
      <c r="L1981" s="35" t="s">
        <v>262</v>
      </c>
      <c r="M1981" s="85"/>
      <c r="N1981" s="107" t="s">
        <v>820</v>
      </c>
      <c r="O1981" s="68"/>
      <c r="P1981" s="66">
        <v>41275</v>
      </c>
    </row>
    <row r="1982" spans="1:16" s="8" customFormat="1" ht="12.75" customHeight="1">
      <c r="A1982" s="13">
        <f t="shared" si="38"/>
        <v>1960</v>
      </c>
      <c r="B1982" s="54" t="s">
        <v>493</v>
      </c>
      <c r="C1982" s="23" t="s">
        <v>182</v>
      </c>
      <c r="D1982" s="52" t="s">
        <v>298</v>
      </c>
      <c r="E1982" s="23" t="s">
        <v>19</v>
      </c>
      <c r="F1982" s="26">
        <v>20</v>
      </c>
      <c r="G1982" s="26">
        <v>10</v>
      </c>
      <c r="H1982" s="34">
        <v>2116.21</v>
      </c>
      <c r="I1982" s="84"/>
      <c r="J1982" s="136">
        <v>2618.4899999999998</v>
      </c>
      <c r="K1982" s="118"/>
      <c r="L1982" s="35">
        <v>13613.08</v>
      </c>
      <c r="M1982" s="85"/>
      <c r="N1982" s="107" t="s">
        <v>820</v>
      </c>
      <c r="O1982" s="68"/>
      <c r="P1982" s="66">
        <v>41306</v>
      </c>
    </row>
    <row r="1983" spans="1:16" s="8" customFormat="1" ht="12.75" customHeight="1">
      <c r="A1983" s="13">
        <f t="shared" si="38"/>
        <v>1961</v>
      </c>
      <c r="B1983" s="54" t="s">
        <v>494</v>
      </c>
      <c r="C1983" s="23" t="s">
        <v>182</v>
      </c>
      <c r="D1983" s="52" t="s">
        <v>297</v>
      </c>
      <c r="E1983" s="23" t="s">
        <v>19</v>
      </c>
      <c r="F1983" s="26">
        <v>20</v>
      </c>
      <c r="G1983" s="26">
        <v>10</v>
      </c>
      <c r="H1983" s="34">
        <v>2071.7399999999998</v>
      </c>
      <c r="I1983" s="84"/>
      <c r="J1983" s="136">
        <v>2574.0300000000002</v>
      </c>
      <c r="K1983" s="118"/>
      <c r="L1983" s="35">
        <v>13613.08</v>
      </c>
      <c r="M1983" s="85"/>
      <c r="N1983" s="107" t="s">
        <v>820</v>
      </c>
      <c r="O1983" s="68"/>
      <c r="P1983" s="66">
        <v>41306</v>
      </c>
    </row>
    <row r="1984" spans="1:16" s="8" customFormat="1" ht="12.75" customHeight="1">
      <c r="A1984" s="13">
        <f t="shared" si="38"/>
        <v>1962</v>
      </c>
      <c r="B1984" s="54" t="s">
        <v>678</v>
      </c>
      <c r="C1984" s="14" t="s">
        <v>160</v>
      </c>
      <c r="D1984" s="52" t="s">
        <v>579</v>
      </c>
      <c r="E1984" s="23" t="s">
        <v>13</v>
      </c>
      <c r="F1984" s="27">
        <v>20</v>
      </c>
      <c r="G1984" s="27">
        <v>10</v>
      </c>
      <c r="H1984" s="34">
        <v>1359.09</v>
      </c>
      <c r="I1984" s="84">
        <v>1317.09</v>
      </c>
      <c r="J1984" s="136">
        <v>1962.93</v>
      </c>
      <c r="K1984" s="118">
        <v>1878.9</v>
      </c>
      <c r="L1984" s="35"/>
      <c r="M1984" s="85"/>
      <c r="N1984" s="39" t="s">
        <v>644</v>
      </c>
      <c r="O1984" s="68">
        <v>606</v>
      </c>
      <c r="P1984" s="66">
        <v>43617</v>
      </c>
    </row>
    <row r="1985" spans="1:16" s="8" customFormat="1" ht="12.75" customHeight="1">
      <c r="A1985" s="13">
        <f t="shared" si="38"/>
        <v>1963</v>
      </c>
      <c r="B1985" s="54" t="s">
        <v>679</v>
      </c>
      <c r="C1985" s="14" t="s">
        <v>160</v>
      </c>
      <c r="D1985" s="52" t="s">
        <v>581</v>
      </c>
      <c r="E1985" s="23" t="s">
        <v>13</v>
      </c>
      <c r="F1985" s="27">
        <v>20</v>
      </c>
      <c r="G1985" s="27">
        <v>10</v>
      </c>
      <c r="H1985" s="34">
        <v>1506.89</v>
      </c>
      <c r="I1985" s="84">
        <v>1464.89</v>
      </c>
      <c r="J1985" s="136">
        <v>2110.73</v>
      </c>
      <c r="K1985" s="118">
        <v>2026.7</v>
      </c>
      <c r="L1985" s="35"/>
      <c r="M1985" s="85"/>
      <c r="N1985" s="39" t="s">
        <v>644</v>
      </c>
      <c r="O1985" s="68">
        <v>606</v>
      </c>
      <c r="P1985" s="66">
        <v>43617</v>
      </c>
    </row>
    <row r="1986" spans="1:16" s="8" customFormat="1" ht="12.75" customHeight="1">
      <c r="A1986" s="13">
        <f t="shared" si="38"/>
        <v>1964</v>
      </c>
      <c r="B1986" s="54" t="s">
        <v>680</v>
      </c>
      <c r="C1986" s="14" t="s">
        <v>160</v>
      </c>
      <c r="D1986" s="52" t="s">
        <v>584</v>
      </c>
      <c r="E1986" s="23" t="s">
        <v>13</v>
      </c>
      <c r="F1986" s="27">
        <v>20</v>
      </c>
      <c r="G1986" s="27">
        <v>10</v>
      </c>
      <c r="H1986" s="34">
        <v>1407.87</v>
      </c>
      <c r="I1986" s="84">
        <v>1583.13</v>
      </c>
      <c r="J1986" s="136">
        <v>2011.71</v>
      </c>
      <c r="K1986" s="118">
        <v>2144.9299999999998</v>
      </c>
      <c r="L1986" s="35"/>
      <c r="M1986" s="85"/>
      <c r="N1986" s="39" t="s">
        <v>644</v>
      </c>
      <c r="O1986" s="68">
        <v>606</v>
      </c>
      <c r="P1986" s="66">
        <v>43617</v>
      </c>
    </row>
    <row r="1987" spans="1:16" s="8" customFormat="1" ht="12.75" customHeight="1">
      <c r="A1987" s="13">
        <f t="shared" si="38"/>
        <v>1965</v>
      </c>
      <c r="B1987" s="54" t="s">
        <v>681</v>
      </c>
      <c r="C1987" s="14" t="s">
        <v>160</v>
      </c>
      <c r="D1987" s="52" t="s">
        <v>586</v>
      </c>
      <c r="E1987" s="23" t="s">
        <v>13</v>
      </c>
      <c r="F1987" s="27">
        <v>20</v>
      </c>
      <c r="G1987" s="27">
        <v>10</v>
      </c>
      <c r="H1987" s="34">
        <v>1341.36</v>
      </c>
      <c r="I1987" s="84">
        <v>1299.3599999999999</v>
      </c>
      <c r="J1987" s="136">
        <v>1945.2</v>
      </c>
      <c r="K1987" s="118">
        <v>1861.16</v>
      </c>
      <c r="L1987" s="35"/>
      <c r="M1987" s="85"/>
      <c r="N1987" s="39" t="s">
        <v>644</v>
      </c>
      <c r="O1987" s="68">
        <v>606</v>
      </c>
      <c r="P1987" s="66">
        <v>43617</v>
      </c>
    </row>
    <row r="1988" spans="1:16" s="8" customFormat="1" ht="12.75" customHeight="1">
      <c r="A1988" s="13">
        <f t="shared" ref="A1988:A2051" si="39">A1987+1</f>
        <v>1966</v>
      </c>
      <c r="B1988" s="55" t="s">
        <v>593</v>
      </c>
      <c r="C1988" s="14" t="s">
        <v>160</v>
      </c>
      <c r="D1988" s="52" t="s">
        <v>589</v>
      </c>
      <c r="E1988" s="23" t="s">
        <v>13</v>
      </c>
      <c r="F1988" s="27">
        <v>20</v>
      </c>
      <c r="G1988" s="27">
        <v>10</v>
      </c>
      <c r="H1988" s="34">
        <v>1534.97</v>
      </c>
      <c r="I1988" s="84">
        <v>1492.97</v>
      </c>
      <c r="J1988" s="136">
        <v>2138.81</v>
      </c>
      <c r="K1988" s="118">
        <v>2054.7800000000002</v>
      </c>
      <c r="L1988" s="35"/>
      <c r="M1988" s="85"/>
      <c r="N1988" s="39" t="s">
        <v>644</v>
      </c>
      <c r="O1988" s="68">
        <v>606</v>
      </c>
      <c r="P1988" s="66">
        <v>43617</v>
      </c>
    </row>
    <row r="1989" spans="1:16" s="8" customFormat="1" ht="12.75" customHeight="1">
      <c r="A1989" s="13">
        <f t="shared" si="39"/>
        <v>1967</v>
      </c>
      <c r="B1989" s="55" t="s">
        <v>594</v>
      </c>
      <c r="C1989" s="14" t="s">
        <v>160</v>
      </c>
      <c r="D1989" s="52" t="s">
        <v>588</v>
      </c>
      <c r="E1989" s="23" t="s">
        <v>13</v>
      </c>
      <c r="F1989" s="27">
        <v>20</v>
      </c>
      <c r="G1989" s="27">
        <v>10</v>
      </c>
      <c r="H1989" s="34">
        <v>1387.17</v>
      </c>
      <c r="I1989" s="84">
        <v>1345.17</v>
      </c>
      <c r="J1989" s="136">
        <v>1991.01</v>
      </c>
      <c r="K1989" s="118">
        <v>1906.98</v>
      </c>
      <c r="L1989" s="35"/>
      <c r="M1989" s="85"/>
      <c r="N1989" s="39" t="s">
        <v>644</v>
      </c>
      <c r="O1989" s="68">
        <v>606</v>
      </c>
      <c r="P1989" s="66">
        <v>43617</v>
      </c>
    </row>
    <row r="1990" spans="1:16" s="8" customFormat="1" ht="12.75" customHeight="1">
      <c r="A1990" s="13">
        <f t="shared" si="39"/>
        <v>1968</v>
      </c>
      <c r="B1990" s="55" t="s">
        <v>595</v>
      </c>
      <c r="C1990" s="14" t="s">
        <v>160</v>
      </c>
      <c r="D1990" s="52" t="s">
        <v>592</v>
      </c>
      <c r="E1990" s="23" t="s">
        <v>13</v>
      </c>
      <c r="F1990" s="27">
        <v>20</v>
      </c>
      <c r="G1990" s="27">
        <v>10</v>
      </c>
      <c r="H1990" s="34">
        <v>1268.94</v>
      </c>
      <c r="I1990" s="84">
        <v>1226.93</v>
      </c>
      <c r="J1990" s="136">
        <v>1872.77</v>
      </c>
      <c r="K1990" s="118">
        <v>1788.74</v>
      </c>
      <c r="L1990" s="35"/>
      <c r="M1990" s="85"/>
      <c r="N1990" s="39" t="s">
        <v>644</v>
      </c>
      <c r="O1990" s="68">
        <v>606</v>
      </c>
      <c r="P1990" s="66">
        <v>43617</v>
      </c>
    </row>
    <row r="1991" spans="1:16" s="8" customFormat="1" ht="12.75" customHeight="1">
      <c r="A1991" s="13">
        <f t="shared" si="39"/>
        <v>1969</v>
      </c>
      <c r="B1991" s="156" t="s">
        <v>595</v>
      </c>
      <c r="C1991" s="14" t="s">
        <v>160</v>
      </c>
      <c r="D1991" s="52" t="s">
        <v>592</v>
      </c>
      <c r="E1991" s="23" t="s">
        <v>13</v>
      </c>
      <c r="F1991" s="27">
        <v>20</v>
      </c>
      <c r="G1991" s="27">
        <v>5</v>
      </c>
      <c r="H1991" s="34">
        <v>1268.94</v>
      </c>
      <c r="I1991" s="84">
        <v>1226.93</v>
      </c>
      <c r="J1991" s="136">
        <v>1872.77</v>
      </c>
      <c r="K1991" s="118">
        <v>2912.46</v>
      </c>
      <c r="L1991" s="35"/>
      <c r="M1991" s="85"/>
      <c r="N1991" s="39" t="s">
        <v>644</v>
      </c>
      <c r="O1991" s="68">
        <v>606</v>
      </c>
      <c r="P1991" s="66">
        <v>44866</v>
      </c>
    </row>
    <row r="1992" spans="1:16" s="8" customFormat="1" ht="12.75" customHeight="1">
      <c r="A1992" s="13">
        <f t="shared" si="39"/>
        <v>1970</v>
      </c>
      <c r="B1992" s="55" t="s">
        <v>608</v>
      </c>
      <c r="C1992" s="14" t="s">
        <v>160</v>
      </c>
      <c r="D1992" s="52" t="s">
        <v>579</v>
      </c>
      <c r="E1992" s="23" t="s">
        <v>19</v>
      </c>
      <c r="F1992" s="27">
        <v>20</v>
      </c>
      <c r="G1992" s="27">
        <v>10</v>
      </c>
      <c r="H1992" s="34">
        <v>2088.61</v>
      </c>
      <c r="I1992" s="84">
        <v>2141.9299999999998</v>
      </c>
      <c r="J1992" s="136">
        <v>3421.94</v>
      </c>
      <c r="K1992" s="118">
        <v>3528.62</v>
      </c>
      <c r="L1992" s="35">
        <v>16625.939999999999</v>
      </c>
      <c r="M1992" s="85">
        <v>16760.52</v>
      </c>
      <c r="N1992" s="39" t="s">
        <v>644</v>
      </c>
      <c r="O1992" s="68">
        <v>606</v>
      </c>
      <c r="P1992" s="66">
        <v>43617</v>
      </c>
    </row>
    <row r="1993" spans="1:16" s="8" customFormat="1" ht="12.75" customHeight="1">
      <c r="A1993" s="13">
        <f t="shared" si="39"/>
        <v>1971</v>
      </c>
      <c r="B1993" s="55" t="s">
        <v>609</v>
      </c>
      <c r="C1993" s="14" t="s">
        <v>160</v>
      </c>
      <c r="D1993" s="52" t="s">
        <v>581</v>
      </c>
      <c r="E1993" s="23" t="s">
        <v>19</v>
      </c>
      <c r="F1993" s="27">
        <v>20</v>
      </c>
      <c r="G1993" s="27">
        <v>10</v>
      </c>
      <c r="H1993" s="34">
        <v>2211.2800000000002</v>
      </c>
      <c r="I1993" s="84">
        <v>2289.73</v>
      </c>
      <c r="J1993" s="136">
        <v>3544.6</v>
      </c>
      <c r="K1993" s="118">
        <v>3676.42</v>
      </c>
      <c r="L1993" s="35">
        <v>16625.939999999999</v>
      </c>
      <c r="M1993" s="85">
        <v>16760.52</v>
      </c>
      <c r="N1993" s="39" t="s">
        <v>644</v>
      </c>
      <c r="O1993" s="68">
        <v>606</v>
      </c>
      <c r="P1993" s="66">
        <v>43617</v>
      </c>
    </row>
    <row r="1994" spans="1:16" s="8" customFormat="1" ht="12.75" customHeight="1">
      <c r="A1994" s="13">
        <f t="shared" si="39"/>
        <v>1972</v>
      </c>
      <c r="B1994" s="55" t="s">
        <v>610</v>
      </c>
      <c r="C1994" s="14" t="s">
        <v>160</v>
      </c>
      <c r="D1994" s="52" t="s">
        <v>584</v>
      </c>
      <c r="E1994" s="23" t="s">
        <v>19</v>
      </c>
      <c r="F1994" s="27">
        <v>20</v>
      </c>
      <c r="G1994" s="27">
        <v>10</v>
      </c>
      <c r="H1994" s="34">
        <v>2354.65</v>
      </c>
      <c r="I1994" s="84">
        <v>2407.9699999999998</v>
      </c>
      <c r="J1994" s="136">
        <v>3687.97</v>
      </c>
      <c r="K1994" s="118">
        <v>3794.66</v>
      </c>
      <c r="L1994" s="35">
        <v>16625.939999999999</v>
      </c>
      <c r="M1994" s="85">
        <v>16760.52</v>
      </c>
      <c r="N1994" s="39" t="s">
        <v>644</v>
      </c>
      <c r="O1994" s="68">
        <v>606</v>
      </c>
      <c r="P1994" s="66">
        <v>43617</v>
      </c>
    </row>
    <row r="1995" spans="1:16" s="8" customFormat="1" ht="12.75" customHeight="1">
      <c r="A1995" s="13">
        <f t="shared" si="39"/>
        <v>1973</v>
      </c>
      <c r="B1995" s="55" t="s">
        <v>611</v>
      </c>
      <c r="C1995" s="14" t="s">
        <v>160</v>
      </c>
      <c r="D1995" s="52" t="s">
        <v>302</v>
      </c>
      <c r="E1995" s="23" t="s">
        <v>19</v>
      </c>
      <c r="F1995" s="27">
        <v>20</v>
      </c>
      <c r="G1995" s="27">
        <v>10</v>
      </c>
      <c r="H1995" s="34">
        <v>2137.38</v>
      </c>
      <c r="I1995" s="84">
        <v>2190.6999999999998</v>
      </c>
      <c r="J1995" s="136">
        <v>3470.71</v>
      </c>
      <c r="K1995" s="118">
        <v>3577.39</v>
      </c>
      <c r="L1995" s="35">
        <v>16625.939999999999</v>
      </c>
      <c r="M1995" s="85">
        <v>16760.52</v>
      </c>
      <c r="N1995" s="39" t="s">
        <v>644</v>
      </c>
      <c r="O1995" s="68">
        <v>606</v>
      </c>
      <c r="P1995" s="66">
        <v>43617</v>
      </c>
    </row>
    <row r="1996" spans="1:16" s="8" customFormat="1" ht="12.75" customHeight="1">
      <c r="A1996" s="13">
        <f t="shared" si="39"/>
        <v>1974</v>
      </c>
      <c r="B1996" s="55" t="s">
        <v>612</v>
      </c>
      <c r="C1996" s="14" t="s">
        <v>160</v>
      </c>
      <c r="D1996" s="52" t="s">
        <v>586</v>
      </c>
      <c r="E1996" s="23" t="s">
        <v>19</v>
      </c>
      <c r="F1996" s="27">
        <v>20</v>
      </c>
      <c r="G1996" s="27">
        <v>10</v>
      </c>
      <c r="H1996" s="34">
        <v>2070.88</v>
      </c>
      <c r="I1996" s="84">
        <v>2124.1999999999998</v>
      </c>
      <c r="J1996" s="136">
        <v>3404.2</v>
      </c>
      <c r="K1996" s="118">
        <v>3510.89</v>
      </c>
      <c r="L1996" s="35">
        <v>16625.939999999999</v>
      </c>
      <c r="M1996" s="85">
        <v>16760.52</v>
      </c>
      <c r="N1996" s="39" t="s">
        <v>644</v>
      </c>
      <c r="O1996" s="68">
        <v>606</v>
      </c>
      <c r="P1996" s="66">
        <v>43617</v>
      </c>
    </row>
    <row r="1997" spans="1:16" s="8" customFormat="1" ht="12.75" customHeight="1">
      <c r="A1997" s="13">
        <f t="shared" si="39"/>
        <v>1975</v>
      </c>
      <c r="B1997" s="55" t="s">
        <v>613</v>
      </c>
      <c r="C1997" s="14" t="s">
        <v>160</v>
      </c>
      <c r="D1997" s="52" t="s">
        <v>589</v>
      </c>
      <c r="E1997" s="23" t="s">
        <v>19</v>
      </c>
      <c r="F1997" s="27">
        <v>20</v>
      </c>
      <c r="G1997" s="27">
        <v>10</v>
      </c>
      <c r="H1997" s="34">
        <v>2231.59</v>
      </c>
      <c r="I1997" s="84">
        <v>2317.81</v>
      </c>
      <c r="J1997" s="136">
        <v>3564.92</v>
      </c>
      <c r="K1997" s="118">
        <v>3704.5</v>
      </c>
      <c r="L1997" s="35">
        <v>16625.939999999999</v>
      </c>
      <c r="M1997" s="85">
        <v>16760.52</v>
      </c>
      <c r="N1997" s="39" t="s">
        <v>644</v>
      </c>
      <c r="O1997" s="68">
        <v>606</v>
      </c>
      <c r="P1997" s="66">
        <v>43617</v>
      </c>
    </row>
    <row r="1998" spans="1:16" s="8" customFormat="1" ht="12.75" customHeight="1">
      <c r="A1998" s="13">
        <f t="shared" si="39"/>
        <v>1976</v>
      </c>
      <c r="B1998" s="45" t="s">
        <v>614</v>
      </c>
      <c r="C1998" s="14" t="s">
        <v>160</v>
      </c>
      <c r="D1998" s="52" t="s">
        <v>588</v>
      </c>
      <c r="E1998" s="23" t="s">
        <v>19</v>
      </c>
      <c r="F1998" s="27">
        <v>20</v>
      </c>
      <c r="G1998" s="27">
        <v>10</v>
      </c>
      <c r="H1998" s="34">
        <v>2072.21</v>
      </c>
      <c r="I1998" s="84">
        <v>2170.0100000000002</v>
      </c>
      <c r="J1998" s="136">
        <v>3405.53</v>
      </c>
      <c r="K1998" s="118">
        <v>3556.7</v>
      </c>
      <c r="L1998" s="35">
        <v>16625.939999999999</v>
      </c>
      <c r="M1998" s="85">
        <v>16760.52</v>
      </c>
      <c r="N1998" s="39" t="s">
        <v>644</v>
      </c>
      <c r="O1998" s="68">
        <v>606</v>
      </c>
      <c r="P1998" s="66">
        <v>43617</v>
      </c>
    </row>
    <row r="1999" spans="1:16" s="8" customFormat="1" ht="12.75" customHeight="1">
      <c r="A1999" s="13">
        <f t="shared" si="39"/>
        <v>1977</v>
      </c>
      <c r="B1999" s="156" t="s">
        <v>614</v>
      </c>
      <c r="C1999" s="14" t="s">
        <v>160</v>
      </c>
      <c r="D1999" s="52" t="s">
        <v>588</v>
      </c>
      <c r="E1999" s="23" t="s">
        <v>19</v>
      </c>
      <c r="F1999" s="27">
        <v>18</v>
      </c>
      <c r="G1999" s="27">
        <v>10</v>
      </c>
      <c r="H1999" s="34"/>
      <c r="I1999" s="84">
        <v>2324.11</v>
      </c>
      <c r="J1999" s="136"/>
      <c r="K1999" s="118">
        <v>3556.7</v>
      </c>
      <c r="L1999" s="35"/>
      <c r="M1999" s="85"/>
      <c r="N1999" s="39" t="s">
        <v>644</v>
      </c>
      <c r="O1999" s="68"/>
      <c r="P1999" s="66">
        <v>43800</v>
      </c>
    </row>
    <row r="2000" spans="1:16" s="8" customFormat="1" ht="12.75" customHeight="1">
      <c r="A2000" s="13">
        <f t="shared" si="39"/>
        <v>1978</v>
      </c>
      <c r="B2000" s="55" t="s">
        <v>615</v>
      </c>
      <c r="C2000" s="14" t="s">
        <v>160</v>
      </c>
      <c r="D2000" s="52" t="s">
        <v>592</v>
      </c>
      <c r="E2000" s="23" t="s">
        <v>19</v>
      </c>
      <c r="F2000" s="27">
        <v>20</v>
      </c>
      <c r="G2000" s="27">
        <v>10</v>
      </c>
      <c r="H2000" s="34">
        <v>1941.69</v>
      </c>
      <c r="I2000" s="84">
        <v>2051.77</v>
      </c>
      <c r="J2000" s="136">
        <v>3275.04</v>
      </c>
      <c r="K2000" s="118">
        <v>3438.46</v>
      </c>
      <c r="L2000" s="35">
        <v>16625.939999999999</v>
      </c>
      <c r="M2000" s="85">
        <v>16760.52</v>
      </c>
      <c r="N2000" s="39" t="s">
        <v>644</v>
      </c>
      <c r="O2000" s="68">
        <v>606</v>
      </c>
      <c r="P2000" s="66">
        <v>43617</v>
      </c>
    </row>
    <row r="2001" spans="1:16" s="8" customFormat="1" ht="12.75" customHeight="1">
      <c r="A2001" s="13">
        <f t="shared" si="39"/>
        <v>1979</v>
      </c>
      <c r="B2001" s="55" t="s">
        <v>785</v>
      </c>
      <c r="C2001" s="14" t="s">
        <v>160</v>
      </c>
      <c r="D2001" s="52" t="s">
        <v>786</v>
      </c>
      <c r="E2001" s="23" t="s">
        <v>13</v>
      </c>
      <c r="F2001" s="27">
        <v>20</v>
      </c>
      <c r="G2001" s="27">
        <v>10</v>
      </c>
      <c r="H2001" s="34">
        <v>1328.05</v>
      </c>
      <c r="I2001" s="84">
        <v>1286.05</v>
      </c>
      <c r="J2001" s="136">
        <v>1931.89</v>
      </c>
      <c r="K2001" s="118">
        <v>1847.86</v>
      </c>
      <c r="L2001" s="35"/>
      <c r="M2001" s="85">
        <v>18478.599999999999</v>
      </c>
      <c r="N2001" s="39" t="s">
        <v>644</v>
      </c>
      <c r="O2001" s="69">
        <v>606</v>
      </c>
      <c r="P2001" s="66">
        <v>43617</v>
      </c>
    </row>
    <row r="2002" spans="1:16" s="8" customFormat="1" ht="12.75" customHeight="1">
      <c r="A2002" s="13">
        <f t="shared" si="39"/>
        <v>1980</v>
      </c>
      <c r="B2002" s="55" t="s">
        <v>836</v>
      </c>
      <c r="C2002" s="14" t="s">
        <v>160</v>
      </c>
      <c r="D2002" s="52" t="s">
        <v>786</v>
      </c>
      <c r="E2002" s="23" t="s">
        <v>13</v>
      </c>
      <c r="F2002" s="27">
        <v>20</v>
      </c>
      <c r="G2002" s="27">
        <v>10</v>
      </c>
      <c r="H2002" s="34"/>
      <c r="I2002" s="84">
        <v>2110.89</v>
      </c>
      <c r="J2002" s="136">
        <v>1931.89</v>
      </c>
      <c r="K2002" s="118">
        <v>3497.58</v>
      </c>
      <c r="L2002" s="35"/>
      <c r="M2002" s="85">
        <v>16760.52</v>
      </c>
      <c r="N2002" s="39" t="s">
        <v>644</v>
      </c>
      <c r="O2002" s="69">
        <v>606</v>
      </c>
      <c r="P2002" s="66">
        <v>43617</v>
      </c>
    </row>
    <row r="2003" spans="1:16" s="8" customFormat="1" ht="12.75" customHeight="1">
      <c r="A2003" s="13">
        <f t="shared" si="39"/>
        <v>1981</v>
      </c>
      <c r="B2003" s="45" t="s">
        <v>838</v>
      </c>
      <c r="C2003" s="23" t="s">
        <v>706</v>
      </c>
      <c r="D2003" s="52" t="s">
        <v>837</v>
      </c>
      <c r="E2003" s="23" t="s">
        <v>13</v>
      </c>
      <c r="F2003" s="27">
        <v>20</v>
      </c>
      <c r="G2003" s="27">
        <v>10</v>
      </c>
      <c r="H2003" s="34"/>
      <c r="I2003" s="84">
        <v>1093.72</v>
      </c>
      <c r="J2003" s="136"/>
      <c r="K2003" s="118">
        <v>1562.66</v>
      </c>
      <c r="L2003" s="35"/>
      <c r="M2003" s="85"/>
      <c r="N2003" s="39" t="s">
        <v>643</v>
      </c>
      <c r="O2003" s="69">
        <v>606</v>
      </c>
      <c r="P2003" s="66">
        <v>43617</v>
      </c>
    </row>
    <row r="2004" spans="1:16" s="8" customFormat="1" ht="12.75" customHeight="1">
      <c r="A2004" s="13">
        <f t="shared" si="39"/>
        <v>1982</v>
      </c>
      <c r="B2004" s="45" t="s">
        <v>838</v>
      </c>
      <c r="C2004" s="23" t="s">
        <v>706</v>
      </c>
      <c r="D2004" s="52" t="s">
        <v>837</v>
      </c>
      <c r="E2004" s="23" t="s">
        <v>13</v>
      </c>
      <c r="F2004" s="27">
        <v>20</v>
      </c>
      <c r="G2004" s="27">
        <v>10</v>
      </c>
      <c r="H2004" s="34"/>
      <c r="I2004" s="84">
        <v>1068.8800000000001</v>
      </c>
      <c r="J2004" s="136"/>
      <c r="K2004" s="118">
        <v>1512.98</v>
      </c>
      <c r="L2004" s="35"/>
      <c r="M2004" s="85"/>
      <c r="N2004" s="39" t="s">
        <v>643</v>
      </c>
      <c r="O2004" s="69"/>
      <c r="P2004" s="66">
        <v>43922</v>
      </c>
    </row>
    <row r="2005" spans="1:16" s="8" customFormat="1" ht="12.75" customHeight="1">
      <c r="A2005" s="13">
        <f t="shared" si="39"/>
        <v>1983</v>
      </c>
      <c r="B2005" s="45" t="s">
        <v>931</v>
      </c>
      <c r="C2005" s="23" t="s">
        <v>706</v>
      </c>
      <c r="D2005" s="52" t="s">
        <v>837</v>
      </c>
      <c r="E2005" s="23" t="s">
        <v>13</v>
      </c>
      <c r="F2005" s="27">
        <v>20</v>
      </c>
      <c r="G2005" s="27">
        <v>10</v>
      </c>
      <c r="H2005" s="34"/>
      <c r="I2005" s="84">
        <v>1120.18</v>
      </c>
      <c r="J2005" s="136"/>
      <c r="K2005" s="118">
        <v>1626.22</v>
      </c>
      <c r="L2005" s="35"/>
      <c r="M2005" s="85"/>
      <c r="N2005" s="39" t="s">
        <v>643</v>
      </c>
      <c r="O2005" s="69"/>
      <c r="P2005" s="66">
        <v>44562</v>
      </c>
    </row>
    <row r="2006" spans="1:16" s="8" customFormat="1" ht="12.75" customHeight="1">
      <c r="A2006" s="13">
        <f t="shared" si="39"/>
        <v>1984</v>
      </c>
      <c r="B2006" s="45" t="s">
        <v>931</v>
      </c>
      <c r="C2006" s="23" t="s">
        <v>706</v>
      </c>
      <c r="D2006" s="52" t="s">
        <v>837</v>
      </c>
      <c r="E2006" s="23" t="s">
        <v>13</v>
      </c>
      <c r="F2006" s="27">
        <v>20</v>
      </c>
      <c r="G2006" s="27">
        <v>10</v>
      </c>
      <c r="H2006" s="34"/>
      <c r="I2006" s="84">
        <v>1237.05</v>
      </c>
      <c r="J2006" s="136"/>
      <c r="K2006" s="118">
        <v>1799.57</v>
      </c>
      <c r="L2006" s="35"/>
      <c r="M2006" s="85"/>
      <c r="N2006" s="39" t="s">
        <v>643</v>
      </c>
      <c r="O2006" s="69"/>
      <c r="P2006" s="66">
        <v>45078</v>
      </c>
    </row>
    <row r="2007" spans="1:16" s="8" customFormat="1" ht="12.75" customHeight="1">
      <c r="A2007" s="13">
        <f t="shared" si="39"/>
        <v>1985</v>
      </c>
      <c r="B2007" s="114" t="s">
        <v>931</v>
      </c>
      <c r="C2007" s="23" t="s">
        <v>706</v>
      </c>
      <c r="D2007" s="52" t="s">
        <v>837</v>
      </c>
      <c r="E2007" s="23" t="s">
        <v>13</v>
      </c>
      <c r="F2007" s="27">
        <v>8</v>
      </c>
      <c r="G2007" s="27">
        <v>2</v>
      </c>
      <c r="H2007" s="34"/>
      <c r="I2007" s="84">
        <v>2080.9</v>
      </c>
      <c r="J2007" s="136"/>
      <c r="K2007" s="118">
        <v>6300.3</v>
      </c>
      <c r="L2007" s="35"/>
      <c r="M2007" s="85"/>
      <c r="N2007" s="39" t="s">
        <v>643</v>
      </c>
      <c r="O2007" s="69"/>
      <c r="P2007" s="66">
        <v>45280</v>
      </c>
    </row>
    <row r="2008" spans="1:16" s="8" customFormat="1" ht="12.75" customHeight="1">
      <c r="A2008" s="13">
        <f t="shared" si="39"/>
        <v>1986</v>
      </c>
      <c r="B2008" s="114" t="s">
        <v>931</v>
      </c>
      <c r="C2008" s="23" t="s">
        <v>706</v>
      </c>
      <c r="D2008" s="52" t="s">
        <v>837</v>
      </c>
      <c r="E2008" s="23" t="s">
        <v>13</v>
      </c>
      <c r="F2008" s="27">
        <v>6</v>
      </c>
      <c r="G2008" s="27">
        <v>4</v>
      </c>
      <c r="H2008" s="34"/>
      <c r="I2008" s="84">
        <v>2534.1</v>
      </c>
      <c r="J2008" s="136"/>
      <c r="K2008" s="118">
        <v>3471.7</v>
      </c>
      <c r="L2008" s="35"/>
      <c r="M2008" s="85"/>
      <c r="N2008" s="39" t="s">
        <v>643</v>
      </c>
      <c r="O2008" s="69"/>
      <c r="P2008" s="66">
        <v>45280</v>
      </c>
    </row>
    <row r="2009" spans="1:16" s="8" customFormat="1" ht="12.75" customHeight="1">
      <c r="A2009" s="13">
        <f t="shared" si="39"/>
        <v>1987</v>
      </c>
      <c r="B2009" s="180" t="s">
        <v>931</v>
      </c>
      <c r="C2009" s="23" t="s">
        <v>706</v>
      </c>
      <c r="D2009" s="52" t="s">
        <v>837</v>
      </c>
      <c r="E2009" s="23" t="s">
        <v>13</v>
      </c>
      <c r="F2009" s="27">
        <v>20</v>
      </c>
      <c r="G2009" s="27">
        <v>10</v>
      </c>
      <c r="H2009" s="34"/>
      <c r="I2009" s="84">
        <v>1423.05</v>
      </c>
      <c r="J2009" s="136"/>
      <c r="K2009" s="118">
        <v>2070.15</v>
      </c>
      <c r="L2009" s="35"/>
      <c r="M2009" s="85"/>
      <c r="N2009" s="39" t="s">
        <v>643</v>
      </c>
      <c r="O2009" s="69"/>
      <c r="P2009" s="66">
        <v>45352</v>
      </c>
    </row>
    <row r="2010" spans="1:16" s="8" customFormat="1" ht="12.75" customHeight="1">
      <c r="A2010" s="13">
        <f t="shared" si="39"/>
        <v>1988</v>
      </c>
      <c r="B2010" s="180" t="s">
        <v>931</v>
      </c>
      <c r="C2010" s="23" t="s">
        <v>706</v>
      </c>
      <c r="D2010" s="52" t="s">
        <v>837</v>
      </c>
      <c r="E2010" s="23" t="s">
        <v>13</v>
      </c>
      <c r="F2010" s="27">
        <v>16</v>
      </c>
      <c r="G2010" s="27">
        <v>14</v>
      </c>
      <c r="H2010" s="174"/>
      <c r="I2010" s="84">
        <v>1584.79</v>
      </c>
      <c r="J2010" s="174"/>
      <c r="K2010" s="118">
        <v>1700.37</v>
      </c>
      <c r="L2010" s="174"/>
      <c r="M2010" s="85"/>
      <c r="N2010" s="39" t="s">
        <v>643</v>
      </c>
      <c r="O2010" s="69"/>
      <c r="P2010" s="66">
        <v>45352</v>
      </c>
    </row>
    <row r="2011" spans="1:16" s="8" customFormat="1" ht="12.75" customHeight="1">
      <c r="A2011" s="13">
        <f t="shared" si="39"/>
        <v>1989</v>
      </c>
      <c r="B2011" s="180" t="s">
        <v>931</v>
      </c>
      <c r="C2011" s="23" t="s">
        <v>706</v>
      </c>
      <c r="D2011" s="52" t="s">
        <v>837</v>
      </c>
      <c r="E2011" s="23" t="s">
        <v>13</v>
      </c>
      <c r="F2011" s="27">
        <v>20</v>
      </c>
      <c r="G2011" s="27">
        <v>10</v>
      </c>
      <c r="H2011" s="174"/>
      <c r="I2011" s="84">
        <v>1637.28</v>
      </c>
      <c r="J2011" s="174"/>
      <c r="K2011" s="118">
        <v>2381.56</v>
      </c>
      <c r="L2011" s="174"/>
      <c r="M2011" s="85"/>
      <c r="N2011" s="39" t="s">
        <v>643</v>
      </c>
      <c r="O2011" s="69"/>
      <c r="P2011" s="66">
        <v>45689</v>
      </c>
    </row>
    <row r="2012" spans="1:16" s="8" customFormat="1" ht="12.75" customHeight="1">
      <c r="A2012" s="13">
        <f t="shared" si="39"/>
        <v>1990</v>
      </c>
      <c r="B2012" s="180" t="s">
        <v>931</v>
      </c>
      <c r="C2012" s="23" t="s">
        <v>706</v>
      </c>
      <c r="D2012" s="52" t="s">
        <v>837</v>
      </c>
      <c r="E2012" s="23" t="s">
        <v>13</v>
      </c>
      <c r="F2012" s="27">
        <v>16</v>
      </c>
      <c r="G2012" s="27">
        <v>14</v>
      </c>
      <c r="H2012" s="174"/>
      <c r="I2012" s="84">
        <v>1823.35</v>
      </c>
      <c r="J2012" s="174"/>
      <c r="K2012" s="118">
        <v>1956.28</v>
      </c>
      <c r="L2012" s="174"/>
      <c r="M2012" s="85"/>
      <c r="N2012" s="39" t="s">
        <v>643</v>
      </c>
      <c r="O2012" s="69"/>
      <c r="P2012" s="66">
        <v>45689</v>
      </c>
    </row>
    <row r="2013" spans="1:16" s="8" customFormat="1" ht="12.75" customHeight="1">
      <c r="A2013" s="13">
        <f t="shared" si="39"/>
        <v>1991</v>
      </c>
      <c r="B2013" s="156" t="s">
        <v>931</v>
      </c>
      <c r="C2013" s="23" t="s">
        <v>706</v>
      </c>
      <c r="D2013" s="52" t="s">
        <v>837</v>
      </c>
      <c r="E2013" s="23" t="s">
        <v>13</v>
      </c>
      <c r="F2013" s="27">
        <v>20</v>
      </c>
      <c r="G2013" s="27">
        <v>10</v>
      </c>
      <c r="H2013" s="174"/>
      <c r="I2013" s="84">
        <v>1813.96</v>
      </c>
      <c r="J2013" s="174"/>
      <c r="K2013" s="118">
        <v>2649.16</v>
      </c>
      <c r="L2013" s="174"/>
      <c r="M2013" s="85"/>
      <c r="N2013" s="39" t="s">
        <v>643</v>
      </c>
      <c r="O2013" s="69"/>
      <c r="P2013" s="193">
        <v>46082</v>
      </c>
    </row>
    <row r="2014" spans="1:16" s="8" customFormat="1" ht="12.75" customHeight="1">
      <c r="A2014" s="13">
        <f t="shared" si="39"/>
        <v>1992</v>
      </c>
      <c r="B2014" s="156" t="s">
        <v>931</v>
      </c>
      <c r="C2014" s="23" t="s">
        <v>706</v>
      </c>
      <c r="D2014" s="52" t="s">
        <v>837</v>
      </c>
      <c r="E2014" s="23" t="s">
        <v>13</v>
      </c>
      <c r="F2014" s="27">
        <v>16</v>
      </c>
      <c r="G2014" s="27">
        <v>14</v>
      </c>
      <c r="H2014" s="174"/>
      <c r="I2014" s="84">
        <v>2022.75</v>
      </c>
      <c r="J2014" s="174"/>
      <c r="K2014" s="118">
        <v>2171.91</v>
      </c>
      <c r="L2014" s="174"/>
      <c r="M2014" s="85"/>
      <c r="N2014" s="39" t="s">
        <v>643</v>
      </c>
      <c r="O2014" s="69"/>
      <c r="P2014" s="193">
        <v>46082</v>
      </c>
    </row>
    <row r="2015" spans="1:16" s="8" customFormat="1" ht="12.75" customHeight="1">
      <c r="A2015" s="13">
        <f t="shared" si="39"/>
        <v>1993</v>
      </c>
      <c r="B2015" s="45" t="s">
        <v>839</v>
      </c>
      <c r="C2015" s="23" t="s">
        <v>706</v>
      </c>
      <c r="D2015" s="52" t="s">
        <v>837</v>
      </c>
      <c r="E2015" s="23" t="s">
        <v>13</v>
      </c>
      <c r="F2015" s="27">
        <v>20</v>
      </c>
      <c r="G2015" s="27">
        <v>10</v>
      </c>
      <c r="H2015" s="34"/>
      <c r="I2015" s="84">
        <v>1924.7</v>
      </c>
      <c r="J2015" s="136"/>
      <c r="K2015" s="118">
        <v>3203.51</v>
      </c>
      <c r="L2015" s="35"/>
      <c r="M2015" s="85">
        <v>13054.4</v>
      </c>
      <c r="N2015" s="39" t="s">
        <v>643</v>
      </c>
      <c r="O2015" s="69">
        <v>606</v>
      </c>
      <c r="P2015" s="66">
        <v>43617</v>
      </c>
    </row>
    <row r="2016" spans="1:16" s="8" customFormat="1" ht="12.75" customHeight="1">
      <c r="A2016" s="13">
        <f t="shared" si="39"/>
        <v>1994</v>
      </c>
      <c r="B2016" s="52" t="s">
        <v>839</v>
      </c>
      <c r="C2016" s="23" t="s">
        <v>708</v>
      </c>
      <c r="D2016" s="52" t="s">
        <v>837</v>
      </c>
      <c r="E2016" s="23" t="s">
        <v>19</v>
      </c>
      <c r="F2016" s="27">
        <v>20</v>
      </c>
      <c r="G2016" s="27">
        <v>10</v>
      </c>
      <c r="H2016" s="34"/>
      <c r="I2016" s="84">
        <v>1411.08</v>
      </c>
      <c r="J2016" s="136"/>
      <c r="K2016" s="118">
        <v>2241.5500000000002</v>
      </c>
      <c r="L2016" s="35"/>
      <c r="M2016" s="85">
        <v>16609.07</v>
      </c>
      <c r="N2016" s="39" t="s">
        <v>643</v>
      </c>
      <c r="O2016" s="69"/>
      <c r="P2016" s="66">
        <v>44562</v>
      </c>
    </row>
    <row r="2017" spans="1:16" s="8" customFormat="1" ht="12.75" customHeight="1">
      <c r="A2017" s="13">
        <f t="shared" si="39"/>
        <v>1995</v>
      </c>
      <c r="B2017" s="52" t="s">
        <v>1037</v>
      </c>
      <c r="C2017" s="23" t="s">
        <v>708</v>
      </c>
      <c r="D2017" s="52" t="s">
        <v>837</v>
      </c>
      <c r="E2017" s="23" t="s">
        <v>19</v>
      </c>
      <c r="F2017" s="46" t="s">
        <v>977</v>
      </c>
      <c r="G2017" s="27"/>
      <c r="H2017" s="34"/>
      <c r="I2017" s="84">
        <v>51811.67</v>
      </c>
      <c r="J2017" s="136"/>
      <c r="K2017" s="118"/>
      <c r="L2017" s="35"/>
      <c r="M2017" s="85"/>
      <c r="N2017" s="39" t="s">
        <v>643</v>
      </c>
      <c r="O2017" s="69"/>
      <c r="P2017" s="66">
        <v>44562</v>
      </c>
    </row>
    <row r="2018" spans="1:16" s="8" customFormat="1" ht="12.75" customHeight="1">
      <c r="A2018" s="13">
        <f t="shared" si="39"/>
        <v>1996</v>
      </c>
      <c r="B2018" s="52" t="s">
        <v>839</v>
      </c>
      <c r="C2018" s="23" t="s">
        <v>706</v>
      </c>
      <c r="D2018" s="52" t="s">
        <v>837</v>
      </c>
      <c r="E2018" s="23" t="s">
        <v>13</v>
      </c>
      <c r="F2018" s="27">
        <v>20</v>
      </c>
      <c r="G2018" s="27">
        <v>10</v>
      </c>
      <c r="H2018" s="34"/>
      <c r="I2018" s="84">
        <v>1899.85</v>
      </c>
      <c r="J2018" s="136"/>
      <c r="K2018" s="118">
        <v>3153.84</v>
      </c>
      <c r="L2018" s="35"/>
      <c r="M2018" s="85"/>
      <c r="N2018" s="39" t="s">
        <v>643</v>
      </c>
      <c r="O2018" s="69"/>
      <c r="P2018" s="66">
        <v>43922</v>
      </c>
    </row>
    <row r="2019" spans="1:16" s="8" customFormat="1" ht="12.75" customHeight="1">
      <c r="A2019" s="13">
        <f t="shared" si="39"/>
        <v>1997</v>
      </c>
      <c r="B2019" s="52" t="s">
        <v>839</v>
      </c>
      <c r="C2019" s="23" t="s">
        <v>708</v>
      </c>
      <c r="D2019" s="52" t="s">
        <v>837</v>
      </c>
      <c r="E2019" s="23" t="s">
        <v>19</v>
      </c>
      <c r="F2019" s="27">
        <v>20</v>
      </c>
      <c r="G2019" s="27">
        <v>10</v>
      </c>
      <c r="H2019" s="34"/>
      <c r="I2019" s="84">
        <v>1558.27</v>
      </c>
      <c r="J2019" s="136"/>
      <c r="K2019" s="118">
        <v>2478.04</v>
      </c>
      <c r="L2019" s="35"/>
      <c r="M2019" s="85"/>
      <c r="N2019" s="39" t="s">
        <v>643</v>
      </c>
      <c r="O2019" s="69"/>
      <c r="P2019" s="66">
        <v>45078</v>
      </c>
    </row>
    <row r="2020" spans="1:16" s="8" customFormat="1" ht="12.75" customHeight="1">
      <c r="A2020" s="13">
        <f t="shared" si="39"/>
        <v>1998</v>
      </c>
      <c r="B2020" s="52" t="s">
        <v>1037</v>
      </c>
      <c r="C2020" s="23" t="s">
        <v>708</v>
      </c>
      <c r="D2020" s="52" t="s">
        <v>837</v>
      </c>
      <c r="E2020" s="23" t="s">
        <v>19</v>
      </c>
      <c r="F2020" s="46" t="s">
        <v>977</v>
      </c>
      <c r="G2020" s="27"/>
      <c r="H2020" s="34"/>
      <c r="I2020" s="84">
        <v>52380.37</v>
      </c>
      <c r="J2020" s="136"/>
      <c r="K2020" s="118"/>
      <c r="L2020" s="35"/>
      <c r="M2020" s="85"/>
      <c r="N2020" s="39" t="s">
        <v>643</v>
      </c>
      <c r="O2020" s="69"/>
      <c r="P2020" s="66">
        <v>45078</v>
      </c>
    </row>
    <row r="2021" spans="1:16" s="8" customFormat="1" ht="12.75" customHeight="1">
      <c r="A2021" s="13">
        <f t="shared" si="39"/>
        <v>1999</v>
      </c>
      <c r="B2021" s="52" t="s">
        <v>839</v>
      </c>
      <c r="C2021" s="23" t="s">
        <v>708</v>
      </c>
      <c r="D2021" s="52" t="s">
        <v>837</v>
      </c>
      <c r="E2021" s="23" t="s">
        <v>19</v>
      </c>
      <c r="F2021" s="27">
        <v>20</v>
      </c>
      <c r="G2021" s="27">
        <v>10</v>
      </c>
      <c r="H2021" s="34"/>
      <c r="I2021" s="84">
        <v>1792.74</v>
      </c>
      <c r="J2021" s="136"/>
      <c r="K2021" s="118">
        <v>2850.92</v>
      </c>
      <c r="L2021" s="35"/>
      <c r="M2021" s="85">
        <v>21163.65</v>
      </c>
      <c r="N2021" s="39" t="s">
        <v>643</v>
      </c>
      <c r="O2021" s="69"/>
      <c r="P2021" s="66">
        <v>45352</v>
      </c>
    </row>
    <row r="2022" spans="1:16" s="8" customFormat="1" ht="12.75" customHeight="1">
      <c r="A2022" s="13">
        <f t="shared" si="39"/>
        <v>2000</v>
      </c>
      <c r="B2022" s="52" t="s">
        <v>839</v>
      </c>
      <c r="C2022" s="23" t="s">
        <v>708</v>
      </c>
      <c r="D2022" s="52" t="s">
        <v>837</v>
      </c>
      <c r="E2022" s="23" t="s">
        <v>19</v>
      </c>
      <c r="F2022" s="27">
        <v>19</v>
      </c>
      <c r="G2022" s="27">
        <v>11</v>
      </c>
      <c r="H2022" s="34"/>
      <c r="I2022" s="84">
        <v>1848.43</v>
      </c>
      <c r="J2022" s="136"/>
      <c r="K2022" s="118">
        <v>2658.52</v>
      </c>
      <c r="L2022" s="35"/>
      <c r="M2022" s="85"/>
      <c r="N2022" s="39" t="s">
        <v>643</v>
      </c>
      <c r="O2022" s="69"/>
      <c r="P2022" s="66">
        <v>45352</v>
      </c>
    </row>
    <row r="2023" spans="1:16" s="8" customFormat="1" ht="12.75" customHeight="1">
      <c r="A2023" s="13">
        <f t="shared" si="39"/>
        <v>2001</v>
      </c>
      <c r="B2023" s="52" t="s">
        <v>839</v>
      </c>
      <c r="C2023" s="23" t="s">
        <v>708</v>
      </c>
      <c r="D2023" s="52" t="s">
        <v>837</v>
      </c>
      <c r="E2023" s="23" t="s">
        <v>19</v>
      </c>
      <c r="F2023" s="27">
        <v>18</v>
      </c>
      <c r="G2023" s="27">
        <v>12</v>
      </c>
      <c r="H2023" s="34"/>
      <c r="I2023" s="84">
        <v>1910.33</v>
      </c>
      <c r="J2023" s="136"/>
      <c r="K2023" s="118">
        <v>2498.1799999999998</v>
      </c>
      <c r="L2023" s="35"/>
      <c r="M2023" s="85"/>
      <c r="N2023" s="39" t="s">
        <v>643</v>
      </c>
      <c r="O2023" s="69"/>
      <c r="P2023" s="66">
        <v>45352</v>
      </c>
    </row>
    <row r="2024" spans="1:16" s="8" customFormat="1" ht="12.75" customHeight="1">
      <c r="A2024" s="13">
        <f t="shared" si="39"/>
        <v>2002</v>
      </c>
      <c r="B2024" s="52" t="s">
        <v>839</v>
      </c>
      <c r="C2024" s="23" t="s">
        <v>708</v>
      </c>
      <c r="D2024" s="52" t="s">
        <v>837</v>
      </c>
      <c r="E2024" s="23" t="s">
        <v>19</v>
      </c>
      <c r="F2024" s="27">
        <v>17</v>
      </c>
      <c r="G2024" s="27">
        <v>13</v>
      </c>
      <c r="H2024" s="34"/>
      <c r="I2024" s="84">
        <v>1979.49</v>
      </c>
      <c r="J2024" s="136"/>
      <c r="K2024" s="118">
        <v>2362.5300000000002</v>
      </c>
      <c r="L2024" s="35"/>
      <c r="M2024" s="85"/>
      <c r="N2024" s="39" t="s">
        <v>643</v>
      </c>
      <c r="O2024" s="69"/>
      <c r="P2024" s="66">
        <v>45352</v>
      </c>
    </row>
    <row r="2025" spans="1:16" s="8" customFormat="1" ht="12.75" customHeight="1">
      <c r="A2025" s="13">
        <f t="shared" si="39"/>
        <v>2003</v>
      </c>
      <c r="B2025" s="52" t="s">
        <v>839</v>
      </c>
      <c r="C2025" s="23" t="s">
        <v>708</v>
      </c>
      <c r="D2025" s="52" t="s">
        <v>837</v>
      </c>
      <c r="E2025" s="23" t="s">
        <v>19</v>
      </c>
      <c r="F2025" s="27">
        <v>16</v>
      </c>
      <c r="G2025" s="27">
        <v>14</v>
      </c>
      <c r="H2025" s="34"/>
      <c r="I2025" s="84">
        <v>2057.3000000000002</v>
      </c>
      <c r="J2025" s="136"/>
      <c r="K2025" s="118">
        <v>2246.23</v>
      </c>
      <c r="L2025" s="35"/>
      <c r="M2025" s="85"/>
      <c r="N2025" s="39" t="s">
        <v>643</v>
      </c>
      <c r="O2025" s="69"/>
      <c r="P2025" s="66">
        <v>45352</v>
      </c>
    </row>
    <row r="2026" spans="1:16" s="8" customFormat="1" ht="12.75" customHeight="1">
      <c r="A2026" s="13">
        <f t="shared" si="39"/>
        <v>2004</v>
      </c>
      <c r="B2026" s="52" t="s">
        <v>839</v>
      </c>
      <c r="C2026" s="23" t="s">
        <v>708</v>
      </c>
      <c r="D2026" s="52" t="s">
        <v>837</v>
      </c>
      <c r="E2026" s="23" t="s">
        <v>19</v>
      </c>
      <c r="F2026" s="27">
        <v>15</v>
      </c>
      <c r="G2026" s="27"/>
      <c r="H2026" s="34"/>
      <c r="I2026" s="84">
        <v>2145.48</v>
      </c>
      <c r="J2026" s="136"/>
      <c r="K2026" s="118"/>
      <c r="L2026" s="35"/>
      <c r="M2026" s="85"/>
      <c r="N2026" s="39" t="s">
        <v>643</v>
      </c>
      <c r="O2026" s="69"/>
      <c r="P2026" s="66">
        <v>45352</v>
      </c>
    </row>
    <row r="2027" spans="1:16" s="8" customFormat="1" ht="12.75" customHeight="1">
      <c r="A2027" s="13">
        <f t="shared" si="39"/>
        <v>2005</v>
      </c>
      <c r="B2027" s="52" t="s">
        <v>839</v>
      </c>
      <c r="C2027" s="23" t="s">
        <v>708</v>
      </c>
      <c r="D2027" s="52" t="s">
        <v>837</v>
      </c>
      <c r="E2027" s="23" t="s">
        <v>19</v>
      </c>
      <c r="F2027" s="27">
        <v>20</v>
      </c>
      <c r="G2027" s="27">
        <v>10</v>
      </c>
      <c r="H2027" s="34"/>
      <c r="I2027" s="84">
        <v>2062.81</v>
      </c>
      <c r="J2027" s="136"/>
      <c r="K2027" s="118">
        <v>3280.23</v>
      </c>
      <c r="L2027" s="35"/>
      <c r="M2027" s="85">
        <v>24348.240000000002</v>
      </c>
      <c r="N2027" s="39" t="s">
        <v>643</v>
      </c>
      <c r="O2027" s="69"/>
      <c r="P2027" s="66">
        <v>45689</v>
      </c>
    </row>
    <row r="2028" spans="1:16" s="8" customFormat="1" ht="12.75" customHeight="1">
      <c r="A2028" s="13">
        <f t="shared" si="39"/>
        <v>2006</v>
      </c>
      <c r="B2028" s="52" t="s">
        <v>839</v>
      </c>
      <c r="C2028" s="23" t="s">
        <v>708</v>
      </c>
      <c r="D2028" s="52" t="s">
        <v>837</v>
      </c>
      <c r="E2028" s="23" t="s">
        <v>19</v>
      </c>
      <c r="F2028" s="27">
        <v>19</v>
      </c>
      <c r="G2028" s="27">
        <v>11</v>
      </c>
      <c r="H2028" s="34"/>
      <c r="I2028" s="84">
        <v>2126.91</v>
      </c>
      <c r="J2028" s="136"/>
      <c r="K2028" s="118">
        <v>3058.89</v>
      </c>
      <c r="L2028" s="35"/>
      <c r="M2028" s="85"/>
      <c r="N2028" s="39" t="s">
        <v>643</v>
      </c>
      <c r="O2028" s="69"/>
      <c r="P2028" s="66">
        <v>45689</v>
      </c>
    </row>
    <row r="2029" spans="1:16" s="8" customFormat="1" ht="12.75" customHeight="1">
      <c r="A2029" s="13">
        <f t="shared" si="39"/>
        <v>2007</v>
      </c>
      <c r="B2029" s="52" t="s">
        <v>839</v>
      </c>
      <c r="C2029" s="23" t="s">
        <v>708</v>
      </c>
      <c r="D2029" s="52" t="s">
        <v>837</v>
      </c>
      <c r="E2029" s="23" t="s">
        <v>19</v>
      </c>
      <c r="F2029" s="27">
        <v>18</v>
      </c>
      <c r="G2029" s="27">
        <v>12</v>
      </c>
      <c r="H2029" s="34"/>
      <c r="I2029" s="84">
        <v>2198.08</v>
      </c>
      <c r="J2029" s="136"/>
      <c r="K2029" s="118">
        <v>2874.42</v>
      </c>
      <c r="L2029" s="35"/>
      <c r="M2029" s="85"/>
      <c r="N2029" s="39" t="s">
        <v>643</v>
      </c>
      <c r="O2029" s="69"/>
      <c r="P2029" s="66">
        <v>45689</v>
      </c>
    </row>
    <row r="2030" spans="1:16" s="8" customFormat="1" ht="12.75" customHeight="1">
      <c r="A2030" s="13">
        <f t="shared" si="39"/>
        <v>2008</v>
      </c>
      <c r="B2030" s="52" t="s">
        <v>839</v>
      </c>
      <c r="C2030" s="23" t="s">
        <v>708</v>
      </c>
      <c r="D2030" s="52" t="s">
        <v>837</v>
      </c>
      <c r="E2030" s="23" t="s">
        <v>19</v>
      </c>
      <c r="F2030" s="27">
        <v>17</v>
      </c>
      <c r="G2030" s="27">
        <v>13</v>
      </c>
      <c r="H2030" s="34"/>
      <c r="I2030" s="84">
        <v>2277.66</v>
      </c>
      <c r="J2030" s="136"/>
      <c r="K2030" s="118">
        <v>2718.37</v>
      </c>
      <c r="L2030" s="35"/>
      <c r="M2030" s="85"/>
      <c r="N2030" s="39" t="s">
        <v>643</v>
      </c>
      <c r="O2030" s="69"/>
      <c r="P2030" s="66">
        <v>45689</v>
      </c>
    </row>
    <row r="2031" spans="1:16" s="8" customFormat="1" ht="12.75" customHeight="1">
      <c r="A2031" s="13">
        <f t="shared" si="39"/>
        <v>2009</v>
      </c>
      <c r="B2031" s="52" t="s">
        <v>839</v>
      </c>
      <c r="C2031" s="23" t="s">
        <v>708</v>
      </c>
      <c r="D2031" s="52" t="s">
        <v>837</v>
      </c>
      <c r="E2031" s="23" t="s">
        <v>19</v>
      </c>
      <c r="F2031" s="27">
        <v>16</v>
      </c>
      <c r="G2031" s="27">
        <v>14</v>
      </c>
      <c r="H2031" s="34"/>
      <c r="I2031" s="84">
        <v>2367.19</v>
      </c>
      <c r="J2031" s="136"/>
      <c r="K2031" s="118">
        <v>2584.58</v>
      </c>
      <c r="L2031" s="35"/>
      <c r="M2031" s="85"/>
      <c r="N2031" s="39" t="s">
        <v>643</v>
      </c>
      <c r="O2031" s="69"/>
      <c r="P2031" s="66">
        <v>45689</v>
      </c>
    </row>
    <row r="2032" spans="1:16" s="8" customFormat="1" ht="12.75" customHeight="1">
      <c r="A2032" s="13">
        <f t="shared" si="39"/>
        <v>2010</v>
      </c>
      <c r="B2032" s="52" t="s">
        <v>839</v>
      </c>
      <c r="C2032" s="23" t="s">
        <v>708</v>
      </c>
      <c r="D2032" s="52" t="s">
        <v>837</v>
      </c>
      <c r="E2032" s="23" t="s">
        <v>19</v>
      </c>
      <c r="F2032" s="27">
        <v>15</v>
      </c>
      <c r="G2032" s="27"/>
      <c r="H2032" s="34"/>
      <c r="I2032" s="84">
        <v>2468.62</v>
      </c>
      <c r="J2032" s="136"/>
      <c r="K2032" s="118"/>
      <c r="L2032" s="35"/>
      <c r="M2032" s="85"/>
      <c r="N2032" s="39" t="s">
        <v>643</v>
      </c>
      <c r="O2032" s="69"/>
      <c r="P2032" s="66">
        <v>45689</v>
      </c>
    </row>
    <row r="2033" spans="1:16" s="8" customFormat="1" ht="12.75" customHeight="1">
      <c r="A2033" s="13">
        <f t="shared" si="39"/>
        <v>2011</v>
      </c>
      <c r="B2033" s="52" t="s">
        <v>1037</v>
      </c>
      <c r="C2033" s="23" t="s">
        <v>708</v>
      </c>
      <c r="D2033" s="52" t="s">
        <v>837</v>
      </c>
      <c r="E2033" s="23" t="s">
        <v>19</v>
      </c>
      <c r="F2033" s="46" t="s">
        <v>977</v>
      </c>
      <c r="G2033" s="27"/>
      <c r="H2033" s="34"/>
      <c r="I2033" s="84">
        <v>73835.16</v>
      </c>
      <c r="J2033" s="136"/>
      <c r="K2033" s="118"/>
      <c r="L2033" s="35"/>
      <c r="M2033" s="85"/>
      <c r="N2033" s="39" t="s">
        <v>643</v>
      </c>
      <c r="O2033" s="69"/>
      <c r="P2033" s="66">
        <v>45352</v>
      </c>
    </row>
    <row r="2034" spans="1:16" s="8" customFormat="1" ht="12.75" customHeight="1">
      <c r="A2034" s="13">
        <f t="shared" si="39"/>
        <v>2012</v>
      </c>
      <c r="B2034" s="52" t="s">
        <v>1037</v>
      </c>
      <c r="C2034" s="23" t="s">
        <v>708</v>
      </c>
      <c r="D2034" s="52" t="s">
        <v>837</v>
      </c>
      <c r="E2034" s="23" t="s">
        <v>19</v>
      </c>
      <c r="F2034" s="46" t="s">
        <v>977</v>
      </c>
      <c r="G2034" s="27"/>
      <c r="H2034" s="34"/>
      <c r="I2034" s="84">
        <v>84913.13</v>
      </c>
      <c r="J2034" s="136"/>
      <c r="K2034" s="118"/>
      <c r="L2034" s="35"/>
      <c r="M2034" s="85"/>
      <c r="N2034" s="39" t="s">
        <v>643</v>
      </c>
      <c r="O2034" s="69"/>
      <c r="P2034" s="66">
        <v>45689</v>
      </c>
    </row>
    <row r="2035" spans="1:16" s="8" customFormat="1" ht="12.75" customHeight="1">
      <c r="A2035" s="13">
        <f t="shared" si="39"/>
        <v>2013</v>
      </c>
      <c r="B2035" s="155" t="s">
        <v>839</v>
      </c>
      <c r="C2035" s="23" t="s">
        <v>708</v>
      </c>
      <c r="D2035" s="52" t="s">
        <v>837</v>
      </c>
      <c r="E2035" s="23" t="s">
        <v>19</v>
      </c>
      <c r="F2035" s="27">
        <v>20</v>
      </c>
      <c r="G2035" s="27">
        <v>10</v>
      </c>
      <c r="H2035" s="34"/>
      <c r="I2035" s="84">
        <v>2263.5700000000002</v>
      </c>
      <c r="J2035" s="136"/>
      <c r="K2035" s="118">
        <v>3600.42</v>
      </c>
      <c r="L2035" s="35"/>
      <c r="M2035" s="85">
        <v>26737.26</v>
      </c>
      <c r="N2035" s="39" t="s">
        <v>643</v>
      </c>
      <c r="O2035" s="69"/>
      <c r="P2035" s="193">
        <v>46082</v>
      </c>
    </row>
    <row r="2036" spans="1:16" s="8" customFormat="1" ht="12.75" customHeight="1">
      <c r="A2036" s="13">
        <f t="shared" si="39"/>
        <v>2014</v>
      </c>
      <c r="B2036" s="155" t="s">
        <v>839</v>
      </c>
      <c r="C2036" s="23" t="s">
        <v>708</v>
      </c>
      <c r="D2036" s="52" t="s">
        <v>837</v>
      </c>
      <c r="E2036" s="23" t="s">
        <v>19</v>
      </c>
      <c r="F2036" s="27">
        <v>19</v>
      </c>
      <c r="G2036" s="27">
        <v>11</v>
      </c>
      <c r="H2036" s="34"/>
      <c r="I2036" s="84">
        <v>2333.89</v>
      </c>
      <c r="J2036" s="136"/>
      <c r="K2036" s="118">
        <v>3357.36</v>
      </c>
      <c r="L2036" s="35"/>
      <c r="M2036" s="85"/>
      <c r="N2036" s="39" t="s">
        <v>643</v>
      </c>
      <c r="O2036" s="69"/>
      <c r="P2036" s="193">
        <v>46082</v>
      </c>
    </row>
    <row r="2037" spans="1:16" s="8" customFormat="1" ht="12.75" customHeight="1">
      <c r="A2037" s="13">
        <f t="shared" si="39"/>
        <v>2015</v>
      </c>
      <c r="B2037" s="155" t="s">
        <v>839</v>
      </c>
      <c r="C2037" s="23" t="s">
        <v>708</v>
      </c>
      <c r="D2037" s="52" t="s">
        <v>837</v>
      </c>
      <c r="E2037" s="23" t="s">
        <v>19</v>
      </c>
      <c r="F2037" s="27">
        <v>18</v>
      </c>
      <c r="G2037" s="27">
        <v>12</v>
      </c>
      <c r="H2037" s="34"/>
      <c r="I2037" s="84">
        <v>2412.0700000000002</v>
      </c>
      <c r="J2037" s="136"/>
      <c r="K2037" s="118">
        <v>3154.81</v>
      </c>
      <c r="L2037" s="35"/>
      <c r="M2037" s="85"/>
      <c r="N2037" s="39" t="s">
        <v>643</v>
      </c>
      <c r="O2037" s="69"/>
      <c r="P2037" s="193">
        <v>46082</v>
      </c>
    </row>
    <row r="2038" spans="1:16" s="8" customFormat="1" ht="12.75" customHeight="1">
      <c r="A2038" s="13">
        <f t="shared" si="39"/>
        <v>2016</v>
      </c>
      <c r="B2038" s="155" t="s">
        <v>839</v>
      </c>
      <c r="C2038" s="23" t="s">
        <v>708</v>
      </c>
      <c r="D2038" s="52" t="s">
        <v>837</v>
      </c>
      <c r="E2038" s="23" t="s">
        <v>19</v>
      </c>
      <c r="F2038" s="27">
        <v>17</v>
      </c>
      <c r="G2038" s="27">
        <v>13</v>
      </c>
      <c r="H2038" s="34"/>
      <c r="I2038" s="84">
        <v>2499.48</v>
      </c>
      <c r="J2038" s="136"/>
      <c r="K2038" s="118">
        <v>2983.42</v>
      </c>
      <c r="L2038" s="35"/>
      <c r="M2038" s="85"/>
      <c r="N2038" s="39" t="s">
        <v>643</v>
      </c>
      <c r="O2038" s="69"/>
      <c r="P2038" s="193">
        <v>46082</v>
      </c>
    </row>
    <row r="2039" spans="1:16" s="8" customFormat="1" ht="12.75" customHeight="1">
      <c r="A2039" s="13">
        <f t="shared" si="39"/>
        <v>2017</v>
      </c>
      <c r="B2039" s="155" t="s">
        <v>839</v>
      </c>
      <c r="C2039" s="23" t="s">
        <v>708</v>
      </c>
      <c r="D2039" s="52" t="s">
        <v>837</v>
      </c>
      <c r="E2039" s="23" t="s">
        <v>19</v>
      </c>
      <c r="F2039" s="27">
        <v>16</v>
      </c>
      <c r="G2039" s="27">
        <v>14</v>
      </c>
      <c r="H2039" s="34"/>
      <c r="I2039" s="84">
        <v>2597.77</v>
      </c>
      <c r="J2039" s="136"/>
      <c r="K2039" s="118">
        <v>2836.49</v>
      </c>
      <c r="L2039" s="35"/>
      <c r="M2039" s="85"/>
      <c r="N2039" s="39" t="s">
        <v>643</v>
      </c>
      <c r="O2039" s="69"/>
      <c r="P2039" s="193">
        <v>46082</v>
      </c>
    </row>
    <row r="2040" spans="1:16" s="8" customFormat="1" ht="12.75" customHeight="1">
      <c r="A2040" s="13">
        <f t="shared" si="39"/>
        <v>2018</v>
      </c>
      <c r="B2040" s="155" t="s">
        <v>839</v>
      </c>
      <c r="C2040" s="23" t="s">
        <v>708</v>
      </c>
      <c r="D2040" s="52" t="s">
        <v>837</v>
      </c>
      <c r="E2040" s="23" t="s">
        <v>19</v>
      </c>
      <c r="F2040" s="27">
        <v>15</v>
      </c>
      <c r="G2040" s="27"/>
      <c r="H2040" s="34"/>
      <c r="I2040" s="84">
        <v>2709.19</v>
      </c>
      <c r="J2040" s="136"/>
      <c r="K2040" s="118"/>
      <c r="L2040" s="35"/>
      <c r="M2040" s="85"/>
      <c r="N2040" s="39" t="s">
        <v>643</v>
      </c>
      <c r="O2040" s="69"/>
      <c r="P2040" s="193">
        <v>46082</v>
      </c>
    </row>
    <row r="2041" spans="1:16" s="8" customFormat="1" ht="12.75" customHeight="1">
      <c r="A2041" s="13">
        <f t="shared" si="39"/>
        <v>2019</v>
      </c>
      <c r="B2041" s="155" t="s">
        <v>1037</v>
      </c>
      <c r="C2041" s="23" t="s">
        <v>708</v>
      </c>
      <c r="D2041" s="52" t="s">
        <v>837</v>
      </c>
      <c r="E2041" s="23" t="s">
        <v>19</v>
      </c>
      <c r="F2041" s="46" t="s">
        <v>977</v>
      </c>
      <c r="G2041" s="27"/>
      <c r="H2041" s="34"/>
      <c r="I2041" s="84">
        <v>107577.32</v>
      </c>
      <c r="J2041" s="136"/>
      <c r="K2041" s="118"/>
      <c r="L2041" s="35"/>
      <c r="M2041" s="85"/>
      <c r="N2041" s="39" t="s">
        <v>643</v>
      </c>
      <c r="O2041" s="69"/>
      <c r="P2041" s="193">
        <v>46082</v>
      </c>
    </row>
    <row r="2042" spans="1:16" s="8" customFormat="1" ht="12.75" customHeight="1">
      <c r="A2042" s="13">
        <f t="shared" si="39"/>
        <v>2020</v>
      </c>
      <c r="B2042" s="45" t="s">
        <v>867</v>
      </c>
      <c r="C2042" s="23" t="s">
        <v>706</v>
      </c>
      <c r="D2042" s="52" t="s">
        <v>750</v>
      </c>
      <c r="E2042" s="23" t="s">
        <v>13</v>
      </c>
      <c r="F2042" s="27">
        <v>20</v>
      </c>
      <c r="G2042" s="27">
        <v>5</v>
      </c>
      <c r="H2042" s="34"/>
      <c r="I2042" s="84">
        <v>1418.87</v>
      </c>
      <c r="J2042" s="136"/>
      <c r="K2042" s="118">
        <v>1887.82</v>
      </c>
      <c r="L2042" s="35"/>
      <c r="M2042" s="85"/>
      <c r="N2042" s="39" t="s">
        <v>643</v>
      </c>
      <c r="O2042" s="69">
        <v>610</v>
      </c>
      <c r="P2042" s="66">
        <v>43617</v>
      </c>
    </row>
    <row r="2043" spans="1:16" s="8" customFormat="1" ht="14.25" customHeight="1">
      <c r="A2043" s="13">
        <f t="shared" si="39"/>
        <v>2021</v>
      </c>
      <c r="B2043" s="45" t="s">
        <v>867</v>
      </c>
      <c r="C2043" s="23" t="s">
        <v>706</v>
      </c>
      <c r="D2043" s="52" t="s">
        <v>750</v>
      </c>
      <c r="E2043" s="23" t="s">
        <v>13</v>
      </c>
      <c r="F2043" s="27">
        <v>20</v>
      </c>
      <c r="G2043" s="27">
        <v>10</v>
      </c>
      <c r="H2043" s="34"/>
      <c r="I2043" s="84">
        <v>1394.03</v>
      </c>
      <c r="J2043" s="136"/>
      <c r="K2043" s="118">
        <v>1838.14</v>
      </c>
      <c r="L2043" s="35"/>
      <c r="M2043" s="85"/>
      <c r="N2043" s="39" t="s">
        <v>643</v>
      </c>
      <c r="O2043" s="69"/>
      <c r="P2043" s="66">
        <v>43922</v>
      </c>
    </row>
    <row r="2044" spans="1:16" s="8" customFormat="1" ht="12.75" customHeight="1">
      <c r="A2044" s="13">
        <f t="shared" si="39"/>
        <v>2022</v>
      </c>
      <c r="B2044" s="45" t="s">
        <v>867</v>
      </c>
      <c r="C2044" s="23" t="s">
        <v>706</v>
      </c>
      <c r="D2044" s="52" t="s">
        <v>750</v>
      </c>
      <c r="E2044" s="23" t="s">
        <v>13</v>
      </c>
      <c r="F2044" s="27">
        <v>16</v>
      </c>
      <c r="G2044" s="27">
        <v>10</v>
      </c>
      <c r="H2044" s="34"/>
      <c r="I2044" s="84">
        <v>1597.95</v>
      </c>
      <c r="J2044" s="136"/>
      <c r="K2044" s="118">
        <v>1977.46</v>
      </c>
      <c r="L2044" s="35"/>
      <c r="M2044" s="85"/>
      <c r="N2044" s="39" t="s">
        <v>643</v>
      </c>
      <c r="O2044" s="69"/>
      <c r="P2044" s="66">
        <v>44562</v>
      </c>
    </row>
    <row r="2045" spans="1:16" s="8" customFormat="1" ht="12.75" customHeight="1">
      <c r="A2045" s="13">
        <f t="shared" si="39"/>
        <v>2023</v>
      </c>
      <c r="B2045" s="45" t="s">
        <v>867</v>
      </c>
      <c r="C2045" s="23" t="s">
        <v>706</v>
      </c>
      <c r="D2045" s="23" t="s">
        <v>750</v>
      </c>
      <c r="E2045" s="23" t="s">
        <v>13</v>
      </c>
      <c r="F2045" s="27">
        <v>16</v>
      </c>
      <c r="G2045" s="27">
        <v>10</v>
      </c>
      <c r="H2045" s="34"/>
      <c r="I2045" s="84">
        <v>1763.45</v>
      </c>
      <c r="J2045" s="136"/>
      <c r="K2045" s="118">
        <v>2185.33</v>
      </c>
      <c r="L2045" s="35"/>
      <c r="M2045" s="85"/>
      <c r="N2045" s="39" t="s">
        <v>643</v>
      </c>
      <c r="O2045" s="69"/>
      <c r="P2045" s="66">
        <v>45078</v>
      </c>
    </row>
    <row r="2046" spans="1:16" s="8" customFormat="1" ht="12.75" customHeight="1">
      <c r="A2046" s="13">
        <f t="shared" si="39"/>
        <v>2024</v>
      </c>
      <c r="B2046" s="94" t="s">
        <v>867</v>
      </c>
      <c r="C2046" s="23" t="s">
        <v>706</v>
      </c>
      <c r="D2046" s="23" t="s">
        <v>750</v>
      </c>
      <c r="E2046" s="23" t="s">
        <v>13</v>
      </c>
      <c r="F2046" s="27">
        <v>16</v>
      </c>
      <c r="G2046" s="27">
        <v>10</v>
      </c>
      <c r="H2046" s="34"/>
      <c r="I2046" s="84">
        <v>2028.19</v>
      </c>
      <c r="J2046" s="136"/>
      <c r="K2046" s="118">
        <v>2513.5500000000002</v>
      </c>
      <c r="L2046" s="35"/>
      <c r="M2046" s="85"/>
      <c r="N2046" s="39" t="s">
        <v>643</v>
      </c>
      <c r="O2046" s="69"/>
      <c r="P2046" s="66">
        <v>45352</v>
      </c>
    </row>
    <row r="2047" spans="1:16" s="8" customFormat="1" ht="12.75" customHeight="1">
      <c r="A2047" s="13">
        <f t="shared" si="39"/>
        <v>2025</v>
      </c>
      <c r="B2047" s="94" t="s">
        <v>867</v>
      </c>
      <c r="C2047" s="23" t="s">
        <v>706</v>
      </c>
      <c r="D2047" s="23" t="s">
        <v>750</v>
      </c>
      <c r="E2047" s="23" t="s">
        <v>13</v>
      </c>
      <c r="F2047" s="27">
        <v>14</v>
      </c>
      <c r="G2047" s="27">
        <v>12</v>
      </c>
      <c r="H2047" s="34"/>
      <c r="I2047" s="84">
        <v>2143.77</v>
      </c>
      <c r="J2047" s="136"/>
      <c r="K2047" s="118">
        <v>2297.83</v>
      </c>
      <c r="L2047" s="35"/>
      <c r="M2047" s="85"/>
      <c r="N2047" s="39" t="s">
        <v>643</v>
      </c>
      <c r="O2047" s="69"/>
      <c r="P2047" s="66">
        <v>45352</v>
      </c>
    </row>
    <row r="2048" spans="1:16" s="8" customFormat="1" ht="12.75" customHeight="1">
      <c r="A2048" s="13">
        <f t="shared" si="39"/>
        <v>2026</v>
      </c>
      <c r="B2048" s="94" t="s">
        <v>867</v>
      </c>
      <c r="C2048" s="23" t="s">
        <v>706</v>
      </c>
      <c r="D2048" s="23" t="s">
        <v>750</v>
      </c>
      <c r="E2048" s="23" t="s">
        <v>13</v>
      </c>
      <c r="F2048" s="27">
        <v>16</v>
      </c>
      <c r="G2048" s="27">
        <v>10</v>
      </c>
      <c r="H2048" s="34"/>
      <c r="I2048" s="84">
        <v>2333.25</v>
      </c>
      <c r="J2048" s="136"/>
      <c r="K2048" s="118">
        <v>2891.46</v>
      </c>
      <c r="L2048" s="35"/>
      <c r="M2048" s="85"/>
      <c r="N2048" s="39" t="s">
        <v>643</v>
      </c>
      <c r="O2048" s="69"/>
      <c r="P2048" s="66">
        <v>45689</v>
      </c>
    </row>
    <row r="2049" spans="1:16" s="8" customFormat="1" ht="12.75" customHeight="1">
      <c r="A2049" s="13">
        <f t="shared" si="39"/>
        <v>2027</v>
      </c>
      <c r="B2049" s="94" t="s">
        <v>867</v>
      </c>
      <c r="C2049" s="23" t="s">
        <v>706</v>
      </c>
      <c r="D2049" s="23" t="s">
        <v>750</v>
      </c>
      <c r="E2049" s="23" t="s">
        <v>13</v>
      </c>
      <c r="F2049" s="27">
        <v>14</v>
      </c>
      <c r="G2049" s="27">
        <v>12</v>
      </c>
      <c r="H2049" s="34"/>
      <c r="I2049" s="84">
        <v>2466.1799999999998</v>
      </c>
      <c r="J2049" s="136"/>
      <c r="K2049" s="118">
        <v>2643.38</v>
      </c>
      <c r="L2049" s="35"/>
      <c r="M2049" s="85"/>
      <c r="N2049" s="39" t="s">
        <v>643</v>
      </c>
      <c r="O2049" s="69"/>
      <c r="P2049" s="66">
        <v>45689</v>
      </c>
    </row>
    <row r="2050" spans="1:16" s="8" customFormat="1" ht="12.75" customHeight="1">
      <c r="A2050" s="13">
        <f t="shared" si="39"/>
        <v>2028</v>
      </c>
      <c r="B2050" s="155" t="s">
        <v>867</v>
      </c>
      <c r="C2050" s="23" t="s">
        <v>706</v>
      </c>
      <c r="D2050" s="23" t="s">
        <v>750</v>
      </c>
      <c r="E2050" s="23" t="s">
        <v>13</v>
      </c>
      <c r="F2050" s="27">
        <v>16</v>
      </c>
      <c r="G2050" s="27">
        <v>10</v>
      </c>
      <c r="H2050" s="34"/>
      <c r="I2050" s="84">
        <v>2579.96</v>
      </c>
      <c r="J2050" s="136"/>
      <c r="K2050" s="118">
        <v>3206.36</v>
      </c>
      <c r="L2050" s="35"/>
      <c r="M2050" s="85"/>
      <c r="N2050" s="39" t="s">
        <v>643</v>
      </c>
      <c r="O2050" s="69"/>
      <c r="P2050" s="193">
        <v>46082</v>
      </c>
    </row>
    <row r="2051" spans="1:16" s="8" customFormat="1" ht="12.75" customHeight="1">
      <c r="A2051" s="13">
        <f t="shared" si="39"/>
        <v>2029</v>
      </c>
      <c r="B2051" s="155" t="s">
        <v>867</v>
      </c>
      <c r="C2051" s="23" t="s">
        <v>706</v>
      </c>
      <c r="D2051" s="23" t="s">
        <v>750</v>
      </c>
      <c r="E2051" s="23" t="s">
        <v>13</v>
      </c>
      <c r="F2051" s="27">
        <v>14</v>
      </c>
      <c r="G2051" s="27">
        <v>12</v>
      </c>
      <c r="H2051" s="34"/>
      <c r="I2051" s="84">
        <v>2729.11</v>
      </c>
      <c r="J2051" s="136"/>
      <c r="K2051" s="118">
        <v>2927.96</v>
      </c>
      <c r="L2051" s="35"/>
      <c r="M2051" s="85"/>
      <c r="N2051" s="39" t="s">
        <v>643</v>
      </c>
      <c r="O2051" s="69"/>
      <c r="P2051" s="193">
        <v>46082</v>
      </c>
    </row>
    <row r="2052" spans="1:16" s="8" customFormat="1" ht="12.75" customHeight="1">
      <c r="A2052" s="13">
        <f t="shared" ref="A2052:A2115" si="40">A2051+1</f>
        <v>2030</v>
      </c>
      <c r="B2052" s="45" t="s">
        <v>840</v>
      </c>
      <c r="C2052" s="23" t="s">
        <v>706</v>
      </c>
      <c r="D2052" s="52" t="s">
        <v>750</v>
      </c>
      <c r="E2052" s="23" t="s">
        <v>13</v>
      </c>
      <c r="F2052" s="27">
        <v>20</v>
      </c>
      <c r="G2052" s="27">
        <v>5</v>
      </c>
      <c r="H2052" s="34"/>
      <c r="I2052" s="84">
        <v>2249.86</v>
      </c>
      <c r="J2052" s="136"/>
      <c r="K2052" s="118">
        <v>6086.4</v>
      </c>
      <c r="L2052" s="35"/>
      <c r="M2052" s="85">
        <v>13054.4</v>
      </c>
      <c r="N2052" s="39" t="s">
        <v>643</v>
      </c>
      <c r="O2052" s="69">
        <v>610</v>
      </c>
      <c r="P2052" s="66">
        <v>43617</v>
      </c>
    </row>
    <row r="2053" spans="1:16" s="8" customFormat="1" ht="12.75" customHeight="1">
      <c r="A2053" s="13">
        <f t="shared" si="40"/>
        <v>2031</v>
      </c>
      <c r="B2053" s="45" t="s">
        <v>1061</v>
      </c>
      <c r="C2053" s="23" t="s">
        <v>708</v>
      </c>
      <c r="D2053" s="52" t="s">
        <v>750</v>
      </c>
      <c r="E2053" s="23" t="s">
        <v>19</v>
      </c>
      <c r="F2053" s="46" t="s">
        <v>977</v>
      </c>
      <c r="G2053" s="27"/>
      <c r="H2053" s="34"/>
      <c r="I2053" s="84">
        <v>51811.67</v>
      </c>
      <c r="J2053" s="136"/>
      <c r="K2053" s="118"/>
      <c r="L2053" s="35"/>
      <c r="M2053" s="85"/>
      <c r="N2053" s="39" t="s">
        <v>643</v>
      </c>
      <c r="O2053" s="69"/>
      <c r="P2053" s="66">
        <v>44562</v>
      </c>
    </row>
    <row r="2054" spans="1:16" s="8" customFormat="1" ht="12.75" customHeight="1">
      <c r="A2054" s="13">
        <f t="shared" si="40"/>
        <v>2032</v>
      </c>
      <c r="B2054" s="45" t="s">
        <v>840</v>
      </c>
      <c r="C2054" s="23" t="s">
        <v>708</v>
      </c>
      <c r="D2054" s="52" t="s">
        <v>750</v>
      </c>
      <c r="E2054" s="23" t="s">
        <v>19</v>
      </c>
      <c r="F2054" s="27">
        <v>20</v>
      </c>
      <c r="G2054" s="27">
        <v>10</v>
      </c>
      <c r="H2054" s="34"/>
      <c r="I2054" s="84">
        <v>1762.32</v>
      </c>
      <c r="J2054" s="136"/>
      <c r="K2054" s="118">
        <v>2592.79</v>
      </c>
      <c r="L2054" s="35"/>
      <c r="M2054" s="85">
        <v>16609.07</v>
      </c>
      <c r="N2054" s="39" t="s">
        <v>643</v>
      </c>
      <c r="O2054" s="69"/>
      <c r="P2054" s="66">
        <v>44562</v>
      </c>
    </row>
    <row r="2055" spans="1:16" s="8" customFormat="1" ht="12.75" customHeight="1">
      <c r="A2055" s="13">
        <f t="shared" si="40"/>
        <v>2033</v>
      </c>
      <c r="B2055" s="45" t="s">
        <v>840</v>
      </c>
      <c r="C2055" s="23" t="s">
        <v>706</v>
      </c>
      <c r="D2055" s="52" t="s">
        <v>750</v>
      </c>
      <c r="E2055" s="23" t="s">
        <v>13</v>
      </c>
      <c r="F2055" s="27">
        <v>20</v>
      </c>
      <c r="G2055" s="27">
        <v>5</v>
      </c>
      <c r="H2055" s="34"/>
      <c r="I2055" s="84">
        <v>2225.0100000000002</v>
      </c>
      <c r="J2055" s="136"/>
      <c r="K2055" s="118">
        <v>5987.07</v>
      </c>
      <c r="L2055" s="35"/>
      <c r="M2055" s="85"/>
      <c r="N2055" s="39" t="s">
        <v>643</v>
      </c>
      <c r="O2055" s="69"/>
      <c r="P2055" s="66">
        <v>43922</v>
      </c>
    </row>
    <row r="2056" spans="1:16" s="8" customFormat="1" ht="12.75" customHeight="1">
      <c r="A2056" s="13">
        <f t="shared" si="40"/>
        <v>2034</v>
      </c>
      <c r="B2056" s="45" t="s">
        <v>840</v>
      </c>
      <c r="C2056" s="23" t="s">
        <v>706</v>
      </c>
      <c r="D2056" s="52" t="s">
        <v>750</v>
      </c>
      <c r="E2056" s="23" t="s">
        <v>13</v>
      </c>
      <c r="F2056" s="27">
        <v>20</v>
      </c>
      <c r="G2056" s="27">
        <v>10</v>
      </c>
      <c r="H2056" s="34"/>
      <c r="I2056" s="84">
        <v>1944.01</v>
      </c>
      <c r="J2056" s="136"/>
      <c r="K2056" s="118">
        <v>2863.79</v>
      </c>
      <c r="L2056" s="35"/>
      <c r="M2056" s="85"/>
      <c r="N2056" s="39" t="s">
        <v>643</v>
      </c>
      <c r="O2056" s="69"/>
      <c r="P2056" s="66">
        <v>45078</v>
      </c>
    </row>
    <row r="2057" spans="1:16" s="8" customFormat="1" ht="12.75" customHeight="1">
      <c r="A2057" s="13">
        <f t="shared" si="40"/>
        <v>2035</v>
      </c>
      <c r="B2057" s="45" t="s">
        <v>1061</v>
      </c>
      <c r="C2057" s="23" t="s">
        <v>708</v>
      </c>
      <c r="D2057" s="52" t="s">
        <v>750</v>
      </c>
      <c r="E2057" s="23" t="s">
        <v>19</v>
      </c>
      <c r="F2057" s="46" t="s">
        <v>977</v>
      </c>
      <c r="G2057" s="27"/>
      <c r="H2057" s="34"/>
      <c r="I2057" s="84">
        <v>52380.37</v>
      </c>
      <c r="J2057" s="136"/>
      <c r="K2057" s="118"/>
      <c r="L2057" s="35"/>
      <c r="M2057" s="85"/>
      <c r="N2057" s="39" t="s">
        <v>643</v>
      </c>
      <c r="O2057" s="69"/>
      <c r="P2057" s="66">
        <v>45078</v>
      </c>
    </row>
    <row r="2058" spans="1:16" s="8" customFormat="1" ht="12.75" customHeight="1">
      <c r="A2058" s="13">
        <f t="shared" si="40"/>
        <v>2036</v>
      </c>
      <c r="B2058" s="45" t="s">
        <v>840</v>
      </c>
      <c r="C2058" s="23" t="s">
        <v>706</v>
      </c>
      <c r="D2058" s="52" t="s">
        <v>750</v>
      </c>
      <c r="E2058" s="23" t="s">
        <v>13</v>
      </c>
      <c r="F2058" s="27">
        <v>20</v>
      </c>
      <c r="G2058" s="27">
        <v>10</v>
      </c>
      <c r="H2058" s="34"/>
      <c r="I2058" s="84">
        <v>2236.13</v>
      </c>
      <c r="J2058" s="136"/>
      <c r="K2058" s="118">
        <v>3294.31</v>
      </c>
      <c r="L2058" s="35"/>
      <c r="M2058" s="85">
        <v>21163.65</v>
      </c>
      <c r="N2058" s="39" t="s">
        <v>643</v>
      </c>
      <c r="O2058" s="69"/>
      <c r="P2058" s="66">
        <v>45352</v>
      </c>
    </row>
    <row r="2059" spans="1:16" s="8" customFormat="1" ht="12.75" customHeight="1">
      <c r="A2059" s="13">
        <f t="shared" si="40"/>
        <v>2037</v>
      </c>
      <c r="B2059" s="45" t="s">
        <v>840</v>
      </c>
      <c r="C2059" s="23" t="s">
        <v>706</v>
      </c>
      <c r="D2059" s="52" t="s">
        <v>750</v>
      </c>
      <c r="E2059" s="23" t="s">
        <v>13</v>
      </c>
      <c r="F2059" s="27">
        <v>19</v>
      </c>
      <c r="G2059" s="27">
        <v>11</v>
      </c>
      <c r="H2059" s="34"/>
      <c r="I2059" s="84">
        <v>2291.8200000000002</v>
      </c>
      <c r="J2059" s="136"/>
      <c r="K2059" s="118">
        <v>3101.91</v>
      </c>
      <c r="L2059" s="35"/>
      <c r="M2059" s="85"/>
      <c r="N2059" s="39" t="s">
        <v>643</v>
      </c>
      <c r="O2059" s="69"/>
      <c r="P2059" s="66">
        <v>45352</v>
      </c>
    </row>
    <row r="2060" spans="1:16" s="8" customFormat="1" ht="12.75" customHeight="1">
      <c r="A2060" s="13">
        <f t="shared" si="40"/>
        <v>2038</v>
      </c>
      <c r="B2060" s="45" t="s">
        <v>840</v>
      </c>
      <c r="C2060" s="23" t="s">
        <v>706</v>
      </c>
      <c r="D2060" s="52" t="s">
        <v>750</v>
      </c>
      <c r="E2060" s="23" t="s">
        <v>13</v>
      </c>
      <c r="F2060" s="27">
        <v>18</v>
      </c>
      <c r="G2060" s="27">
        <v>12</v>
      </c>
      <c r="H2060" s="34"/>
      <c r="I2060" s="84">
        <v>2353.7199999999998</v>
      </c>
      <c r="J2060" s="136"/>
      <c r="K2060" s="118">
        <v>2941.57</v>
      </c>
      <c r="L2060" s="35"/>
      <c r="M2060" s="85"/>
      <c r="N2060" s="39" t="s">
        <v>643</v>
      </c>
      <c r="O2060" s="69"/>
      <c r="P2060" s="66">
        <v>45352</v>
      </c>
    </row>
    <row r="2061" spans="1:16" s="8" customFormat="1" ht="12.75" customHeight="1">
      <c r="A2061" s="13">
        <f t="shared" si="40"/>
        <v>2039</v>
      </c>
      <c r="B2061" s="45" t="s">
        <v>840</v>
      </c>
      <c r="C2061" s="23" t="s">
        <v>706</v>
      </c>
      <c r="D2061" s="52" t="s">
        <v>750</v>
      </c>
      <c r="E2061" s="23" t="s">
        <v>13</v>
      </c>
      <c r="F2061" s="27">
        <v>17</v>
      </c>
      <c r="G2061" s="27">
        <v>13</v>
      </c>
      <c r="H2061" s="34"/>
      <c r="I2061" s="84">
        <v>2422.88</v>
      </c>
      <c r="J2061" s="136"/>
      <c r="K2061" s="118">
        <v>2805.93</v>
      </c>
      <c r="L2061" s="35"/>
      <c r="M2061" s="85"/>
      <c r="N2061" s="39" t="s">
        <v>643</v>
      </c>
      <c r="O2061" s="69"/>
      <c r="P2061" s="66">
        <v>45352</v>
      </c>
    </row>
    <row r="2062" spans="1:16" s="8" customFormat="1" ht="12.75" customHeight="1">
      <c r="A2062" s="13">
        <f t="shared" si="40"/>
        <v>2040</v>
      </c>
      <c r="B2062" s="45" t="s">
        <v>840</v>
      </c>
      <c r="C2062" s="23" t="s">
        <v>706</v>
      </c>
      <c r="D2062" s="52" t="s">
        <v>750</v>
      </c>
      <c r="E2062" s="23" t="s">
        <v>13</v>
      </c>
      <c r="F2062" s="27">
        <v>16</v>
      </c>
      <c r="G2062" s="27">
        <v>14</v>
      </c>
      <c r="H2062" s="34"/>
      <c r="I2062" s="84">
        <v>2500.6999999999998</v>
      </c>
      <c r="J2062" s="136"/>
      <c r="K2062" s="118">
        <v>2689.62</v>
      </c>
      <c r="L2062" s="35"/>
      <c r="M2062" s="85"/>
      <c r="N2062" s="39" t="s">
        <v>643</v>
      </c>
      <c r="O2062" s="69"/>
      <c r="P2062" s="66">
        <v>45352</v>
      </c>
    </row>
    <row r="2063" spans="1:16" s="8" customFormat="1" ht="12.75" customHeight="1">
      <c r="A2063" s="13">
        <f t="shared" si="40"/>
        <v>2041</v>
      </c>
      <c r="B2063" s="45" t="s">
        <v>840</v>
      </c>
      <c r="C2063" s="23" t="s">
        <v>706</v>
      </c>
      <c r="D2063" s="52" t="s">
        <v>750</v>
      </c>
      <c r="E2063" s="23" t="s">
        <v>13</v>
      </c>
      <c r="F2063" s="27">
        <v>15</v>
      </c>
      <c r="G2063" s="27"/>
      <c r="H2063" s="34"/>
      <c r="I2063" s="84">
        <v>2588.88</v>
      </c>
      <c r="J2063" s="136"/>
      <c r="K2063" s="118"/>
      <c r="L2063" s="35"/>
      <c r="M2063" s="85"/>
      <c r="N2063" s="39" t="s">
        <v>643</v>
      </c>
      <c r="O2063" s="69"/>
      <c r="P2063" s="66">
        <v>45352</v>
      </c>
    </row>
    <row r="2064" spans="1:16" s="8" customFormat="1" ht="12.75" customHeight="1">
      <c r="A2064" s="13">
        <f t="shared" si="40"/>
        <v>2042</v>
      </c>
      <c r="B2064" s="45" t="s">
        <v>840</v>
      </c>
      <c r="C2064" s="23" t="s">
        <v>706</v>
      </c>
      <c r="D2064" s="52" t="s">
        <v>750</v>
      </c>
      <c r="E2064" s="23" t="s">
        <v>13</v>
      </c>
      <c r="F2064" s="27">
        <v>20</v>
      </c>
      <c r="G2064" s="27">
        <v>10</v>
      </c>
      <c r="H2064" s="34"/>
      <c r="I2064" s="84">
        <v>2572.71</v>
      </c>
      <c r="J2064" s="136"/>
      <c r="K2064" s="118">
        <v>3790.14</v>
      </c>
      <c r="L2064" s="35"/>
      <c r="M2064" s="85">
        <v>24348.240000000002</v>
      </c>
      <c r="N2064" s="39" t="s">
        <v>643</v>
      </c>
      <c r="O2064" s="69"/>
      <c r="P2064" s="66">
        <v>45689</v>
      </c>
    </row>
    <row r="2065" spans="1:16" s="8" customFormat="1" ht="12.75" customHeight="1">
      <c r="A2065" s="13">
        <f t="shared" si="40"/>
        <v>2043</v>
      </c>
      <c r="B2065" s="45" t="s">
        <v>840</v>
      </c>
      <c r="C2065" s="23" t="s">
        <v>706</v>
      </c>
      <c r="D2065" s="52" t="s">
        <v>750</v>
      </c>
      <c r="E2065" s="23" t="s">
        <v>13</v>
      </c>
      <c r="F2065" s="27">
        <v>19</v>
      </c>
      <c r="G2065" s="27">
        <v>11</v>
      </c>
      <c r="H2065" s="34"/>
      <c r="I2065" s="84">
        <v>2636.82</v>
      </c>
      <c r="J2065" s="136"/>
      <c r="K2065" s="118">
        <v>3568.8</v>
      </c>
      <c r="L2065" s="35"/>
      <c r="M2065" s="85"/>
      <c r="N2065" s="39" t="s">
        <v>643</v>
      </c>
      <c r="O2065" s="69"/>
      <c r="P2065" s="66">
        <v>45689</v>
      </c>
    </row>
    <row r="2066" spans="1:16" s="8" customFormat="1" ht="12.75" customHeight="1">
      <c r="A2066" s="13">
        <f t="shared" si="40"/>
        <v>2044</v>
      </c>
      <c r="B2066" s="45" t="s">
        <v>840</v>
      </c>
      <c r="C2066" s="23" t="s">
        <v>706</v>
      </c>
      <c r="D2066" s="52" t="s">
        <v>750</v>
      </c>
      <c r="E2066" s="23" t="s">
        <v>13</v>
      </c>
      <c r="F2066" s="27">
        <v>18</v>
      </c>
      <c r="G2066" s="27">
        <v>12</v>
      </c>
      <c r="H2066" s="34"/>
      <c r="I2066" s="84">
        <v>2707.98</v>
      </c>
      <c r="J2066" s="136"/>
      <c r="K2066" s="118">
        <v>3384.33</v>
      </c>
      <c r="L2066" s="35"/>
      <c r="M2066" s="85"/>
      <c r="N2066" s="39" t="s">
        <v>643</v>
      </c>
      <c r="O2066" s="69"/>
      <c r="P2066" s="66">
        <v>45689</v>
      </c>
    </row>
    <row r="2067" spans="1:16" s="8" customFormat="1" ht="12.75" customHeight="1">
      <c r="A2067" s="13">
        <f t="shared" si="40"/>
        <v>2045</v>
      </c>
      <c r="B2067" s="45" t="s">
        <v>840</v>
      </c>
      <c r="C2067" s="23" t="s">
        <v>706</v>
      </c>
      <c r="D2067" s="52" t="s">
        <v>750</v>
      </c>
      <c r="E2067" s="23" t="s">
        <v>13</v>
      </c>
      <c r="F2067" s="27">
        <v>17</v>
      </c>
      <c r="G2067" s="27">
        <v>13</v>
      </c>
      <c r="H2067" s="34"/>
      <c r="I2067" s="84">
        <v>2757.56</v>
      </c>
      <c r="J2067" s="136"/>
      <c r="K2067" s="118">
        <v>3228.27</v>
      </c>
      <c r="L2067" s="35"/>
      <c r="M2067" s="85"/>
      <c r="N2067" s="39" t="s">
        <v>643</v>
      </c>
      <c r="O2067" s="69"/>
      <c r="P2067" s="66">
        <v>45689</v>
      </c>
    </row>
    <row r="2068" spans="1:16" s="8" customFormat="1" ht="12.75" customHeight="1">
      <c r="A2068" s="13">
        <f t="shared" si="40"/>
        <v>2046</v>
      </c>
      <c r="B2068" s="45" t="s">
        <v>840</v>
      </c>
      <c r="C2068" s="23" t="s">
        <v>706</v>
      </c>
      <c r="D2068" s="52" t="s">
        <v>750</v>
      </c>
      <c r="E2068" s="23" t="s">
        <v>13</v>
      </c>
      <c r="F2068" s="27">
        <v>16</v>
      </c>
      <c r="G2068" s="27">
        <v>14</v>
      </c>
      <c r="H2068" s="34"/>
      <c r="I2068" s="84">
        <v>2877.1</v>
      </c>
      <c r="J2068" s="136"/>
      <c r="K2068" s="118">
        <v>3094.48</v>
      </c>
      <c r="L2068" s="35"/>
      <c r="M2068" s="85"/>
      <c r="N2068" s="39" t="s">
        <v>643</v>
      </c>
      <c r="O2068" s="69"/>
      <c r="P2068" s="66">
        <v>45689</v>
      </c>
    </row>
    <row r="2069" spans="1:16" s="8" customFormat="1" ht="12.75" customHeight="1">
      <c r="A2069" s="13">
        <f t="shared" si="40"/>
        <v>2047</v>
      </c>
      <c r="B2069" s="45" t="s">
        <v>840</v>
      </c>
      <c r="C2069" s="23" t="s">
        <v>706</v>
      </c>
      <c r="D2069" s="52" t="s">
        <v>750</v>
      </c>
      <c r="E2069" s="23" t="s">
        <v>13</v>
      </c>
      <c r="F2069" s="27">
        <v>15</v>
      </c>
      <c r="G2069" s="27"/>
      <c r="H2069" s="34"/>
      <c r="I2069" s="84">
        <v>2978.53</v>
      </c>
      <c r="J2069" s="136"/>
      <c r="K2069" s="118"/>
      <c r="L2069" s="35"/>
      <c r="M2069" s="85"/>
      <c r="N2069" s="39" t="s">
        <v>643</v>
      </c>
      <c r="O2069" s="69"/>
      <c r="P2069" s="66">
        <v>45689</v>
      </c>
    </row>
    <row r="2070" spans="1:16" s="8" customFormat="1" ht="12.75" customHeight="1">
      <c r="A2070" s="13">
        <f t="shared" si="40"/>
        <v>2048</v>
      </c>
      <c r="B2070" s="45" t="s">
        <v>1061</v>
      </c>
      <c r="C2070" s="23" t="s">
        <v>708</v>
      </c>
      <c r="D2070" s="52" t="s">
        <v>750</v>
      </c>
      <c r="E2070" s="23" t="s">
        <v>19</v>
      </c>
      <c r="F2070" s="46" t="s">
        <v>977</v>
      </c>
      <c r="G2070" s="27"/>
      <c r="H2070" s="34"/>
      <c r="I2070" s="84">
        <v>73835.16</v>
      </c>
      <c r="J2070" s="136"/>
      <c r="K2070" s="118"/>
      <c r="L2070" s="35"/>
      <c r="M2070" s="85"/>
      <c r="N2070" s="39" t="s">
        <v>643</v>
      </c>
      <c r="O2070" s="69"/>
      <c r="P2070" s="66">
        <v>45352</v>
      </c>
    </row>
    <row r="2071" spans="1:16" s="8" customFormat="1" ht="12.75" customHeight="1">
      <c r="A2071" s="13">
        <f t="shared" si="40"/>
        <v>2049</v>
      </c>
      <c r="B2071" s="45" t="s">
        <v>1061</v>
      </c>
      <c r="C2071" s="23" t="s">
        <v>708</v>
      </c>
      <c r="D2071" s="52" t="s">
        <v>750</v>
      </c>
      <c r="E2071" s="23" t="s">
        <v>19</v>
      </c>
      <c r="F2071" s="46" t="s">
        <v>977</v>
      </c>
      <c r="G2071" s="27"/>
      <c r="H2071" s="34"/>
      <c r="I2071" s="84">
        <v>84913.13</v>
      </c>
      <c r="J2071" s="136"/>
      <c r="K2071" s="118"/>
      <c r="L2071" s="35"/>
      <c r="M2071" s="85"/>
      <c r="N2071" s="39" t="s">
        <v>643</v>
      </c>
      <c r="O2071" s="69"/>
      <c r="P2071" s="66">
        <v>45689</v>
      </c>
    </row>
    <row r="2072" spans="1:16" s="8" customFormat="1" ht="12.75" customHeight="1">
      <c r="A2072" s="13">
        <f t="shared" si="40"/>
        <v>2050</v>
      </c>
      <c r="B2072" s="158" t="s">
        <v>840</v>
      </c>
      <c r="C2072" s="23" t="s">
        <v>708</v>
      </c>
      <c r="D2072" s="52" t="s">
        <v>750</v>
      </c>
      <c r="E2072" s="23" t="s">
        <v>19</v>
      </c>
      <c r="F2072" s="27">
        <v>20</v>
      </c>
      <c r="G2072" s="27">
        <v>10</v>
      </c>
      <c r="H2072" s="34"/>
      <c r="I2072" s="84">
        <v>2820.77</v>
      </c>
      <c r="J2072" s="136"/>
      <c r="K2072" s="118">
        <v>4157.62</v>
      </c>
      <c r="L2072" s="35"/>
      <c r="M2072" s="85">
        <v>26737.26</v>
      </c>
      <c r="N2072" s="39" t="s">
        <v>643</v>
      </c>
      <c r="O2072" s="69"/>
      <c r="P2072" s="193">
        <v>46082</v>
      </c>
    </row>
    <row r="2073" spans="1:16" s="8" customFormat="1" ht="12.75" customHeight="1">
      <c r="A2073" s="13">
        <f t="shared" si="40"/>
        <v>2051</v>
      </c>
      <c r="B2073" s="158" t="s">
        <v>840</v>
      </c>
      <c r="C2073" s="23" t="s">
        <v>708</v>
      </c>
      <c r="D2073" s="52" t="s">
        <v>750</v>
      </c>
      <c r="E2073" s="23" t="s">
        <v>19</v>
      </c>
      <c r="F2073" s="27">
        <v>19</v>
      </c>
      <c r="G2073" s="27">
        <v>11</v>
      </c>
      <c r="H2073" s="34"/>
      <c r="I2073" s="84">
        <v>2891.1</v>
      </c>
      <c r="J2073" s="136"/>
      <c r="K2073" s="118">
        <v>3914.56</v>
      </c>
      <c r="L2073" s="35"/>
      <c r="M2073" s="85"/>
      <c r="N2073" s="39" t="s">
        <v>643</v>
      </c>
      <c r="O2073" s="69"/>
      <c r="P2073" s="193">
        <v>46082</v>
      </c>
    </row>
    <row r="2074" spans="1:16" s="8" customFormat="1" ht="12.75" customHeight="1">
      <c r="A2074" s="13">
        <f t="shared" si="40"/>
        <v>2052</v>
      </c>
      <c r="B2074" s="158" t="s">
        <v>840</v>
      </c>
      <c r="C2074" s="23" t="s">
        <v>708</v>
      </c>
      <c r="D2074" s="52" t="s">
        <v>750</v>
      </c>
      <c r="E2074" s="23" t="s">
        <v>19</v>
      </c>
      <c r="F2074" s="27">
        <v>18</v>
      </c>
      <c r="G2074" s="27">
        <v>12</v>
      </c>
      <c r="H2074" s="34"/>
      <c r="I2074" s="84">
        <v>2969.28</v>
      </c>
      <c r="J2074" s="136"/>
      <c r="K2074" s="118">
        <v>3712</v>
      </c>
      <c r="L2074" s="35"/>
      <c r="M2074" s="85"/>
      <c r="N2074" s="39" t="s">
        <v>643</v>
      </c>
      <c r="O2074" s="69"/>
      <c r="P2074" s="193">
        <v>46082</v>
      </c>
    </row>
    <row r="2075" spans="1:16" s="8" customFormat="1" ht="12.75" customHeight="1">
      <c r="A2075" s="13">
        <f t="shared" si="40"/>
        <v>2053</v>
      </c>
      <c r="B2075" s="158" t="s">
        <v>840</v>
      </c>
      <c r="C2075" s="23" t="s">
        <v>708</v>
      </c>
      <c r="D2075" s="52" t="s">
        <v>750</v>
      </c>
      <c r="E2075" s="23" t="s">
        <v>19</v>
      </c>
      <c r="F2075" s="27">
        <v>17</v>
      </c>
      <c r="G2075" s="27">
        <v>13</v>
      </c>
      <c r="H2075" s="34"/>
      <c r="I2075" s="84">
        <v>3056.67</v>
      </c>
      <c r="J2075" s="136"/>
      <c r="K2075" s="118">
        <v>3540.62</v>
      </c>
      <c r="L2075" s="35"/>
      <c r="M2075" s="85"/>
      <c r="N2075" s="39" t="s">
        <v>643</v>
      </c>
      <c r="O2075" s="69"/>
      <c r="P2075" s="193">
        <v>46082</v>
      </c>
    </row>
    <row r="2076" spans="1:16" s="8" customFormat="1" ht="12.75" customHeight="1">
      <c r="A2076" s="13">
        <f t="shared" si="40"/>
        <v>2054</v>
      </c>
      <c r="B2076" s="158" t="s">
        <v>840</v>
      </c>
      <c r="C2076" s="23" t="s">
        <v>708</v>
      </c>
      <c r="D2076" s="52" t="s">
        <v>750</v>
      </c>
      <c r="E2076" s="23" t="s">
        <v>19</v>
      </c>
      <c r="F2076" s="27">
        <v>16</v>
      </c>
      <c r="G2076" s="27">
        <v>14</v>
      </c>
      <c r="H2076" s="34"/>
      <c r="I2076" s="84">
        <v>3154.96</v>
      </c>
      <c r="J2076" s="136"/>
      <c r="K2076" s="118">
        <v>3393.69</v>
      </c>
      <c r="L2076" s="35"/>
      <c r="M2076" s="85"/>
      <c r="N2076" s="39" t="s">
        <v>643</v>
      </c>
      <c r="O2076" s="69"/>
      <c r="P2076" s="193">
        <v>46082</v>
      </c>
    </row>
    <row r="2077" spans="1:16" s="8" customFormat="1" ht="12.75" customHeight="1">
      <c r="A2077" s="13">
        <f t="shared" si="40"/>
        <v>2055</v>
      </c>
      <c r="B2077" s="158" t="s">
        <v>840</v>
      </c>
      <c r="C2077" s="23" t="s">
        <v>708</v>
      </c>
      <c r="D2077" s="52" t="s">
        <v>750</v>
      </c>
      <c r="E2077" s="23" t="s">
        <v>19</v>
      </c>
      <c r="F2077" s="27">
        <v>15</v>
      </c>
      <c r="G2077" s="27"/>
      <c r="H2077" s="34"/>
      <c r="I2077" s="84">
        <v>3266.38</v>
      </c>
      <c r="J2077" s="136"/>
      <c r="K2077" s="118"/>
      <c r="L2077" s="35"/>
      <c r="M2077" s="85"/>
      <c r="N2077" s="39" t="s">
        <v>643</v>
      </c>
      <c r="O2077" s="69"/>
      <c r="P2077" s="193">
        <v>46082</v>
      </c>
    </row>
    <row r="2078" spans="1:16" s="8" customFormat="1" ht="12.75" customHeight="1">
      <c r="A2078" s="13">
        <f t="shared" si="40"/>
        <v>2056</v>
      </c>
      <c r="B2078" s="158" t="s">
        <v>1061</v>
      </c>
      <c r="C2078" s="23" t="s">
        <v>708</v>
      </c>
      <c r="D2078" s="52" t="s">
        <v>750</v>
      </c>
      <c r="E2078" s="23" t="s">
        <v>19</v>
      </c>
      <c r="F2078" s="46" t="s">
        <v>977</v>
      </c>
      <c r="G2078" s="27"/>
      <c r="H2078" s="34"/>
      <c r="I2078" s="84">
        <v>107577.32</v>
      </c>
      <c r="J2078" s="136"/>
      <c r="K2078" s="118"/>
      <c r="L2078" s="35"/>
      <c r="M2078" s="85"/>
      <c r="N2078" s="39" t="s">
        <v>643</v>
      </c>
      <c r="O2078" s="69"/>
      <c r="P2078" s="193">
        <v>46082</v>
      </c>
    </row>
    <row r="2079" spans="1:16" s="8" customFormat="1" ht="13.5" customHeight="1">
      <c r="A2079" s="13">
        <f t="shared" si="40"/>
        <v>2057</v>
      </c>
      <c r="B2079" s="52" t="s">
        <v>627</v>
      </c>
      <c r="C2079" s="23" t="s">
        <v>173</v>
      </c>
      <c r="D2079" s="52" t="s">
        <v>628</v>
      </c>
      <c r="E2079" s="23" t="s">
        <v>13</v>
      </c>
      <c r="F2079" s="27">
        <v>20</v>
      </c>
      <c r="G2079" s="27">
        <v>10</v>
      </c>
      <c r="H2079" s="34">
        <v>1138.48</v>
      </c>
      <c r="I2079" s="84">
        <v>1085.17</v>
      </c>
      <c r="J2079" s="136">
        <v>1744.74</v>
      </c>
      <c r="K2079" s="118">
        <v>1638.17</v>
      </c>
      <c r="L2079" s="35"/>
      <c r="M2079" s="85"/>
      <c r="N2079" s="99" t="s">
        <v>642</v>
      </c>
      <c r="O2079" s="68">
        <v>603</v>
      </c>
      <c r="P2079" s="66">
        <v>43617</v>
      </c>
    </row>
    <row r="2080" spans="1:16" s="8" customFormat="1" ht="13.5" customHeight="1">
      <c r="A2080" s="13">
        <f t="shared" si="40"/>
        <v>2058</v>
      </c>
      <c r="B2080" s="52" t="s">
        <v>627</v>
      </c>
      <c r="C2080" s="23" t="s">
        <v>173</v>
      </c>
      <c r="D2080" s="52" t="s">
        <v>628</v>
      </c>
      <c r="E2080" s="23" t="s">
        <v>13</v>
      </c>
      <c r="F2080" s="27">
        <v>20</v>
      </c>
      <c r="G2080" s="27">
        <v>10</v>
      </c>
      <c r="H2080" s="34"/>
      <c r="I2080" s="84">
        <v>1122.0899999999999</v>
      </c>
      <c r="J2080" s="136"/>
      <c r="K2080" s="118">
        <v>1711.96</v>
      </c>
      <c r="L2080" s="35"/>
      <c r="M2080" s="85"/>
      <c r="N2080" s="99" t="s">
        <v>642</v>
      </c>
      <c r="O2080" s="68"/>
      <c r="P2080" s="66">
        <v>44562</v>
      </c>
    </row>
    <row r="2081" spans="1:16" s="8" customFormat="1" ht="13.5" customHeight="1">
      <c r="A2081" s="13">
        <f t="shared" si="40"/>
        <v>2059</v>
      </c>
      <c r="B2081" s="52" t="s">
        <v>627</v>
      </c>
      <c r="C2081" s="23" t="s">
        <v>173</v>
      </c>
      <c r="D2081" s="52" t="s">
        <v>628</v>
      </c>
      <c r="E2081" s="23" t="s">
        <v>13</v>
      </c>
      <c r="F2081" s="27">
        <v>20</v>
      </c>
      <c r="G2081" s="27">
        <v>10</v>
      </c>
      <c r="H2081" s="34"/>
      <c r="I2081" s="84">
        <v>1266.75</v>
      </c>
      <c r="J2081" s="136"/>
      <c r="K2081" s="118">
        <v>2000.27</v>
      </c>
      <c r="L2081" s="35"/>
      <c r="M2081" s="85"/>
      <c r="N2081" s="99" t="s">
        <v>642</v>
      </c>
      <c r="O2081" s="68"/>
      <c r="P2081" s="66">
        <v>44713</v>
      </c>
    </row>
    <row r="2082" spans="1:16" s="8" customFormat="1" ht="13.5" customHeight="1">
      <c r="A2082" s="13">
        <f t="shared" si="40"/>
        <v>2060</v>
      </c>
      <c r="B2082" s="52" t="s">
        <v>627</v>
      </c>
      <c r="C2082" s="23" t="s">
        <v>173</v>
      </c>
      <c r="D2082" s="52" t="s">
        <v>628</v>
      </c>
      <c r="E2082" s="23" t="s">
        <v>13</v>
      </c>
      <c r="F2082" s="27">
        <v>16</v>
      </c>
      <c r="G2082" s="27">
        <v>10</v>
      </c>
      <c r="H2082" s="34"/>
      <c r="I2082" s="84">
        <v>1223.31</v>
      </c>
      <c r="J2082" s="136"/>
      <c r="K2082" s="118">
        <v>1638.17</v>
      </c>
      <c r="L2082" s="35"/>
      <c r="M2082" s="85"/>
      <c r="N2082" s="99" t="s">
        <v>642</v>
      </c>
      <c r="O2082" s="68"/>
      <c r="P2082" s="66">
        <v>43862</v>
      </c>
    </row>
    <row r="2083" spans="1:16" s="8" customFormat="1" ht="13.5" customHeight="1">
      <c r="A2083" s="13">
        <f t="shared" si="40"/>
        <v>2061</v>
      </c>
      <c r="B2083" s="52" t="s">
        <v>627</v>
      </c>
      <c r="C2083" s="23" t="s">
        <v>173</v>
      </c>
      <c r="D2083" s="52" t="s">
        <v>628</v>
      </c>
      <c r="E2083" s="23" t="s">
        <v>13</v>
      </c>
      <c r="F2083" s="27">
        <v>20</v>
      </c>
      <c r="G2083" s="27">
        <v>10</v>
      </c>
      <c r="H2083" s="34"/>
      <c r="I2083" s="84">
        <v>1278.4100000000001</v>
      </c>
      <c r="J2083" s="136"/>
      <c r="K2083" s="118">
        <v>2023.6</v>
      </c>
      <c r="L2083" s="35"/>
      <c r="M2083" s="85"/>
      <c r="N2083" s="99" t="s">
        <v>642</v>
      </c>
      <c r="O2083" s="68"/>
      <c r="P2083" s="66">
        <v>45047</v>
      </c>
    </row>
    <row r="2084" spans="1:16" s="8" customFormat="1" ht="13.5" customHeight="1">
      <c r="A2084" s="13">
        <f t="shared" si="40"/>
        <v>2062</v>
      </c>
      <c r="B2084" s="52" t="s">
        <v>627</v>
      </c>
      <c r="C2084" s="23" t="s">
        <v>173</v>
      </c>
      <c r="D2084" s="52" t="s">
        <v>628</v>
      </c>
      <c r="E2084" s="23" t="s">
        <v>13</v>
      </c>
      <c r="F2084" s="27">
        <v>20</v>
      </c>
      <c r="G2084" s="27">
        <v>10</v>
      </c>
      <c r="H2084" s="34"/>
      <c r="I2084" s="84">
        <v>1529.66</v>
      </c>
      <c r="J2084" s="136"/>
      <c r="K2084" s="118">
        <v>2274.85</v>
      </c>
      <c r="L2084" s="35"/>
      <c r="M2084" s="85"/>
      <c r="N2084" s="99" t="s">
        <v>642</v>
      </c>
      <c r="O2084" s="68"/>
      <c r="P2084" s="66">
        <v>45231</v>
      </c>
    </row>
    <row r="2085" spans="1:16" s="8" customFormat="1" ht="13.5" customHeight="1">
      <c r="A2085" s="13">
        <f t="shared" si="40"/>
        <v>2063</v>
      </c>
      <c r="B2085" s="94" t="s">
        <v>627</v>
      </c>
      <c r="C2085" s="23" t="s">
        <v>173</v>
      </c>
      <c r="D2085" s="52" t="s">
        <v>628</v>
      </c>
      <c r="E2085" s="23" t="s">
        <v>13</v>
      </c>
      <c r="F2085" s="27">
        <v>20</v>
      </c>
      <c r="G2085" s="27">
        <v>10</v>
      </c>
      <c r="H2085" s="34"/>
      <c r="I2085" s="84">
        <v>1547.92</v>
      </c>
      <c r="J2085" s="136"/>
      <c r="K2085" s="118">
        <v>2311.09</v>
      </c>
      <c r="L2085" s="35"/>
      <c r="M2085" s="85"/>
      <c r="N2085" s="157" t="s">
        <v>1163</v>
      </c>
      <c r="O2085" s="68"/>
      <c r="P2085" s="66">
        <v>45352</v>
      </c>
    </row>
    <row r="2086" spans="1:16" s="8" customFormat="1" ht="13.5" customHeight="1">
      <c r="A2086" s="13">
        <f t="shared" si="40"/>
        <v>2064</v>
      </c>
      <c r="B2086" s="94" t="s">
        <v>627</v>
      </c>
      <c r="C2086" s="23" t="s">
        <v>173</v>
      </c>
      <c r="D2086" s="52" t="s">
        <v>628</v>
      </c>
      <c r="E2086" s="23" t="s">
        <v>13</v>
      </c>
      <c r="F2086" s="27">
        <v>18</v>
      </c>
      <c r="G2086" s="27">
        <v>16</v>
      </c>
      <c r="H2086" s="34"/>
      <c r="I2086" s="84">
        <v>1632.73</v>
      </c>
      <c r="J2086" s="136"/>
      <c r="K2086" s="118">
        <v>1738.72</v>
      </c>
      <c r="L2086" s="35"/>
      <c r="M2086" s="85"/>
      <c r="N2086" s="157" t="s">
        <v>1163</v>
      </c>
      <c r="O2086" s="68"/>
      <c r="P2086" s="66">
        <v>45352</v>
      </c>
    </row>
    <row r="2087" spans="1:16" s="8" customFormat="1" ht="13.5" customHeight="1">
      <c r="A2087" s="13">
        <f t="shared" si="40"/>
        <v>2065</v>
      </c>
      <c r="B2087" s="155" t="s">
        <v>627</v>
      </c>
      <c r="C2087" s="23" t="s">
        <v>173</v>
      </c>
      <c r="D2087" s="52" t="s">
        <v>628</v>
      </c>
      <c r="E2087" s="23" t="s">
        <v>13</v>
      </c>
      <c r="F2087" s="27">
        <v>20</v>
      </c>
      <c r="G2087" s="27">
        <v>10</v>
      </c>
      <c r="H2087" s="34"/>
      <c r="I2087" s="84">
        <v>1637.65</v>
      </c>
      <c r="J2087" s="136"/>
      <c r="K2087" s="118">
        <v>2447.1999999999998</v>
      </c>
      <c r="L2087" s="35"/>
      <c r="M2087" s="85"/>
      <c r="N2087" s="157" t="s">
        <v>1163</v>
      </c>
      <c r="O2087" s="68"/>
      <c r="P2087" s="66">
        <v>45689</v>
      </c>
    </row>
    <row r="2088" spans="1:16" s="8" customFormat="1" ht="13.5" customHeight="1">
      <c r="A2088" s="13">
        <f t="shared" si="40"/>
        <v>2066</v>
      </c>
      <c r="B2088" s="155" t="s">
        <v>627</v>
      </c>
      <c r="C2088" s="23" t="s">
        <v>173</v>
      </c>
      <c r="D2088" s="52" t="s">
        <v>628</v>
      </c>
      <c r="E2088" s="23" t="s">
        <v>13</v>
      </c>
      <c r="F2088" s="27">
        <v>18</v>
      </c>
      <c r="G2088" s="27">
        <v>16</v>
      </c>
      <c r="H2088" s="34"/>
      <c r="I2088" s="84">
        <v>1727.59</v>
      </c>
      <c r="J2088" s="136"/>
      <c r="K2088" s="118">
        <v>1840.04</v>
      </c>
      <c r="L2088" s="35"/>
      <c r="M2088" s="85"/>
      <c r="N2088" s="157" t="s">
        <v>1163</v>
      </c>
      <c r="O2088" s="68"/>
      <c r="P2088" s="66">
        <v>45689</v>
      </c>
    </row>
    <row r="2089" spans="1:16" s="8" customFormat="1" ht="13.5" customHeight="1">
      <c r="A2089" s="13">
        <f t="shared" si="40"/>
        <v>2067</v>
      </c>
      <c r="B2089" s="52" t="s">
        <v>629</v>
      </c>
      <c r="C2089" s="23" t="s">
        <v>173</v>
      </c>
      <c r="D2089" s="52" t="s">
        <v>630</v>
      </c>
      <c r="E2089" s="23" t="s">
        <v>13</v>
      </c>
      <c r="F2089" s="27">
        <v>20</v>
      </c>
      <c r="G2089" s="27">
        <v>10</v>
      </c>
      <c r="H2089" s="34"/>
      <c r="I2089" s="84">
        <v>1107.3</v>
      </c>
      <c r="J2089" s="136"/>
      <c r="K2089" s="118">
        <v>1697.18</v>
      </c>
      <c r="L2089" s="35"/>
      <c r="M2089" s="85"/>
      <c r="N2089" s="99" t="s">
        <v>642</v>
      </c>
      <c r="O2089" s="68"/>
      <c r="P2089" s="66">
        <v>44562</v>
      </c>
    </row>
    <row r="2090" spans="1:16" s="8" customFormat="1" ht="13.5" customHeight="1">
      <c r="A2090" s="13">
        <f t="shared" si="40"/>
        <v>2068</v>
      </c>
      <c r="B2090" s="52" t="s">
        <v>629</v>
      </c>
      <c r="C2090" s="23" t="s">
        <v>173</v>
      </c>
      <c r="D2090" s="52" t="s">
        <v>630</v>
      </c>
      <c r="E2090" s="23" t="s">
        <v>13</v>
      </c>
      <c r="F2090" s="27">
        <v>20</v>
      </c>
      <c r="G2090" s="27">
        <v>10</v>
      </c>
      <c r="H2090" s="34"/>
      <c r="I2090" s="84">
        <v>1251.97</v>
      </c>
      <c r="J2090" s="136"/>
      <c r="K2090" s="118">
        <v>1985.48</v>
      </c>
      <c r="L2090" s="35"/>
      <c r="M2090" s="85"/>
      <c r="N2090" s="99" t="s">
        <v>642</v>
      </c>
      <c r="O2090" s="68"/>
      <c r="P2090" s="66">
        <v>44713</v>
      </c>
    </row>
    <row r="2091" spans="1:16" s="8" customFormat="1" ht="12.75" customHeight="1">
      <c r="A2091" s="13">
        <f t="shared" si="40"/>
        <v>2069</v>
      </c>
      <c r="B2091" s="52" t="s">
        <v>629</v>
      </c>
      <c r="C2091" s="23" t="s">
        <v>173</v>
      </c>
      <c r="D2091" s="52" t="s">
        <v>630</v>
      </c>
      <c r="E2091" s="23" t="s">
        <v>13</v>
      </c>
      <c r="F2091" s="27">
        <v>20</v>
      </c>
      <c r="G2091" s="27">
        <v>10</v>
      </c>
      <c r="H2091" s="34">
        <v>1123.7</v>
      </c>
      <c r="I2091" s="84">
        <v>1070.3900000000001</v>
      </c>
      <c r="J2091" s="136">
        <v>1729.95</v>
      </c>
      <c r="K2091" s="118">
        <v>1623.38</v>
      </c>
      <c r="L2091" s="35"/>
      <c r="M2091" s="85"/>
      <c r="N2091" s="99" t="s">
        <v>642</v>
      </c>
      <c r="O2091" s="68">
        <v>603</v>
      </c>
      <c r="P2091" s="66">
        <v>43617</v>
      </c>
    </row>
    <row r="2092" spans="1:16" s="8" customFormat="1" ht="12.75" customHeight="1">
      <c r="A2092" s="13">
        <f t="shared" si="40"/>
        <v>2070</v>
      </c>
      <c r="B2092" s="52" t="s">
        <v>629</v>
      </c>
      <c r="C2092" s="23" t="s">
        <v>173</v>
      </c>
      <c r="D2092" s="52" t="s">
        <v>630</v>
      </c>
      <c r="E2092" s="23" t="s">
        <v>13</v>
      </c>
      <c r="F2092" s="27">
        <v>20</v>
      </c>
      <c r="G2092" s="27">
        <v>10</v>
      </c>
      <c r="H2092" s="34"/>
      <c r="I2092" s="84">
        <v>1263.6199999999999</v>
      </c>
      <c r="J2092" s="136"/>
      <c r="K2092" s="118">
        <v>2008.81</v>
      </c>
      <c r="L2092" s="35"/>
      <c r="M2092" s="85"/>
      <c r="N2092" s="99" t="s">
        <v>642</v>
      </c>
      <c r="O2092" s="68"/>
      <c r="P2092" s="66">
        <v>45047</v>
      </c>
    </row>
    <row r="2093" spans="1:16" s="8" customFormat="1" ht="12.75" customHeight="1">
      <c r="A2093" s="13">
        <f t="shared" si="40"/>
        <v>2071</v>
      </c>
      <c r="B2093" s="94" t="s">
        <v>629</v>
      </c>
      <c r="C2093" s="23" t="s">
        <v>173</v>
      </c>
      <c r="D2093" s="52" t="s">
        <v>630</v>
      </c>
      <c r="E2093" s="23" t="s">
        <v>13</v>
      </c>
      <c r="F2093" s="27">
        <v>20</v>
      </c>
      <c r="G2093" s="27">
        <v>10</v>
      </c>
      <c r="H2093" s="34"/>
      <c r="I2093" s="84">
        <v>1281.8800000000001</v>
      </c>
      <c r="J2093" s="136"/>
      <c r="K2093" s="118">
        <v>2045.06</v>
      </c>
      <c r="L2093" s="35"/>
      <c r="M2093" s="85"/>
      <c r="N2093" s="157" t="s">
        <v>1163</v>
      </c>
      <c r="O2093" s="68"/>
      <c r="P2093" s="66">
        <v>45352</v>
      </c>
    </row>
    <row r="2094" spans="1:16" s="8" customFormat="1" ht="12.75" customHeight="1">
      <c r="A2094" s="13">
        <f t="shared" si="40"/>
        <v>2072</v>
      </c>
      <c r="B2094" s="94" t="s">
        <v>629</v>
      </c>
      <c r="C2094" s="23" t="s">
        <v>173</v>
      </c>
      <c r="D2094" s="52" t="s">
        <v>630</v>
      </c>
      <c r="E2094" s="23" t="s">
        <v>13</v>
      </c>
      <c r="F2094" s="27">
        <v>18</v>
      </c>
      <c r="G2094" s="27">
        <v>16</v>
      </c>
      <c r="H2094" s="34"/>
      <c r="I2094" s="84">
        <v>1366.7</v>
      </c>
      <c r="J2094" s="136"/>
      <c r="K2094" s="118">
        <v>1472.69</v>
      </c>
      <c r="L2094" s="35"/>
      <c r="M2094" s="85"/>
      <c r="N2094" s="157" t="s">
        <v>1163</v>
      </c>
      <c r="O2094" s="68"/>
      <c r="P2094" s="66">
        <v>45352</v>
      </c>
    </row>
    <row r="2095" spans="1:16" s="8" customFormat="1" ht="12.75" customHeight="1">
      <c r="A2095" s="13">
        <f t="shared" si="40"/>
        <v>2073</v>
      </c>
      <c r="B2095" s="155" t="s">
        <v>629</v>
      </c>
      <c r="C2095" s="23" t="s">
        <v>173</v>
      </c>
      <c r="D2095" s="52" t="s">
        <v>630</v>
      </c>
      <c r="E2095" s="23" t="s">
        <v>13</v>
      </c>
      <c r="F2095" s="27">
        <v>20</v>
      </c>
      <c r="G2095" s="27">
        <v>10</v>
      </c>
      <c r="H2095" s="34"/>
      <c r="I2095" s="84">
        <v>1384.17</v>
      </c>
      <c r="J2095" s="136"/>
      <c r="K2095" s="118">
        <v>2193.7199999999998</v>
      </c>
      <c r="L2095" s="35"/>
      <c r="M2095" s="85"/>
      <c r="N2095" s="157" t="s">
        <v>1163</v>
      </c>
      <c r="O2095" s="68"/>
      <c r="P2095" s="66">
        <v>45689</v>
      </c>
    </row>
    <row r="2096" spans="1:16" s="8" customFormat="1" ht="12.75" customHeight="1">
      <c r="A2096" s="13">
        <f t="shared" si="40"/>
        <v>2074</v>
      </c>
      <c r="B2096" s="155" t="s">
        <v>629</v>
      </c>
      <c r="C2096" s="23" t="s">
        <v>173</v>
      </c>
      <c r="D2096" s="52" t="s">
        <v>630</v>
      </c>
      <c r="E2096" s="23" t="s">
        <v>13</v>
      </c>
      <c r="F2096" s="27">
        <v>18</v>
      </c>
      <c r="G2096" s="27">
        <v>16</v>
      </c>
      <c r="H2096" s="34"/>
      <c r="I2096" s="84">
        <v>1474.1</v>
      </c>
      <c r="J2096" s="136"/>
      <c r="K2096" s="118">
        <v>1586.56</v>
      </c>
      <c r="L2096" s="35"/>
      <c r="M2096" s="85"/>
      <c r="N2096" s="157" t="s">
        <v>1163</v>
      </c>
      <c r="O2096" s="68"/>
      <c r="P2096" s="66">
        <v>45689</v>
      </c>
    </row>
    <row r="2097" spans="1:16" s="8" customFormat="1" ht="12.75" customHeight="1">
      <c r="A2097" s="13">
        <f t="shared" si="40"/>
        <v>2075</v>
      </c>
      <c r="B2097" s="52" t="s">
        <v>631</v>
      </c>
      <c r="C2097" s="23" t="s">
        <v>173</v>
      </c>
      <c r="D2097" s="52" t="s">
        <v>784</v>
      </c>
      <c r="E2097" s="23" t="s">
        <v>13</v>
      </c>
      <c r="F2097" s="27">
        <v>17</v>
      </c>
      <c r="G2097" s="27">
        <v>10</v>
      </c>
      <c r="H2097" s="34">
        <v>1131.0899999999999</v>
      </c>
      <c r="I2097" s="84">
        <v>1175.31</v>
      </c>
      <c r="J2097" s="136">
        <v>1737.34</v>
      </c>
      <c r="K2097" s="118">
        <v>1630.77</v>
      </c>
      <c r="L2097" s="35"/>
      <c r="M2097" s="85"/>
      <c r="N2097" s="99" t="s">
        <v>642</v>
      </c>
      <c r="O2097" s="68">
        <v>603</v>
      </c>
      <c r="P2097" s="66">
        <v>43617</v>
      </c>
    </row>
    <row r="2098" spans="1:16" s="8" customFormat="1" ht="12.75" customHeight="1">
      <c r="A2098" s="13">
        <f t="shared" si="40"/>
        <v>2076</v>
      </c>
      <c r="B2098" s="52" t="s">
        <v>631</v>
      </c>
      <c r="C2098" s="23" t="s">
        <v>173</v>
      </c>
      <c r="D2098" s="52" t="s">
        <v>784</v>
      </c>
      <c r="E2098" s="23" t="s">
        <v>13</v>
      </c>
      <c r="F2098" s="27">
        <v>20</v>
      </c>
      <c r="G2098" s="27">
        <v>10</v>
      </c>
      <c r="H2098" s="34"/>
      <c r="I2098" s="84">
        <v>1114.7</v>
      </c>
      <c r="J2098" s="136"/>
      <c r="K2098" s="118">
        <v>1704.57</v>
      </c>
      <c r="L2098" s="35"/>
      <c r="M2098" s="85"/>
      <c r="N2098" s="99" t="s">
        <v>642</v>
      </c>
      <c r="O2098" s="68"/>
      <c r="P2098" s="66">
        <v>44562</v>
      </c>
    </row>
    <row r="2099" spans="1:16" s="8" customFormat="1" ht="12.75" customHeight="1">
      <c r="A2099" s="13">
        <f t="shared" si="40"/>
        <v>2077</v>
      </c>
      <c r="B2099" s="52" t="s">
        <v>631</v>
      </c>
      <c r="C2099" s="23" t="s">
        <v>173</v>
      </c>
      <c r="D2099" s="52" t="s">
        <v>784</v>
      </c>
      <c r="E2099" s="23" t="s">
        <v>13</v>
      </c>
      <c r="F2099" s="27">
        <v>20</v>
      </c>
      <c r="G2099" s="27">
        <v>10</v>
      </c>
      <c r="H2099" s="34"/>
      <c r="I2099" s="84">
        <v>1259.3699999999999</v>
      </c>
      <c r="J2099" s="136"/>
      <c r="K2099" s="118">
        <v>1992.88</v>
      </c>
      <c r="L2099" s="35"/>
      <c r="M2099" s="85"/>
      <c r="N2099" s="99" t="s">
        <v>642</v>
      </c>
      <c r="O2099" s="68"/>
      <c r="P2099" s="66">
        <v>44713</v>
      </c>
    </row>
    <row r="2100" spans="1:16" s="8" customFormat="1" ht="12.75" customHeight="1">
      <c r="A2100" s="13">
        <f t="shared" si="40"/>
        <v>2078</v>
      </c>
      <c r="B2100" s="52" t="s">
        <v>631</v>
      </c>
      <c r="C2100" s="23" t="s">
        <v>173</v>
      </c>
      <c r="D2100" s="52" t="s">
        <v>784</v>
      </c>
      <c r="E2100" s="23" t="s">
        <v>13</v>
      </c>
      <c r="F2100" s="27">
        <v>20</v>
      </c>
      <c r="G2100" s="27">
        <v>10</v>
      </c>
      <c r="H2100" s="34"/>
      <c r="I2100" s="84">
        <v>1271.01</v>
      </c>
      <c r="J2100" s="136"/>
      <c r="K2100" s="118">
        <v>2016.2</v>
      </c>
      <c r="L2100" s="35"/>
      <c r="M2100" s="85"/>
      <c r="N2100" s="99" t="s">
        <v>642</v>
      </c>
      <c r="O2100" s="68"/>
      <c r="P2100" s="66">
        <v>45047</v>
      </c>
    </row>
    <row r="2101" spans="1:16" s="8" customFormat="1" ht="12.75" customHeight="1">
      <c r="A2101" s="13">
        <f t="shared" si="40"/>
        <v>2079</v>
      </c>
      <c r="B2101" s="52" t="s">
        <v>631</v>
      </c>
      <c r="C2101" s="23" t="s">
        <v>173</v>
      </c>
      <c r="D2101" s="52" t="s">
        <v>784</v>
      </c>
      <c r="E2101" s="23" t="s">
        <v>13</v>
      </c>
      <c r="F2101" s="27">
        <v>20</v>
      </c>
      <c r="G2101" s="27">
        <v>10</v>
      </c>
      <c r="H2101" s="34"/>
      <c r="I2101" s="84">
        <v>1396.65</v>
      </c>
      <c r="J2101" s="136"/>
      <c r="K2101" s="118">
        <v>2141.83</v>
      </c>
      <c r="L2101" s="35"/>
      <c r="M2101" s="85"/>
      <c r="N2101" s="99" t="s">
        <v>642</v>
      </c>
      <c r="O2101" s="68"/>
      <c r="P2101" s="66">
        <v>45231</v>
      </c>
    </row>
    <row r="2102" spans="1:16" s="8" customFormat="1" ht="12.75" customHeight="1">
      <c r="A2102" s="13">
        <f t="shared" si="40"/>
        <v>2080</v>
      </c>
      <c r="B2102" s="155" t="s">
        <v>631</v>
      </c>
      <c r="C2102" s="23" t="s">
        <v>173</v>
      </c>
      <c r="D2102" s="52" t="s">
        <v>784</v>
      </c>
      <c r="E2102" s="23" t="s">
        <v>13</v>
      </c>
      <c r="F2102" s="27">
        <v>20</v>
      </c>
      <c r="G2102" s="27">
        <v>10</v>
      </c>
      <c r="H2102" s="34"/>
      <c r="I2102" s="84">
        <v>1414.9</v>
      </c>
      <c r="J2102" s="136"/>
      <c r="K2102" s="118">
        <v>2178.0700000000002</v>
      </c>
      <c r="L2102" s="35"/>
      <c r="M2102" s="85"/>
      <c r="N2102" s="157" t="s">
        <v>1163</v>
      </c>
      <c r="O2102" s="68"/>
      <c r="P2102" s="66">
        <v>45352</v>
      </c>
    </row>
    <row r="2103" spans="1:16" s="8" customFormat="1" ht="12.75" customHeight="1">
      <c r="A2103" s="13">
        <f t="shared" si="40"/>
        <v>2081</v>
      </c>
      <c r="B2103" s="155" t="s">
        <v>631</v>
      </c>
      <c r="C2103" s="23" t="s">
        <v>173</v>
      </c>
      <c r="D2103" s="52" t="s">
        <v>784</v>
      </c>
      <c r="E2103" s="23" t="s">
        <v>13</v>
      </c>
      <c r="F2103" s="27">
        <v>18</v>
      </c>
      <c r="G2103" s="27">
        <v>16</v>
      </c>
      <c r="H2103" s="34"/>
      <c r="I2103" s="84">
        <v>1499.72</v>
      </c>
      <c r="J2103" s="136"/>
      <c r="K2103" s="118">
        <v>1605.71</v>
      </c>
      <c r="L2103" s="35"/>
      <c r="M2103" s="85"/>
      <c r="N2103" s="157" t="s">
        <v>1163</v>
      </c>
      <c r="O2103" s="68"/>
      <c r="P2103" s="66">
        <v>45352</v>
      </c>
    </row>
    <row r="2104" spans="1:16" s="8" customFormat="1" ht="12.75" customHeight="1">
      <c r="A2104" s="13">
        <f t="shared" si="40"/>
        <v>2082</v>
      </c>
      <c r="B2104" s="155" t="s">
        <v>631</v>
      </c>
      <c r="C2104" s="23" t="s">
        <v>173</v>
      </c>
      <c r="D2104" s="52" t="s">
        <v>784</v>
      </c>
      <c r="E2104" s="23" t="s">
        <v>13</v>
      </c>
      <c r="F2104" s="27">
        <v>20</v>
      </c>
      <c r="G2104" s="27">
        <v>10</v>
      </c>
      <c r="H2104" s="34"/>
      <c r="I2104" s="84">
        <v>1510.91</v>
      </c>
      <c r="J2104" s="136"/>
      <c r="K2104" s="118">
        <v>2320.46</v>
      </c>
      <c r="L2104" s="35"/>
      <c r="M2104" s="85"/>
      <c r="N2104" s="157" t="s">
        <v>1163</v>
      </c>
      <c r="O2104" s="68"/>
      <c r="P2104" s="66">
        <v>45689</v>
      </c>
    </row>
    <row r="2105" spans="1:16" s="8" customFormat="1" ht="12.75" customHeight="1">
      <c r="A2105" s="13">
        <f t="shared" si="40"/>
        <v>2083</v>
      </c>
      <c r="B2105" s="155" t="s">
        <v>631</v>
      </c>
      <c r="C2105" s="23" t="s">
        <v>173</v>
      </c>
      <c r="D2105" s="52" t="s">
        <v>784</v>
      </c>
      <c r="E2105" s="23" t="s">
        <v>13</v>
      </c>
      <c r="F2105" s="27">
        <v>18</v>
      </c>
      <c r="G2105" s="27">
        <v>16</v>
      </c>
      <c r="H2105" s="34"/>
      <c r="I2105" s="84">
        <v>1600.84</v>
      </c>
      <c r="J2105" s="136"/>
      <c r="K2105" s="118">
        <v>1713.3</v>
      </c>
      <c r="L2105" s="35"/>
      <c r="M2105" s="85"/>
      <c r="N2105" s="157" t="s">
        <v>1163</v>
      </c>
      <c r="O2105" s="68"/>
      <c r="P2105" s="66">
        <v>45689</v>
      </c>
    </row>
    <row r="2106" spans="1:16" s="8" customFormat="1" ht="12.75" customHeight="1">
      <c r="A2106" s="13">
        <f t="shared" si="40"/>
        <v>2084</v>
      </c>
      <c r="B2106" s="52" t="s">
        <v>632</v>
      </c>
      <c r="C2106" s="23" t="s">
        <v>173</v>
      </c>
      <c r="D2106" s="52" t="s">
        <v>628</v>
      </c>
      <c r="E2106" s="23" t="s">
        <v>19</v>
      </c>
      <c r="F2106" s="27">
        <v>20</v>
      </c>
      <c r="G2106" s="27">
        <v>10</v>
      </c>
      <c r="H2106" s="34">
        <v>1539.1</v>
      </c>
      <c r="I2106" s="84">
        <v>1542.09</v>
      </c>
      <c r="J2106" s="136">
        <v>2515.96</v>
      </c>
      <c r="K2106" s="118">
        <v>2521.9699999999998</v>
      </c>
      <c r="L2106" s="35">
        <v>15753.56</v>
      </c>
      <c r="M2106" s="85">
        <v>15843.79</v>
      </c>
      <c r="N2106" s="99" t="s">
        <v>642</v>
      </c>
      <c r="O2106" s="68">
        <v>603</v>
      </c>
      <c r="P2106" s="66">
        <v>43617</v>
      </c>
    </row>
    <row r="2107" spans="1:16" s="8" customFormat="1" ht="12.75" customHeight="1">
      <c r="A2107" s="13">
        <f t="shared" si="40"/>
        <v>2085</v>
      </c>
      <c r="B2107" s="45" t="s">
        <v>632</v>
      </c>
      <c r="C2107" s="23" t="s">
        <v>173</v>
      </c>
      <c r="D2107" s="52" t="s">
        <v>628</v>
      </c>
      <c r="E2107" s="23" t="s">
        <v>19</v>
      </c>
      <c r="F2107" s="27">
        <v>20</v>
      </c>
      <c r="G2107" s="27">
        <v>10</v>
      </c>
      <c r="H2107" s="34"/>
      <c r="I2107" s="84">
        <v>1242.83</v>
      </c>
      <c r="J2107" s="136"/>
      <c r="K2107" s="118">
        <v>1953.59</v>
      </c>
      <c r="L2107" s="35"/>
      <c r="M2107" s="85">
        <v>14215.17</v>
      </c>
      <c r="N2107" s="99" t="s">
        <v>642</v>
      </c>
      <c r="O2107" s="68"/>
      <c r="P2107" s="66">
        <v>44562</v>
      </c>
    </row>
    <row r="2108" spans="1:16" s="8" customFormat="1" ht="12.75" customHeight="1">
      <c r="A2108" s="13">
        <f t="shared" si="40"/>
        <v>2086</v>
      </c>
      <c r="B2108" s="45" t="s">
        <v>1013</v>
      </c>
      <c r="C2108" s="23" t="s">
        <v>173</v>
      </c>
      <c r="D2108" s="52" t="s">
        <v>628</v>
      </c>
      <c r="E2108" s="23" t="s">
        <v>19</v>
      </c>
      <c r="F2108" s="46" t="s">
        <v>977</v>
      </c>
      <c r="G2108" s="27"/>
      <c r="H2108" s="34"/>
      <c r="I2108" s="84">
        <v>44154.98</v>
      </c>
      <c r="J2108" s="136"/>
      <c r="K2108" s="118"/>
      <c r="L2108" s="35"/>
      <c r="M2108" s="85"/>
      <c r="N2108" s="99" t="s">
        <v>642</v>
      </c>
      <c r="O2108" s="68"/>
      <c r="P2108" s="66">
        <v>44562</v>
      </c>
    </row>
    <row r="2109" spans="1:16" s="8" customFormat="1" ht="12.75" customHeight="1">
      <c r="A2109" s="13">
        <f t="shared" si="40"/>
        <v>2087</v>
      </c>
      <c r="B2109" s="45" t="s">
        <v>632</v>
      </c>
      <c r="C2109" s="23" t="s">
        <v>173</v>
      </c>
      <c r="D2109" s="52" t="s">
        <v>628</v>
      </c>
      <c r="E2109" s="23" t="s">
        <v>19</v>
      </c>
      <c r="F2109" s="27">
        <v>20</v>
      </c>
      <c r="G2109" s="27">
        <v>10</v>
      </c>
      <c r="H2109" s="34"/>
      <c r="I2109" s="84">
        <v>1392.85</v>
      </c>
      <c r="J2109" s="136"/>
      <c r="K2109" s="118">
        <v>2253.59</v>
      </c>
      <c r="L2109" s="35"/>
      <c r="M2109" s="85">
        <v>17215.34</v>
      </c>
      <c r="N2109" s="99" t="s">
        <v>642</v>
      </c>
      <c r="O2109" s="68"/>
      <c r="P2109" s="66">
        <v>44713</v>
      </c>
    </row>
    <row r="2110" spans="1:16" s="8" customFormat="1" ht="12.75" customHeight="1">
      <c r="A2110" s="13">
        <f t="shared" si="40"/>
        <v>2088</v>
      </c>
      <c r="B2110" s="45" t="s">
        <v>1013</v>
      </c>
      <c r="C2110" s="23" t="s">
        <v>173</v>
      </c>
      <c r="D2110" s="52" t="s">
        <v>628</v>
      </c>
      <c r="E2110" s="23" t="s">
        <v>19</v>
      </c>
      <c r="F2110" s="46" t="s">
        <v>977</v>
      </c>
      <c r="G2110" s="27"/>
      <c r="H2110" s="34"/>
      <c r="I2110" s="84">
        <v>46805.7</v>
      </c>
      <c r="J2110" s="136"/>
      <c r="K2110" s="118"/>
      <c r="L2110" s="35"/>
      <c r="M2110" s="85"/>
      <c r="N2110" s="99" t="s">
        <v>642</v>
      </c>
      <c r="O2110" s="68"/>
      <c r="P2110" s="66">
        <v>44713</v>
      </c>
    </row>
    <row r="2111" spans="1:16" s="8" customFormat="1" ht="12.75" customHeight="1">
      <c r="A2111" s="13">
        <f t="shared" si="40"/>
        <v>2089</v>
      </c>
      <c r="B2111" s="45" t="s">
        <v>632</v>
      </c>
      <c r="C2111" s="23" t="s">
        <v>173</v>
      </c>
      <c r="D2111" s="52" t="s">
        <v>628</v>
      </c>
      <c r="E2111" s="23" t="s">
        <v>19</v>
      </c>
      <c r="F2111" s="27">
        <v>20</v>
      </c>
      <c r="G2111" s="27">
        <v>10</v>
      </c>
      <c r="H2111" s="34"/>
      <c r="I2111" s="84">
        <v>1398.55</v>
      </c>
      <c r="J2111" s="136"/>
      <c r="K2111" s="118">
        <v>2264.98</v>
      </c>
      <c r="L2111" s="35"/>
      <c r="M2111" s="85"/>
      <c r="N2111" s="99" t="s">
        <v>642</v>
      </c>
      <c r="O2111" s="68"/>
      <c r="P2111" s="66">
        <v>45047</v>
      </c>
    </row>
    <row r="2112" spans="1:16" s="8" customFormat="1" ht="12.75" customHeight="1">
      <c r="A2112" s="13">
        <f t="shared" si="40"/>
        <v>2090</v>
      </c>
      <c r="B2112" s="45" t="s">
        <v>1013</v>
      </c>
      <c r="C2112" s="23" t="s">
        <v>173</v>
      </c>
      <c r="D2112" s="52" t="s">
        <v>628</v>
      </c>
      <c r="E2112" s="23" t="s">
        <v>19</v>
      </c>
      <c r="F2112" s="46" t="s">
        <v>977</v>
      </c>
      <c r="G2112" s="27"/>
      <c r="H2112" s="34"/>
      <c r="I2112" s="84">
        <v>46805.7</v>
      </c>
      <c r="J2112" s="136"/>
      <c r="K2112" s="118"/>
      <c r="L2112" s="35"/>
      <c r="M2112" s="85"/>
      <c r="N2112" s="99" t="s">
        <v>642</v>
      </c>
      <c r="O2112" s="68"/>
      <c r="P2112" s="66">
        <v>45047</v>
      </c>
    </row>
    <row r="2113" spans="1:16" s="8" customFormat="1" ht="12.75" customHeight="1">
      <c r="A2113" s="13">
        <f t="shared" si="40"/>
        <v>2091</v>
      </c>
      <c r="B2113" s="45" t="s">
        <v>632</v>
      </c>
      <c r="C2113" s="23" t="s">
        <v>173</v>
      </c>
      <c r="D2113" s="52" t="s">
        <v>628</v>
      </c>
      <c r="E2113" s="23" t="s">
        <v>19</v>
      </c>
      <c r="F2113" s="27">
        <v>20</v>
      </c>
      <c r="G2113" s="27">
        <v>10</v>
      </c>
      <c r="H2113" s="34"/>
      <c r="I2113" s="84">
        <v>1678.19</v>
      </c>
      <c r="J2113" s="136"/>
      <c r="K2113" s="118">
        <v>2573.02</v>
      </c>
      <c r="L2113" s="35"/>
      <c r="M2113" s="85"/>
      <c r="N2113" s="157" t="s">
        <v>1163</v>
      </c>
      <c r="O2113" s="68"/>
      <c r="P2113" s="66">
        <v>45352</v>
      </c>
    </row>
    <row r="2114" spans="1:16" s="8" customFormat="1" ht="12.75" customHeight="1">
      <c r="A2114" s="13">
        <f t="shared" si="40"/>
        <v>2092</v>
      </c>
      <c r="B2114" s="45" t="s">
        <v>632</v>
      </c>
      <c r="C2114" s="23" t="s">
        <v>173</v>
      </c>
      <c r="D2114" s="52" t="s">
        <v>628</v>
      </c>
      <c r="E2114" s="23" t="s">
        <v>19</v>
      </c>
      <c r="F2114" s="27">
        <v>19</v>
      </c>
      <c r="G2114" s="27">
        <v>11</v>
      </c>
      <c r="H2114" s="34"/>
      <c r="I2114" s="84">
        <v>1725.28</v>
      </c>
      <c r="J2114" s="136"/>
      <c r="K2114" s="118">
        <v>2410.33</v>
      </c>
      <c r="L2114" s="35"/>
      <c r="M2114" s="85"/>
      <c r="N2114" s="157" t="s">
        <v>1163</v>
      </c>
      <c r="O2114" s="68"/>
      <c r="P2114" s="66">
        <v>45352</v>
      </c>
    </row>
    <row r="2115" spans="1:16" s="8" customFormat="1" ht="12.75" customHeight="1">
      <c r="A2115" s="13">
        <f t="shared" si="40"/>
        <v>2093</v>
      </c>
      <c r="B2115" s="45" t="s">
        <v>632</v>
      </c>
      <c r="C2115" s="23" t="s">
        <v>173</v>
      </c>
      <c r="D2115" s="52" t="s">
        <v>628</v>
      </c>
      <c r="E2115" s="23" t="s">
        <v>19</v>
      </c>
      <c r="F2115" s="27">
        <v>18</v>
      </c>
      <c r="G2115" s="27">
        <v>12</v>
      </c>
      <c r="H2115" s="34"/>
      <c r="I2115" s="84">
        <v>1777.62</v>
      </c>
      <c r="J2115" s="136"/>
      <c r="K2115" s="118">
        <v>2274.75</v>
      </c>
      <c r="L2115" s="35"/>
      <c r="M2115" s="85"/>
      <c r="N2115" s="157" t="s">
        <v>1163</v>
      </c>
      <c r="O2115" s="68"/>
      <c r="P2115" s="66">
        <v>45352</v>
      </c>
    </row>
    <row r="2116" spans="1:16" s="8" customFormat="1" ht="12.75" customHeight="1">
      <c r="A2116" s="13">
        <f t="shared" ref="A2116:A2179" si="41">A2115+1</f>
        <v>2094</v>
      </c>
      <c r="B2116" s="45" t="s">
        <v>632</v>
      </c>
      <c r="C2116" s="23" t="s">
        <v>173</v>
      </c>
      <c r="D2116" s="52" t="s">
        <v>628</v>
      </c>
      <c r="E2116" s="23" t="s">
        <v>19</v>
      </c>
      <c r="F2116" s="27">
        <v>17</v>
      </c>
      <c r="G2116" s="27">
        <v>13</v>
      </c>
      <c r="H2116" s="34"/>
      <c r="I2116" s="84">
        <v>1836.1</v>
      </c>
      <c r="J2116" s="136"/>
      <c r="K2116" s="118">
        <v>2160.02</v>
      </c>
      <c r="L2116" s="35"/>
      <c r="M2116" s="85"/>
      <c r="N2116" s="157" t="s">
        <v>1163</v>
      </c>
      <c r="O2116" s="68"/>
      <c r="P2116" s="66">
        <v>45352</v>
      </c>
    </row>
    <row r="2117" spans="1:16" s="8" customFormat="1" ht="12.75" customHeight="1">
      <c r="A2117" s="13">
        <f t="shared" si="41"/>
        <v>2095</v>
      </c>
      <c r="B2117" s="45" t="s">
        <v>632</v>
      </c>
      <c r="C2117" s="23" t="s">
        <v>173</v>
      </c>
      <c r="D2117" s="52" t="s">
        <v>628</v>
      </c>
      <c r="E2117" s="23" t="s">
        <v>19</v>
      </c>
      <c r="F2117" s="27">
        <v>16</v>
      </c>
      <c r="G2117" s="27">
        <v>14</v>
      </c>
      <c r="H2117" s="34"/>
      <c r="I2117" s="84">
        <v>1901.92</v>
      </c>
      <c r="J2117" s="136"/>
      <c r="K2117" s="118">
        <v>2061.6999999999998</v>
      </c>
      <c r="L2117" s="35"/>
      <c r="M2117" s="85"/>
      <c r="N2117" s="157" t="s">
        <v>1163</v>
      </c>
      <c r="O2117" s="68"/>
      <c r="P2117" s="66">
        <v>45352</v>
      </c>
    </row>
    <row r="2118" spans="1:16" s="8" customFormat="1" ht="12.75" customHeight="1">
      <c r="A2118" s="13">
        <f t="shared" si="41"/>
        <v>2096</v>
      </c>
      <c r="B2118" s="45" t="s">
        <v>632</v>
      </c>
      <c r="C2118" s="23" t="s">
        <v>173</v>
      </c>
      <c r="D2118" s="52" t="s">
        <v>628</v>
      </c>
      <c r="E2118" s="23" t="s">
        <v>19</v>
      </c>
      <c r="F2118" s="27">
        <v>15</v>
      </c>
      <c r="G2118" s="27"/>
      <c r="H2118" s="34"/>
      <c r="I2118" s="84">
        <v>1976.46</v>
      </c>
      <c r="J2118" s="136"/>
      <c r="K2118" s="118"/>
      <c r="L2118" s="35"/>
      <c r="M2118" s="85"/>
      <c r="N2118" s="157" t="s">
        <v>1163</v>
      </c>
      <c r="O2118" s="68"/>
      <c r="P2118" s="66">
        <v>45352</v>
      </c>
    </row>
    <row r="2119" spans="1:16" s="8" customFormat="1" ht="12.75" customHeight="1">
      <c r="A2119" s="13">
        <f t="shared" si="41"/>
        <v>2097</v>
      </c>
      <c r="B2119" s="158" t="s">
        <v>632</v>
      </c>
      <c r="C2119" s="23" t="s">
        <v>173</v>
      </c>
      <c r="D2119" s="52" t="s">
        <v>628</v>
      </c>
      <c r="E2119" s="23" t="s">
        <v>19</v>
      </c>
      <c r="F2119" s="27">
        <v>20</v>
      </c>
      <c r="G2119" s="27">
        <v>10</v>
      </c>
      <c r="H2119" s="34"/>
      <c r="I2119" s="84">
        <v>1766.11</v>
      </c>
      <c r="J2119" s="136"/>
      <c r="K2119" s="118">
        <v>2709.69</v>
      </c>
      <c r="L2119" s="35"/>
      <c r="M2119" s="85">
        <v>18871.96</v>
      </c>
      <c r="N2119" s="157" t="s">
        <v>1163</v>
      </c>
      <c r="O2119" s="68"/>
      <c r="P2119" s="66">
        <v>45689</v>
      </c>
    </row>
    <row r="2120" spans="1:16" s="8" customFormat="1" ht="12.75" customHeight="1">
      <c r="A2120" s="13">
        <f t="shared" si="41"/>
        <v>2098</v>
      </c>
      <c r="B2120" s="158" t="s">
        <v>632</v>
      </c>
      <c r="C2120" s="23" t="s">
        <v>173</v>
      </c>
      <c r="D2120" s="52" t="s">
        <v>628</v>
      </c>
      <c r="E2120" s="23" t="s">
        <v>19</v>
      </c>
      <c r="F2120" s="27">
        <v>19</v>
      </c>
      <c r="G2120" s="27">
        <v>11</v>
      </c>
      <c r="H2120" s="34"/>
      <c r="I2120" s="84">
        <v>1815.77</v>
      </c>
      <c r="J2120" s="136"/>
      <c r="K2120" s="118">
        <v>2538.14</v>
      </c>
      <c r="L2120" s="35"/>
      <c r="M2120" s="85"/>
      <c r="N2120" s="157" t="s">
        <v>1163</v>
      </c>
      <c r="O2120" s="68"/>
      <c r="P2120" s="66">
        <v>45689</v>
      </c>
    </row>
    <row r="2121" spans="1:16" s="8" customFormat="1" ht="12.75" customHeight="1">
      <c r="A2121" s="13">
        <f t="shared" si="41"/>
        <v>2099</v>
      </c>
      <c r="B2121" s="158" t="s">
        <v>632</v>
      </c>
      <c r="C2121" s="23" t="s">
        <v>173</v>
      </c>
      <c r="D2121" s="52" t="s">
        <v>628</v>
      </c>
      <c r="E2121" s="23" t="s">
        <v>19</v>
      </c>
      <c r="F2121" s="27">
        <v>18</v>
      </c>
      <c r="G2121" s="27">
        <v>12</v>
      </c>
      <c r="H2121" s="34"/>
      <c r="I2121" s="84">
        <v>1870.94</v>
      </c>
      <c r="J2121" s="136"/>
      <c r="K2121" s="118">
        <v>2395.17</v>
      </c>
      <c r="L2121" s="35"/>
      <c r="M2121" s="85"/>
      <c r="N2121" s="157" t="s">
        <v>1163</v>
      </c>
      <c r="O2121" s="68"/>
      <c r="P2121" s="66">
        <v>45689</v>
      </c>
    </row>
    <row r="2122" spans="1:16" s="8" customFormat="1" ht="12.75" customHeight="1">
      <c r="A2122" s="13">
        <f t="shared" si="41"/>
        <v>2100</v>
      </c>
      <c r="B2122" s="158" t="s">
        <v>632</v>
      </c>
      <c r="C2122" s="23" t="s">
        <v>173</v>
      </c>
      <c r="D2122" s="52" t="s">
        <v>628</v>
      </c>
      <c r="E2122" s="23" t="s">
        <v>19</v>
      </c>
      <c r="F2122" s="27">
        <v>17</v>
      </c>
      <c r="G2122" s="27">
        <v>13</v>
      </c>
      <c r="H2122" s="34"/>
      <c r="I2122" s="84">
        <v>1932.63</v>
      </c>
      <c r="J2122" s="136"/>
      <c r="K2122" s="118">
        <v>2274.1799999999998</v>
      </c>
      <c r="L2122" s="35"/>
      <c r="M2122" s="85"/>
      <c r="N2122" s="157" t="s">
        <v>1163</v>
      </c>
      <c r="O2122" s="68"/>
      <c r="P2122" s="66">
        <v>45689</v>
      </c>
    </row>
    <row r="2123" spans="1:16" s="8" customFormat="1" ht="12.75" customHeight="1">
      <c r="A2123" s="13">
        <f t="shared" si="41"/>
        <v>2101</v>
      </c>
      <c r="B2123" s="158" t="s">
        <v>632</v>
      </c>
      <c r="C2123" s="23" t="s">
        <v>173</v>
      </c>
      <c r="D2123" s="52" t="s">
        <v>628</v>
      </c>
      <c r="E2123" s="23" t="s">
        <v>19</v>
      </c>
      <c r="F2123" s="27">
        <v>16</v>
      </c>
      <c r="G2123" s="27">
        <v>14</v>
      </c>
      <c r="H2123" s="34"/>
      <c r="I2123" s="84">
        <v>2002</v>
      </c>
      <c r="J2123" s="136"/>
      <c r="K2123" s="118">
        <v>2170.4899999999998</v>
      </c>
      <c r="L2123" s="35"/>
      <c r="M2123" s="85"/>
      <c r="N2123" s="157" t="s">
        <v>1163</v>
      </c>
      <c r="O2123" s="68"/>
      <c r="P2123" s="66">
        <v>45689</v>
      </c>
    </row>
    <row r="2124" spans="1:16" s="8" customFormat="1" ht="12.75" customHeight="1">
      <c r="A2124" s="13">
        <f t="shared" si="41"/>
        <v>2102</v>
      </c>
      <c r="B2124" s="158" t="s">
        <v>632</v>
      </c>
      <c r="C2124" s="23" t="s">
        <v>173</v>
      </c>
      <c r="D2124" s="52" t="s">
        <v>628</v>
      </c>
      <c r="E2124" s="23" t="s">
        <v>19</v>
      </c>
      <c r="F2124" s="27">
        <v>15</v>
      </c>
      <c r="G2124" s="27"/>
      <c r="H2124" s="34"/>
      <c r="I2124" s="84">
        <v>2080.62</v>
      </c>
      <c r="J2124" s="136"/>
      <c r="K2124" s="118"/>
      <c r="L2124" s="35"/>
      <c r="M2124" s="85"/>
      <c r="N2124" s="157" t="s">
        <v>1163</v>
      </c>
      <c r="O2124" s="68"/>
      <c r="P2124" s="66">
        <v>45689</v>
      </c>
    </row>
    <row r="2125" spans="1:16" s="8" customFormat="1" ht="12.75" customHeight="1">
      <c r="A2125" s="13">
        <f t="shared" si="41"/>
        <v>2103</v>
      </c>
      <c r="B2125" s="45" t="s">
        <v>1013</v>
      </c>
      <c r="C2125" s="23" t="s">
        <v>173</v>
      </c>
      <c r="D2125" s="52" t="s">
        <v>628</v>
      </c>
      <c r="E2125" s="23" t="s">
        <v>19</v>
      </c>
      <c r="F2125" s="46" t="s">
        <v>977</v>
      </c>
      <c r="G2125" s="27"/>
      <c r="H2125" s="34"/>
      <c r="I2125" s="84">
        <v>78824.929999999993</v>
      </c>
      <c r="J2125" s="136"/>
      <c r="K2125" s="118"/>
      <c r="L2125" s="35"/>
      <c r="M2125" s="85"/>
      <c r="N2125" s="157" t="s">
        <v>1163</v>
      </c>
      <c r="O2125" s="68"/>
      <c r="P2125" s="66">
        <v>45352</v>
      </c>
    </row>
    <row r="2126" spans="1:16" s="8" customFormat="1" ht="12.75" customHeight="1">
      <c r="A2126" s="13">
        <f t="shared" si="41"/>
        <v>2104</v>
      </c>
      <c r="B2126" s="158" t="s">
        <v>1013</v>
      </c>
      <c r="C2126" s="23" t="s">
        <v>173</v>
      </c>
      <c r="D2126" s="52" t="s">
        <v>628</v>
      </c>
      <c r="E2126" s="23" t="s">
        <v>19</v>
      </c>
      <c r="F2126" s="46" t="s">
        <v>977</v>
      </c>
      <c r="G2126" s="27"/>
      <c r="H2126" s="34"/>
      <c r="I2126" s="84">
        <v>85739.88</v>
      </c>
      <c r="J2126" s="136"/>
      <c r="K2126" s="118"/>
      <c r="L2126" s="35"/>
      <c r="M2126" s="85"/>
      <c r="N2126" s="157" t="s">
        <v>1163</v>
      </c>
      <c r="O2126" s="68"/>
      <c r="P2126" s="66">
        <v>45689</v>
      </c>
    </row>
    <row r="2127" spans="1:16" s="8" customFormat="1" ht="12.75" customHeight="1">
      <c r="A2127" s="13">
        <f t="shared" si="41"/>
        <v>2105</v>
      </c>
      <c r="B2127" s="52" t="s">
        <v>1155</v>
      </c>
      <c r="C2127" s="23" t="s">
        <v>173</v>
      </c>
      <c r="D2127" s="52" t="s">
        <v>630</v>
      </c>
      <c r="E2127" s="23" t="s">
        <v>19</v>
      </c>
      <c r="F2127" s="27">
        <v>20</v>
      </c>
      <c r="G2127" s="27">
        <v>10</v>
      </c>
      <c r="H2127" s="34">
        <v>1522.84</v>
      </c>
      <c r="I2127" s="84">
        <v>1525.83</v>
      </c>
      <c r="J2127" s="136">
        <v>2498.23</v>
      </c>
      <c r="K2127" s="118">
        <v>2504.25</v>
      </c>
      <c r="L2127" s="35">
        <v>15753.56</v>
      </c>
      <c r="M2127" s="85">
        <v>15843.79</v>
      </c>
      <c r="N2127" s="99" t="s">
        <v>642</v>
      </c>
      <c r="O2127" s="68">
        <v>603</v>
      </c>
      <c r="P2127" s="66">
        <v>43617</v>
      </c>
    </row>
    <row r="2128" spans="1:16" s="8" customFormat="1" ht="12.75" customHeight="1">
      <c r="A2128" s="13">
        <f t="shared" si="41"/>
        <v>2106</v>
      </c>
      <c r="B2128" s="45" t="s">
        <v>1155</v>
      </c>
      <c r="C2128" s="23" t="s">
        <v>173</v>
      </c>
      <c r="D2128" s="52" t="s">
        <v>630</v>
      </c>
      <c r="E2128" s="23" t="s">
        <v>19</v>
      </c>
      <c r="F2128" s="27">
        <v>20</v>
      </c>
      <c r="G2128" s="27">
        <v>10</v>
      </c>
      <c r="H2128" s="34"/>
      <c r="I2128" s="84">
        <v>1797.37</v>
      </c>
      <c r="J2128" s="136"/>
      <c r="K2128" s="118">
        <v>3077.45</v>
      </c>
      <c r="L2128" s="35"/>
      <c r="M2128" s="85">
        <v>25601.52</v>
      </c>
      <c r="N2128" s="99" t="s">
        <v>642</v>
      </c>
      <c r="O2128" s="68"/>
      <c r="P2128" s="66">
        <v>44562</v>
      </c>
    </row>
    <row r="2129" spans="1:16" s="8" customFormat="1" ht="12.75" customHeight="1">
      <c r="A2129" s="13">
        <f t="shared" si="41"/>
        <v>2107</v>
      </c>
      <c r="B2129" s="45" t="s">
        <v>1156</v>
      </c>
      <c r="C2129" s="23" t="s">
        <v>173</v>
      </c>
      <c r="D2129" s="52" t="s">
        <v>630</v>
      </c>
      <c r="E2129" s="23" t="s">
        <v>19</v>
      </c>
      <c r="F2129" s="46" t="s">
        <v>977</v>
      </c>
      <c r="G2129" s="27"/>
      <c r="H2129" s="34"/>
      <c r="I2129" s="84">
        <v>52609.02</v>
      </c>
      <c r="J2129" s="136"/>
      <c r="K2129" s="118"/>
      <c r="L2129" s="35"/>
      <c r="M2129" s="85"/>
      <c r="N2129" s="99" t="s">
        <v>642</v>
      </c>
      <c r="O2129" s="68"/>
      <c r="P2129" s="66">
        <v>44562</v>
      </c>
    </row>
    <row r="2130" spans="1:16" s="8" customFormat="1" ht="12.75" customHeight="1">
      <c r="A2130" s="13">
        <f t="shared" si="41"/>
        <v>2108</v>
      </c>
      <c r="B2130" s="45" t="s">
        <v>1155</v>
      </c>
      <c r="C2130" s="23" t="s">
        <v>173</v>
      </c>
      <c r="D2130" s="52" t="s">
        <v>630</v>
      </c>
      <c r="E2130" s="23" t="s">
        <v>19</v>
      </c>
      <c r="F2130" s="27">
        <v>20</v>
      </c>
      <c r="G2130" s="27">
        <v>10</v>
      </c>
      <c r="H2130" s="34"/>
      <c r="I2130" s="84">
        <v>2078.33</v>
      </c>
      <c r="J2130" s="136"/>
      <c r="K2130" s="118">
        <v>3639.33</v>
      </c>
      <c r="L2130" s="35"/>
      <c r="M2130" s="85">
        <v>31220.55</v>
      </c>
      <c r="N2130" s="99" t="s">
        <v>642</v>
      </c>
      <c r="O2130" s="68"/>
      <c r="P2130" s="66">
        <v>44713</v>
      </c>
    </row>
    <row r="2131" spans="1:16" s="8" customFormat="1" ht="12.75" customHeight="1">
      <c r="A2131" s="13">
        <f t="shared" si="41"/>
        <v>2109</v>
      </c>
      <c r="B2131" s="45" t="s">
        <v>1156</v>
      </c>
      <c r="C2131" s="23" t="s">
        <v>173</v>
      </c>
      <c r="D2131" s="52" t="s">
        <v>630</v>
      </c>
      <c r="E2131" s="23" t="s">
        <v>19</v>
      </c>
      <c r="F2131" s="46" t="s">
        <v>977</v>
      </c>
      <c r="G2131" s="27"/>
      <c r="H2131" s="34"/>
      <c r="I2131" s="84">
        <v>55259.74</v>
      </c>
      <c r="J2131" s="136"/>
      <c r="K2131" s="118"/>
      <c r="L2131" s="35"/>
      <c r="M2131" s="85"/>
      <c r="N2131" s="99" t="s">
        <v>642</v>
      </c>
      <c r="O2131" s="68"/>
      <c r="P2131" s="66">
        <v>44713</v>
      </c>
    </row>
    <row r="2132" spans="1:16" s="8" customFormat="1" ht="12.75" customHeight="1">
      <c r="A2132" s="13">
        <f t="shared" si="41"/>
        <v>2110</v>
      </c>
      <c r="B2132" s="45" t="s">
        <v>1155</v>
      </c>
      <c r="C2132" s="23" t="s">
        <v>173</v>
      </c>
      <c r="D2132" s="52" t="s">
        <v>630</v>
      </c>
      <c r="E2132" s="23" t="s">
        <v>19</v>
      </c>
      <c r="F2132" s="46">
        <v>20</v>
      </c>
      <c r="G2132" s="27">
        <v>10</v>
      </c>
      <c r="H2132" s="34"/>
      <c r="I2132" s="84">
        <v>2084.0100000000002</v>
      </c>
      <c r="J2132" s="136"/>
      <c r="K2132" s="118">
        <v>3650.71</v>
      </c>
      <c r="L2132" s="35"/>
      <c r="M2132" s="85"/>
      <c r="N2132" s="99" t="s">
        <v>642</v>
      </c>
      <c r="O2132" s="68"/>
      <c r="P2132" s="66">
        <v>45047</v>
      </c>
    </row>
    <row r="2133" spans="1:16" s="8" customFormat="1" ht="12.75" customHeight="1">
      <c r="A2133" s="13">
        <f t="shared" si="41"/>
        <v>2111</v>
      </c>
      <c r="B2133" s="45" t="s">
        <v>1156</v>
      </c>
      <c r="C2133" s="23" t="s">
        <v>173</v>
      </c>
      <c r="D2133" s="52" t="s">
        <v>630</v>
      </c>
      <c r="E2133" s="23" t="s">
        <v>19</v>
      </c>
      <c r="F2133" s="46" t="s">
        <v>977</v>
      </c>
      <c r="G2133" s="27"/>
      <c r="H2133" s="34"/>
      <c r="I2133" s="84">
        <v>55259.74</v>
      </c>
      <c r="J2133" s="136"/>
      <c r="K2133" s="118"/>
      <c r="L2133" s="35"/>
      <c r="M2133" s="85"/>
      <c r="N2133" s="99" t="s">
        <v>642</v>
      </c>
      <c r="O2133" s="68"/>
      <c r="P2133" s="66">
        <v>45047</v>
      </c>
    </row>
    <row r="2134" spans="1:16" s="8" customFormat="1" ht="12.75" customHeight="1">
      <c r="A2134" s="13">
        <f t="shared" si="41"/>
        <v>2112</v>
      </c>
      <c r="B2134" s="45" t="s">
        <v>1155</v>
      </c>
      <c r="C2134" s="23" t="s">
        <v>173</v>
      </c>
      <c r="D2134" s="52" t="s">
        <v>630</v>
      </c>
      <c r="E2134" s="23" t="s">
        <v>19</v>
      </c>
      <c r="F2134" s="46">
        <v>20</v>
      </c>
      <c r="G2134" s="27">
        <v>10</v>
      </c>
      <c r="H2134" s="34"/>
      <c r="I2134" s="84">
        <v>2112.4</v>
      </c>
      <c r="J2134" s="136"/>
      <c r="K2134" s="118">
        <v>3707.52</v>
      </c>
      <c r="L2134" s="35"/>
      <c r="M2134" s="85">
        <v>31902.26</v>
      </c>
      <c r="N2134" s="157" t="s">
        <v>1163</v>
      </c>
      <c r="O2134" s="68"/>
      <c r="P2134" s="66">
        <v>45352</v>
      </c>
    </row>
    <row r="2135" spans="1:16" s="8" customFormat="1" ht="12.75" customHeight="1">
      <c r="A2135" s="13">
        <f t="shared" si="41"/>
        <v>2113</v>
      </c>
      <c r="B2135" s="45" t="s">
        <v>1155</v>
      </c>
      <c r="C2135" s="23" t="s">
        <v>173</v>
      </c>
      <c r="D2135" s="52" t="s">
        <v>630</v>
      </c>
      <c r="E2135" s="23" t="s">
        <v>19</v>
      </c>
      <c r="F2135" s="46">
        <v>19</v>
      </c>
      <c r="G2135" s="27">
        <v>11</v>
      </c>
      <c r="H2135" s="34"/>
      <c r="I2135" s="84">
        <v>2196.36</v>
      </c>
      <c r="J2135" s="136"/>
      <c r="K2135" s="118">
        <v>3417.49</v>
      </c>
      <c r="L2135" s="35"/>
      <c r="M2135" s="85"/>
      <c r="N2135" s="157" t="s">
        <v>1163</v>
      </c>
      <c r="O2135" s="68"/>
      <c r="P2135" s="66">
        <v>45352</v>
      </c>
    </row>
    <row r="2136" spans="1:16" s="8" customFormat="1" ht="12.75" customHeight="1">
      <c r="A2136" s="13">
        <f t="shared" si="41"/>
        <v>2114</v>
      </c>
      <c r="B2136" s="45" t="s">
        <v>1155</v>
      </c>
      <c r="C2136" s="23" t="s">
        <v>173</v>
      </c>
      <c r="D2136" s="52" t="s">
        <v>630</v>
      </c>
      <c r="E2136" s="23" t="s">
        <v>19</v>
      </c>
      <c r="F2136" s="46">
        <v>18</v>
      </c>
      <c r="G2136" s="27">
        <v>12</v>
      </c>
      <c r="H2136" s="34"/>
      <c r="I2136" s="84">
        <v>2289.64</v>
      </c>
      <c r="J2136" s="136"/>
      <c r="K2136" s="118">
        <v>3175.8</v>
      </c>
      <c r="L2136" s="35"/>
      <c r="M2136" s="85"/>
      <c r="N2136" s="157" t="s">
        <v>1163</v>
      </c>
      <c r="O2136" s="68"/>
      <c r="P2136" s="66">
        <v>45352</v>
      </c>
    </row>
    <row r="2137" spans="1:16" s="8" customFormat="1" ht="12.75" customHeight="1">
      <c r="A2137" s="13">
        <f t="shared" si="41"/>
        <v>2115</v>
      </c>
      <c r="B2137" s="45" t="s">
        <v>1155</v>
      </c>
      <c r="C2137" s="23" t="s">
        <v>173</v>
      </c>
      <c r="D2137" s="52" t="s">
        <v>630</v>
      </c>
      <c r="E2137" s="23" t="s">
        <v>19</v>
      </c>
      <c r="F2137" s="46">
        <v>17</v>
      </c>
      <c r="G2137" s="27">
        <v>13</v>
      </c>
      <c r="H2137" s="34"/>
      <c r="I2137" s="84">
        <v>3393.88</v>
      </c>
      <c r="J2137" s="136"/>
      <c r="K2137" s="118">
        <v>2971.3</v>
      </c>
      <c r="L2137" s="35"/>
      <c r="M2137" s="85"/>
      <c r="N2137" s="157" t="s">
        <v>1163</v>
      </c>
      <c r="O2137" s="68"/>
      <c r="P2137" s="66">
        <v>45352</v>
      </c>
    </row>
    <row r="2138" spans="1:16" s="8" customFormat="1" ht="12.75" customHeight="1">
      <c r="A2138" s="13">
        <f t="shared" si="41"/>
        <v>2116</v>
      </c>
      <c r="B2138" s="45" t="s">
        <v>1155</v>
      </c>
      <c r="C2138" s="23" t="s">
        <v>173</v>
      </c>
      <c r="D2138" s="52" t="s">
        <v>630</v>
      </c>
      <c r="E2138" s="23" t="s">
        <v>19</v>
      </c>
      <c r="F2138" s="46">
        <v>16</v>
      </c>
      <c r="G2138" s="27">
        <v>14</v>
      </c>
      <c r="H2138" s="34"/>
      <c r="I2138" s="84">
        <v>2511.2199999999998</v>
      </c>
      <c r="J2138" s="136"/>
      <c r="K2138" s="118">
        <v>2796.02</v>
      </c>
      <c r="L2138" s="35"/>
      <c r="M2138" s="85"/>
      <c r="N2138" s="157" t="s">
        <v>1163</v>
      </c>
      <c r="O2138" s="68"/>
      <c r="P2138" s="66">
        <v>45352</v>
      </c>
    </row>
    <row r="2139" spans="1:16" s="8" customFormat="1" ht="12.75" customHeight="1">
      <c r="A2139" s="13">
        <f t="shared" si="41"/>
        <v>2117</v>
      </c>
      <c r="B2139" s="45" t="s">
        <v>1155</v>
      </c>
      <c r="C2139" s="23" t="s">
        <v>173</v>
      </c>
      <c r="D2139" s="52" t="s">
        <v>630</v>
      </c>
      <c r="E2139" s="23" t="s">
        <v>19</v>
      </c>
      <c r="F2139" s="46">
        <v>15</v>
      </c>
      <c r="G2139" s="27"/>
      <c r="H2139" s="34"/>
      <c r="I2139" s="84">
        <v>2644.12</v>
      </c>
      <c r="J2139" s="136"/>
      <c r="K2139" s="118"/>
      <c r="L2139" s="35"/>
      <c r="M2139" s="85"/>
      <c r="N2139" s="157" t="s">
        <v>1163</v>
      </c>
      <c r="O2139" s="68"/>
      <c r="P2139" s="66">
        <v>45352</v>
      </c>
    </row>
    <row r="2140" spans="1:16" s="8" customFormat="1" ht="12.75" customHeight="1">
      <c r="A2140" s="13">
        <f t="shared" si="41"/>
        <v>2118</v>
      </c>
      <c r="B2140" s="158" t="s">
        <v>1155</v>
      </c>
      <c r="C2140" s="23" t="s">
        <v>173</v>
      </c>
      <c r="D2140" s="52" t="s">
        <v>630</v>
      </c>
      <c r="E2140" s="23" t="s">
        <v>19</v>
      </c>
      <c r="F2140" s="46">
        <v>20</v>
      </c>
      <c r="G2140" s="27">
        <v>10</v>
      </c>
      <c r="H2140" s="34"/>
      <c r="I2140" s="84">
        <v>1512.65</v>
      </c>
      <c r="J2140" s="136"/>
      <c r="K2140" s="118">
        <v>2456.21</v>
      </c>
      <c r="L2140" s="35"/>
      <c r="M2140" s="85">
        <v>18871.96</v>
      </c>
      <c r="N2140" s="157" t="s">
        <v>1163</v>
      </c>
      <c r="O2140" s="68"/>
      <c r="P2140" s="66">
        <v>45689</v>
      </c>
    </row>
    <row r="2141" spans="1:16" s="8" customFormat="1" ht="12.75" customHeight="1">
      <c r="A2141" s="13">
        <f t="shared" si="41"/>
        <v>2119</v>
      </c>
      <c r="B2141" s="158" t="s">
        <v>1155</v>
      </c>
      <c r="C2141" s="23" t="s">
        <v>173</v>
      </c>
      <c r="D2141" s="52" t="s">
        <v>630</v>
      </c>
      <c r="E2141" s="23" t="s">
        <v>19</v>
      </c>
      <c r="F2141" s="46">
        <v>19</v>
      </c>
      <c r="G2141" s="27">
        <v>11</v>
      </c>
      <c r="H2141" s="34"/>
      <c r="I2141" s="84">
        <v>1562.3</v>
      </c>
      <c r="J2141" s="136"/>
      <c r="K2141" s="118">
        <v>2284.66</v>
      </c>
      <c r="L2141" s="35"/>
      <c r="M2141" s="85"/>
      <c r="N2141" s="157" t="s">
        <v>1163</v>
      </c>
      <c r="O2141" s="68"/>
      <c r="P2141" s="66">
        <v>45689</v>
      </c>
    </row>
    <row r="2142" spans="1:16" s="8" customFormat="1" ht="12.75" customHeight="1">
      <c r="A2142" s="13">
        <f t="shared" si="41"/>
        <v>2120</v>
      </c>
      <c r="B2142" s="158" t="s">
        <v>1155</v>
      </c>
      <c r="C2142" s="23" t="s">
        <v>173</v>
      </c>
      <c r="D2142" s="52" t="s">
        <v>630</v>
      </c>
      <c r="E2142" s="23" t="s">
        <v>19</v>
      </c>
      <c r="F2142" s="46">
        <v>18</v>
      </c>
      <c r="G2142" s="27">
        <v>12</v>
      </c>
      <c r="H2142" s="34"/>
      <c r="I2142" s="84">
        <v>1617.46</v>
      </c>
      <c r="J2142" s="136"/>
      <c r="K2142" s="118">
        <v>2141.69</v>
      </c>
      <c r="L2142" s="35"/>
      <c r="M2142" s="85"/>
      <c r="N2142" s="157" t="s">
        <v>1163</v>
      </c>
      <c r="O2142" s="68"/>
      <c r="P2142" s="66">
        <v>45689</v>
      </c>
    </row>
    <row r="2143" spans="1:16" s="8" customFormat="1" ht="12.75" customHeight="1">
      <c r="A2143" s="13">
        <f t="shared" si="41"/>
        <v>2121</v>
      </c>
      <c r="B2143" s="158" t="s">
        <v>1155</v>
      </c>
      <c r="C2143" s="23" t="s">
        <v>173</v>
      </c>
      <c r="D2143" s="52" t="s">
        <v>630</v>
      </c>
      <c r="E2143" s="23" t="s">
        <v>19</v>
      </c>
      <c r="F2143" s="46">
        <v>17</v>
      </c>
      <c r="G2143" s="27">
        <v>13</v>
      </c>
      <c r="H2143" s="34"/>
      <c r="I2143" s="84">
        <v>1679.15</v>
      </c>
      <c r="J2143" s="136"/>
      <c r="K2143" s="118">
        <v>2020.71</v>
      </c>
      <c r="L2143" s="35"/>
      <c r="M2143" s="85"/>
      <c r="N2143" s="157" t="s">
        <v>1163</v>
      </c>
      <c r="O2143" s="68"/>
      <c r="P2143" s="66">
        <v>45689</v>
      </c>
    </row>
    <row r="2144" spans="1:16" s="8" customFormat="1" ht="12.75" customHeight="1">
      <c r="A2144" s="13">
        <f t="shared" si="41"/>
        <v>2122</v>
      </c>
      <c r="B2144" s="158" t="s">
        <v>1155</v>
      </c>
      <c r="C2144" s="23" t="s">
        <v>173</v>
      </c>
      <c r="D2144" s="52" t="s">
        <v>630</v>
      </c>
      <c r="E2144" s="23" t="s">
        <v>19</v>
      </c>
      <c r="F2144" s="46">
        <v>16</v>
      </c>
      <c r="G2144" s="27">
        <v>14</v>
      </c>
      <c r="H2144" s="34"/>
      <c r="I2144" s="84">
        <v>1748.52</v>
      </c>
      <c r="J2144" s="136"/>
      <c r="K2144" s="118">
        <v>1917.01</v>
      </c>
      <c r="L2144" s="35"/>
      <c r="M2144" s="85"/>
      <c r="N2144" s="157" t="s">
        <v>1163</v>
      </c>
      <c r="O2144" s="68"/>
      <c r="P2144" s="66">
        <v>45689</v>
      </c>
    </row>
    <row r="2145" spans="1:16" s="8" customFormat="1" ht="12.75" customHeight="1">
      <c r="A2145" s="13">
        <f t="shared" si="41"/>
        <v>2123</v>
      </c>
      <c r="B2145" s="158" t="s">
        <v>1155</v>
      </c>
      <c r="C2145" s="23" t="s">
        <v>173</v>
      </c>
      <c r="D2145" s="52" t="s">
        <v>630</v>
      </c>
      <c r="E2145" s="23" t="s">
        <v>19</v>
      </c>
      <c r="F2145" s="46">
        <v>15</v>
      </c>
      <c r="G2145" s="27"/>
      <c r="H2145" s="34"/>
      <c r="I2145" s="84">
        <v>1827.15</v>
      </c>
      <c r="J2145" s="136"/>
      <c r="K2145" s="118"/>
      <c r="L2145" s="35"/>
      <c r="M2145" s="85"/>
      <c r="N2145" s="157" t="s">
        <v>1163</v>
      </c>
      <c r="O2145" s="68"/>
      <c r="P2145" s="66">
        <v>45689</v>
      </c>
    </row>
    <row r="2146" spans="1:16" s="8" customFormat="1" ht="12.75" customHeight="1">
      <c r="A2146" s="13">
        <f t="shared" si="41"/>
        <v>2124</v>
      </c>
      <c r="B2146" s="45" t="s">
        <v>1156</v>
      </c>
      <c r="C2146" s="23" t="s">
        <v>173</v>
      </c>
      <c r="D2146" s="52" t="s">
        <v>630</v>
      </c>
      <c r="E2146" s="23" t="s">
        <v>19</v>
      </c>
      <c r="F2146" s="46" t="s">
        <v>977</v>
      </c>
      <c r="G2146" s="27"/>
      <c r="H2146" s="34"/>
      <c r="I2146" s="84">
        <v>78824.929999999993</v>
      </c>
      <c r="J2146" s="136"/>
      <c r="K2146" s="118"/>
      <c r="L2146" s="35"/>
      <c r="M2146" s="85"/>
      <c r="N2146" s="157" t="s">
        <v>1163</v>
      </c>
      <c r="O2146" s="68"/>
      <c r="P2146" s="66">
        <v>45352</v>
      </c>
    </row>
    <row r="2147" spans="1:16" s="8" customFormat="1" ht="12.75" customHeight="1">
      <c r="A2147" s="13">
        <f t="shared" si="41"/>
        <v>2125</v>
      </c>
      <c r="B2147" s="158" t="s">
        <v>1156</v>
      </c>
      <c r="C2147" s="23" t="s">
        <v>173</v>
      </c>
      <c r="D2147" s="52" t="s">
        <v>630</v>
      </c>
      <c r="E2147" s="23" t="s">
        <v>19</v>
      </c>
      <c r="F2147" s="46" t="s">
        <v>977</v>
      </c>
      <c r="G2147" s="27"/>
      <c r="H2147" s="34"/>
      <c r="I2147" s="85">
        <v>85739.88</v>
      </c>
      <c r="J2147" s="136"/>
      <c r="K2147" s="118"/>
      <c r="L2147" s="35"/>
      <c r="M2147" s="85"/>
      <c r="N2147" s="157" t="s">
        <v>1163</v>
      </c>
      <c r="O2147" s="68"/>
      <c r="P2147" s="66">
        <v>45689</v>
      </c>
    </row>
    <row r="2148" spans="1:16" s="8" customFormat="1" ht="12.75" customHeight="1">
      <c r="A2148" s="13">
        <f t="shared" si="41"/>
        <v>2126</v>
      </c>
      <c r="B2148" s="52" t="s">
        <v>781</v>
      </c>
      <c r="C2148" s="23" t="s">
        <v>173</v>
      </c>
      <c r="D2148" s="52" t="s">
        <v>633</v>
      </c>
      <c r="E2148" s="23" t="s">
        <v>19</v>
      </c>
      <c r="F2148" s="27">
        <v>20</v>
      </c>
      <c r="G2148" s="27">
        <v>10</v>
      </c>
      <c r="H2148" s="34">
        <v>1530.23</v>
      </c>
      <c r="I2148" s="84">
        <v>1533.22</v>
      </c>
      <c r="J2148" s="136">
        <v>2505.62</v>
      </c>
      <c r="K2148" s="118">
        <v>2511.64</v>
      </c>
      <c r="L2148" s="35">
        <v>15753.56</v>
      </c>
      <c r="M2148" s="85">
        <v>15843.79</v>
      </c>
      <c r="N2148" s="99" t="s">
        <v>642</v>
      </c>
      <c r="O2148" s="68">
        <v>603</v>
      </c>
      <c r="P2148" s="66">
        <v>43617</v>
      </c>
    </row>
    <row r="2149" spans="1:16" s="8" customFormat="1" ht="12.75" customHeight="1">
      <c r="A2149" s="13">
        <f t="shared" si="41"/>
        <v>2127</v>
      </c>
      <c r="B2149" s="45" t="s">
        <v>781</v>
      </c>
      <c r="C2149" s="23" t="s">
        <v>173</v>
      </c>
      <c r="D2149" s="52" t="s">
        <v>633</v>
      </c>
      <c r="E2149" s="23" t="s">
        <v>19</v>
      </c>
      <c r="F2149" s="27">
        <v>20</v>
      </c>
      <c r="G2149" s="27">
        <v>10</v>
      </c>
      <c r="H2149" s="34"/>
      <c r="I2149" s="84">
        <v>1804.77</v>
      </c>
      <c r="J2149" s="136"/>
      <c r="K2149" s="118">
        <v>3084.85</v>
      </c>
      <c r="L2149" s="35"/>
      <c r="M2149" s="85"/>
      <c r="N2149" s="99" t="s">
        <v>642</v>
      </c>
      <c r="O2149" s="68"/>
      <c r="P2149" s="66">
        <v>44562</v>
      </c>
    </row>
    <row r="2150" spans="1:16" s="8" customFormat="1" ht="12.75" customHeight="1">
      <c r="A2150" s="13">
        <f t="shared" si="41"/>
        <v>2128</v>
      </c>
      <c r="B2150" s="45" t="s">
        <v>1014</v>
      </c>
      <c r="C2150" s="23" t="s">
        <v>173</v>
      </c>
      <c r="D2150" s="52" t="s">
        <v>633</v>
      </c>
      <c r="E2150" s="23" t="s">
        <v>19</v>
      </c>
      <c r="F2150" s="46" t="s">
        <v>977</v>
      </c>
      <c r="G2150" s="27"/>
      <c r="H2150" s="34"/>
      <c r="I2150" s="84"/>
      <c r="J2150" s="136"/>
      <c r="K2150" s="118"/>
      <c r="L2150" s="35"/>
      <c r="M2150" s="85"/>
      <c r="N2150" s="99" t="s">
        <v>642</v>
      </c>
      <c r="O2150" s="68"/>
      <c r="P2150" s="66">
        <v>44562</v>
      </c>
    </row>
    <row r="2151" spans="1:16" s="170" customFormat="1" ht="12.75" customHeight="1">
      <c r="A2151" s="13">
        <f t="shared" si="41"/>
        <v>2129</v>
      </c>
      <c r="B2151" s="45" t="s">
        <v>781</v>
      </c>
      <c r="C2151" s="23" t="s">
        <v>173</v>
      </c>
      <c r="D2151" s="52" t="s">
        <v>633</v>
      </c>
      <c r="E2151" s="23" t="s">
        <v>19</v>
      </c>
      <c r="F2151" s="27">
        <v>20</v>
      </c>
      <c r="G2151" s="27">
        <v>10</v>
      </c>
      <c r="H2151" s="34"/>
      <c r="I2151" s="34">
        <v>2085.7199999999998</v>
      </c>
      <c r="J2151" s="136"/>
      <c r="K2151" s="136">
        <v>3646.73</v>
      </c>
      <c r="L2151" s="35"/>
      <c r="M2151" s="35">
        <v>31220.55</v>
      </c>
      <c r="N2151" s="171" t="s">
        <v>642</v>
      </c>
      <c r="O2151" s="68"/>
      <c r="P2151" s="67">
        <v>44713</v>
      </c>
    </row>
    <row r="2152" spans="1:16" s="170" customFormat="1" ht="12.75" customHeight="1">
      <c r="A2152" s="13">
        <f t="shared" si="41"/>
        <v>2130</v>
      </c>
      <c r="B2152" s="45" t="s">
        <v>1014</v>
      </c>
      <c r="C2152" s="23" t="s">
        <v>173</v>
      </c>
      <c r="D2152" s="52" t="s">
        <v>633</v>
      </c>
      <c r="E2152" s="23" t="s">
        <v>19</v>
      </c>
      <c r="F2152" s="46" t="s">
        <v>977</v>
      </c>
      <c r="G2152" s="27"/>
      <c r="H2152" s="34"/>
      <c r="I2152" s="34">
        <v>55259.74</v>
      </c>
      <c r="J2152" s="136"/>
      <c r="K2152" s="136"/>
      <c r="L2152" s="35"/>
      <c r="M2152" s="35"/>
      <c r="N2152" s="171" t="s">
        <v>642</v>
      </c>
      <c r="O2152" s="68"/>
      <c r="P2152" s="67">
        <v>44713</v>
      </c>
    </row>
    <row r="2153" spans="1:16" s="8" customFormat="1" ht="12.75" customHeight="1">
      <c r="A2153" s="13">
        <f t="shared" si="41"/>
        <v>2131</v>
      </c>
      <c r="B2153" s="45" t="s">
        <v>781</v>
      </c>
      <c r="C2153" s="23" t="s">
        <v>173</v>
      </c>
      <c r="D2153" s="52" t="s">
        <v>633</v>
      </c>
      <c r="E2153" s="23" t="s">
        <v>19</v>
      </c>
      <c r="F2153" s="27">
        <v>20</v>
      </c>
      <c r="G2153" s="27">
        <v>10</v>
      </c>
      <c r="H2153" s="34"/>
      <c r="I2153" s="84">
        <v>2091.41</v>
      </c>
      <c r="J2153" s="136"/>
      <c r="K2153" s="118">
        <v>3658.1</v>
      </c>
      <c r="L2153" s="35"/>
      <c r="M2153" s="85"/>
      <c r="N2153" s="99" t="s">
        <v>642</v>
      </c>
      <c r="O2153" s="68"/>
      <c r="P2153" s="66">
        <v>45047</v>
      </c>
    </row>
    <row r="2154" spans="1:16" s="8" customFormat="1" ht="12.75" customHeight="1">
      <c r="A2154" s="13">
        <f t="shared" si="41"/>
        <v>2132</v>
      </c>
      <c r="B2154" s="45" t="s">
        <v>1014</v>
      </c>
      <c r="C2154" s="23" t="s">
        <v>173</v>
      </c>
      <c r="D2154" s="52" t="s">
        <v>633</v>
      </c>
      <c r="E2154" s="23" t="s">
        <v>19</v>
      </c>
      <c r="F2154" s="46" t="s">
        <v>977</v>
      </c>
      <c r="G2154" s="27"/>
      <c r="H2154" s="34"/>
      <c r="I2154" s="84">
        <v>55259.74</v>
      </c>
      <c r="J2154" s="136"/>
      <c r="K2154" s="118"/>
      <c r="L2154" s="35"/>
      <c r="M2154" s="85"/>
      <c r="N2154" s="99" t="s">
        <v>642</v>
      </c>
      <c r="O2154" s="68"/>
      <c r="P2154" s="66">
        <v>45047</v>
      </c>
    </row>
    <row r="2155" spans="1:16" s="8" customFormat="1" ht="12.75" customHeight="1">
      <c r="A2155" s="13">
        <f t="shared" si="41"/>
        <v>2133</v>
      </c>
      <c r="B2155" s="45" t="s">
        <v>781</v>
      </c>
      <c r="C2155" s="23" t="s">
        <v>173</v>
      </c>
      <c r="D2155" s="52" t="s">
        <v>633</v>
      </c>
      <c r="E2155" s="23" t="s">
        <v>19</v>
      </c>
      <c r="F2155" s="27">
        <v>20</v>
      </c>
      <c r="G2155" s="27">
        <v>10</v>
      </c>
      <c r="H2155" s="34"/>
      <c r="I2155" s="84">
        <v>2245.4299999999998</v>
      </c>
      <c r="J2155" s="136"/>
      <c r="K2155" s="118">
        <v>3840.53</v>
      </c>
      <c r="L2155" s="35"/>
      <c r="M2155" s="85" t="s">
        <v>1158</v>
      </c>
      <c r="N2155" s="157" t="s">
        <v>1163</v>
      </c>
      <c r="O2155" s="68"/>
      <c r="P2155" s="66">
        <v>45352</v>
      </c>
    </row>
    <row r="2156" spans="1:16" s="8" customFormat="1" ht="12.75" customHeight="1">
      <c r="A2156" s="13">
        <f t="shared" si="41"/>
        <v>2134</v>
      </c>
      <c r="B2156" s="45" t="s">
        <v>781</v>
      </c>
      <c r="C2156" s="23" t="s">
        <v>173</v>
      </c>
      <c r="D2156" s="52" t="s">
        <v>633</v>
      </c>
      <c r="E2156" s="23" t="s">
        <v>19</v>
      </c>
      <c r="F2156" s="27">
        <v>19</v>
      </c>
      <c r="G2156" s="27">
        <v>11</v>
      </c>
      <c r="H2156" s="34"/>
      <c r="I2156" s="84">
        <v>2329.39</v>
      </c>
      <c r="J2156" s="136"/>
      <c r="K2156" s="118">
        <v>3550.51</v>
      </c>
      <c r="L2156" s="35"/>
      <c r="M2156" s="85"/>
      <c r="N2156" s="157" t="s">
        <v>1163</v>
      </c>
      <c r="O2156" s="68"/>
      <c r="P2156" s="66">
        <v>45352</v>
      </c>
    </row>
    <row r="2157" spans="1:16" s="8" customFormat="1" ht="12.75" customHeight="1">
      <c r="A2157" s="13">
        <f t="shared" si="41"/>
        <v>2135</v>
      </c>
      <c r="B2157" s="45" t="s">
        <v>781</v>
      </c>
      <c r="C2157" s="23" t="s">
        <v>173</v>
      </c>
      <c r="D2157" s="52" t="s">
        <v>633</v>
      </c>
      <c r="E2157" s="23" t="s">
        <v>19</v>
      </c>
      <c r="F2157" s="27">
        <v>18</v>
      </c>
      <c r="G2157" s="27">
        <v>12</v>
      </c>
      <c r="H2157" s="34"/>
      <c r="I2157" s="84">
        <v>2422.66</v>
      </c>
      <c r="J2157" s="136"/>
      <c r="K2157" s="118">
        <v>3308.83</v>
      </c>
      <c r="L2157" s="35"/>
      <c r="M2157" s="85"/>
      <c r="N2157" s="157" t="s">
        <v>1163</v>
      </c>
      <c r="O2157" s="68"/>
      <c r="P2157" s="66">
        <v>45352</v>
      </c>
    </row>
    <row r="2158" spans="1:16" s="8" customFormat="1" ht="12.75" customHeight="1">
      <c r="A2158" s="13">
        <f t="shared" si="41"/>
        <v>2136</v>
      </c>
      <c r="B2158" s="45" t="s">
        <v>781</v>
      </c>
      <c r="C2158" s="23" t="s">
        <v>173</v>
      </c>
      <c r="D2158" s="52" t="s">
        <v>633</v>
      </c>
      <c r="E2158" s="23" t="s">
        <v>19</v>
      </c>
      <c r="F2158" s="27">
        <v>17</v>
      </c>
      <c r="G2158" s="27">
        <v>13</v>
      </c>
      <c r="H2158" s="34"/>
      <c r="I2158" s="84">
        <v>2526.9</v>
      </c>
      <c r="J2158" s="136"/>
      <c r="K2158" s="118">
        <v>3104.32</v>
      </c>
      <c r="L2158" s="35"/>
      <c r="M2158" s="85"/>
      <c r="N2158" s="157" t="s">
        <v>1163</v>
      </c>
      <c r="O2158" s="68"/>
      <c r="P2158" s="66">
        <v>45352</v>
      </c>
    </row>
    <row r="2159" spans="1:16" s="8" customFormat="1" ht="12.75" customHeight="1">
      <c r="A2159" s="13">
        <f t="shared" si="41"/>
        <v>2137</v>
      </c>
      <c r="B2159" s="45" t="s">
        <v>781</v>
      </c>
      <c r="C2159" s="23" t="s">
        <v>173</v>
      </c>
      <c r="D2159" s="52" t="s">
        <v>633</v>
      </c>
      <c r="E2159" s="23" t="s">
        <v>19</v>
      </c>
      <c r="F2159" s="27">
        <v>16</v>
      </c>
      <c r="G2159" s="27">
        <v>14</v>
      </c>
      <c r="H2159" s="34"/>
      <c r="I2159" s="84">
        <v>2644.23</v>
      </c>
      <c r="J2159" s="136"/>
      <c r="K2159" s="118">
        <v>2929.05</v>
      </c>
      <c r="L2159" s="35"/>
      <c r="M2159" s="85"/>
      <c r="N2159" s="157" t="s">
        <v>1163</v>
      </c>
      <c r="O2159" s="68"/>
      <c r="P2159" s="66">
        <v>45352</v>
      </c>
    </row>
    <row r="2160" spans="1:16" s="8" customFormat="1" ht="12.75" customHeight="1">
      <c r="A2160" s="13">
        <f t="shared" si="41"/>
        <v>2138</v>
      </c>
      <c r="B2160" s="45" t="s">
        <v>781</v>
      </c>
      <c r="C2160" s="23" t="s">
        <v>173</v>
      </c>
      <c r="D2160" s="52" t="s">
        <v>633</v>
      </c>
      <c r="E2160" s="23" t="s">
        <v>19</v>
      </c>
      <c r="F2160" s="27">
        <v>15</v>
      </c>
      <c r="G2160" s="27"/>
      <c r="H2160" s="34"/>
      <c r="I2160" s="84">
        <v>2777.13</v>
      </c>
      <c r="J2160" s="136"/>
      <c r="K2160" s="118"/>
      <c r="L2160" s="35"/>
      <c r="M2160" s="85"/>
      <c r="N2160" s="157" t="s">
        <v>1163</v>
      </c>
      <c r="O2160" s="68"/>
      <c r="P2160" s="66">
        <v>45352</v>
      </c>
    </row>
    <row r="2161" spans="1:16" s="8" customFormat="1" ht="12.75" customHeight="1">
      <c r="A2161" s="13">
        <f t="shared" si="41"/>
        <v>2139</v>
      </c>
      <c r="B2161" s="158" t="s">
        <v>781</v>
      </c>
      <c r="C2161" s="23" t="s">
        <v>173</v>
      </c>
      <c r="D2161" s="52" t="s">
        <v>633</v>
      </c>
      <c r="E2161" s="23" t="s">
        <v>19</v>
      </c>
      <c r="F2161" s="27">
        <v>20</v>
      </c>
      <c r="G2161" s="27">
        <v>10</v>
      </c>
      <c r="H2161" s="34"/>
      <c r="I2161" s="84">
        <v>1639.38</v>
      </c>
      <c r="J2161" s="136"/>
      <c r="K2161" s="118">
        <v>2582.9499999999998</v>
      </c>
      <c r="L2161" s="35"/>
      <c r="M2161" s="85">
        <v>18871.96</v>
      </c>
      <c r="N2161" s="157" t="s">
        <v>1163</v>
      </c>
      <c r="O2161" s="68"/>
      <c r="P2161" s="66">
        <v>45689</v>
      </c>
    </row>
    <row r="2162" spans="1:16" s="8" customFormat="1" ht="12.75" customHeight="1">
      <c r="A2162" s="13">
        <f t="shared" si="41"/>
        <v>2140</v>
      </c>
      <c r="B2162" s="158" t="s">
        <v>781</v>
      </c>
      <c r="C2162" s="23" t="s">
        <v>173</v>
      </c>
      <c r="D2162" s="52" t="s">
        <v>633</v>
      </c>
      <c r="E2162" s="23" t="s">
        <v>19</v>
      </c>
      <c r="F2162" s="27">
        <v>19</v>
      </c>
      <c r="G2162" s="27">
        <v>11</v>
      </c>
      <c r="H2162" s="34"/>
      <c r="I2162" s="84">
        <v>1689.83</v>
      </c>
      <c r="J2162" s="136"/>
      <c r="K2162" s="118">
        <v>2411.39</v>
      </c>
      <c r="L2162" s="35"/>
      <c r="M2162" s="85"/>
      <c r="N2162" s="157" t="s">
        <v>1163</v>
      </c>
      <c r="O2162" s="68"/>
      <c r="P2162" s="66">
        <v>45689</v>
      </c>
    </row>
    <row r="2163" spans="1:16" s="8" customFormat="1" ht="12.75" customHeight="1">
      <c r="A2163" s="13">
        <f t="shared" si="41"/>
        <v>2141</v>
      </c>
      <c r="B2163" s="158" t="s">
        <v>781</v>
      </c>
      <c r="C2163" s="23" t="s">
        <v>173</v>
      </c>
      <c r="D2163" s="52" t="s">
        <v>633</v>
      </c>
      <c r="E2163" s="23" t="s">
        <v>19</v>
      </c>
      <c r="F2163" s="27">
        <v>18</v>
      </c>
      <c r="G2163" s="27">
        <v>12</v>
      </c>
      <c r="H2163" s="34"/>
      <c r="I2163" s="84">
        <v>1744.19</v>
      </c>
      <c r="J2163" s="136"/>
      <c r="K2163" s="118">
        <v>2268.44</v>
      </c>
      <c r="L2163" s="35"/>
      <c r="M2163" s="85"/>
      <c r="N2163" s="157" t="s">
        <v>1163</v>
      </c>
      <c r="O2163" s="68"/>
      <c r="P2163" s="66">
        <v>45689</v>
      </c>
    </row>
    <row r="2164" spans="1:16" s="8" customFormat="1" ht="12.75" customHeight="1">
      <c r="A2164" s="13">
        <f t="shared" si="41"/>
        <v>2142</v>
      </c>
      <c r="B2164" s="158" t="s">
        <v>781</v>
      </c>
      <c r="C2164" s="23" t="s">
        <v>173</v>
      </c>
      <c r="D2164" s="52" t="s">
        <v>633</v>
      </c>
      <c r="E2164" s="23" t="s">
        <v>19</v>
      </c>
      <c r="F2164" s="27">
        <v>17</v>
      </c>
      <c r="G2164" s="27">
        <v>13</v>
      </c>
      <c r="H2164" s="34"/>
      <c r="I2164" s="84">
        <v>1805.88</v>
      </c>
      <c r="J2164" s="136"/>
      <c r="K2164" s="118">
        <v>2147.44</v>
      </c>
      <c r="L2164" s="35"/>
      <c r="M2164" s="85"/>
      <c r="N2164" s="157" t="s">
        <v>1163</v>
      </c>
      <c r="O2164" s="68"/>
      <c r="P2164" s="66">
        <v>45689</v>
      </c>
    </row>
    <row r="2165" spans="1:16" s="8" customFormat="1" ht="12.75" customHeight="1">
      <c r="A2165" s="13">
        <f t="shared" si="41"/>
        <v>2143</v>
      </c>
      <c r="B2165" s="158" t="s">
        <v>781</v>
      </c>
      <c r="C2165" s="23" t="s">
        <v>173</v>
      </c>
      <c r="D2165" s="52" t="s">
        <v>633</v>
      </c>
      <c r="E2165" s="23" t="s">
        <v>19</v>
      </c>
      <c r="F2165" s="27">
        <v>16</v>
      </c>
      <c r="G2165" s="27">
        <v>14</v>
      </c>
      <c r="H2165" s="34"/>
      <c r="I2165" s="84">
        <v>1875.26</v>
      </c>
      <c r="J2165" s="136"/>
      <c r="K2165" s="118">
        <v>2043.75</v>
      </c>
      <c r="L2165" s="35"/>
      <c r="M2165" s="85"/>
      <c r="N2165" s="157" t="s">
        <v>1163</v>
      </c>
      <c r="O2165" s="68"/>
      <c r="P2165" s="66">
        <v>45689</v>
      </c>
    </row>
    <row r="2166" spans="1:16" s="8" customFormat="1" ht="12.75" customHeight="1">
      <c r="A2166" s="13">
        <f t="shared" si="41"/>
        <v>2144</v>
      </c>
      <c r="B2166" s="158" t="s">
        <v>781</v>
      </c>
      <c r="C2166" s="23" t="s">
        <v>173</v>
      </c>
      <c r="D2166" s="52" t="s">
        <v>633</v>
      </c>
      <c r="E2166" s="23" t="s">
        <v>19</v>
      </c>
      <c r="F2166" s="27">
        <v>15</v>
      </c>
      <c r="G2166" s="27"/>
      <c r="H2166" s="34"/>
      <c r="I2166" s="84">
        <v>1953.89</v>
      </c>
      <c r="J2166" s="136"/>
      <c r="K2166" s="118"/>
      <c r="L2166" s="35"/>
      <c r="M2166" s="85"/>
      <c r="N2166" s="157" t="s">
        <v>1163</v>
      </c>
      <c r="O2166" s="68"/>
      <c r="P2166" s="66">
        <v>45689</v>
      </c>
    </row>
    <row r="2167" spans="1:16" s="8" customFormat="1" ht="12.75" customHeight="1">
      <c r="A2167" s="13">
        <f t="shared" si="41"/>
        <v>2145</v>
      </c>
      <c r="B2167" s="45" t="s">
        <v>1014</v>
      </c>
      <c r="C2167" s="23" t="s">
        <v>173</v>
      </c>
      <c r="D2167" s="52" t="s">
        <v>633</v>
      </c>
      <c r="E2167" s="23" t="s">
        <v>19</v>
      </c>
      <c r="F2167" s="46" t="s">
        <v>977</v>
      </c>
      <c r="G2167" s="27"/>
      <c r="H2167" s="34"/>
      <c r="I2167" s="84">
        <v>78824.929999999993</v>
      </c>
      <c r="J2167" s="136"/>
      <c r="K2167" s="118"/>
      <c r="L2167" s="35"/>
      <c r="M2167" s="85"/>
      <c r="N2167" s="157" t="s">
        <v>1163</v>
      </c>
      <c r="O2167" s="68"/>
      <c r="P2167" s="66">
        <v>45352</v>
      </c>
    </row>
    <row r="2168" spans="1:16" s="8" customFormat="1" ht="12.75" customHeight="1">
      <c r="A2168" s="13">
        <f t="shared" si="41"/>
        <v>2146</v>
      </c>
      <c r="B2168" s="158" t="s">
        <v>1014</v>
      </c>
      <c r="C2168" s="23" t="s">
        <v>173</v>
      </c>
      <c r="D2168" s="52" t="s">
        <v>633</v>
      </c>
      <c r="E2168" s="23" t="s">
        <v>19</v>
      </c>
      <c r="F2168" s="46" t="s">
        <v>977</v>
      </c>
      <c r="G2168" s="27"/>
      <c r="H2168" s="34"/>
      <c r="I2168" s="84">
        <v>85739.88</v>
      </c>
      <c r="J2168" s="136"/>
      <c r="K2168" s="118"/>
      <c r="L2168" s="35"/>
      <c r="M2168" s="85"/>
      <c r="N2168" s="157" t="s">
        <v>1163</v>
      </c>
      <c r="O2168" s="68"/>
      <c r="P2168" s="66">
        <v>45689</v>
      </c>
    </row>
    <row r="2169" spans="1:16" s="8" customFormat="1" ht="12.75" customHeight="1">
      <c r="A2169" s="13">
        <f t="shared" si="41"/>
        <v>2147</v>
      </c>
      <c r="B2169" s="52" t="s">
        <v>717</v>
      </c>
      <c r="C2169" s="23" t="s">
        <v>706</v>
      </c>
      <c r="D2169" s="52" t="s">
        <v>531</v>
      </c>
      <c r="E2169" s="23" t="s">
        <v>13</v>
      </c>
      <c r="F2169" s="27">
        <v>20</v>
      </c>
      <c r="G2169" s="27">
        <v>10</v>
      </c>
      <c r="H2169" s="34">
        <v>1005.96</v>
      </c>
      <c r="I2169" s="84">
        <v>981.4</v>
      </c>
      <c r="J2169" s="136">
        <v>1499.45</v>
      </c>
      <c r="K2169" s="118">
        <v>1450.33</v>
      </c>
      <c r="L2169" s="35"/>
      <c r="M2169" s="85"/>
      <c r="N2169" s="39" t="s">
        <v>643</v>
      </c>
      <c r="O2169" s="69">
        <v>610</v>
      </c>
      <c r="P2169" s="66">
        <v>43617</v>
      </c>
    </row>
    <row r="2170" spans="1:16" s="8" customFormat="1" ht="12.75" customHeight="1">
      <c r="A2170" s="13">
        <f t="shared" si="41"/>
        <v>2148</v>
      </c>
      <c r="B2170" s="55" t="s">
        <v>717</v>
      </c>
      <c r="C2170" s="23" t="s">
        <v>706</v>
      </c>
      <c r="D2170" s="52" t="s">
        <v>531</v>
      </c>
      <c r="E2170" s="23" t="s">
        <v>13</v>
      </c>
      <c r="F2170" s="27">
        <v>20</v>
      </c>
      <c r="G2170" s="27">
        <v>10</v>
      </c>
      <c r="H2170" s="34"/>
      <c r="I2170" s="84">
        <v>956.56</v>
      </c>
      <c r="J2170" s="136"/>
      <c r="K2170" s="118">
        <v>1400.65</v>
      </c>
      <c r="L2170" s="35"/>
      <c r="M2170" s="85"/>
      <c r="N2170" s="39" t="s">
        <v>643</v>
      </c>
      <c r="O2170" s="69"/>
      <c r="P2170" s="66">
        <v>43922</v>
      </c>
    </row>
    <row r="2171" spans="1:16" s="8" customFormat="1" ht="12.75" customHeight="1">
      <c r="A2171" s="13">
        <f t="shared" si="41"/>
        <v>2149</v>
      </c>
      <c r="B2171" s="55" t="s">
        <v>718</v>
      </c>
      <c r="C2171" s="23" t="s">
        <v>708</v>
      </c>
      <c r="D2171" s="52" t="s">
        <v>531</v>
      </c>
      <c r="E2171" s="23" t="s">
        <v>19</v>
      </c>
      <c r="F2171" s="27">
        <v>20</v>
      </c>
      <c r="G2171" s="27">
        <v>10</v>
      </c>
      <c r="H2171" s="34">
        <v>1807.89</v>
      </c>
      <c r="I2171" s="84"/>
      <c r="J2171" s="136">
        <v>3082.21</v>
      </c>
      <c r="K2171" s="118"/>
      <c r="L2171" s="35">
        <v>12964.69</v>
      </c>
      <c r="M2171" s="85"/>
      <c r="N2171" s="39" t="s">
        <v>643</v>
      </c>
      <c r="O2171" s="69">
        <v>610</v>
      </c>
      <c r="P2171" s="66">
        <v>43265</v>
      </c>
    </row>
    <row r="2172" spans="1:16" s="8" customFormat="1" ht="12.75" customHeight="1">
      <c r="A2172" s="13">
        <f t="shared" si="41"/>
        <v>2150</v>
      </c>
      <c r="B2172" s="45" t="s">
        <v>824</v>
      </c>
      <c r="C2172" s="23" t="s">
        <v>708</v>
      </c>
      <c r="D2172" s="52" t="s">
        <v>531</v>
      </c>
      <c r="E2172" s="23" t="s">
        <v>19</v>
      </c>
      <c r="F2172" s="27">
        <v>20</v>
      </c>
      <c r="G2172" s="27">
        <v>10</v>
      </c>
      <c r="H2172" s="34">
        <v>1807.89</v>
      </c>
      <c r="I2172" s="84">
        <v>1812.38</v>
      </c>
      <c r="J2172" s="136">
        <v>3082.21</v>
      </c>
      <c r="K2172" s="118">
        <v>3091.18</v>
      </c>
      <c r="L2172" s="35">
        <v>12964.69</v>
      </c>
      <c r="M2172" s="85">
        <v>13054.4</v>
      </c>
      <c r="N2172" s="39" t="s">
        <v>643</v>
      </c>
      <c r="O2172" s="69">
        <v>610</v>
      </c>
      <c r="P2172" s="66">
        <v>43617</v>
      </c>
    </row>
    <row r="2173" spans="1:16" s="8" customFormat="1" ht="12.75" customHeight="1">
      <c r="A2173" s="13">
        <f t="shared" si="41"/>
        <v>2151</v>
      </c>
      <c r="B2173" s="55" t="s">
        <v>824</v>
      </c>
      <c r="C2173" s="23" t="s">
        <v>708</v>
      </c>
      <c r="D2173" s="52" t="s">
        <v>531</v>
      </c>
      <c r="E2173" s="23" t="s">
        <v>19</v>
      </c>
      <c r="F2173" s="27">
        <v>20</v>
      </c>
      <c r="G2173" s="27">
        <v>10</v>
      </c>
      <c r="H2173" s="34"/>
      <c r="I2173" s="84">
        <v>1787.52</v>
      </c>
      <c r="J2173" s="136"/>
      <c r="K2173" s="118">
        <v>3041.51</v>
      </c>
      <c r="L2173" s="35"/>
      <c r="M2173" s="85"/>
      <c r="N2173" s="39" t="s">
        <v>643</v>
      </c>
      <c r="O2173" s="69"/>
      <c r="P2173" s="66">
        <v>43922</v>
      </c>
    </row>
    <row r="2174" spans="1:16" s="8" customFormat="1" ht="12.75" customHeight="1">
      <c r="A2174" s="13">
        <f t="shared" si="41"/>
        <v>2152</v>
      </c>
      <c r="B2174" s="52" t="s">
        <v>719</v>
      </c>
      <c r="C2174" s="23" t="s">
        <v>706</v>
      </c>
      <c r="D2174" s="52" t="s">
        <v>722</v>
      </c>
      <c r="E2174" s="23" t="s">
        <v>13</v>
      </c>
      <c r="F2174" s="27">
        <v>20</v>
      </c>
      <c r="G2174" s="27">
        <v>10</v>
      </c>
      <c r="H2174" s="34">
        <v>998.57</v>
      </c>
      <c r="I2174" s="84">
        <v>974</v>
      </c>
      <c r="J2174" s="136">
        <v>1492.06</v>
      </c>
      <c r="K2174" s="118">
        <v>1442.94</v>
      </c>
      <c r="L2174" s="35"/>
      <c r="M2174" s="85"/>
      <c r="N2174" s="39" t="s">
        <v>643</v>
      </c>
      <c r="O2174" s="69">
        <v>610</v>
      </c>
      <c r="P2174" s="66">
        <v>43617</v>
      </c>
    </row>
    <row r="2175" spans="1:16" s="8" customFormat="1" ht="12.75" customHeight="1">
      <c r="A2175" s="13">
        <f t="shared" si="41"/>
        <v>2153</v>
      </c>
      <c r="B2175" s="55" t="s">
        <v>719</v>
      </c>
      <c r="C2175" s="23" t="s">
        <v>706</v>
      </c>
      <c r="D2175" s="52" t="s">
        <v>722</v>
      </c>
      <c r="E2175" s="23" t="s">
        <v>13</v>
      </c>
      <c r="F2175" s="27">
        <v>20</v>
      </c>
      <c r="G2175" s="27">
        <v>10</v>
      </c>
      <c r="H2175" s="34"/>
      <c r="I2175" s="84">
        <v>949.16</v>
      </c>
      <c r="J2175" s="136"/>
      <c r="K2175" s="118">
        <v>1393.26</v>
      </c>
      <c r="L2175" s="35"/>
      <c r="M2175" s="85"/>
      <c r="N2175" s="39" t="s">
        <v>643</v>
      </c>
      <c r="O2175" s="69"/>
      <c r="P2175" s="66">
        <v>43922</v>
      </c>
    </row>
    <row r="2176" spans="1:16" s="8" customFormat="1" ht="12.75" customHeight="1">
      <c r="A2176" s="13">
        <f t="shared" si="41"/>
        <v>2154</v>
      </c>
      <c r="B2176" s="55" t="s">
        <v>720</v>
      </c>
      <c r="C2176" s="23" t="s">
        <v>708</v>
      </c>
      <c r="D2176" s="52" t="s">
        <v>722</v>
      </c>
      <c r="E2176" s="23" t="s">
        <v>19</v>
      </c>
      <c r="F2176" s="27">
        <v>20</v>
      </c>
      <c r="G2176" s="27">
        <v>10</v>
      </c>
      <c r="H2176" s="34">
        <v>1800.5</v>
      </c>
      <c r="I2176" s="84"/>
      <c r="J2176" s="136">
        <v>3074.82</v>
      </c>
      <c r="K2176" s="118"/>
      <c r="L2176" s="35">
        <v>12964.69</v>
      </c>
      <c r="M2176" s="85"/>
      <c r="N2176" s="39" t="s">
        <v>643</v>
      </c>
      <c r="O2176" s="69">
        <v>610</v>
      </c>
      <c r="P2176" s="66">
        <v>43265</v>
      </c>
    </row>
    <row r="2177" spans="1:16" s="8" customFormat="1" ht="12.75" customHeight="1">
      <c r="A2177" s="13">
        <f t="shared" si="41"/>
        <v>2155</v>
      </c>
      <c r="B2177" s="45" t="s">
        <v>825</v>
      </c>
      <c r="C2177" s="23" t="s">
        <v>708</v>
      </c>
      <c r="D2177" s="52" t="s">
        <v>722</v>
      </c>
      <c r="E2177" s="23" t="s">
        <v>19</v>
      </c>
      <c r="F2177" s="27">
        <v>20</v>
      </c>
      <c r="G2177" s="27">
        <v>10</v>
      </c>
      <c r="H2177" s="34">
        <v>1800.5</v>
      </c>
      <c r="I2177" s="84">
        <v>1804.98</v>
      </c>
      <c r="J2177" s="136">
        <v>3074.82</v>
      </c>
      <c r="K2177" s="118">
        <v>3083.79</v>
      </c>
      <c r="L2177" s="35">
        <v>12964.69</v>
      </c>
      <c r="M2177" s="85">
        <v>13054.4</v>
      </c>
      <c r="N2177" s="39" t="s">
        <v>643</v>
      </c>
      <c r="O2177" s="69">
        <v>610</v>
      </c>
      <c r="P2177" s="66">
        <v>43617</v>
      </c>
    </row>
    <row r="2178" spans="1:16" s="8" customFormat="1" ht="12.75" customHeight="1">
      <c r="A2178" s="13">
        <f t="shared" si="41"/>
        <v>2156</v>
      </c>
      <c r="B2178" s="55" t="s">
        <v>825</v>
      </c>
      <c r="C2178" s="23" t="s">
        <v>708</v>
      </c>
      <c r="D2178" s="52" t="s">
        <v>722</v>
      </c>
      <c r="E2178" s="23" t="s">
        <v>19</v>
      </c>
      <c r="F2178" s="27">
        <v>20</v>
      </c>
      <c r="G2178" s="27">
        <v>10</v>
      </c>
      <c r="H2178" s="34"/>
      <c r="I2178" s="84">
        <v>1780.13</v>
      </c>
      <c r="J2178" s="136"/>
      <c r="K2178" s="118">
        <v>3034.12</v>
      </c>
      <c r="L2178" s="35"/>
      <c r="M2178" s="85"/>
      <c r="N2178" s="39" t="s">
        <v>643</v>
      </c>
      <c r="O2178" s="69"/>
      <c r="P2178" s="66">
        <v>43922</v>
      </c>
    </row>
    <row r="2179" spans="1:16" s="8" customFormat="1" ht="12.75" customHeight="1">
      <c r="A2179" s="13">
        <f t="shared" si="41"/>
        <v>2157</v>
      </c>
      <c r="B2179" s="52" t="s">
        <v>721</v>
      </c>
      <c r="C2179" s="23" t="s">
        <v>706</v>
      </c>
      <c r="D2179" s="52" t="s">
        <v>556</v>
      </c>
      <c r="E2179" s="23" t="s">
        <v>13</v>
      </c>
      <c r="F2179" s="27">
        <v>20</v>
      </c>
      <c r="G2179" s="27">
        <v>10</v>
      </c>
      <c r="H2179" s="34">
        <v>1002.26</v>
      </c>
      <c r="I2179" s="84">
        <v>977.7</v>
      </c>
      <c r="J2179" s="136">
        <v>1495.77</v>
      </c>
      <c r="K2179" s="118">
        <v>1446.63</v>
      </c>
      <c r="L2179" s="35"/>
      <c r="M2179" s="85"/>
      <c r="N2179" s="39" t="s">
        <v>643</v>
      </c>
      <c r="O2179" s="69">
        <v>610</v>
      </c>
      <c r="P2179" s="66">
        <v>43617</v>
      </c>
    </row>
    <row r="2180" spans="1:16" s="8" customFormat="1" ht="12.75" customHeight="1">
      <c r="A2180" s="13">
        <f t="shared" ref="A2180:A2243" si="42">A2179+1</f>
        <v>2158</v>
      </c>
      <c r="B2180" s="55" t="s">
        <v>721</v>
      </c>
      <c r="C2180" s="23" t="s">
        <v>706</v>
      </c>
      <c r="D2180" s="52" t="s">
        <v>556</v>
      </c>
      <c r="E2180" s="23" t="s">
        <v>13</v>
      </c>
      <c r="F2180" s="27">
        <v>20</v>
      </c>
      <c r="G2180" s="27">
        <v>10</v>
      </c>
      <c r="H2180" s="34"/>
      <c r="I2180" s="84">
        <v>952.85</v>
      </c>
      <c r="J2180" s="136"/>
      <c r="K2180" s="118">
        <v>1396.95</v>
      </c>
      <c r="L2180" s="35"/>
      <c r="M2180" s="85"/>
      <c r="N2180" s="39" t="s">
        <v>643</v>
      </c>
      <c r="O2180" s="69"/>
      <c r="P2180" s="66">
        <v>43922</v>
      </c>
    </row>
    <row r="2181" spans="1:16" s="8" customFormat="1" ht="12.75" customHeight="1">
      <c r="A2181" s="13">
        <f t="shared" si="42"/>
        <v>2159</v>
      </c>
      <c r="B2181" s="55" t="s">
        <v>716</v>
      </c>
      <c r="C2181" s="23" t="s">
        <v>708</v>
      </c>
      <c r="D2181" s="52" t="s">
        <v>556</v>
      </c>
      <c r="E2181" s="23" t="s">
        <v>19</v>
      </c>
      <c r="F2181" s="27">
        <v>20</v>
      </c>
      <c r="G2181" s="27">
        <v>10</v>
      </c>
      <c r="H2181" s="34">
        <v>1804.2</v>
      </c>
      <c r="I2181" s="84"/>
      <c r="J2181" s="136">
        <v>3078.51</v>
      </c>
      <c r="K2181" s="118"/>
      <c r="L2181" s="35">
        <v>12964.69</v>
      </c>
      <c r="M2181" s="85"/>
      <c r="N2181" s="39" t="s">
        <v>643</v>
      </c>
      <c r="O2181" s="69">
        <v>610</v>
      </c>
      <c r="P2181" s="66">
        <v>43265</v>
      </c>
    </row>
    <row r="2182" spans="1:16" s="8" customFormat="1" ht="12.75" customHeight="1">
      <c r="A2182" s="13">
        <f t="shared" si="42"/>
        <v>2160</v>
      </c>
      <c r="B2182" s="45" t="s">
        <v>826</v>
      </c>
      <c r="C2182" s="23" t="s">
        <v>708</v>
      </c>
      <c r="D2182" s="52" t="s">
        <v>556</v>
      </c>
      <c r="E2182" s="23" t="s">
        <v>19</v>
      </c>
      <c r="F2182" s="27">
        <v>20</v>
      </c>
      <c r="G2182" s="27">
        <v>10</v>
      </c>
      <c r="H2182" s="34">
        <v>1804.2</v>
      </c>
      <c r="I2182" s="84">
        <v>1808.68</v>
      </c>
      <c r="J2182" s="136">
        <v>3078.51</v>
      </c>
      <c r="K2182" s="118">
        <v>3087.49</v>
      </c>
      <c r="L2182" s="35">
        <v>12964.69</v>
      </c>
      <c r="M2182" s="85">
        <v>13054.4</v>
      </c>
      <c r="N2182" s="39" t="s">
        <v>643</v>
      </c>
      <c r="O2182" s="69">
        <v>610</v>
      </c>
      <c r="P2182" s="66">
        <v>43617</v>
      </c>
    </row>
    <row r="2183" spans="1:16" s="8" customFormat="1" ht="12.75" customHeight="1">
      <c r="A2183" s="13">
        <f t="shared" si="42"/>
        <v>2161</v>
      </c>
      <c r="B2183" s="55" t="s">
        <v>826</v>
      </c>
      <c r="C2183" s="23" t="s">
        <v>708</v>
      </c>
      <c r="D2183" s="52" t="s">
        <v>556</v>
      </c>
      <c r="E2183" s="23" t="s">
        <v>19</v>
      </c>
      <c r="F2183" s="27">
        <v>20</v>
      </c>
      <c r="G2183" s="27">
        <v>10</v>
      </c>
      <c r="H2183" s="34"/>
      <c r="I2183" s="84">
        <v>1783.84</v>
      </c>
      <c r="J2183" s="136"/>
      <c r="K2183" s="118">
        <v>3037.81</v>
      </c>
      <c r="L2183" s="35"/>
      <c r="M2183" s="85"/>
      <c r="N2183" s="39" t="s">
        <v>643</v>
      </c>
      <c r="O2183" s="69"/>
      <c r="P2183" s="66">
        <v>43922</v>
      </c>
    </row>
    <row r="2184" spans="1:16" s="8" customFormat="1" ht="12.75" customHeight="1">
      <c r="A2184" s="13">
        <f t="shared" si="42"/>
        <v>2162</v>
      </c>
      <c r="B2184" s="52" t="s">
        <v>715</v>
      </c>
      <c r="C2184" s="23" t="s">
        <v>706</v>
      </c>
      <c r="D2184" s="52" t="s">
        <v>714</v>
      </c>
      <c r="E2184" s="23" t="s">
        <v>13</v>
      </c>
      <c r="F2184" s="27">
        <v>20</v>
      </c>
      <c r="G2184" s="27">
        <v>10</v>
      </c>
      <c r="H2184" s="34">
        <v>1175.93</v>
      </c>
      <c r="I2184" s="84">
        <v>1151.3599999999999</v>
      </c>
      <c r="J2184" s="136">
        <v>1669.42</v>
      </c>
      <c r="K2184" s="118">
        <v>1620.3</v>
      </c>
      <c r="L2184" s="35"/>
      <c r="M2184" s="85"/>
      <c r="N2184" s="39" t="s">
        <v>643</v>
      </c>
      <c r="O2184" s="69">
        <v>610</v>
      </c>
      <c r="P2184" s="66">
        <v>43617</v>
      </c>
    </row>
    <row r="2185" spans="1:16" s="8" customFormat="1" ht="12.75" customHeight="1">
      <c r="A2185" s="13">
        <f t="shared" si="42"/>
        <v>2163</v>
      </c>
      <c r="B2185" s="23" t="s">
        <v>715</v>
      </c>
      <c r="C2185" s="23" t="s">
        <v>706</v>
      </c>
      <c r="D2185" s="52" t="s">
        <v>714</v>
      </c>
      <c r="E2185" s="23" t="s">
        <v>13</v>
      </c>
      <c r="F2185" s="27">
        <v>19</v>
      </c>
      <c r="G2185" s="27">
        <v>5</v>
      </c>
      <c r="H2185" s="34"/>
      <c r="I2185" s="84">
        <v>1070.1099999999999</v>
      </c>
      <c r="J2185" s="136"/>
      <c r="K2185" s="118">
        <v>2379.02</v>
      </c>
      <c r="L2185" s="35"/>
      <c r="M2185" s="85"/>
      <c r="N2185" s="39" t="s">
        <v>643</v>
      </c>
      <c r="O2185" s="69"/>
      <c r="P2185" s="66">
        <v>44378</v>
      </c>
    </row>
    <row r="2186" spans="1:16" s="8" customFormat="1" ht="12.75" customHeight="1">
      <c r="A2186" s="13">
        <f t="shared" si="42"/>
        <v>2164</v>
      </c>
      <c r="B2186" s="23" t="s">
        <v>715</v>
      </c>
      <c r="C2186" s="23" t="s">
        <v>706</v>
      </c>
      <c r="D2186" s="52" t="s">
        <v>714</v>
      </c>
      <c r="E2186" s="23" t="s">
        <v>13</v>
      </c>
      <c r="F2186" s="27">
        <v>20</v>
      </c>
      <c r="G2186" s="27">
        <v>10</v>
      </c>
      <c r="H2186" s="34"/>
      <c r="I2186" s="84">
        <v>1046.7</v>
      </c>
      <c r="J2186" s="136"/>
      <c r="K2186" s="118">
        <v>1490.81</v>
      </c>
      <c r="L2186" s="35"/>
      <c r="M2186" s="85"/>
      <c r="N2186" s="39" t="s">
        <v>643</v>
      </c>
      <c r="O2186" s="69"/>
      <c r="P2186" s="66">
        <v>43922</v>
      </c>
    </row>
    <row r="2187" spans="1:16" s="8" customFormat="1" ht="12.75" customHeight="1">
      <c r="A2187" s="13">
        <f t="shared" si="42"/>
        <v>2165</v>
      </c>
      <c r="B2187" s="23" t="s">
        <v>715</v>
      </c>
      <c r="C2187" s="23" t="s">
        <v>706</v>
      </c>
      <c r="D2187" s="52" t="s">
        <v>714</v>
      </c>
      <c r="E2187" s="23" t="s">
        <v>13</v>
      </c>
      <c r="F2187" s="27">
        <v>20</v>
      </c>
      <c r="G2187" s="27">
        <v>10</v>
      </c>
      <c r="H2187" s="34"/>
      <c r="I2187" s="84">
        <v>1148.8499999999999</v>
      </c>
      <c r="J2187" s="136"/>
      <c r="K2187" s="118">
        <v>1654.89</v>
      </c>
      <c r="L2187" s="35"/>
      <c r="M2187" s="85"/>
      <c r="N2187" s="39" t="s">
        <v>643</v>
      </c>
      <c r="O2187" s="69"/>
      <c r="P2187" s="66">
        <v>44562</v>
      </c>
    </row>
    <row r="2188" spans="1:16" s="8" customFormat="1" ht="12.75" customHeight="1">
      <c r="A2188" s="13">
        <f t="shared" si="42"/>
        <v>2166</v>
      </c>
      <c r="B2188" s="23" t="s">
        <v>715</v>
      </c>
      <c r="C2188" s="23" t="s">
        <v>706</v>
      </c>
      <c r="D2188" s="52" t="s">
        <v>714</v>
      </c>
      <c r="E2188" s="23" t="s">
        <v>13</v>
      </c>
      <c r="F2188" s="27">
        <v>20</v>
      </c>
      <c r="G2188" s="27">
        <v>10</v>
      </c>
      <c r="H2188" s="34"/>
      <c r="I2188" s="84">
        <v>1268.0899999999999</v>
      </c>
      <c r="J2188" s="136"/>
      <c r="K2188" s="118">
        <v>1830.61</v>
      </c>
      <c r="L2188" s="35"/>
      <c r="M2188" s="85"/>
      <c r="N2188" s="39" t="s">
        <v>643</v>
      </c>
      <c r="O2188" s="69"/>
      <c r="P2188" s="66">
        <v>45078</v>
      </c>
    </row>
    <row r="2189" spans="1:16" s="8" customFormat="1" ht="12.75" customHeight="1">
      <c r="A2189" s="13">
        <f t="shared" si="42"/>
        <v>2167</v>
      </c>
      <c r="B2189" s="94" t="s">
        <v>715</v>
      </c>
      <c r="C2189" s="23" t="s">
        <v>706</v>
      </c>
      <c r="D2189" s="52" t="s">
        <v>714</v>
      </c>
      <c r="E2189" s="23" t="s">
        <v>13</v>
      </c>
      <c r="F2189" s="27">
        <v>20</v>
      </c>
      <c r="G2189" s="27">
        <v>10</v>
      </c>
      <c r="H2189" s="34"/>
      <c r="I2189" s="84">
        <v>1458.52</v>
      </c>
      <c r="J2189" s="136"/>
      <c r="K2189" s="118">
        <v>2105.62</v>
      </c>
      <c r="L2189" s="35"/>
      <c r="M2189" s="85"/>
      <c r="N2189" s="39" t="s">
        <v>643</v>
      </c>
      <c r="O2189" s="69"/>
      <c r="P2189" s="66">
        <v>45352</v>
      </c>
    </row>
    <row r="2190" spans="1:16" s="8" customFormat="1" ht="12.75" customHeight="1">
      <c r="A2190" s="13">
        <f t="shared" si="42"/>
        <v>2168</v>
      </c>
      <c r="B2190" s="155" t="s">
        <v>715</v>
      </c>
      <c r="C2190" s="23" t="s">
        <v>706</v>
      </c>
      <c r="D2190" s="52" t="s">
        <v>714</v>
      </c>
      <c r="E2190" s="23" t="s">
        <v>13</v>
      </c>
      <c r="F2190" s="27">
        <v>18</v>
      </c>
      <c r="G2190" s="27">
        <v>12</v>
      </c>
      <c r="H2190" s="34"/>
      <c r="I2190" s="84">
        <v>1530.42</v>
      </c>
      <c r="J2190" s="136"/>
      <c r="K2190" s="118">
        <v>1889.9</v>
      </c>
      <c r="L2190" s="35"/>
      <c r="M2190" s="85"/>
      <c r="N2190" s="39" t="s">
        <v>643</v>
      </c>
      <c r="O2190" s="69"/>
      <c r="P2190" s="66">
        <v>45352</v>
      </c>
    </row>
    <row r="2191" spans="1:16" s="8" customFormat="1" ht="12.75" customHeight="1">
      <c r="A2191" s="13">
        <f t="shared" si="42"/>
        <v>2169</v>
      </c>
      <c r="B2191" s="155" t="s">
        <v>715</v>
      </c>
      <c r="C2191" s="23" t="s">
        <v>706</v>
      </c>
      <c r="D2191" s="52" t="s">
        <v>714</v>
      </c>
      <c r="E2191" s="23" t="s">
        <v>13</v>
      </c>
      <c r="F2191" s="27">
        <v>16</v>
      </c>
      <c r="G2191" s="27">
        <v>10</v>
      </c>
      <c r="H2191" s="34"/>
      <c r="I2191" s="84">
        <v>1620.26</v>
      </c>
      <c r="J2191" s="136"/>
      <c r="K2191" s="118">
        <v>2105.62</v>
      </c>
      <c r="L2191" s="35"/>
      <c r="M2191" s="85"/>
      <c r="N2191" s="39" t="s">
        <v>643</v>
      </c>
      <c r="O2191" s="69"/>
      <c r="P2191" s="66">
        <v>45352</v>
      </c>
    </row>
    <row r="2192" spans="1:16" s="8" customFormat="1" ht="12.75" customHeight="1">
      <c r="A2192" s="13">
        <f t="shared" si="42"/>
        <v>2170</v>
      </c>
      <c r="B2192" s="94" t="s">
        <v>715</v>
      </c>
      <c r="C2192" s="23" t="s">
        <v>706</v>
      </c>
      <c r="D2192" s="52" t="s">
        <v>714</v>
      </c>
      <c r="E2192" s="23" t="s">
        <v>13</v>
      </c>
      <c r="F2192" s="27">
        <v>16</v>
      </c>
      <c r="G2192" s="27">
        <v>14</v>
      </c>
      <c r="H2192" s="174"/>
      <c r="I2192" s="84">
        <v>1620.26</v>
      </c>
      <c r="J2192" s="174"/>
      <c r="K2192" s="118">
        <v>1735.84</v>
      </c>
      <c r="L2192" s="174"/>
      <c r="M2192" s="85"/>
      <c r="N2192" s="39" t="s">
        <v>643</v>
      </c>
      <c r="O2192" s="69"/>
      <c r="P2192" s="66">
        <v>45352</v>
      </c>
    </row>
    <row r="2193" spans="1:16" s="8" customFormat="1" ht="12.75" customHeight="1">
      <c r="A2193" s="13">
        <f t="shared" si="42"/>
        <v>2171</v>
      </c>
      <c r="B2193" s="155" t="s">
        <v>715</v>
      </c>
      <c r="C2193" s="23" t="s">
        <v>706</v>
      </c>
      <c r="D2193" s="52" t="s">
        <v>714</v>
      </c>
      <c r="E2193" s="23" t="s">
        <v>13</v>
      </c>
      <c r="F2193" s="27">
        <v>18</v>
      </c>
      <c r="G2193" s="27">
        <v>10</v>
      </c>
      <c r="H2193" s="174"/>
      <c r="I2193" s="84">
        <v>1530.42</v>
      </c>
      <c r="J2193" s="174"/>
      <c r="K2193" s="118">
        <v>2105.62</v>
      </c>
      <c r="L2193" s="174"/>
      <c r="M2193" s="85"/>
      <c r="N2193" s="39" t="s">
        <v>643</v>
      </c>
      <c r="O2193" s="69"/>
      <c r="P2193" s="66">
        <v>45352</v>
      </c>
    </row>
    <row r="2194" spans="1:16" s="8" customFormat="1" ht="12.75" customHeight="1">
      <c r="A2194" s="13">
        <f t="shared" si="42"/>
        <v>2172</v>
      </c>
      <c r="B2194" s="155" t="s">
        <v>715</v>
      </c>
      <c r="C2194" s="23" t="s">
        <v>706</v>
      </c>
      <c r="D2194" s="52" t="s">
        <v>714</v>
      </c>
      <c r="E2194" s="23" t="s">
        <v>13</v>
      </c>
      <c r="F2194" s="27">
        <v>16</v>
      </c>
      <c r="G2194" s="27">
        <v>12</v>
      </c>
      <c r="H2194" s="174"/>
      <c r="I2194" s="84">
        <v>1620.26</v>
      </c>
      <c r="J2194" s="174"/>
      <c r="K2194" s="118">
        <v>1889.9</v>
      </c>
      <c r="L2194" s="174"/>
      <c r="M2194" s="85"/>
      <c r="N2194" s="39" t="s">
        <v>643</v>
      </c>
      <c r="O2194" s="69"/>
      <c r="P2194" s="66">
        <v>45352</v>
      </c>
    </row>
    <row r="2195" spans="1:16" s="8" customFormat="1" ht="12.75" customHeight="1">
      <c r="A2195" s="13">
        <f t="shared" si="42"/>
        <v>2173</v>
      </c>
      <c r="B2195" s="94" t="s">
        <v>715</v>
      </c>
      <c r="C2195" s="23" t="s">
        <v>706</v>
      </c>
      <c r="D2195" s="52" t="s">
        <v>714</v>
      </c>
      <c r="E2195" s="23" t="s">
        <v>13</v>
      </c>
      <c r="F2195" s="27">
        <v>20</v>
      </c>
      <c r="G2195" s="27">
        <v>10</v>
      </c>
      <c r="H2195" s="174"/>
      <c r="I2195" s="84">
        <v>1678.67</v>
      </c>
      <c r="J2195" s="174"/>
      <c r="K2195" s="118">
        <v>2422.9499999999998</v>
      </c>
      <c r="L2195" s="174"/>
      <c r="M2195" s="85"/>
      <c r="N2195" s="39" t="s">
        <v>643</v>
      </c>
      <c r="O2195" s="69"/>
      <c r="P2195" s="66">
        <v>45689</v>
      </c>
    </row>
    <row r="2196" spans="1:16" s="8" customFormat="1" ht="12.75" customHeight="1">
      <c r="A2196" s="13">
        <f t="shared" si="42"/>
        <v>2174</v>
      </c>
      <c r="B2196" s="94" t="s">
        <v>715</v>
      </c>
      <c r="C2196" s="23" t="s">
        <v>706</v>
      </c>
      <c r="D2196" s="52" t="s">
        <v>714</v>
      </c>
      <c r="E2196" s="23" t="s">
        <v>13</v>
      </c>
      <c r="F2196" s="27">
        <v>16</v>
      </c>
      <c r="G2196" s="27">
        <v>14</v>
      </c>
      <c r="H2196" s="174"/>
      <c r="I2196" s="84">
        <v>1864.74</v>
      </c>
      <c r="J2196" s="174"/>
      <c r="K2196" s="118">
        <v>1997.65</v>
      </c>
      <c r="L2196" s="174"/>
      <c r="M2196" s="85"/>
      <c r="N2196" s="39" t="s">
        <v>643</v>
      </c>
      <c r="O2196" s="69"/>
      <c r="P2196" s="66">
        <v>45689</v>
      </c>
    </row>
    <row r="2197" spans="1:16" s="8" customFormat="1" ht="12.75" customHeight="1">
      <c r="A2197" s="13">
        <f t="shared" si="42"/>
        <v>2175</v>
      </c>
      <c r="B2197" s="155" t="s">
        <v>715</v>
      </c>
      <c r="C2197" s="23" t="s">
        <v>706</v>
      </c>
      <c r="D2197" s="52" t="s">
        <v>714</v>
      </c>
      <c r="E2197" s="23" t="s">
        <v>13</v>
      </c>
      <c r="F2197" s="27">
        <v>20</v>
      </c>
      <c r="G2197" s="27">
        <v>10</v>
      </c>
      <c r="H2197" s="174"/>
      <c r="I2197" s="84">
        <v>1858.29</v>
      </c>
      <c r="J2197" s="174"/>
      <c r="K2197" s="118">
        <v>2693.5</v>
      </c>
      <c r="L2197" s="174"/>
      <c r="M2197" s="85"/>
      <c r="N2197" s="39" t="s">
        <v>643</v>
      </c>
      <c r="O2197" s="69"/>
      <c r="P2197" s="193">
        <v>46082</v>
      </c>
    </row>
    <row r="2198" spans="1:16" s="8" customFormat="1" ht="12.75" customHeight="1">
      <c r="A2198" s="13">
        <f t="shared" si="42"/>
        <v>2176</v>
      </c>
      <c r="B2198" s="155" t="s">
        <v>715</v>
      </c>
      <c r="C2198" s="23" t="s">
        <v>706</v>
      </c>
      <c r="D2198" s="52" t="s">
        <v>714</v>
      </c>
      <c r="E2198" s="23" t="s">
        <v>13</v>
      </c>
      <c r="F2198" s="27">
        <v>16</v>
      </c>
      <c r="G2198" s="27">
        <v>14</v>
      </c>
      <c r="H2198" s="174"/>
      <c r="I2198" s="84">
        <v>2067.1</v>
      </c>
      <c r="J2198" s="174"/>
      <c r="K2198" s="118">
        <v>2216.25</v>
      </c>
      <c r="L2198" s="174"/>
      <c r="M2198" s="85"/>
      <c r="N2198" s="39" t="s">
        <v>643</v>
      </c>
      <c r="O2198" s="69"/>
      <c r="P2198" s="193">
        <v>46082</v>
      </c>
    </row>
    <row r="2199" spans="1:16" s="8" customFormat="1" ht="12.75" customHeight="1">
      <c r="A2199" s="13">
        <f t="shared" si="42"/>
        <v>2177</v>
      </c>
      <c r="B2199" s="52" t="s">
        <v>713</v>
      </c>
      <c r="C2199" s="23" t="s">
        <v>708</v>
      </c>
      <c r="D2199" s="52" t="s">
        <v>714</v>
      </c>
      <c r="E2199" s="23" t="s">
        <v>19</v>
      </c>
      <c r="F2199" s="27">
        <v>20</v>
      </c>
      <c r="G2199" s="27">
        <v>10</v>
      </c>
      <c r="H2199" s="34">
        <v>1977.86</v>
      </c>
      <c r="I2199" s="84"/>
      <c r="J2199" s="136">
        <v>3252.18</v>
      </c>
      <c r="K2199" s="118"/>
      <c r="L2199" s="35">
        <v>12964.69</v>
      </c>
      <c r="M2199" s="85"/>
      <c r="N2199" s="39" t="s">
        <v>643</v>
      </c>
      <c r="O2199" s="69">
        <v>610</v>
      </c>
      <c r="P2199" s="66">
        <v>43265</v>
      </c>
    </row>
    <row r="2200" spans="1:16" s="8" customFormat="1" ht="12.75" customHeight="1">
      <c r="A2200" s="13">
        <f t="shared" si="42"/>
        <v>2178</v>
      </c>
      <c r="B2200" s="45" t="s">
        <v>713</v>
      </c>
      <c r="C2200" s="23" t="s">
        <v>708</v>
      </c>
      <c r="D2200" s="52" t="s">
        <v>714</v>
      </c>
      <c r="E2200" s="23" t="s">
        <v>19</v>
      </c>
      <c r="F2200" s="27">
        <v>20</v>
      </c>
      <c r="G2200" s="27">
        <v>10</v>
      </c>
      <c r="H2200" s="34"/>
      <c r="I2200" s="84">
        <v>1439.76</v>
      </c>
      <c r="J2200" s="136"/>
      <c r="K2200" s="118">
        <v>2270.2199999999998</v>
      </c>
      <c r="L2200" s="35"/>
      <c r="M2200" s="85">
        <v>16609.07</v>
      </c>
      <c r="N2200" s="39" t="s">
        <v>643</v>
      </c>
      <c r="O2200" s="69"/>
      <c r="P2200" s="66">
        <v>44562</v>
      </c>
    </row>
    <row r="2201" spans="1:16" s="8" customFormat="1" ht="12.75" customHeight="1">
      <c r="A2201" s="13">
        <f t="shared" si="42"/>
        <v>2179</v>
      </c>
      <c r="B2201" s="45" t="s">
        <v>1038</v>
      </c>
      <c r="C2201" s="23" t="s">
        <v>708</v>
      </c>
      <c r="D2201" s="52" t="s">
        <v>714</v>
      </c>
      <c r="E2201" s="23" t="s">
        <v>19</v>
      </c>
      <c r="F2201" s="46" t="s">
        <v>977</v>
      </c>
      <c r="G2201" s="27"/>
      <c r="H2201" s="34"/>
      <c r="I2201" s="84">
        <v>51811.67</v>
      </c>
      <c r="J2201" s="136"/>
      <c r="K2201" s="118"/>
      <c r="L2201" s="35"/>
      <c r="M2201" s="85"/>
      <c r="N2201" s="39" t="s">
        <v>643</v>
      </c>
      <c r="O2201" s="69"/>
      <c r="P2201" s="66">
        <v>44562</v>
      </c>
    </row>
    <row r="2202" spans="1:16" s="8" customFormat="1" ht="12.75" customHeight="1">
      <c r="A2202" s="13">
        <f t="shared" si="42"/>
        <v>2180</v>
      </c>
      <c r="B2202" s="45" t="s">
        <v>827</v>
      </c>
      <c r="C2202" s="23" t="s">
        <v>708</v>
      </c>
      <c r="D2202" s="52" t="s">
        <v>714</v>
      </c>
      <c r="E2202" s="23" t="s">
        <v>19</v>
      </c>
      <c r="F2202" s="27">
        <v>20</v>
      </c>
      <c r="G2202" s="27">
        <v>10</v>
      </c>
      <c r="H2202" s="34">
        <v>1977.86</v>
      </c>
      <c r="I2202" s="84">
        <v>1982.34</v>
      </c>
      <c r="J2202" s="136">
        <v>3252.18</v>
      </c>
      <c r="K2202" s="118">
        <v>3261.15</v>
      </c>
      <c r="L2202" s="35">
        <v>12964.69</v>
      </c>
      <c r="M2202" s="85">
        <v>13054.4</v>
      </c>
      <c r="N2202" s="39" t="s">
        <v>643</v>
      </c>
      <c r="O2202" s="69">
        <v>610</v>
      </c>
      <c r="P2202" s="66">
        <v>43617</v>
      </c>
    </row>
    <row r="2203" spans="1:16" s="8" customFormat="1" ht="12.75" customHeight="1">
      <c r="A2203" s="13">
        <f t="shared" si="42"/>
        <v>2181</v>
      </c>
      <c r="B2203" s="52" t="s">
        <v>827</v>
      </c>
      <c r="C2203" s="23" t="s">
        <v>708</v>
      </c>
      <c r="D2203" s="52" t="s">
        <v>714</v>
      </c>
      <c r="E2203" s="23" t="s">
        <v>19</v>
      </c>
      <c r="F2203" s="27">
        <v>20</v>
      </c>
      <c r="G2203" s="27">
        <v>10</v>
      </c>
      <c r="H2203" s="34"/>
      <c r="I2203" s="84">
        <v>1877.68</v>
      </c>
      <c r="J2203" s="136"/>
      <c r="K2203" s="118">
        <v>3131.67</v>
      </c>
      <c r="L2203" s="35"/>
      <c r="M2203" s="85"/>
      <c r="N2203" s="39" t="s">
        <v>643</v>
      </c>
      <c r="O2203" s="69"/>
      <c r="P2203" s="66">
        <v>43922</v>
      </c>
    </row>
    <row r="2204" spans="1:16" s="8" customFormat="1" ht="12.75" customHeight="1">
      <c r="A2204" s="13">
        <f t="shared" si="42"/>
        <v>2182</v>
      </c>
      <c r="B2204" s="52" t="s">
        <v>827</v>
      </c>
      <c r="C2204" s="23" t="s">
        <v>708</v>
      </c>
      <c r="D2204" s="52" t="s">
        <v>714</v>
      </c>
      <c r="E2204" s="23" t="s">
        <v>19</v>
      </c>
      <c r="F2204" s="27">
        <v>20</v>
      </c>
      <c r="G2204" s="27">
        <v>10</v>
      </c>
      <c r="H2204" s="34"/>
      <c r="I2204" s="84">
        <v>1439.76</v>
      </c>
      <c r="J2204" s="136"/>
      <c r="K2204" s="118">
        <v>2270.2199999999998</v>
      </c>
      <c r="L2204" s="35"/>
      <c r="M2204" s="85">
        <v>16609.07</v>
      </c>
      <c r="N2204" s="39" t="s">
        <v>643</v>
      </c>
      <c r="O2204" s="69"/>
      <c r="P2204" s="66">
        <v>44562</v>
      </c>
    </row>
    <row r="2205" spans="1:16">
      <c r="A2205" s="13">
        <f t="shared" si="42"/>
        <v>2183</v>
      </c>
      <c r="B2205" s="52" t="s">
        <v>827</v>
      </c>
      <c r="C2205" s="23" t="s">
        <v>708</v>
      </c>
      <c r="D2205" s="52" t="s">
        <v>714</v>
      </c>
      <c r="E2205" s="23" t="s">
        <v>19</v>
      </c>
      <c r="F2205" s="46" t="s">
        <v>977</v>
      </c>
      <c r="G2205" s="27"/>
      <c r="H2205" s="41"/>
      <c r="I2205" s="152">
        <v>51811.67</v>
      </c>
      <c r="J2205" s="144"/>
      <c r="K2205" s="154"/>
      <c r="L2205" s="53"/>
      <c r="M2205" s="152"/>
      <c r="N2205" s="39" t="s">
        <v>643</v>
      </c>
      <c r="O2205" s="69"/>
      <c r="P2205" s="66">
        <v>44562</v>
      </c>
    </row>
    <row r="2206" spans="1:16">
      <c r="A2206" s="13">
        <f t="shared" si="42"/>
        <v>2184</v>
      </c>
      <c r="B2206" s="52" t="s">
        <v>827</v>
      </c>
      <c r="C2206" s="23" t="s">
        <v>708</v>
      </c>
      <c r="D2206" s="52" t="s">
        <v>714</v>
      </c>
      <c r="E2206" s="23" t="s">
        <v>19</v>
      </c>
      <c r="F2206" s="27">
        <v>20</v>
      </c>
      <c r="G2206" s="27">
        <v>5</v>
      </c>
      <c r="H2206" s="41"/>
      <c r="I2206" s="152">
        <v>1439.76</v>
      </c>
      <c r="J2206" s="144"/>
      <c r="K2206" s="154">
        <v>3931.11</v>
      </c>
      <c r="L2206" s="53"/>
      <c r="M2206" s="152"/>
      <c r="N2206" s="39" t="s">
        <v>643</v>
      </c>
      <c r="O2206" s="69"/>
      <c r="P2206" s="66">
        <v>44562</v>
      </c>
    </row>
    <row r="2207" spans="1:16">
      <c r="A2207" s="13">
        <f t="shared" si="42"/>
        <v>2185</v>
      </c>
      <c r="B2207" s="52" t="s">
        <v>1085</v>
      </c>
      <c r="C2207" s="23" t="s">
        <v>708</v>
      </c>
      <c r="D2207" s="52" t="s">
        <v>714</v>
      </c>
      <c r="E2207" s="23" t="s">
        <v>19</v>
      </c>
      <c r="F2207" s="46" t="s">
        <v>977</v>
      </c>
      <c r="G2207" s="27"/>
      <c r="H2207" s="41"/>
      <c r="I2207" s="152">
        <v>51811.67</v>
      </c>
      <c r="J2207" s="144"/>
      <c r="K2207" s="154"/>
      <c r="L2207" s="53"/>
      <c r="M2207" s="152"/>
      <c r="N2207" s="39" t="s">
        <v>643</v>
      </c>
      <c r="O2207" s="69"/>
      <c r="P2207" s="66">
        <v>44562</v>
      </c>
    </row>
    <row r="2208" spans="1:16">
      <c r="A2208" s="13">
        <f t="shared" si="42"/>
        <v>2186</v>
      </c>
      <c r="B2208" s="52" t="s">
        <v>827</v>
      </c>
      <c r="C2208" s="23" t="s">
        <v>708</v>
      </c>
      <c r="D2208" s="52" t="s">
        <v>714</v>
      </c>
      <c r="E2208" s="23" t="s">
        <v>19</v>
      </c>
      <c r="F2208" s="27">
        <v>20</v>
      </c>
      <c r="G2208" s="27">
        <v>10</v>
      </c>
      <c r="H2208" s="41"/>
      <c r="I2208" s="152">
        <v>1589.3</v>
      </c>
      <c r="J2208" s="144"/>
      <c r="K2208" s="154">
        <v>2509.08</v>
      </c>
      <c r="L2208" s="53"/>
      <c r="M2208" s="152"/>
      <c r="N2208" s="39" t="s">
        <v>643</v>
      </c>
      <c r="O2208" s="69"/>
      <c r="P2208" s="66">
        <v>45078</v>
      </c>
    </row>
    <row r="2209" spans="1:16">
      <c r="A2209" s="13">
        <f t="shared" si="42"/>
        <v>2187</v>
      </c>
      <c r="B2209" s="52" t="s">
        <v>1085</v>
      </c>
      <c r="C2209" s="23" t="s">
        <v>708</v>
      </c>
      <c r="D2209" s="52" t="s">
        <v>714</v>
      </c>
      <c r="E2209" s="23" t="s">
        <v>19</v>
      </c>
      <c r="F2209" s="46" t="s">
        <v>977</v>
      </c>
      <c r="G2209" s="27"/>
      <c r="H2209" s="41"/>
      <c r="I2209" s="152">
        <v>52380.37</v>
      </c>
      <c r="J2209" s="144"/>
      <c r="K2209" s="154"/>
      <c r="L2209" s="53"/>
      <c r="M2209" s="152"/>
      <c r="N2209" s="39" t="s">
        <v>643</v>
      </c>
      <c r="O2209" s="69"/>
      <c r="P2209" s="66">
        <v>45078</v>
      </c>
    </row>
    <row r="2210" spans="1:16">
      <c r="A2210" s="13">
        <f t="shared" si="42"/>
        <v>2188</v>
      </c>
      <c r="B2210" s="52" t="s">
        <v>827</v>
      </c>
      <c r="C2210" s="23" t="s">
        <v>708</v>
      </c>
      <c r="D2210" s="52" t="s">
        <v>714</v>
      </c>
      <c r="E2210" s="23" t="s">
        <v>19</v>
      </c>
      <c r="F2210" s="27">
        <v>20</v>
      </c>
      <c r="G2210" s="27">
        <v>10</v>
      </c>
      <c r="H2210" s="41"/>
      <c r="I2210" s="179">
        <v>1828.21</v>
      </c>
      <c r="J2210" s="144"/>
      <c r="K2210" s="151">
        <v>2886.4</v>
      </c>
      <c r="L2210" s="53"/>
      <c r="M2210" s="152">
        <v>21163.65</v>
      </c>
      <c r="N2210" s="39" t="s">
        <v>643</v>
      </c>
      <c r="O2210" s="69"/>
      <c r="P2210" s="66">
        <v>45352</v>
      </c>
    </row>
    <row r="2211" spans="1:16">
      <c r="A2211" s="13">
        <f t="shared" si="42"/>
        <v>2189</v>
      </c>
      <c r="B2211" s="52" t="s">
        <v>827</v>
      </c>
      <c r="C2211" s="23" t="s">
        <v>708</v>
      </c>
      <c r="D2211" s="52" t="s">
        <v>714</v>
      </c>
      <c r="E2211" s="23" t="s">
        <v>19</v>
      </c>
      <c r="F2211" s="27">
        <v>19</v>
      </c>
      <c r="G2211" s="27">
        <v>11</v>
      </c>
      <c r="H2211" s="41"/>
      <c r="I2211" s="179">
        <v>1883.9</v>
      </c>
      <c r="J2211" s="144"/>
      <c r="K2211" s="151">
        <v>2693.98</v>
      </c>
      <c r="L2211" s="53"/>
      <c r="M2211" s="152"/>
      <c r="N2211" s="39" t="s">
        <v>643</v>
      </c>
      <c r="O2211" s="69"/>
      <c r="P2211" s="66">
        <v>45352</v>
      </c>
    </row>
    <row r="2212" spans="1:16">
      <c r="A2212" s="13">
        <f t="shared" si="42"/>
        <v>2190</v>
      </c>
      <c r="B2212" s="52" t="s">
        <v>827</v>
      </c>
      <c r="C2212" s="23" t="s">
        <v>708</v>
      </c>
      <c r="D2212" s="52" t="s">
        <v>714</v>
      </c>
      <c r="E2212" s="23" t="s">
        <v>19</v>
      </c>
      <c r="F2212" s="27">
        <v>18</v>
      </c>
      <c r="G2212" s="27">
        <v>12</v>
      </c>
      <c r="H2212" s="41"/>
      <c r="I2212" s="179">
        <v>1945.79</v>
      </c>
      <c r="J2212" s="144"/>
      <c r="K2212" s="151">
        <v>2533.66</v>
      </c>
      <c r="L2212" s="53"/>
      <c r="M2212" s="152"/>
      <c r="N2212" s="39" t="s">
        <v>643</v>
      </c>
      <c r="O2212" s="69"/>
      <c r="P2212" s="66">
        <v>45352</v>
      </c>
    </row>
    <row r="2213" spans="1:16">
      <c r="A2213" s="13">
        <f t="shared" si="42"/>
        <v>2191</v>
      </c>
      <c r="B2213" s="52" t="s">
        <v>827</v>
      </c>
      <c r="C2213" s="23" t="s">
        <v>708</v>
      </c>
      <c r="D2213" s="52" t="s">
        <v>714</v>
      </c>
      <c r="E2213" s="23" t="s">
        <v>19</v>
      </c>
      <c r="F2213" s="27">
        <v>17</v>
      </c>
      <c r="G2213" s="27">
        <v>13</v>
      </c>
      <c r="H2213" s="41"/>
      <c r="I2213" s="179">
        <v>2014.96</v>
      </c>
      <c r="J2213" s="144"/>
      <c r="K2213" s="151">
        <v>3398</v>
      </c>
      <c r="L2213" s="53"/>
      <c r="M2213" s="152"/>
      <c r="N2213" s="39" t="s">
        <v>643</v>
      </c>
      <c r="O2213" s="69"/>
      <c r="P2213" s="66">
        <v>45352</v>
      </c>
    </row>
    <row r="2214" spans="1:16">
      <c r="A2214" s="13">
        <f t="shared" si="42"/>
        <v>2192</v>
      </c>
      <c r="B2214" s="52" t="s">
        <v>827</v>
      </c>
      <c r="C2214" s="23" t="s">
        <v>708</v>
      </c>
      <c r="D2214" s="52" t="s">
        <v>714</v>
      </c>
      <c r="E2214" s="23" t="s">
        <v>19</v>
      </c>
      <c r="F2214" s="27">
        <v>16</v>
      </c>
      <c r="G2214" s="27">
        <v>14</v>
      </c>
      <c r="H2214" s="41"/>
      <c r="I2214" s="179">
        <v>2092.77</v>
      </c>
      <c r="J2214" s="144"/>
      <c r="K2214" s="151">
        <v>2281.71</v>
      </c>
      <c r="L2214" s="53"/>
      <c r="M2214" s="152"/>
      <c r="N2214" s="39" t="s">
        <v>643</v>
      </c>
      <c r="O2214" s="69"/>
      <c r="P2214" s="66">
        <v>45352</v>
      </c>
    </row>
    <row r="2215" spans="1:16">
      <c r="A2215" s="13">
        <f t="shared" si="42"/>
        <v>2193</v>
      </c>
      <c r="B2215" s="52" t="s">
        <v>827</v>
      </c>
      <c r="C2215" s="23" t="s">
        <v>708</v>
      </c>
      <c r="D2215" s="52" t="s">
        <v>714</v>
      </c>
      <c r="E2215" s="23" t="s">
        <v>19</v>
      </c>
      <c r="F2215" s="27">
        <v>15</v>
      </c>
      <c r="G2215" s="27"/>
      <c r="H2215" s="41"/>
      <c r="I2215" s="179">
        <v>2180.9499999999998</v>
      </c>
      <c r="J2215" s="144"/>
      <c r="K2215" s="151"/>
      <c r="L2215" s="53"/>
      <c r="M2215" s="152"/>
      <c r="N2215" s="39" t="s">
        <v>643</v>
      </c>
      <c r="O2215" s="69"/>
      <c r="P2215" s="66">
        <v>45352</v>
      </c>
    </row>
    <row r="2216" spans="1:16">
      <c r="A2216" s="13">
        <f t="shared" si="42"/>
        <v>2194</v>
      </c>
      <c r="B2216" s="52" t="s">
        <v>827</v>
      </c>
      <c r="C2216" s="23" t="s">
        <v>708</v>
      </c>
      <c r="D2216" s="52" t="s">
        <v>714</v>
      </c>
      <c r="E2216" s="23" t="s">
        <v>19</v>
      </c>
      <c r="F2216" s="27">
        <v>20</v>
      </c>
      <c r="G2216" s="27">
        <v>10</v>
      </c>
      <c r="H2216" s="41"/>
      <c r="I2216" s="179">
        <v>2104.1999999999998</v>
      </c>
      <c r="J2216" s="144"/>
      <c r="K2216" s="151">
        <v>3321.62</v>
      </c>
      <c r="L2216" s="53"/>
      <c r="M2216" s="152">
        <v>24348.240000000002</v>
      </c>
      <c r="N2216" s="39" t="s">
        <v>643</v>
      </c>
      <c r="O2216" s="69"/>
      <c r="P2216" s="66">
        <v>45689</v>
      </c>
    </row>
    <row r="2217" spans="1:16">
      <c r="A2217" s="13">
        <f t="shared" si="42"/>
        <v>2195</v>
      </c>
      <c r="B2217" s="52" t="s">
        <v>827</v>
      </c>
      <c r="C2217" s="23" t="s">
        <v>708</v>
      </c>
      <c r="D2217" s="52" t="s">
        <v>714</v>
      </c>
      <c r="E2217" s="23" t="s">
        <v>19</v>
      </c>
      <c r="F2217" s="27">
        <v>19</v>
      </c>
      <c r="G2217" s="27">
        <v>11</v>
      </c>
      <c r="H2217" s="41"/>
      <c r="I2217" s="179">
        <v>2168.29</v>
      </c>
      <c r="J2217" s="144"/>
      <c r="K2217" s="151">
        <v>3100.28</v>
      </c>
      <c r="L2217" s="53"/>
      <c r="M2217" s="152"/>
      <c r="N2217" s="39" t="s">
        <v>643</v>
      </c>
      <c r="O2217" s="69"/>
      <c r="P2217" s="66">
        <v>45689</v>
      </c>
    </row>
    <row r="2218" spans="1:16">
      <c r="A2218" s="13">
        <f t="shared" si="42"/>
        <v>2196</v>
      </c>
      <c r="B2218" s="52" t="s">
        <v>827</v>
      </c>
      <c r="C2218" s="23" t="s">
        <v>708</v>
      </c>
      <c r="D2218" s="52" t="s">
        <v>714</v>
      </c>
      <c r="E2218" s="23" t="s">
        <v>19</v>
      </c>
      <c r="F2218" s="27">
        <v>18</v>
      </c>
      <c r="G2218" s="27">
        <v>12</v>
      </c>
      <c r="H2218" s="41"/>
      <c r="I2218" s="179">
        <v>2239.4699999999998</v>
      </c>
      <c r="J2218" s="144"/>
      <c r="K2218" s="151">
        <v>2915.81</v>
      </c>
      <c r="L2218" s="53"/>
      <c r="M2218" s="152"/>
      <c r="N2218" s="39" t="s">
        <v>643</v>
      </c>
      <c r="O2218" s="69"/>
      <c r="P2218" s="66">
        <v>45689</v>
      </c>
    </row>
    <row r="2219" spans="1:16">
      <c r="A2219" s="13">
        <f t="shared" si="42"/>
        <v>2197</v>
      </c>
      <c r="B2219" s="52" t="s">
        <v>827</v>
      </c>
      <c r="C2219" s="23" t="s">
        <v>708</v>
      </c>
      <c r="D2219" s="52" t="s">
        <v>714</v>
      </c>
      <c r="E2219" s="23" t="s">
        <v>19</v>
      </c>
      <c r="F2219" s="27">
        <v>17</v>
      </c>
      <c r="G2219" s="27">
        <v>13</v>
      </c>
      <c r="H2219" s="41"/>
      <c r="I2219" s="179">
        <v>2319.04</v>
      </c>
      <c r="J2219" s="144"/>
      <c r="K2219" s="151">
        <v>2759.75</v>
      </c>
      <c r="L2219" s="53"/>
      <c r="M2219" s="152"/>
      <c r="N2219" s="39" t="s">
        <v>643</v>
      </c>
      <c r="O2219" s="69"/>
      <c r="P2219" s="66">
        <v>45689</v>
      </c>
    </row>
    <row r="2220" spans="1:16">
      <c r="A2220" s="13">
        <f t="shared" si="42"/>
        <v>2198</v>
      </c>
      <c r="B2220" s="52" t="s">
        <v>827</v>
      </c>
      <c r="C2220" s="23" t="s">
        <v>708</v>
      </c>
      <c r="D2220" s="52" t="s">
        <v>714</v>
      </c>
      <c r="E2220" s="23" t="s">
        <v>19</v>
      </c>
      <c r="F2220" s="27">
        <v>16</v>
      </c>
      <c r="G2220" s="27">
        <v>14</v>
      </c>
      <c r="H2220" s="41"/>
      <c r="I2220" s="179">
        <v>2408.5700000000002</v>
      </c>
      <c r="J2220" s="144"/>
      <c r="K2220" s="151">
        <v>2625.97</v>
      </c>
      <c r="L2220" s="53"/>
      <c r="M2220" s="152"/>
      <c r="N2220" s="39" t="s">
        <v>643</v>
      </c>
      <c r="O2220" s="69"/>
      <c r="P2220" s="66">
        <v>45689</v>
      </c>
    </row>
    <row r="2221" spans="1:16">
      <c r="A2221" s="13">
        <f t="shared" si="42"/>
        <v>2199</v>
      </c>
      <c r="B2221" s="52" t="s">
        <v>827</v>
      </c>
      <c r="C2221" s="23" t="s">
        <v>708</v>
      </c>
      <c r="D2221" s="52" t="s">
        <v>714</v>
      </c>
      <c r="E2221" s="23" t="s">
        <v>19</v>
      </c>
      <c r="F2221" s="27">
        <v>15</v>
      </c>
      <c r="G2221" s="27"/>
      <c r="H2221" s="41"/>
      <c r="I2221" s="179">
        <v>2510.0100000000002</v>
      </c>
      <c r="J2221" s="144"/>
      <c r="K2221" s="151"/>
      <c r="L2221" s="53"/>
      <c r="M2221" s="152"/>
      <c r="N2221" s="39" t="s">
        <v>643</v>
      </c>
      <c r="O2221" s="69"/>
      <c r="P2221" s="66">
        <v>45689</v>
      </c>
    </row>
    <row r="2222" spans="1:16">
      <c r="A2222" s="13">
        <f t="shared" si="42"/>
        <v>2200</v>
      </c>
      <c r="B2222" s="52" t="s">
        <v>1085</v>
      </c>
      <c r="C2222" s="23" t="s">
        <v>708</v>
      </c>
      <c r="D2222" s="52" t="s">
        <v>714</v>
      </c>
      <c r="E2222" s="23" t="s">
        <v>19</v>
      </c>
      <c r="F2222" s="46" t="s">
        <v>977</v>
      </c>
      <c r="G2222" s="27"/>
      <c r="H2222" s="41"/>
      <c r="I2222" s="179">
        <v>73835.16</v>
      </c>
      <c r="J2222" s="144"/>
      <c r="K2222" s="154"/>
      <c r="L2222" s="53"/>
      <c r="M2222" s="152"/>
      <c r="N2222" s="39" t="s">
        <v>643</v>
      </c>
      <c r="O2222" s="69"/>
      <c r="P2222" s="66">
        <v>45352</v>
      </c>
    </row>
    <row r="2223" spans="1:16">
      <c r="A2223" s="13">
        <f t="shared" si="42"/>
        <v>2201</v>
      </c>
      <c r="B2223" s="52" t="s">
        <v>1085</v>
      </c>
      <c r="C2223" s="23" t="s">
        <v>708</v>
      </c>
      <c r="D2223" s="52" t="s">
        <v>714</v>
      </c>
      <c r="E2223" s="23" t="s">
        <v>19</v>
      </c>
      <c r="F2223" s="46" t="s">
        <v>977</v>
      </c>
      <c r="G2223" s="27"/>
      <c r="H2223" s="41"/>
      <c r="I2223" s="179">
        <v>84913.13</v>
      </c>
      <c r="J2223" s="144"/>
      <c r="K2223" s="154"/>
      <c r="L2223" s="53"/>
      <c r="M2223" s="152"/>
      <c r="N2223" s="39" t="s">
        <v>643</v>
      </c>
      <c r="O2223" s="69"/>
      <c r="P2223" s="66">
        <v>45689</v>
      </c>
    </row>
    <row r="2224" spans="1:16">
      <c r="A2224" s="13">
        <f t="shared" si="42"/>
        <v>2202</v>
      </c>
      <c r="B2224" s="155" t="s">
        <v>827</v>
      </c>
      <c r="C2224" s="23" t="s">
        <v>708</v>
      </c>
      <c r="D2224" s="52" t="s">
        <v>714</v>
      </c>
      <c r="E2224" s="23" t="s">
        <v>19</v>
      </c>
      <c r="F2224" s="27">
        <v>20</v>
      </c>
      <c r="G2224" s="27">
        <v>10</v>
      </c>
      <c r="H2224" s="41"/>
      <c r="I2224" s="179">
        <v>2307.91</v>
      </c>
      <c r="J2224" s="144"/>
      <c r="K2224" s="154">
        <v>3644.76</v>
      </c>
      <c r="L2224" s="53"/>
      <c r="M2224" s="152">
        <v>26737.26</v>
      </c>
      <c r="N2224" s="39" t="s">
        <v>643</v>
      </c>
      <c r="O2224" s="69"/>
      <c r="P2224" s="193">
        <v>46082</v>
      </c>
    </row>
    <row r="2225" spans="1:16">
      <c r="A2225" s="13">
        <f t="shared" si="42"/>
        <v>2203</v>
      </c>
      <c r="B2225" s="155" t="s">
        <v>827</v>
      </c>
      <c r="C2225" s="23" t="s">
        <v>708</v>
      </c>
      <c r="D2225" s="52" t="s">
        <v>714</v>
      </c>
      <c r="E2225" s="23" t="s">
        <v>19</v>
      </c>
      <c r="F2225" s="27">
        <v>19</v>
      </c>
      <c r="G2225" s="27">
        <v>11</v>
      </c>
      <c r="H2225" s="41"/>
      <c r="I2225" s="179">
        <v>2378.2399999999998</v>
      </c>
      <c r="J2225" s="144"/>
      <c r="K2225" s="196">
        <v>3401.7</v>
      </c>
      <c r="L2225" s="53"/>
      <c r="M2225" s="152"/>
      <c r="N2225" s="39" t="s">
        <v>643</v>
      </c>
      <c r="O2225" s="69"/>
      <c r="P2225" s="193">
        <v>46082</v>
      </c>
    </row>
    <row r="2226" spans="1:16">
      <c r="A2226" s="13">
        <f t="shared" si="42"/>
        <v>2204</v>
      </c>
      <c r="B2226" s="155" t="s">
        <v>827</v>
      </c>
      <c r="C2226" s="23" t="s">
        <v>708</v>
      </c>
      <c r="D2226" s="52" t="s">
        <v>714</v>
      </c>
      <c r="E2226" s="23" t="s">
        <v>19</v>
      </c>
      <c r="F2226" s="27">
        <v>18</v>
      </c>
      <c r="G2226" s="27">
        <v>12</v>
      </c>
      <c r="H2226" s="41"/>
      <c r="I2226" s="179">
        <v>2456.42</v>
      </c>
      <c r="J2226" s="144"/>
      <c r="K2226" s="154">
        <v>3199.14</v>
      </c>
      <c r="L2226" s="53"/>
      <c r="M2226" s="152"/>
      <c r="N2226" s="39" t="s">
        <v>643</v>
      </c>
      <c r="O2226" s="69"/>
      <c r="P2226" s="193">
        <v>46082</v>
      </c>
    </row>
    <row r="2227" spans="1:16">
      <c r="A2227" s="13">
        <f t="shared" si="42"/>
        <v>2205</v>
      </c>
      <c r="B2227" s="155" t="s">
        <v>827</v>
      </c>
      <c r="C2227" s="23" t="s">
        <v>708</v>
      </c>
      <c r="D2227" s="52" t="s">
        <v>714</v>
      </c>
      <c r="E2227" s="23" t="s">
        <v>19</v>
      </c>
      <c r="F2227" s="27">
        <v>17</v>
      </c>
      <c r="G2227" s="27">
        <v>13</v>
      </c>
      <c r="H2227" s="41"/>
      <c r="I2227" s="179">
        <v>2543.81</v>
      </c>
      <c r="J2227" s="144"/>
      <c r="K2227" s="154">
        <v>3027.76</v>
      </c>
      <c r="L2227" s="53"/>
      <c r="M2227" s="152"/>
      <c r="N2227" s="39" t="s">
        <v>643</v>
      </c>
      <c r="O2227" s="69"/>
      <c r="P2227" s="193">
        <v>46082</v>
      </c>
    </row>
    <row r="2228" spans="1:16">
      <c r="A2228" s="13">
        <f t="shared" si="42"/>
        <v>2206</v>
      </c>
      <c r="B2228" s="155" t="s">
        <v>827</v>
      </c>
      <c r="C2228" s="23" t="s">
        <v>708</v>
      </c>
      <c r="D2228" s="52" t="s">
        <v>714</v>
      </c>
      <c r="E2228" s="23" t="s">
        <v>19</v>
      </c>
      <c r="F2228" s="27">
        <v>16</v>
      </c>
      <c r="G2228" s="27">
        <v>14</v>
      </c>
      <c r="H2228" s="41"/>
      <c r="I2228" s="179">
        <v>2642.11</v>
      </c>
      <c r="J2228" s="144"/>
      <c r="K2228" s="154">
        <v>2880.84</v>
      </c>
      <c r="L2228" s="53"/>
      <c r="M2228" s="152"/>
      <c r="N2228" s="39" t="s">
        <v>643</v>
      </c>
      <c r="O2228" s="69"/>
      <c r="P2228" s="193">
        <v>46082</v>
      </c>
    </row>
    <row r="2229" spans="1:16">
      <c r="A2229" s="13">
        <f t="shared" si="42"/>
        <v>2207</v>
      </c>
      <c r="B2229" s="155" t="s">
        <v>827</v>
      </c>
      <c r="C2229" s="23" t="s">
        <v>708</v>
      </c>
      <c r="D2229" s="52" t="s">
        <v>714</v>
      </c>
      <c r="E2229" s="23" t="s">
        <v>19</v>
      </c>
      <c r="F2229" s="27">
        <v>15</v>
      </c>
      <c r="G2229" s="27"/>
      <c r="H2229" s="41"/>
      <c r="I2229" s="179">
        <v>2753.52</v>
      </c>
      <c r="J2229" s="144"/>
      <c r="K2229" s="154"/>
      <c r="L2229" s="53"/>
      <c r="M2229" s="152"/>
      <c r="N2229" s="39" t="s">
        <v>643</v>
      </c>
      <c r="O2229" s="69"/>
      <c r="P2229" s="193">
        <v>46082</v>
      </c>
    </row>
    <row r="2230" spans="1:16">
      <c r="A2230" s="13">
        <f t="shared" si="42"/>
        <v>2208</v>
      </c>
      <c r="B2230" s="52" t="s">
        <v>1085</v>
      </c>
      <c r="C2230" s="23" t="s">
        <v>708</v>
      </c>
      <c r="D2230" s="52" t="s">
        <v>714</v>
      </c>
      <c r="E2230" s="23" t="s">
        <v>19</v>
      </c>
      <c r="F2230" s="46" t="s">
        <v>977</v>
      </c>
      <c r="G2230" s="27"/>
      <c r="H2230" s="41"/>
      <c r="I2230" s="179">
        <v>107577.32</v>
      </c>
      <c r="J2230" s="144"/>
      <c r="K2230" s="154"/>
      <c r="L2230" s="53"/>
      <c r="M2230" s="152"/>
      <c r="N2230" s="39" t="s">
        <v>643</v>
      </c>
      <c r="O2230" s="69"/>
      <c r="P2230" s="193">
        <v>46082</v>
      </c>
    </row>
    <row r="2231" spans="1:16" s="8" customFormat="1" ht="12.75" customHeight="1">
      <c r="A2231" s="13">
        <f t="shared" si="42"/>
        <v>2209</v>
      </c>
      <c r="B2231" s="45" t="s">
        <v>712</v>
      </c>
      <c r="C2231" s="23" t="s">
        <v>706</v>
      </c>
      <c r="D2231" s="52" t="s">
        <v>709</v>
      </c>
      <c r="E2231" s="23" t="s">
        <v>13</v>
      </c>
      <c r="F2231" s="27">
        <v>20</v>
      </c>
      <c r="G2231" s="27">
        <v>10</v>
      </c>
      <c r="H2231" s="34">
        <v>1090.72</v>
      </c>
      <c r="I2231" s="84">
        <v>1066.1500000000001</v>
      </c>
      <c r="J2231" s="136">
        <v>1584.22</v>
      </c>
      <c r="K2231" s="118">
        <v>1535.09</v>
      </c>
      <c r="L2231" s="35"/>
      <c r="M2231" s="85"/>
      <c r="N2231" s="39" t="s">
        <v>643</v>
      </c>
      <c r="O2231" s="69">
        <v>610</v>
      </c>
      <c r="P2231" s="66">
        <v>43617</v>
      </c>
    </row>
    <row r="2232" spans="1:16" s="8" customFormat="1" ht="12.75" customHeight="1">
      <c r="A2232" s="13">
        <f t="shared" si="42"/>
        <v>2210</v>
      </c>
      <c r="B2232" s="52" t="s">
        <v>712</v>
      </c>
      <c r="C2232" s="23" t="s">
        <v>706</v>
      </c>
      <c r="D2232" s="52" t="s">
        <v>709</v>
      </c>
      <c r="E2232" s="23" t="s">
        <v>13</v>
      </c>
      <c r="F2232" s="27">
        <v>20</v>
      </c>
      <c r="G2232" s="27">
        <v>10</v>
      </c>
      <c r="H2232" s="34"/>
      <c r="I2232" s="84">
        <v>1041.3</v>
      </c>
      <c r="J2232" s="136"/>
      <c r="K2232" s="118">
        <v>1485.42</v>
      </c>
      <c r="L2232" s="35"/>
      <c r="M2232" s="85"/>
      <c r="N2232" s="39" t="s">
        <v>643</v>
      </c>
      <c r="O2232" s="69"/>
      <c r="P2232" s="66">
        <v>43922</v>
      </c>
    </row>
    <row r="2233" spans="1:16" s="8" customFormat="1" ht="12.75" customHeight="1">
      <c r="A2233" s="13">
        <f t="shared" si="42"/>
        <v>2211</v>
      </c>
      <c r="B2233" s="45" t="s">
        <v>712</v>
      </c>
      <c r="C2233" s="23" t="s">
        <v>706</v>
      </c>
      <c r="D2233" s="52" t="s">
        <v>709</v>
      </c>
      <c r="E2233" s="23" t="s">
        <v>13</v>
      </c>
      <c r="F2233" s="27">
        <v>20</v>
      </c>
      <c r="G2233" s="27">
        <v>10</v>
      </c>
      <c r="H2233" s="34"/>
      <c r="I2233" s="84">
        <v>1059.96</v>
      </c>
      <c r="J2233" s="136"/>
      <c r="K2233" s="118">
        <v>1566.01</v>
      </c>
      <c r="L2233" s="35"/>
      <c r="M2233" s="85"/>
      <c r="N2233" s="39" t="s">
        <v>643</v>
      </c>
      <c r="O2233" s="69"/>
      <c r="P2233" s="66">
        <v>44562</v>
      </c>
    </row>
    <row r="2234" spans="1:16" s="8" customFormat="1" ht="12.75" customHeight="1">
      <c r="A2234" s="13">
        <f t="shared" si="42"/>
        <v>2212</v>
      </c>
      <c r="B2234" s="45" t="s">
        <v>712</v>
      </c>
      <c r="C2234" s="23" t="s">
        <v>706</v>
      </c>
      <c r="D2234" s="52" t="s">
        <v>709</v>
      </c>
      <c r="E2234" s="23" t="s">
        <v>13</v>
      </c>
      <c r="F2234" s="27">
        <v>20</v>
      </c>
      <c r="G2234" s="27">
        <v>5</v>
      </c>
      <c r="H2234" s="34"/>
      <c r="I2234" s="84">
        <v>1059.96</v>
      </c>
      <c r="J2234" s="136"/>
      <c r="K2234" s="118">
        <v>2578.0500000000002</v>
      </c>
      <c r="L2234" s="35"/>
      <c r="M2234" s="85"/>
      <c r="N2234" s="39" t="s">
        <v>643</v>
      </c>
      <c r="O2234" s="69"/>
      <c r="P2234" s="66">
        <v>44682</v>
      </c>
    </row>
    <row r="2235" spans="1:16" s="8" customFormat="1" ht="12.75" customHeight="1">
      <c r="A2235" s="13">
        <f t="shared" si="42"/>
        <v>2213</v>
      </c>
      <c r="B2235" s="45" t="s">
        <v>712</v>
      </c>
      <c r="C2235" s="23" t="s">
        <v>706</v>
      </c>
      <c r="D2235" s="52" t="s">
        <v>709</v>
      </c>
      <c r="E2235" s="23" t="s">
        <v>13</v>
      </c>
      <c r="F2235" s="27">
        <v>20</v>
      </c>
      <c r="G2235" s="27">
        <v>10</v>
      </c>
      <c r="H2235" s="34"/>
      <c r="I2235" s="84">
        <v>1170.55</v>
      </c>
      <c r="J2235" s="136"/>
      <c r="K2235" s="118">
        <v>1733.07</v>
      </c>
      <c r="L2235" s="35"/>
      <c r="M2235" s="85"/>
      <c r="N2235" s="39" t="s">
        <v>643</v>
      </c>
      <c r="O2235" s="69"/>
      <c r="P2235" s="66">
        <v>45078</v>
      </c>
    </row>
    <row r="2236" spans="1:16" s="8" customFormat="1" ht="12.75" customHeight="1">
      <c r="A2236" s="13">
        <f t="shared" si="42"/>
        <v>2214</v>
      </c>
      <c r="B2236" s="94" t="s">
        <v>712</v>
      </c>
      <c r="C2236" s="23" t="s">
        <v>706</v>
      </c>
      <c r="D2236" s="52" t="s">
        <v>709</v>
      </c>
      <c r="E2236" s="23" t="s">
        <v>13</v>
      </c>
      <c r="F2236" s="27">
        <v>20</v>
      </c>
      <c r="G2236" s="27">
        <v>10</v>
      </c>
      <c r="H2236" s="34"/>
      <c r="I2236" s="84">
        <v>1347.67</v>
      </c>
      <c r="J2236" s="136"/>
      <c r="K2236" s="118">
        <v>1994.78</v>
      </c>
      <c r="L2236" s="35"/>
      <c r="M2236" s="85"/>
      <c r="N2236" s="39" t="s">
        <v>643</v>
      </c>
      <c r="O2236" s="69"/>
      <c r="P2236" s="66">
        <v>45352</v>
      </c>
    </row>
    <row r="2237" spans="1:16" s="8" customFormat="1" ht="12.75" customHeight="1">
      <c r="A2237" s="13">
        <f t="shared" si="42"/>
        <v>2215</v>
      </c>
      <c r="B2237" s="94" t="s">
        <v>712</v>
      </c>
      <c r="C2237" s="23" t="s">
        <v>706</v>
      </c>
      <c r="D2237" s="52" t="s">
        <v>709</v>
      </c>
      <c r="E2237" s="23" t="s">
        <v>13</v>
      </c>
      <c r="F2237" s="27">
        <v>16</v>
      </c>
      <c r="G2237" s="27">
        <v>14</v>
      </c>
      <c r="H2237" s="34"/>
      <c r="I2237" s="84">
        <v>1509.42</v>
      </c>
      <c r="J2237" s="136"/>
      <c r="K2237" s="118">
        <v>1625</v>
      </c>
      <c r="L2237" s="35"/>
      <c r="M2237" s="85"/>
      <c r="N2237" s="39" t="s">
        <v>643</v>
      </c>
      <c r="O2237" s="69"/>
      <c r="P2237" s="66">
        <v>45352</v>
      </c>
    </row>
    <row r="2238" spans="1:16" s="8" customFormat="1" ht="12.75" customHeight="1">
      <c r="A2238" s="13">
        <f t="shared" si="42"/>
        <v>2216</v>
      </c>
      <c r="B2238" s="94" t="s">
        <v>712</v>
      </c>
      <c r="C2238" s="23" t="s">
        <v>706</v>
      </c>
      <c r="D2238" s="52" t="s">
        <v>709</v>
      </c>
      <c r="E2238" s="23" t="s">
        <v>13</v>
      </c>
      <c r="F2238" s="27">
        <v>20</v>
      </c>
      <c r="G2238" s="27">
        <v>10</v>
      </c>
      <c r="H2238" s="34"/>
      <c r="I2238" s="84">
        <v>1550.08</v>
      </c>
      <c r="J2238" s="136"/>
      <c r="K2238" s="118">
        <v>2294.36</v>
      </c>
      <c r="L2238" s="35"/>
      <c r="M2238" s="85"/>
      <c r="N2238" s="39" t="s">
        <v>643</v>
      </c>
      <c r="O2238" s="69"/>
      <c r="P2238" s="66">
        <v>45689</v>
      </c>
    </row>
    <row r="2239" spans="1:16" s="8" customFormat="1" ht="12.75" customHeight="1">
      <c r="A2239" s="13">
        <f t="shared" si="42"/>
        <v>2217</v>
      </c>
      <c r="B2239" s="94" t="s">
        <v>712</v>
      </c>
      <c r="C2239" s="23" t="s">
        <v>706</v>
      </c>
      <c r="D2239" s="52" t="s">
        <v>709</v>
      </c>
      <c r="E2239" s="23" t="s">
        <v>13</v>
      </c>
      <c r="F2239" s="27">
        <v>16</v>
      </c>
      <c r="G2239" s="27">
        <v>14</v>
      </c>
      <c r="H2239" s="34"/>
      <c r="I2239" s="84">
        <v>1736.15</v>
      </c>
      <c r="J2239" s="136"/>
      <c r="K2239" s="118">
        <v>1869.07</v>
      </c>
      <c r="L2239" s="35"/>
      <c r="M2239" s="85"/>
      <c r="N2239" s="39" t="s">
        <v>643</v>
      </c>
      <c r="O2239" s="69"/>
      <c r="P2239" s="66">
        <v>45689</v>
      </c>
    </row>
    <row r="2240" spans="1:16" s="8" customFormat="1" ht="12.75" customHeight="1">
      <c r="A2240" s="13">
        <f t="shared" si="42"/>
        <v>2218</v>
      </c>
      <c r="B2240" s="155" t="s">
        <v>712</v>
      </c>
      <c r="C2240" s="23" t="s">
        <v>706</v>
      </c>
      <c r="D2240" s="52" t="s">
        <v>709</v>
      </c>
      <c r="E2240" s="23" t="s">
        <v>13</v>
      </c>
      <c r="F2240" s="27">
        <v>20</v>
      </c>
      <c r="G2240" s="27">
        <v>10</v>
      </c>
      <c r="H2240" s="34"/>
      <c r="I2240" s="84">
        <v>1717.88</v>
      </c>
      <c r="J2240" s="136"/>
      <c r="K2240" s="118">
        <v>2553.09</v>
      </c>
      <c r="L2240" s="35"/>
      <c r="M2240" s="85"/>
      <c r="N2240" s="39" t="s">
        <v>643</v>
      </c>
      <c r="O2240" s="69"/>
      <c r="P2240" s="193">
        <v>46082</v>
      </c>
    </row>
    <row r="2241" spans="1:16" s="8" customFormat="1" ht="12.75" customHeight="1">
      <c r="A2241" s="13">
        <f t="shared" si="42"/>
        <v>2219</v>
      </c>
      <c r="B2241" s="155" t="s">
        <v>712</v>
      </c>
      <c r="C2241" s="23" t="s">
        <v>706</v>
      </c>
      <c r="D2241" s="52" t="s">
        <v>709</v>
      </c>
      <c r="E2241" s="23" t="s">
        <v>13</v>
      </c>
      <c r="F2241" s="27">
        <v>16</v>
      </c>
      <c r="G2241" s="27">
        <v>14</v>
      </c>
      <c r="H2241" s="34"/>
      <c r="I2241" s="84">
        <v>1926.69</v>
      </c>
      <c r="J2241" s="136"/>
      <c r="K2241" s="118">
        <v>2075.85</v>
      </c>
      <c r="L2241" s="35"/>
      <c r="M2241" s="85"/>
      <c r="N2241" s="39" t="s">
        <v>643</v>
      </c>
      <c r="O2241" s="69"/>
      <c r="P2241" s="193">
        <v>46082</v>
      </c>
    </row>
    <row r="2242" spans="1:16" s="8" customFormat="1" ht="12.75" customHeight="1">
      <c r="A2242" s="13">
        <f t="shared" si="42"/>
        <v>2220</v>
      </c>
      <c r="B2242" s="52" t="s">
        <v>707</v>
      </c>
      <c r="C2242" s="23" t="s">
        <v>708</v>
      </c>
      <c r="D2242" s="52" t="s">
        <v>709</v>
      </c>
      <c r="E2242" s="23" t="s">
        <v>19</v>
      </c>
      <c r="F2242" s="27">
        <v>20</v>
      </c>
      <c r="G2242" s="27">
        <v>10</v>
      </c>
      <c r="H2242" s="34">
        <v>1892.66</v>
      </c>
      <c r="I2242" s="84"/>
      <c r="J2242" s="136">
        <v>3166.98</v>
      </c>
      <c r="K2242" s="118"/>
      <c r="L2242" s="35">
        <v>12964.69</v>
      </c>
      <c r="M2242" s="85"/>
      <c r="N2242" s="39" t="s">
        <v>643</v>
      </c>
      <c r="O2242" s="69">
        <v>610</v>
      </c>
      <c r="P2242" s="66">
        <v>43265</v>
      </c>
    </row>
    <row r="2243" spans="1:16" s="8" customFormat="1" ht="12.75" customHeight="1">
      <c r="A2243" s="13">
        <f t="shared" si="42"/>
        <v>2221</v>
      </c>
      <c r="B2243" s="45" t="s">
        <v>828</v>
      </c>
      <c r="C2243" s="23" t="s">
        <v>708</v>
      </c>
      <c r="D2243" s="52" t="s">
        <v>709</v>
      </c>
      <c r="E2243" s="23" t="s">
        <v>19</v>
      </c>
      <c r="F2243" s="27">
        <v>20</v>
      </c>
      <c r="G2243" s="27">
        <v>10</v>
      </c>
      <c r="H2243" s="34">
        <v>1892.66</v>
      </c>
      <c r="I2243" s="84">
        <v>1897.13</v>
      </c>
      <c r="J2243" s="136">
        <v>3166.98</v>
      </c>
      <c r="K2243" s="118">
        <v>3175.95</v>
      </c>
      <c r="L2243" s="35">
        <v>12964.69</v>
      </c>
      <c r="M2243" s="85">
        <v>13054.4</v>
      </c>
      <c r="N2243" s="39" t="s">
        <v>643</v>
      </c>
      <c r="O2243" s="69">
        <v>610</v>
      </c>
      <c r="P2243" s="66">
        <v>43617</v>
      </c>
    </row>
    <row r="2244" spans="1:16" s="8" customFormat="1" ht="12.75" customHeight="1">
      <c r="A2244" s="13">
        <f t="shared" ref="A2244:A2307" si="43">A2243+1</f>
        <v>2222</v>
      </c>
      <c r="B2244" s="52" t="s">
        <v>828</v>
      </c>
      <c r="C2244" s="23" t="s">
        <v>708</v>
      </c>
      <c r="D2244" s="52" t="s">
        <v>709</v>
      </c>
      <c r="E2244" s="23" t="s">
        <v>19</v>
      </c>
      <c r="F2244" s="27">
        <v>20</v>
      </c>
      <c r="G2244" s="27">
        <v>10</v>
      </c>
      <c r="H2244" s="34"/>
      <c r="I2244" s="84">
        <v>1872.29</v>
      </c>
      <c r="J2244" s="136"/>
      <c r="K2244" s="118">
        <v>3126.27</v>
      </c>
      <c r="L2244" s="35"/>
      <c r="M2244" s="85"/>
      <c r="N2244" s="39" t="s">
        <v>643</v>
      </c>
      <c r="O2244" s="69"/>
      <c r="P2244" s="66">
        <v>43922</v>
      </c>
    </row>
    <row r="2245" spans="1:16" s="8" customFormat="1" ht="12.75" customHeight="1">
      <c r="A2245" s="13">
        <f t="shared" si="43"/>
        <v>2223</v>
      </c>
      <c r="B2245" s="45" t="s">
        <v>828</v>
      </c>
      <c r="C2245" s="23" t="s">
        <v>708</v>
      </c>
      <c r="D2245" s="52" t="s">
        <v>709</v>
      </c>
      <c r="E2245" s="23" t="s">
        <v>19</v>
      </c>
      <c r="F2245" s="27">
        <v>20</v>
      </c>
      <c r="G2245" s="27">
        <v>10</v>
      </c>
      <c r="H2245" s="34"/>
      <c r="I2245" s="84">
        <v>1350.87</v>
      </c>
      <c r="J2245" s="136"/>
      <c r="K2245" s="118">
        <v>2181.34</v>
      </c>
      <c r="L2245" s="35"/>
      <c r="M2245" s="85">
        <v>16609.07</v>
      </c>
      <c r="N2245" s="39" t="s">
        <v>643</v>
      </c>
      <c r="O2245" s="69"/>
      <c r="P2245" s="66">
        <v>44562</v>
      </c>
    </row>
    <row r="2246" spans="1:16" s="8" customFormat="1" ht="12.75" customHeight="1">
      <c r="A2246" s="13">
        <f t="shared" si="43"/>
        <v>2224</v>
      </c>
      <c r="B2246" s="45" t="s">
        <v>1036</v>
      </c>
      <c r="C2246" s="23" t="s">
        <v>708</v>
      </c>
      <c r="D2246" s="52" t="s">
        <v>709</v>
      </c>
      <c r="E2246" s="23" t="s">
        <v>19</v>
      </c>
      <c r="F2246" s="46" t="s">
        <v>977</v>
      </c>
      <c r="G2246" s="27"/>
      <c r="H2246" s="34"/>
      <c r="I2246" s="84">
        <v>51811.67</v>
      </c>
      <c r="J2246" s="136"/>
      <c r="K2246" s="118"/>
      <c r="L2246" s="35"/>
      <c r="M2246" s="85"/>
      <c r="N2246" s="39" t="s">
        <v>643</v>
      </c>
      <c r="O2246" s="69"/>
      <c r="P2246" s="66">
        <v>44562</v>
      </c>
    </row>
    <row r="2247" spans="1:16" s="8" customFormat="1" ht="12.75" customHeight="1">
      <c r="A2247" s="13">
        <f t="shared" si="43"/>
        <v>2225</v>
      </c>
      <c r="B2247" s="45" t="s">
        <v>828</v>
      </c>
      <c r="C2247" s="23" t="s">
        <v>708</v>
      </c>
      <c r="D2247" s="52" t="s">
        <v>709</v>
      </c>
      <c r="E2247" s="23" t="s">
        <v>19</v>
      </c>
      <c r="F2247" s="27">
        <v>20</v>
      </c>
      <c r="G2247" s="27">
        <v>10</v>
      </c>
      <c r="H2247" s="34"/>
      <c r="I2247" s="84">
        <v>1491.75</v>
      </c>
      <c r="J2247" s="136"/>
      <c r="K2247" s="118">
        <v>2411.5300000000002</v>
      </c>
      <c r="L2247" s="35"/>
      <c r="M2247" s="85"/>
      <c r="N2247" s="39" t="s">
        <v>643</v>
      </c>
      <c r="O2247" s="69"/>
      <c r="P2247" s="66">
        <v>45078</v>
      </c>
    </row>
    <row r="2248" spans="1:16" s="8" customFormat="1" ht="12.75" customHeight="1">
      <c r="A2248" s="13">
        <f t="shared" si="43"/>
        <v>2226</v>
      </c>
      <c r="B2248" s="45" t="s">
        <v>1036</v>
      </c>
      <c r="C2248" s="23" t="s">
        <v>708</v>
      </c>
      <c r="D2248" s="52" t="s">
        <v>709</v>
      </c>
      <c r="E2248" s="23" t="s">
        <v>19</v>
      </c>
      <c r="F2248" s="46" t="s">
        <v>977</v>
      </c>
      <c r="G2248" s="27"/>
      <c r="H2248" s="34"/>
      <c r="I2248" s="84">
        <v>52380.37</v>
      </c>
      <c r="J2248" s="136"/>
      <c r="K2248" s="118"/>
      <c r="L2248" s="35"/>
      <c r="M2248" s="85"/>
      <c r="N2248" s="39" t="s">
        <v>643</v>
      </c>
      <c r="O2248" s="69"/>
      <c r="P2248" s="66">
        <v>45078</v>
      </c>
    </row>
    <row r="2249" spans="1:16" s="8" customFormat="1" ht="12.75" customHeight="1">
      <c r="A2249" s="13">
        <f t="shared" si="43"/>
        <v>2227</v>
      </c>
      <c r="B2249" s="45" t="s">
        <v>828</v>
      </c>
      <c r="C2249" s="23" t="s">
        <v>708</v>
      </c>
      <c r="D2249" s="52" t="s">
        <v>709</v>
      </c>
      <c r="E2249" s="23" t="s">
        <v>19</v>
      </c>
      <c r="F2249" s="27">
        <v>20</v>
      </c>
      <c r="G2249" s="27">
        <v>10</v>
      </c>
      <c r="H2249" s="34"/>
      <c r="I2249" s="84">
        <v>1717.36</v>
      </c>
      <c r="J2249" s="136"/>
      <c r="K2249" s="118">
        <v>2775.55</v>
      </c>
      <c r="L2249" s="35"/>
      <c r="M2249" s="85">
        <v>21163.65</v>
      </c>
      <c r="N2249" s="39" t="s">
        <v>643</v>
      </c>
      <c r="O2249" s="69"/>
      <c r="P2249" s="66">
        <v>45352</v>
      </c>
    </row>
    <row r="2250" spans="1:16" s="8" customFormat="1" ht="12.75" customHeight="1">
      <c r="A2250" s="13">
        <f t="shared" si="43"/>
        <v>2228</v>
      </c>
      <c r="B2250" s="45" t="s">
        <v>828</v>
      </c>
      <c r="C2250" s="23" t="s">
        <v>708</v>
      </c>
      <c r="D2250" s="52" t="s">
        <v>709</v>
      </c>
      <c r="E2250" s="23" t="s">
        <v>19</v>
      </c>
      <c r="F2250" s="27">
        <v>19</v>
      </c>
      <c r="G2250" s="27">
        <v>11</v>
      </c>
      <c r="H2250" s="34"/>
      <c r="I2250" s="84">
        <v>1773.06</v>
      </c>
      <c r="J2250" s="136"/>
      <c r="K2250" s="118">
        <v>2583.13</v>
      </c>
      <c r="L2250" s="35"/>
      <c r="M2250" s="85"/>
      <c r="N2250" s="39" t="s">
        <v>643</v>
      </c>
      <c r="O2250" s="69"/>
      <c r="P2250" s="66">
        <v>45352</v>
      </c>
    </row>
    <row r="2251" spans="1:16" s="8" customFormat="1" ht="12.75" customHeight="1">
      <c r="A2251" s="13">
        <f t="shared" si="43"/>
        <v>2229</v>
      </c>
      <c r="B2251" s="45" t="s">
        <v>828</v>
      </c>
      <c r="C2251" s="23" t="s">
        <v>708</v>
      </c>
      <c r="D2251" s="52" t="s">
        <v>709</v>
      </c>
      <c r="E2251" s="23" t="s">
        <v>19</v>
      </c>
      <c r="F2251" s="27">
        <v>18</v>
      </c>
      <c r="G2251" s="27">
        <v>12</v>
      </c>
      <c r="H2251" s="34"/>
      <c r="I2251" s="84">
        <v>1834.94</v>
      </c>
      <c r="J2251" s="136"/>
      <c r="K2251" s="118">
        <v>2422.81</v>
      </c>
      <c r="L2251" s="35"/>
      <c r="M2251" s="85"/>
      <c r="N2251" s="39" t="s">
        <v>643</v>
      </c>
      <c r="O2251" s="69"/>
      <c r="P2251" s="66">
        <v>45352</v>
      </c>
    </row>
    <row r="2252" spans="1:16" s="8" customFormat="1" ht="12.75" customHeight="1">
      <c r="A2252" s="13">
        <f t="shared" si="43"/>
        <v>2230</v>
      </c>
      <c r="B2252" s="45" t="s">
        <v>828</v>
      </c>
      <c r="C2252" s="23" t="s">
        <v>708</v>
      </c>
      <c r="D2252" s="52" t="s">
        <v>709</v>
      </c>
      <c r="E2252" s="23" t="s">
        <v>19</v>
      </c>
      <c r="F2252" s="27">
        <v>17</v>
      </c>
      <c r="G2252" s="27">
        <v>13</v>
      </c>
      <c r="H2252" s="34"/>
      <c r="I2252" s="84">
        <v>1904.12</v>
      </c>
      <c r="J2252" s="136"/>
      <c r="K2252" s="118">
        <v>2287.16</v>
      </c>
      <c r="L2252" s="35"/>
      <c r="M2252" s="85"/>
      <c r="N2252" s="39" t="s">
        <v>643</v>
      </c>
      <c r="O2252" s="69"/>
      <c r="P2252" s="66">
        <v>45352</v>
      </c>
    </row>
    <row r="2253" spans="1:16" s="8" customFormat="1" ht="12.75" customHeight="1">
      <c r="A2253" s="13">
        <f t="shared" si="43"/>
        <v>2231</v>
      </c>
      <c r="B2253" s="45" t="s">
        <v>828</v>
      </c>
      <c r="C2253" s="23" t="s">
        <v>708</v>
      </c>
      <c r="D2253" s="52" t="s">
        <v>709</v>
      </c>
      <c r="E2253" s="23" t="s">
        <v>19</v>
      </c>
      <c r="F2253" s="27">
        <v>16</v>
      </c>
      <c r="G2253" s="27">
        <v>14</v>
      </c>
      <c r="H2253" s="34"/>
      <c r="I2253" s="84">
        <v>1981.92</v>
      </c>
      <c r="J2253" s="136"/>
      <c r="K2253" s="118">
        <v>2170.85</v>
      </c>
      <c r="L2253" s="35"/>
      <c r="M2253" s="85"/>
      <c r="N2253" s="39" t="s">
        <v>643</v>
      </c>
      <c r="O2253" s="69"/>
      <c r="P2253" s="66">
        <v>45352</v>
      </c>
    </row>
    <row r="2254" spans="1:16" s="8" customFormat="1" ht="12.75" customHeight="1">
      <c r="A2254" s="13">
        <f t="shared" si="43"/>
        <v>2232</v>
      </c>
      <c r="B2254" s="45" t="s">
        <v>828</v>
      </c>
      <c r="C2254" s="23" t="s">
        <v>708</v>
      </c>
      <c r="D2254" s="52" t="s">
        <v>709</v>
      </c>
      <c r="E2254" s="23" t="s">
        <v>19</v>
      </c>
      <c r="F2254" s="27">
        <v>15</v>
      </c>
      <c r="G2254" s="27"/>
      <c r="H2254" s="34"/>
      <c r="I2254" s="84">
        <v>2070.1</v>
      </c>
      <c r="J2254" s="136"/>
      <c r="K2254" s="118"/>
      <c r="L2254" s="35"/>
      <c r="M2254" s="85"/>
      <c r="N2254" s="39" t="s">
        <v>643</v>
      </c>
      <c r="O2254" s="69"/>
      <c r="P2254" s="66">
        <v>45352</v>
      </c>
    </row>
    <row r="2255" spans="1:16" s="8" customFormat="1" ht="12.75" customHeight="1">
      <c r="A2255" s="13">
        <f t="shared" si="43"/>
        <v>2233</v>
      </c>
      <c r="B2255" s="45" t="s">
        <v>828</v>
      </c>
      <c r="C2255" s="23" t="s">
        <v>708</v>
      </c>
      <c r="D2255" s="52" t="s">
        <v>709</v>
      </c>
      <c r="E2255" s="23" t="s">
        <v>19</v>
      </c>
      <c r="F2255" s="27">
        <v>20</v>
      </c>
      <c r="G2255" s="27">
        <v>10</v>
      </c>
      <c r="H2255" s="34"/>
      <c r="I2255" s="84">
        <v>1975.61</v>
      </c>
      <c r="J2255" s="136"/>
      <c r="K2255" s="118">
        <v>3193.03</v>
      </c>
      <c r="L2255" s="35"/>
      <c r="M2255" s="85">
        <v>24348.240000000002</v>
      </c>
      <c r="N2255" s="39" t="s">
        <v>643</v>
      </c>
      <c r="O2255" s="69"/>
      <c r="P2255" s="66">
        <v>45689</v>
      </c>
    </row>
    <row r="2256" spans="1:16" s="8" customFormat="1" ht="12.75" customHeight="1">
      <c r="A2256" s="13">
        <f t="shared" si="43"/>
        <v>2234</v>
      </c>
      <c r="B2256" s="45" t="s">
        <v>828</v>
      </c>
      <c r="C2256" s="23" t="s">
        <v>708</v>
      </c>
      <c r="D2256" s="52" t="s">
        <v>709</v>
      </c>
      <c r="E2256" s="23" t="s">
        <v>19</v>
      </c>
      <c r="F2256" s="27">
        <v>19</v>
      </c>
      <c r="G2256" s="27">
        <v>11</v>
      </c>
      <c r="H2256" s="34"/>
      <c r="I2256" s="84">
        <v>2039.71</v>
      </c>
      <c r="J2256" s="136"/>
      <c r="K2256" s="118">
        <v>2971.7</v>
      </c>
      <c r="L2256" s="35"/>
      <c r="M2256" s="85"/>
      <c r="N2256" s="39" t="s">
        <v>643</v>
      </c>
      <c r="O2256" s="69"/>
      <c r="P2256" s="66">
        <v>45689</v>
      </c>
    </row>
    <row r="2257" spans="1:16" s="8" customFormat="1" ht="12.75" customHeight="1">
      <c r="A2257" s="13">
        <f t="shared" si="43"/>
        <v>2235</v>
      </c>
      <c r="B2257" s="45" t="s">
        <v>828</v>
      </c>
      <c r="C2257" s="23" t="s">
        <v>708</v>
      </c>
      <c r="D2257" s="52" t="s">
        <v>709</v>
      </c>
      <c r="E2257" s="23" t="s">
        <v>19</v>
      </c>
      <c r="F2257" s="27">
        <v>18</v>
      </c>
      <c r="G2257" s="27">
        <v>12</v>
      </c>
      <c r="H2257" s="34"/>
      <c r="I2257" s="84">
        <v>2110.88</v>
      </c>
      <c r="J2257" s="136"/>
      <c r="K2257" s="118">
        <v>2787.22</v>
      </c>
      <c r="L2257" s="35"/>
      <c r="M2257" s="85"/>
      <c r="N2257" s="39" t="s">
        <v>643</v>
      </c>
      <c r="O2257" s="69"/>
      <c r="P2257" s="66">
        <v>45689</v>
      </c>
    </row>
    <row r="2258" spans="1:16" s="8" customFormat="1" ht="12.75" customHeight="1">
      <c r="A2258" s="13">
        <f t="shared" si="43"/>
        <v>2236</v>
      </c>
      <c r="B2258" s="45" t="s">
        <v>828</v>
      </c>
      <c r="C2258" s="23" t="s">
        <v>708</v>
      </c>
      <c r="D2258" s="52" t="s">
        <v>709</v>
      </c>
      <c r="E2258" s="23" t="s">
        <v>19</v>
      </c>
      <c r="F2258" s="27">
        <v>17</v>
      </c>
      <c r="G2258" s="27">
        <v>13</v>
      </c>
      <c r="H2258" s="34"/>
      <c r="I2258" s="84">
        <v>2190.46</v>
      </c>
      <c r="J2258" s="136"/>
      <c r="K2258" s="118">
        <v>2631.16</v>
      </c>
      <c r="L2258" s="35"/>
      <c r="M2258" s="85"/>
      <c r="N2258" s="39" t="s">
        <v>643</v>
      </c>
      <c r="O2258" s="69"/>
      <c r="P2258" s="66">
        <v>45689</v>
      </c>
    </row>
    <row r="2259" spans="1:16" s="8" customFormat="1" ht="12.75" customHeight="1">
      <c r="A2259" s="13">
        <f t="shared" si="43"/>
        <v>2237</v>
      </c>
      <c r="B2259" s="45" t="s">
        <v>828</v>
      </c>
      <c r="C2259" s="23" t="s">
        <v>708</v>
      </c>
      <c r="D2259" s="52" t="s">
        <v>709</v>
      </c>
      <c r="E2259" s="23" t="s">
        <v>19</v>
      </c>
      <c r="F2259" s="27">
        <v>16</v>
      </c>
      <c r="G2259" s="27">
        <v>14</v>
      </c>
      <c r="H2259" s="34"/>
      <c r="I2259" s="84">
        <v>2279.9899999999998</v>
      </c>
      <c r="J2259" s="136"/>
      <c r="K2259" s="118">
        <v>2497.38</v>
      </c>
      <c r="L2259" s="35"/>
      <c r="M2259" s="85"/>
      <c r="N2259" s="39" t="s">
        <v>643</v>
      </c>
      <c r="O2259" s="69"/>
      <c r="P2259" s="66">
        <v>45689</v>
      </c>
    </row>
    <row r="2260" spans="1:16" s="8" customFormat="1" ht="12.75" customHeight="1">
      <c r="A2260" s="13">
        <f t="shared" si="43"/>
        <v>2238</v>
      </c>
      <c r="B2260" s="45" t="s">
        <v>828</v>
      </c>
      <c r="C2260" s="23" t="s">
        <v>708</v>
      </c>
      <c r="D2260" s="52" t="s">
        <v>709</v>
      </c>
      <c r="E2260" s="23" t="s">
        <v>19</v>
      </c>
      <c r="F2260" s="27">
        <v>15</v>
      </c>
      <c r="G2260" s="27"/>
      <c r="H2260" s="34"/>
      <c r="I2260" s="84">
        <v>2381.42</v>
      </c>
      <c r="J2260" s="136"/>
      <c r="K2260" s="118"/>
      <c r="L2260" s="35"/>
      <c r="M2260" s="85"/>
      <c r="N2260" s="39" t="s">
        <v>643</v>
      </c>
      <c r="O2260" s="69"/>
      <c r="P2260" s="66">
        <v>45689</v>
      </c>
    </row>
    <row r="2261" spans="1:16" s="8" customFormat="1" ht="12.75" customHeight="1">
      <c r="A2261" s="13">
        <f t="shared" si="43"/>
        <v>2239</v>
      </c>
      <c r="B2261" s="45" t="s">
        <v>1036</v>
      </c>
      <c r="C2261" s="23" t="s">
        <v>708</v>
      </c>
      <c r="D2261" s="52" t="s">
        <v>709</v>
      </c>
      <c r="E2261" s="23" t="s">
        <v>19</v>
      </c>
      <c r="F2261" s="46" t="s">
        <v>977</v>
      </c>
      <c r="G2261" s="27"/>
      <c r="H2261" s="34"/>
      <c r="I2261" s="84">
        <v>73835.16</v>
      </c>
      <c r="J2261" s="136"/>
      <c r="K2261" s="118"/>
      <c r="L2261" s="35"/>
      <c r="M2261" s="85"/>
      <c r="N2261" s="39" t="s">
        <v>643</v>
      </c>
      <c r="O2261" s="69"/>
      <c r="P2261" s="66">
        <v>45352</v>
      </c>
    </row>
    <row r="2262" spans="1:16" s="8" customFormat="1" ht="12.75" customHeight="1">
      <c r="A2262" s="13">
        <f t="shared" si="43"/>
        <v>2240</v>
      </c>
      <c r="B2262" s="45" t="s">
        <v>1036</v>
      </c>
      <c r="C2262" s="23" t="s">
        <v>708</v>
      </c>
      <c r="D2262" s="52" t="s">
        <v>709</v>
      </c>
      <c r="E2262" s="23" t="s">
        <v>19</v>
      </c>
      <c r="F2262" s="46" t="s">
        <v>977</v>
      </c>
      <c r="G2262" s="27"/>
      <c r="H2262" s="34"/>
      <c r="I2262" s="84">
        <v>84913.13</v>
      </c>
      <c r="J2262" s="136"/>
      <c r="K2262" s="118"/>
      <c r="L2262" s="35"/>
      <c r="M2262" s="85"/>
      <c r="N2262" s="39" t="s">
        <v>643</v>
      </c>
      <c r="O2262" s="69"/>
      <c r="P2262" s="66">
        <v>45689</v>
      </c>
    </row>
    <row r="2263" spans="1:16" s="8" customFormat="1" ht="12.75" customHeight="1">
      <c r="A2263" s="13">
        <f t="shared" si="43"/>
        <v>2241</v>
      </c>
      <c r="B2263" s="158" t="s">
        <v>828</v>
      </c>
      <c r="C2263" s="23" t="s">
        <v>708</v>
      </c>
      <c r="D2263" s="52" t="s">
        <v>709</v>
      </c>
      <c r="E2263" s="23" t="s">
        <v>19</v>
      </c>
      <c r="F2263" s="27">
        <v>20</v>
      </c>
      <c r="G2263" s="27">
        <v>10</v>
      </c>
      <c r="H2263" s="34"/>
      <c r="I2263" s="84">
        <v>2167.5100000000002</v>
      </c>
      <c r="J2263" s="136"/>
      <c r="K2263" s="118">
        <v>3504.35</v>
      </c>
      <c r="L2263" s="35"/>
      <c r="M2263" s="85">
        <v>26737.26</v>
      </c>
      <c r="N2263" s="39" t="s">
        <v>643</v>
      </c>
      <c r="O2263" s="69"/>
      <c r="P2263" s="193">
        <v>46082</v>
      </c>
    </row>
    <row r="2264" spans="1:16" s="8" customFormat="1" ht="12.75" customHeight="1">
      <c r="A2264" s="13">
        <f t="shared" si="43"/>
        <v>2242</v>
      </c>
      <c r="B2264" s="158" t="s">
        <v>828</v>
      </c>
      <c r="C2264" s="23" t="s">
        <v>708</v>
      </c>
      <c r="D2264" s="52" t="s">
        <v>709</v>
      </c>
      <c r="E2264" s="23" t="s">
        <v>19</v>
      </c>
      <c r="F2264" s="27">
        <v>19</v>
      </c>
      <c r="G2264" s="27">
        <v>11</v>
      </c>
      <c r="H2264" s="34"/>
      <c r="I2264" s="84">
        <v>2237.8200000000002</v>
      </c>
      <c r="J2264" s="136"/>
      <c r="K2264" s="118">
        <v>3261.3</v>
      </c>
      <c r="L2264" s="35"/>
      <c r="M2264" s="85"/>
      <c r="N2264" s="39" t="s">
        <v>643</v>
      </c>
      <c r="O2264" s="69"/>
      <c r="P2264" s="193">
        <v>46082</v>
      </c>
    </row>
    <row r="2265" spans="1:16" s="8" customFormat="1" ht="12.75" customHeight="1">
      <c r="A2265" s="13">
        <f t="shared" si="43"/>
        <v>2243</v>
      </c>
      <c r="B2265" s="158" t="s">
        <v>828</v>
      </c>
      <c r="C2265" s="23" t="s">
        <v>708</v>
      </c>
      <c r="D2265" s="52" t="s">
        <v>709</v>
      </c>
      <c r="E2265" s="23" t="s">
        <v>19</v>
      </c>
      <c r="F2265" s="27">
        <v>18</v>
      </c>
      <c r="G2265" s="27">
        <v>12</v>
      </c>
      <c r="H2265" s="34"/>
      <c r="I2265" s="84">
        <v>2316.0100000000002</v>
      </c>
      <c r="J2265" s="136"/>
      <c r="K2265" s="118">
        <v>3058.73</v>
      </c>
      <c r="L2265" s="35"/>
      <c r="M2265" s="85"/>
      <c r="N2265" s="39" t="s">
        <v>643</v>
      </c>
      <c r="O2265" s="69"/>
      <c r="P2265" s="193">
        <v>46082</v>
      </c>
    </row>
    <row r="2266" spans="1:16" s="8" customFormat="1" ht="12.75" customHeight="1">
      <c r="A2266" s="13">
        <f t="shared" si="43"/>
        <v>2244</v>
      </c>
      <c r="B2266" s="158" t="s">
        <v>828</v>
      </c>
      <c r="C2266" s="23" t="s">
        <v>708</v>
      </c>
      <c r="D2266" s="52" t="s">
        <v>709</v>
      </c>
      <c r="E2266" s="23" t="s">
        <v>19</v>
      </c>
      <c r="F2266" s="27">
        <v>17</v>
      </c>
      <c r="G2266" s="27">
        <v>13</v>
      </c>
      <c r="H2266" s="34"/>
      <c r="I2266" s="84">
        <v>2403.41</v>
      </c>
      <c r="J2266" s="136"/>
      <c r="K2266" s="118">
        <v>2887.35</v>
      </c>
      <c r="L2266" s="35"/>
      <c r="M2266" s="85"/>
      <c r="N2266" s="39" t="s">
        <v>643</v>
      </c>
      <c r="O2266" s="69"/>
      <c r="P2266" s="193">
        <v>46082</v>
      </c>
    </row>
    <row r="2267" spans="1:16" s="8" customFormat="1" ht="12.75" customHeight="1">
      <c r="A2267" s="13">
        <f t="shared" si="43"/>
        <v>2245</v>
      </c>
      <c r="B2267" s="158" t="s">
        <v>828</v>
      </c>
      <c r="C2267" s="23" t="s">
        <v>708</v>
      </c>
      <c r="D2267" s="52" t="s">
        <v>709</v>
      </c>
      <c r="E2267" s="23" t="s">
        <v>19</v>
      </c>
      <c r="F2267" s="27">
        <v>16</v>
      </c>
      <c r="G2267" s="27">
        <v>14</v>
      </c>
      <c r="H2267" s="34"/>
      <c r="I2267" s="84">
        <v>2501.6999999999998</v>
      </c>
      <c r="J2267" s="136"/>
      <c r="K2267" s="118">
        <v>2740.42</v>
      </c>
      <c r="L2267" s="35"/>
      <c r="M2267" s="85"/>
      <c r="N2267" s="39" t="s">
        <v>643</v>
      </c>
      <c r="O2267" s="69"/>
      <c r="P2267" s="193">
        <v>46082</v>
      </c>
    </row>
    <row r="2268" spans="1:16" s="8" customFormat="1" ht="12.75" customHeight="1">
      <c r="A2268" s="13">
        <f t="shared" si="43"/>
        <v>2246</v>
      </c>
      <c r="B2268" s="158" t="s">
        <v>828</v>
      </c>
      <c r="C2268" s="23" t="s">
        <v>708</v>
      </c>
      <c r="D2268" s="52" t="s">
        <v>709</v>
      </c>
      <c r="E2268" s="23" t="s">
        <v>19</v>
      </c>
      <c r="F2268" s="27">
        <v>15</v>
      </c>
      <c r="G2268" s="27"/>
      <c r="H2268" s="34"/>
      <c r="I2268" s="84">
        <v>2613.11</v>
      </c>
      <c r="J2268" s="136"/>
      <c r="K2268" s="118"/>
      <c r="L2268" s="35"/>
      <c r="M2268" s="85"/>
      <c r="N2268" s="39" t="s">
        <v>643</v>
      </c>
      <c r="O2268" s="69"/>
      <c r="P2268" s="193">
        <v>46082</v>
      </c>
    </row>
    <row r="2269" spans="1:16" s="8" customFormat="1" ht="12.75" customHeight="1">
      <c r="A2269" s="13">
        <f t="shared" si="43"/>
        <v>2247</v>
      </c>
      <c r="B2269" s="158" t="s">
        <v>1036</v>
      </c>
      <c r="C2269" s="23" t="s">
        <v>708</v>
      </c>
      <c r="D2269" s="52" t="s">
        <v>709</v>
      </c>
      <c r="E2269" s="23" t="s">
        <v>19</v>
      </c>
      <c r="F2269" s="46" t="s">
        <v>977</v>
      </c>
      <c r="G2269" s="27"/>
      <c r="H2269" s="34"/>
      <c r="I2269" s="84">
        <v>107577.32</v>
      </c>
      <c r="J2269" s="136"/>
      <c r="K2269" s="118"/>
      <c r="L2269" s="35"/>
      <c r="M2269" s="85"/>
      <c r="N2269" s="39" t="s">
        <v>643</v>
      </c>
      <c r="O2269" s="69"/>
      <c r="P2269" s="193">
        <v>46082</v>
      </c>
    </row>
    <row r="2270" spans="1:16" s="8" customFormat="1" ht="12.75" customHeight="1">
      <c r="A2270" s="13">
        <f t="shared" si="43"/>
        <v>2248</v>
      </c>
      <c r="B2270" s="155" t="s">
        <v>705</v>
      </c>
      <c r="C2270" s="23" t="s">
        <v>706</v>
      </c>
      <c r="D2270" s="52" t="s">
        <v>710</v>
      </c>
      <c r="E2270" s="23" t="s">
        <v>13</v>
      </c>
      <c r="F2270" s="46">
        <v>20</v>
      </c>
      <c r="G2270" s="27">
        <v>10</v>
      </c>
      <c r="H2270" s="34">
        <v>1133.3</v>
      </c>
      <c r="I2270" s="84">
        <v>1108.77</v>
      </c>
      <c r="J2270" s="136">
        <v>1626.83</v>
      </c>
      <c r="K2270" s="118">
        <v>1577.7</v>
      </c>
      <c r="L2270" s="35"/>
      <c r="M2270" s="85"/>
      <c r="N2270" s="39" t="s">
        <v>643</v>
      </c>
      <c r="O2270" s="69">
        <v>610</v>
      </c>
      <c r="P2270" s="66">
        <v>43617</v>
      </c>
    </row>
    <row r="2271" spans="1:16" s="8" customFormat="1" ht="12.75" customHeight="1">
      <c r="A2271" s="13">
        <f t="shared" si="43"/>
        <v>2249</v>
      </c>
      <c r="B2271" s="52" t="s">
        <v>705</v>
      </c>
      <c r="C2271" s="23" t="s">
        <v>706</v>
      </c>
      <c r="D2271" s="52" t="s">
        <v>710</v>
      </c>
      <c r="E2271" s="23" t="s">
        <v>13</v>
      </c>
      <c r="F2271" s="46">
        <v>20</v>
      </c>
      <c r="G2271" s="27">
        <v>10</v>
      </c>
      <c r="H2271" s="34"/>
      <c r="I2271" s="84">
        <v>1044.01</v>
      </c>
      <c r="J2271" s="136"/>
      <c r="K2271" s="118">
        <v>1488.11</v>
      </c>
      <c r="L2271" s="35"/>
      <c r="M2271" s="85"/>
      <c r="N2271" s="39" t="s">
        <v>643</v>
      </c>
      <c r="O2271" s="69"/>
      <c r="P2271" s="66">
        <v>43922</v>
      </c>
    </row>
    <row r="2272" spans="1:16" s="8" customFormat="1" ht="12.75" customHeight="1">
      <c r="A2272" s="13">
        <f t="shared" si="43"/>
        <v>2250</v>
      </c>
      <c r="B2272" s="52" t="s">
        <v>705</v>
      </c>
      <c r="C2272" s="23" t="s">
        <v>706</v>
      </c>
      <c r="D2272" s="52" t="s">
        <v>710</v>
      </c>
      <c r="E2272" s="23" t="s">
        <v>13</v>
      </c>
      <c r="F2272" s="46">
        <v>20</v>
      </c>
      <c r="G2272" s="27">
        <v>10</v>
      </c>
      <c r="H2272" s="34"/>
      <c r="I2272" s="84">
        <v>1104.4100000000001</v>
      </c>
      <c r="J2272" s="136"/>
      <c r="K2272" s="118">
        <v>1610.45</v>
      </c>
      <c r="L2272" s="35"/>
      <c r="M2272" s="85"/>
      <c r="N2272" s="39" t="s">
        <v>643</v>
      </c>
      <c r="O2272" s="69"/>
      <c r="P2272" s="66">
        <v>44562</v>
      </c>
    </row>
    <row r="2273" spans="1:16" s="8" customFormat="1" ht="12.75" customHeight="1">
      <c r="A2273" s="13">
        <f t="shared" si="43"/>
        <v>2251</v>
      </c>
      <c r="B2273" s="52" t="s">
        <v>705</v>
      </c>
      <c r="C2273" s="23" t="s">
        <v>706</v>
      </c>
      <c r="D2273" s="52" t="s">
        <v>710</v>
      </c>
      <c r="E2273" s="23" t="s">
        <v>13</v>
      </c>
      <c r="F2273" s="46">
        <v>20</v>
      </c>
      <c r="G2273" s="27">
        <v>10</v>
      </c>
      <c r="H2273" s="34"/>
      <c r="I2273" s="84">
        <v>1318.7</v>
      </c>
      <c r="J2273" s="136"/>
      <c r="K2273" s="118">
        <v>1927.08</v>
      </c>
      <c r="L2273" s="35"/>
      <c r="M2273" s="85"/>
      <c r="N2273" s="39" t="s">
        <v>643</v>
      </c>
      <c r="O2273" s="69"/>
      <c r="P2273" s="66">
        <v>45078</v>
      </c>
    </row>
    <row r="2274" spans="1:16" s="8" customFormat="1" ht="12.75" customHeight="1">
      <c r="A2274" s="13">
        <f t="shared" si="43"/>
        <v>2252</v>
      </c>
      <c r="B2274" s="181" t="s">
        <v>705</v>
      </c>
      <c r="C2274" s="23" t="s">
        <v>706</v>
      </c>
      <c r="D2274" s="52" t="s">
        <v>710</v>
      </c>
      <c r="E2274" s="23" t="s">
        <v>13</v>
      </c>
      <c r="F2274" s="46">
        <v>20</v>
      </c>
      <c r="G2274" s="27">
        <v>10</v>
      </c>
      <c r="H2274" s="34"/>
      <c r="I2274" s="84">
        <v>1403.09</v>
      </c>
      <c r="J2274" s="136"/>
      <c r="K2274" s="118">
        <v>2050.1999999999998</v>
      </c>
      <c r="L2274" s="35"/>
      <c r="M2274" s="85"/>
      <c r="N2274" s="39" t="s">
        <v>643</v>
      </c>
      <c r="O2274" s="69"/>
      <c r="P2274" s="66">
        <v>45352</v>
      </c>
    </row>
    <row r="2275" spans="1:16" s="8" customFormat="1" ht="12.75" customHeight="1">
      <c r="A2275" s="13">
        <f t="shared" si="43"/>
        <v>2253</v>
      </c>
      <c r="B2275" s="181" t="s">
        <v>705</v>
      </c>
      <c r="C2275" s="23" t="s">
        <v>706</v>
      </c>
      <c r="D2275" s="52" t="s">
        <v>710</v>
      </c>
      <c r="E2275" s="23" t="s">
        <v>13</v>
      </c>
      <c r="F2275" s="46">
        <v>16</v>
      </c>
      <c r="G2275" s="27">
        <v>14</v>
      </c>
      <c r="H2275" s="34"/>
      <c r="I2275" s="84">
        <v>1564.84</v>
      </c>
      <c r="J2275" s="136"/>
      <c r="K2275" s="118">
        <v>1680.42</v>
      </c>
      <c r="L2275" s="35"/>
      <c r="M2275" s="85"/>
      <c r="N2275" s="39" t="s">
        <v>643</v>
      </c>
      <c r="O2275" s="69"/>
      <c r="P2275" s="66">
        <v>45352</v>
      </c>
    </row>
    <row r="2276" spans="1:16" s="8" customFormat="1" ht="12.75" customHeight="1">
      <c r="A2276" s="13">
        <f t="shared" si="43"/>
        <v>2254</v>
      </c>
      <c r="B2276" s="181" t="s">
        <v>705</v>
      </c>
      <c r="C2276" s="23" t="s">
        <v>706</v>
      </c>
      <c r="D2276" s="52" t="s">
        <v>710</v>
      </c>
      <c r="E2276" s="23" t="s">
        <v>13</v>
      </c>
      <c r="F2276" s="46">
        <v>20</v>
      </c>
      <c r="G2276" s="27">
        <v>10</v>
      </c>
      <c r="H2276" s="34"/>
      <c r="I2276" s="84">
        <v>1614.36</v>
      </c>
      <c r="J2276" s="136"/>
      <c r="K2276" s="118">
        <v>2358.64</v>
      </c>
      <c r="L2276" s="35"/>
      <c r="M2276" s="85"/>
      <c r="N2276" s="39" t="s">
        <v>643</v>
      </c>
      <c r="O2276" s="69"/>
      <c r="P2276" s="66">
        <v>45689</v>
      </c>
    </row>
    <row r="2277" spans="1:16" s="8" customFormat="1" ht="12.75" customHeight="1">
      <c r="A2277" s="13">
        <f t="shared" si="43"/>
        <v>2255</v>
      </c>
      <c r="B2277" s="181" t="s">
        <v>705</v>
      </c>
      <c r="C2277" s="23" t="s">
        <v>706</v>
      </c>
      <c r="D2277" s="52" t="s">
        <v>710</v>
      </c>
      <c r="E2277" s="23" t="s">
        <v>13</v>
      </c>
      <c r="F2277" s="46">
        <v>16</v>
      </c>
      <c r="G2277" s="27">
        <v>14</v>
      </c>
      <c r="H2277" s="34"/>
      <c r="I2277" s="84">
        <v>1800.44</v>
      </c>
      <c r="J2277" s="136"/>
      <c r="K2277" s="118">
        <v>1933.36</v>
      </c>
      <c r="L2277" s="35"/>
      <c r="M2277" s="85"/>
      <c r="N2277" s="39" t="s">
        <v>643</v>
      </c>
      <c r="O2277" s="69"/>
      <c r="P2277" s="66">
        <v>45689</v>
      </c>
    </row>
    <row r="2278" spans="1:16" s="8" customFormat="1" ht="12.75" customHeight="1">
      <c r="A2278" s="13">
        <f t="shared" si="43"/>
        <v>2256</v>
      </c>
      <c r="B2278" s="158" t="s">
        <v>705</v>
      </c>
      <c r="C2278" s="23" t="s">
        <v>706</v>
      </c>
      <c r="D2278" s="52" t="s">
        <v>710</v>
      </c>
      <c r="E2278" s="23" t="s">
        <v>13</v>
      </c>
      <c r="F2278" s="46">
        <v>20</v>
      </c>
      <c r="G2278" s="27">
        <v>10</v>
      </c>
      <c r="H2278" s="34"/>
      <c r="I2278" s="84">
        <v>1788.09</v>
      </c>
      <c r="J2278" s="136"/>
      <c r="K2278" s="118">
        <v>2623.29</v>
      </c>
      <c r="L2278" s="35"/>
      <c r="M2278" s="85"/>
      <c r="N2278" s="39" t="s">
        <v>643</v>
      </c>
      <c r="O2278" s="69"/>
      <c r="P2278" s="193">
        <v>46082</v>
      </c>
    </row>
    <row r="2279" spans="1:16" s="8" customFormat="1" ht="12.75" customHeight="1">
      <c r="A2279" s="13">
        <f t="shared" si="43"/>
        <v>2257</v>
      </c>
      <c r="B2279" s="158" t="s">
        <v>705</v>
      </c>
      <c r="C2279" s="23" t="s">
        <v>706</v>
      </c>
      <c r="D2279" s="52" t="s">
        <v>710</v>
      </c>
      <c r="E2279" s="23" t="s">
        <v>13</v>
      </c>
      <c r="F2279" s="46">
        <v>16</v>
      </c>
      <c r="G2279" s="27">
        <v>14</v>
      </c>
      <c r="H2279" s="34"/>
      <c r="I2279" s="84">
        <v>1996.9</v>
      </c>
      <c r="J2279" s="136"/>
      <c r="K2279" s="118">
        <v>2146.04</v>
      </c>
      <c r="L2279" s="35"/>
      <c r="M2279" s="85"/>
      <c r="N2279" s="39" t="s">
        <v>643</v>
      </c>
      <c r="O2279" s="69"/>
      <c r="P2279" s="193">
        <v>46082</v>
      </c>
    </row>
    <row r="2280" spans="1:16" s="8" customFormat="1" ht="12.75" customHeight="1">
      <c r="A2280" s="13">
        <f t="shared" si="43"/>
        <v>2258</v>
      </c>
      <c r="B2280" s="52" t="s">
        <v>829</v>
      </c>
      <c r="C2280" s="23" t="s">
        <v>708</v>
      </c>
      <c r="D2280" s="52" t="s">
        <v>710</v>
      </c>
      <c r="E2280" s="23" t="s">
        <v>19</v>
      </c>
      <c r="F2280" s="46">
        <v>20</v>
      </c>
      <c r="G2280" s="27">
        <v>5</v>
      </c>
      <c r="H2280" s="34">
        <v>1935.27</v>
      </c>
      <c r="I2280" s="84">
        <v>1939.74</v>
      </c>
      <c r="J2280" s="136">
        <v>3209.58</v>
      </c>
      <c r="K2280" s="118">
        <v>5776.3</v>
      </c>
      <c r="L2280" s="35">
        <v>12964.69</v>
      </c>
      <c r="M2280" s="85">
        <v>13054.4</v>
      </c>
      <c r="N2280" s="39" t="s">
        <v>643</v>
      </c>
      <c r="O2280" s="69">
        <v>610</v>
      </c>
      <c r="P2280" s="66">
        <v>43617</v>
      </c>
    </row>
    <row r="2281" spans="1:16" s="8" customFormat="1" ht="12.75" customHeight="1">
      <c r="A2281" s="13">
        <f t="shared" si="43"/>
        <v>2259</v>
      </c>
      <c r="B2281" s="45" t="s">
        <v>829</v>
      </c>
      <c r="C2281" s="23" t="s">
        <v>708</v>
      </c>
      <c r="D2281" s="52" t="s">
        <v>710</v>
      </c>
      <c r="E2281" s="23" t="s">
        <v>19</v>
      </c>
      <c r="F2281" s="46">
        <v>20</v>
      </c>
      <c r="G2281" s="27">
        <v>5</v>
      </c>
      <c r="H2281" s="34"/>
      <c r="I2281" s="84">
        <v>1875</v>
      </c>
      <c r="J2281" s="136"/>
      <c r="K2281" s="118">
        <v>5637.04</v>
      </c>
      <c r="L2281" s="35"/>
      <c r="M2281" s="85"/>
      <c r="N2281" s="39" t="s">
        <v>643</v>
      </c>
      <c r="O2281" s="69"/>
      <c r="P2281" s="66">
        <v>43922</v>
      </c>
    </row>
    <row r="2282" spans="1:16" s="8" customFormat="1" ht="12.75" customHeight="1">
      <c r="A2282" s="13">
        <f t="shared" si="43"/>
        <v>2260</v>
      </c>
      <c r="B2282" s="45" t="s">
        <v>829</v>
      </c>
      <c r="C2282" s="23" t="s">
        <v>708</v>
      </c>
      <c r="D2282" s="52" t="s">
        <v>710</v>
      </c>
      <c r="E2282" s="23" t="s">
        <v>19</v>
      </c>
      <c r="F2282" s="46">
        <v>20</v>
      </c>
      <c r="G2282" s="27">
        <v>10</v>
      </c>
      <c r="H2282" s="34"/>
      <c r="I2282" s="84">
        <v>1395.32</v>
      </c>
      <c r="J2282" s="136"/>
      <c r="K2282" s="118">
        <v>2225.77</v>
      </c>
      <c r="L2282" s="35"/>
      <c r="M2282" s="85">
        <v>16609.07</v>
      </c>
      <c r="N2282" s="39" t="s">
        <v>643</v>
      </c>
      <c r="O2282" s="69"/>
      <c r="P2282" s="66">
        <v>44562</v>
      </c>
    </row>
    <row r="2283" spans="1:16" s="8" customFormat="1" ht="12.75" customHeight="1">
      <c r="A2283" s="13">
        <f t="shared" si="43"/>
        <v>2261</v>
      </c>
      <c r="B2283" s="45" t="s">
        <v>1039</v>
      </c>
      <c r="C2283" s="23" t="s">
        <v>708</v>
      </c>
      <c r="D2283" s="52" t="s">
        <v>710</v>
      </c>
      <c r="E2283" s="23" t="s">
        <v>19</v>
      </c>
      <c r="F2283" s="46" t="s">
        <v>977</v>
      </c>
      <c r="G2283" s="27"/>
      <c r="H2283" s="34"/>
      <c r="I2283" s="84">
        <v>51811.67</v>
      </c>
      <c r="J2283" s="136"/>
      <c r="K2283" s="118"/>
      <c r="L2283" s="35"/>
      <c r="M2283" s="85"/>
      <c r="N2283" s="39" t="s">
        <v>643</v>
      </c>
      <c r="O2283" s="69"/>
      <c r="P2283" s="66">
        <v>44562</v>
      </c>
    </row>
    <row r="2284" spans="1:16" s="8" customFormat="1" ht="12.75" customHeight="1">
      <c r="A2284" s="13">
        <f t="shared" si="43"/>
        <v>2262</v>
      </c>
      <c r="B2284" s="45" t="s">
        <v>829</v>
      </c>
      <c r="C2284" s="23" t="s">
        <v>708</v>
      </c>
      <c r="D2284" s="52" t="s">
        <v>710</v>
      </c>
      <c r="E2284" s="23" t="s">
        <v>19</v>
      </c>
      <c r="F2284" s="46">
        <v>20</v>
      </c>
      <c r="G2284" s="27">
        <v>10</v>
      </c>
      <c r="H2284" s="34"/>
      <c r="I2284" s="84">
        <v>1540.52</v>
      </c>
      <c r="J2284" s="136"/>
      <c r="K2284" s="118">
        <v>2460.3000000000002</v>
      </c>
      <c r="L2284" s="35"/>
      <c r="M2284" s="85"/>
      <c r="N2284" s="39" t="s">
        <v>643</v>
      </c>
      <c r="O2284" s="69"/>
      <c r="P2284" s="66">
        <v>45078</v>
      </c>
    </row>
    <row r="2285" spans="1:16" s="8" customFormat="1" ht="12.75" customHeight="1">
      <c r="A2285" s="13">
        <f t="shared" si="43"/>
        <v>2263</v>
      </c>
      <c r="B2285" s="45" t="s">
        <v>1039</v>
      </c>
      <c r="C2285" s="23" t="s">
        <v>708</v>
      </c>
      <c r="D2285" s="52" t="s">
        <v>710</v>
      </c>
      <c r="E2285" s="23" t="s">
        <v>19</v>
      </c>
      <c r="F2285" s="46" t="s">
        <v>977</v>
      </c>
      <c r="G2285" s="27"/>
      <c r="H2285" s="34"/>
      <c r="I2285" s="84">
        <v>52380.37</v>
      </c>
      <c r="J2285" s="136"/>
      <c r="K2285" s="118"/>
      <c r="L2285" s="35"/>
      <c r="M2285" s="85"/>
      <c r="N2285" s="39" t="s">
        <v>643</v>
      </c>
      <c r="O2285" s="69"/>
      <c r="P2285" s="66">
        <v>45078</v>
      </c>
    </row>
    <row r="2286" spans="1:16" ht="15.75" customHeight="1">
      <c r="A2286" s="13">
        <f t="shared" si="43"/>
        <v>2264</v>
      </c>
      <c r="B2286" s="52" t="s">
        <v>711</v>
      </c>
      <c r="C2286" s="23" t="s">
        <v>708</v>
      </c>
      <c r="D2286" s="52" t="s">
        <v>710</v>
      </c>
      <c r="E2286" s="23" t="s">
        <v>19</v>
      </c>
      <c r="F2286" s="46">
        <v>20</v>
      </c>
      <c r="G2286" s="27">
        <v>10</v>
      </c>
      <c r="H2286" s="34">
        <v>1935.27</v>
      </c>
      <c r="I2286" s="84"/>
      <c r="J2286" s="136">
        <v>3209.58</v>
      </c>
      <c r="K2286" s="118"/>
      <c r="L2286" s="35">
        <v>12964.69</v>
      </c>
      <c r="M2286" s="85"/>
      <c r="N2286" s="39" t="s">
        <v>643</v>
      </c>
      <c r="O2286" s="69">
        <v>610</v>
      </c>
      <c r="P2286" s="66">
        <v>43265</v>
      </c>
    </row>
    <row r="2287" spans="1:16" ht="15.75" customHeight="1">
      <c r="A2287" s="13">
        <f t="shared" si="43"/>
        <v>2265</v>
      </c>
      <c r="B2287" s="45" t="s">
        <v>829</v>
      </c>
      <c r="C2287" s="23" t="s">
        <v>708</v>
      </c>
      <c r="D2287" s="52" t="s">
        <v>710</v>
      </c>
      <c r="E2287" s="23" t="s">
        <v>19</v>
      </c>
      <c r="F2287" s="46">
        <v>20</v>
      </c>
      <c r="G2287" s="27">
        <v>10</v>
      </c>
      <c r="H2287" s="34"/>
      <c r="I2287" s="84">
        <v>1772.8</v>
      </c>
      <c r="J2287" s="136"/>
      <c r="K2287" s="118">
        <v>2830.96</v>
      </c>
      <c r="L2287" s="35"/>
      <c r="M2287" s="85">
        <v>21163.65</v>
      </c>
      <c r="N2287" s="39" t="s">
        <v>643</v>
      </c>
      <c r="O2287" s="69"/>
      <c r="P2287" s="66">
        <v>45352</v>
      </c>
    </row>
    <row r="2288" spans="1:16" ht="15.75" customHeight="1">
      <c r="A2288" s="13">
        <f t="shared" si="43"/>
        <v>2266</v>
      </c>
      <c r="B2288" s="45" t="s">
        <v>829</v>
      </c>
      <c r="C2288" s="23" t="s">
        <v>708</v>
      </c>
      <c r="D2288" s="52" t="s">
        <v>710</v>
      </c>
      <c r="E2288" s="23" t="s">
        <v>19</v>
      </c>
      <c r="F2288" s="46">
        <v>19</v>
      </c>
      <c r="G2288" s="27">
        <v>11</v>
      </c>
      <c r="H2288" s="34"/>
      <c r="I2288" s="84">
        <v>1828.48</v>
      </c>
      <c r="J2288" s="136"/>
      <c r="K2288" s="118">
        <v>2638.57</v>
      </c>
      <c r="L2288" s="35"/>
      <c r="M2288" s="85"/>
      <c r="N2288" s="39" t="s">
        <v>643</v>
      </c>
      <c r="O2288" s="69"/>
      <c r="P2288" s="66">
        <v>45352</v>
      </c>
    </row>
    <row r="2289" spans="1:16" ht="15.75" customHeight="1">
      <c r="A2289" s="13">
        <f t="shared" si="43"/>
        <v>2267</v>
      </c>
      <c r="B2289" s="45" t="s">
        <v>829</v>
      </c>
      <c r="C2289" s="23" t="s">
        <v>708</v>
      </c>
      <c r="D2289" s="52" t="s">
        <v>710</v>
      </c>
      <c r="E2289" s="23" t="s">
        <v>19</v>
      </c>
      <c r="F2289" s="46">
        <v>18</v>
      </c>
      <c r="G2289" s="27">
        <v>12</v>
      </c>
      <c r="H2289" s="34"/>
      <c r="I2289" s="84">
        <v>1890.36</v>
      </c>
      <c r="J2289" s="136"/>
      <c r="K2289" s="118">
        <v>2478.23</v>
      </c>
      <c r="L2289" s="35"/>
      <c r="M2289" s="85"/>
      <c r="N2289" s="39" t="s">
        <v>643</v>
      </c>
      <c r="O2289" s="69"/>
      <c r="P2289" s="66">
        <v>45352</v>
      </c>
    </row>
    <row r="2290" spans="1:16" ht="15.75" customHeight="1">
      <c r="A2290" s="13">
        <f t="shared" si="43"/>
        <v>2268</v>
      </c>
      <c r="B2290" s="45" t="s">
        <v>829</v>
      </c>
      <c r="C2290" s="23" t="s">
        <v>708</v>
      </c>
      <c r="D2290" s="52" t="s">
        <v>710</v>
      </c>
      <c r="E2290" s="23" t="s">
        <v>19</v>
      </c>
      <c r="F2290" s="46">
        <v>17</v>
      </c>
      <c r="G2290" s="27">
        <v>13</v>
      </c>
      <c r="H2290" s="34"/>
      <c r="I2290" s="84">
        <v>1959.54</v>
      </c>
      <c r="J2290" s="136"/>
      <c r="K2290" s="118">
        <v>2342.58</v>
      </c>
      <c r="L2290" s="35"/>
      <c r="M2290" s="85"/>
      <c r="N2290" s="39" t="s">
        <v>643</v>
      </c>
      <c r="O2290" s="69"/>
      <c r="P2290" s="66">
        <v>45352</v>
      </c>
    </row>
    <row r="2291" spans="1:16" ht="15.75" customHeight="1">
      <c r="A2291" s="13">
        <f t="shared" si="43"/>
        <v>2269</v>
      </c>
      <c r="B2291" s="45" t="s">
        <v>829</v>
      </c>
      <c r="C2291" s="23" t="s">
        <v>708</v>
      </c>
      <c r="D2291" s="52" t="s">
        <v>710</v>
      </c>
      <c r="E2291" s="23" t="s">
        <v>19</v>
      </c>
      <c r="F2291" s="46">
        <v>16</v>
      </c>
      <c r="G2291" s="27">
        <v>14</v>
      </c>
      <c r="H2291" s="34"/>
      <c r="I2291" s="84">
        <v>2037.36</v>
      </c>
      <c r="J2291" s="136"/>
      <c r="K2291" s="118">
        <v>2226.29</v>
      </c>
      <c r="L2291" s="35"/>
      <c r="M2291" s="85"/>
      <c r="N2291" s="39" t="s">
        <v>643</v>
      </c>
      <c r="O2291" s="69"/>
      <c r="P2291" s="66">
        <v>45352</v>
      </c>
    </row>
    <row r="2292" spans="1:16" ht="15.75" customHeight="1">
      <c r="A2292" s="13">
        <f t="shared" si="43"/>
        <v>2270</v>
      </c>
      <c r="B2292" s="45" t="s">
        <v>829</v>
      </c>
      <c r="C2292" s="23" t="s">
        <v>708</v>
      </c>
      <c r="D2292" s="52" t="s">
        <v>710</v>
      </c>
      <c r="E2292" s="23" t="s">
        <v>19</v>
      </c>
      <c r="F2292" s="46">
        <v>15</v>
      </c>
      <c r="G2292" s="27"/>
      <c r="H2292" s="34"/>
      <c r="I2292" s="84">
        <v>2125.5300000000002</v>
      </c>
      <c r="J2292" s="136"/>
      <c r="K2292" s="118"/>
      <c r="L2292" s="35"/>
      <c r="M2292" s="85"/>
      <c r="N2292" s="39" t="s">
        <v>643</v>
      </c>
      <c r="O2292" s="69"/>
      <c r="P2292" s="66">
        <v>45352</v>
      </c>
    </row>
    <row r="2293" spans="1:16" ht="15.75" customHeight="1">
      <c r="A2293" s="13">
        <f t="shared" si="43"/>
        <v>2271</v>
      </c>
      <c r="B2293" s="45" t="s">
        <v>829</v>
      </c>
      <c r="C2293" s="23" t="s">
        <v>708</v>
      </c>
      <c r="D2293" s="52" t="s">
        <v>710</v>
      </c>
      <c r="E2293" s="23" t="s">
        <v>19</v>
      </c>
      <c r="F2293" s="46">
        <v>20</v>
      </c>
      <c r="G2293" s="27">
        <v>10</v>
      </c>
      <c r="H2293" s="34"/>
      <c r="I2293" s="84">
        <v>2039.91</v>
      </c>
      <c r="J2293" s="136"/>
      <c r="K2293" s="118">
        <v>3257.32</v>
      </c>
      <c r="L2293" s="35"/>
      <c r="M2293" s="85">
        <v>24348.240000000002</v>
      </c>
      <c r="N2293" s="39" t="s">
        <v>643</v>
      </c>
      <c r="O2293" s="69"/>
      <c r="P2293" s="66">
        <v>45689</v>
      </c>
    </row>
    <row r="2294" spans="1:16" ht="15.75" customHeight="1">
      <c r="A2294" s="13">
        <f t="shared" si="43"/>
        <v>2272</v>
      </c>
      <c r="B2294" s="45" t="s">
        <v>829</v>
      </c>
      <c r="C2294" s="23" t="s">
        <v>708</v>
      </c>
      <c r="D2294" s="52" t="s">
        <v>710</v>
      </c>
      <c r="E2294" s="23" t="s">
        <v>19</v>
      </c>
      <c r="F2294" s="46">
        <v>19</v>
      </c>
      <c r="G2294" s="27">
        <v>11</v>
      </c>
      <c r="H2294" s="34"/>
      <c r="I2294" s="101">
        <v>2104.0100000000002</v>
      </c>
      <c r="J2294" s="136"/>
      <c r="K2294" s="118">
        <v>3036</v>
      </c>
      <c r="L2294" s="35"/>
      <c r="M2294" s="85"/>
      <c r="N2294" s="39" t="s">
        <v>643</v>
      </c>
      <c r="O2294" s="69"/>
      <c r="P2294" s="66">
        <v>45689</v>
      </c>
    </row>
    <row r="2295" spans="1:16" ht="15.75" customHeight="1">
      <c r="A2295" s="13">
        <f t="shared" si="43"/>
        <v>2273</v>
      </c>
      <c r="B2295" s="45" t="s">
        <v>829</v>
      </c>
      <c r="C2295" s="23" t="s">
        <v>708</v>
      </c>
      <c r="D2295" s="52" t="s">
        <v>710</v>
      </c>
      <c r="E2295" s="23" t="s">
        <v>19</v>
      </c>
      <c r="F2295" s="46">
        <v>18</v>
      </c>
      <c r="G2295" s="27">
        <v>12</v>
      </c>
      <c r="H2295" s="34"/>
      <c r="I2295" s="84">
        <v>2175.17</v>
      </c>
      <c r="J2295" s="136"/>
      <c r="K2295" s="118">
        <v>2851.51</v>
      </c>
      <c r="L2295" s="35"/>
      <c r="M2295" s="85"/>
      <c r="N2295" s="39" t="s">
        <v>643</v>
      </c>
      <c r="O2295" s="69"/>
      <c r="P2295" s="66">
        <v>45689</v>
      </c>
    </row>
    <row r="2296" spans="1:16" ht="15.75" customHeight="1">
      <c r="A2296" s="13">
        <f t="shared" si="43"/>
        <v>2274</v>
      </c>
      <c r="B2296" s="45" t="s">
        <v>829</v>
      </c>
      <c r="C2296" s="23" t="s">
        <v>708</v>
      </c>
      <c r="D2296" s="52" t="s">
        <v>710</v>
      </c>
      <c r="E2296" s="23" t="s">
        <v>19</v>
      </c>
      <c r="F2296" s="46">
        <v>17</v>
      </c>
      <c r="G2296" s="27">
        <v>13</v>
      </c>
      <c r="H2296" s="34"/>
      <c r="I2296" s="84">
        <v>2254.75</v>
      </c>
      <c r="J2296" s="136"/>
      <c r="K2296" s="118">
        <v>2695.45</v>
      </c>
      <c r="L2296" s="35"/>
      <c r="M2296" s="85"/>
      <c r="N2296" s="39" t="s">
        <v>643</v>
      </c>
      <c r="O2296" s="69"/>
      <c r="P2296" s="66">
        <v>45689</v>
      </c>
    </row>
    <row r="2297" spans="1:16" ht="15.75" customHeight="1">
      <c r="A2297" s="13">
        <f t="shared" si="43"/>
        <v>2275</v>
      </c>
      <c r="B2297" s="45" t="s">
        <v>829</v>
      </c>
      <c r="C2297" s="23" t="s">
        <v>708</v>
      </c>
      <c r="D2297" s="52" t="s">
        <v>710</v>
      </c>
      <c r="E2297" s="23" t="s">
        <v>19</v>
      </c>
      <c r="F2297" s="46">
        <v>16</v>
      </c>
      <c r="G2297" s="27">
        <v>14</v>
      </c>
      <c r="H2297" s="34"/>
      <c r="I2297" s="84">
        <v>2344.29</v>
      </c>
      <c r="J2297" s="136"/>
      <c r="K2297" s="118">
        <v>2561.66</v>
      </c>
      <c r="L2297" s="35"/>
      <c r="M2297" s="85"/>
      <c r="N2297" s="39" t="s">
        <v>643</v>
      </c>
      <c r="O2297" s="69"/>
      <c r="P2297" s="66">
        <v>45689</v>
      </c>
    </row>
    <row r="2298" spans="1:16" ht="15.75" customHeight="1">
      <c r="A2298" s="13">
        <f t="shared" si="43"/>
        <v>2276</v>
      </c>
      <c r="B2298" s="45" t="s">
        <v>829</v>
      </c>
      <c r="C2298" s="23" t="s">
        <v>708</v>
      </c>
      <c r="D2298" s="52" t="s">
        <v>710</v>
      </c>
      <c r="E2298" s="23" t="s">
        <v>19</v>
      </c>
      <c r="F2298" s="46">
        <v>15</v>
      </c>
      <c r="G2298" s="27"/>
      <c r="H2298" s="34"/>
      <c r="I2298" s="84">
        <v>2445.7199999999998</v>
      </c>
      <c r="J2298" s="136"/>
      <c r="K2298" s="118"/>
      <c r="L2298" s="35"/>
      <c r="M2298" s="85"/>
      <c r="N2298" s="39" t="s">
        <v>643</v>
      </c>
      <c r="O2298" s="69"/>
      <c r="P2298" s="66">
        <v>45689</v>
      </c>
    </row>
    <row r="2299" spans="1:16" ht="15.75" customHeight="1">
      <c r="A2299" s="13">
        <f t="shared" si="43"/>
        <v>2277</v>
      </c>
      <c r="B2299" s="45" t="s">
        <v>1039</v>
      </c>
      <c r="C2299" s="23" t="s">
        <v>708</v>
      </c>
      <c r="D2299" s="52" t="s">
        <v>710</v>
      </c>
      <c r="E2299" s="23" t="s">
        <v>19</v>
      </c>
      <c r="F2299" s="46" t="s">
        <v>977</v>
      </c>
      <c r="G2299" s="27"/>
      <c r="H2299" s="34"/>
      <c r="I2299" s="84">
        <v>73835.16</v>
      </c>
      <c r="J2299" s="136"/>
      <c r="K2299" s="118"/>
      <c r="L2299" s="35"/>
      <c r="M2299" s="85"/>
      <c r="N2299" s="39" t="s">
        <v>643</v>
      </c>
      <c r="O2299" s="69"/>
      <c r="P2299" s="66">
        <v>45352</v>
      </c>
    </row>
    <row r="2300" spans="1:16" ht="15.75" customHeight="1">
      <c r="A2300" s="13">
        <f t="shared" si="43"/>
        <v>2278</v>
      </c>
      <c r="B2300" s="45" t="s">
        <v>1039</v>
      </c>
      <c r="C2300" s="23" t="s">
        <v>708</v>
      </c>
      <c r="D2300" s="52" t="s">
        <v>710</v>
      </c>
      <c r="E2300" s="23" t="s">
        <v>19</v>
      </c>
      <c r="F2300" s="46" t="s">
        <v>977</v>
      </c>
      <c r="G2300" s="27"/>
      <c r="H2300" s="34"/>
      <c r="I2300" s="84">
        <v>84913.13</v>
      </c>
      <c r="J2300" s="136"/>
      <c r="K2300" s="118"/>
      <c r="L2300" s="35"/>
      <c r="M2300" s="85"/>
      <c r="N2300" s="39" t="s">
        <v>643</v>
      </c>
      <c r="O2300" s="69"/>
      <c r="P2300" s="66">
        <v>45689</v>
      </c>
    </row>
    <row r="2301" spans="1:16" ht="15.75" customHeight="1">
      <c r="A2301" s="13">
        <f t="shared" si="43"/>
        <v>2279</v>
      </c>
      <c r="B2301" s="158" t="s">
        <v>829</v>
      </c>
      <c r="C2301" s="23" t="s">
        <v>708</v>
      </c>
      <c r="D2301" s="52" t="s">
        <v>710</v>
      </c>
      <c r="E2301" s="23" t="s">
        <v>19</v>
      </c>
      <c r="F2301" s="46">
        <v>20</v>
      </c>
      <c r="G2301" s="27">
        <v>10</v>
      </c>
      <c r="H2301" s="34"/>
      <c r="I2301" s="84">
        <v>2237.7199999999998</v>
      </c>
      <c r="J2301" s="136"/>
      <c r="K2301" s="118">
        <v>3574.55</v>
      </c>
      <c r="L2301" s="35"/>
      <c r="M2301" s="85">
        <v>26737.26</v>
      </c>
      <c r="N2301" s="39" t="s">
        <v>643</v>
      </c>
      <c r="O2301" s="69"/>
      <c r="P2301" s="193">
        <v>46082</v>
      </c>
    </row>
    <row r="2302" spans="1:16" ht="15.75" customHeight="1">
      <c r="A2302" s="13">
        <f t="shared" si="43"/>
        <v>2280</v>
      </c>
      <c r="B2302" s="158" t="s">
        <v>829</v>
      </c>
      <c r="C2302" s="23" t="s">
        <v>708</v>
      </c>
      <c r="D2302" s="52" t="s">
        <v>710</v>
      </c>
      <c r="E2302" s="23" t="s">
        <v>19</v>
      </c>
      <c r="F2302" s="46">
        <v>19</v>
      </c>
      <c r="G2302" s="27">
        <v>11</v>
      </c>
      <c r="H2302" s="34"/>
      <c r="I2302" s="84">
        <v>2308.04</v>
      </c>
      <c r="J2302" s="136"/>
      <c r="K2302" s="118">
        <v>3331.51</v>
      </c>
      <c r="L2302" s="35"/>
      <c r="M2302" s="85"/>
      <c r="N2302" s="39" t="s">
        <v>643</v>
      </c>
      <c r="O2302" s="69"/>
      <c r="P2302" s="193">
        <v>46082</v>
      </c>
    </row>
    <row r="2303" spans="1:16" ht="15.75" customHeight="1">
      <c r="A2303" s="13">
        <f t="shared" si="43"/>
        <v>2281</v>
      </c>
      <c r="B2303" s="158" t="s">
        <v>829</v>
      </c>
      <c r="C2303" s="23" t="s">
        <v>708</v>
      </c>
      <c r="D2303" s="52" t="s">
        <v>710</v>
      </c>
      <c r="E2303" s="23" t="s">
        <v>19</v>
      </c>
      <c r="F2303" s="46">
        <v>18</v>
      </c>
      <c r="G2303" s="27">
        <v>12</v>
      </c>
      <c r="H2303" s="34"/>
      <c r="I2303" s="84">
        <v>2386.2199999999998</v>
      </c>
      <c r="J2303" s="136"/>
      <c r="K2303" s="118">
        <v>3128.94</v>
      </c>
      <c r="L2303" s="35"/>
      <c r="M2303" s="85"/>
      <c r="N2303" s="39" t="s">
        <v>643</v>
      </c>
      <c r="O2303" s="69"/>
      <c r="P2303" s="193">
        <v>46082</v>
      </c>
    </row>
    <row r="2304" spans="1:16" ht="15.75" customHeight="1">
      <c r="A2304" s="13">
        <f t="shared" si="43"/>
        <v>2282</v>
      </c>
      <c r="B2304" s="158" t="s">
        <v>829</v>
      </c>
      <c r="C2304" s="23" t="s">
        <v>708</v>
      </c>
      <c r="D2304" s="52" t="s">
        <v>710</v>
      </c>
      <c r="E2304" s="23" t="s">
        <v>19</v>
      </c>
      <c r="F2304" s="46">
        <v>17</v>
      </c>
      <c r="G2304" s="27">
        <v>13</v>
      </c>
      <c r="H2304" s="34"/>
      <c r="I2304" s="84">
        <v>2473.6</v>
      </c>
      <c r="J2304" s="136"/>
      <c r="K2304" s="118">
        <v>2957.56</v>
      </c>
      <c r="L2304" s="35"/>
      <c r="M2304" s="85"/>
      <c r="N2304" s="39" t="s">
        <v>643</v>
      </c>
      <c r="O2304" s="69"/>
      <c r="P2304" s="193">
        <v>46082</v>
      </c>
    </row>
    <row r="2305" spans="1:16" ht="15.75" customHeight="1">
      <c r="A2305" s="13">
        <f t="shared" si="43"/>
        <v>2283</v>
      </c>
      <c r="B2305" s="158" t="s">
        <v>829</v>
      </c>
      <c r="C2305" s="23" t="s">
        <v>708</v>
      </c>
      <c r="D2305" s="52" t="s">
        <v>710</v>
      </c>
      <c r="E2305" s="23" t="s">
        <v>19</v>
      </c>
      <c r="F2305" s="46">
        <v>16</v>
      </c>
      <c r="G2305" s="27">
        <v>14</v>
      </c>
      <c r="H2305" s="34"/>
      <c r="I2305" s="84">
        <v>2571.91</v>
      </c>
      <c r="J2305" s="136"/>
      <c r="K2305" s="118">
        <v>2810.64</v>
      </c>
      <c r="L2305" s="35"/>
      <c r="M2305" s="85"/>
      <c r="N2305" s="39" t="s">
        <v>643</v>
      </c>
      <c r="O2305" s="69"/>
      <c r="P2305" s="193">
        <v>46082</v>
      </c>
    </row>
    <row r="2306" spans="1:16" ht="15.75" customHeight="1">
      <c r="A2306" s="13">
        <f t="shared" si="43"/>
        <v>2284</v>
      </c>
      <c r="B2306" s="158" t="s">
        <v>829</v>
      </c>
      <c r="C2306" s="23" t="s">
        <v>708</v>
      </c>
      <c r="D2306" s="52" t="s">
        <v>710</v>
      </c>
      <c r="E2306" s="23" t="s">
        <v>19</v>
      </c>
      <c r="F2306" s="46">
        <v>15</v>
      </c>
      <c r="G2306" s="27"/>
      <c r="H2306" s="34"/>
      <c r="I2306" s="84">
        <v>2683.31</v>
      </c>
      <c r="J2306" s="136"/>
      <c r="K2306" s="118"/>
      <c r="L2306" s="35"/>
      <c r="M2306" s="85"/>
      <c r="N2306" s="39" t="s">
        <v>643</v>
      </c>
      <c r="O2306" s="69"/>
      <c r="P2306" s="193">
        <v>46082</v>
      </c>
    </row>
    <row r="2307" spans="1:16" ht="15.75" customHeight="1">
      <c r="A2307" s="13">
        <f t="shared" si="43"/>
        <v>2285</v>
      </c>
      <c r="B2307" s="158" t="s">
        <v>1039</v>
      </c>
      <c r="C2307" s="23" t="s">
        <v>708</v>
      </c>
      <c r="D2307" s="52" t="s">
        <v>710</v>
      </c>
      <c r="E2307" s="23" t="s">
        <v>19</v>
      </c>
      <c r="F2307" s="46" t="s">
        <v>977</v>
      </c>
      <c r="G2307" s="27"/>
      <c r="H2307" s="34"/>
      <c r="I2307" s="84">
        <v>107577.32</v>
      </c>
      <c r="J2307" s="136"/>
      <c r="K2307" s="118"/>
      <c r="L2307" s="35"/>
      <c r="M2307" s="85"/>
      <c r="N2307" s="39" t="s">
        <v>643</v>
      </c>
      <c r="O2307" s="69"/>
      <c r="P2307" s="193">
        <v>46082</v>
      </c>
    </row>
    <row r="2308" spans="1:16" ht="15.75" customHeight="1">
      <c r="A2308" s="13">
        <f t="shared" ref="A2308:A2371" si="44">A2307+1</f>
        <v>2286</v>
      </c>
      <c r="B2308" s="55" t="s">
        <v>893</v>
      </c>
      <c r="C2308" s="14" t="s">
        <v>160</v>
      </c>
      <c r="D2308" s="52" t="s">
        <v>786</v>
      </c>
      <c r="E2308" s="23" t="s">
        <v>19</v>
      </c>
      <c r="F2308" s="46">
        <v>20</v>
      </c>
      <c r="G2308" s="27">
        <v>10</v>
      </c>
      <c r="H2308" s="34"/>
      <c r="I2308" s="84">
        <v>2184.79</v>
      </c>
      <c r="J2308" s="136"/>
      <c r="K2308" s="118">
        <v>3571.48</v>
      </c>
      <c r="L2308" s="35"/>
      <c r="M2308" s="85"/>
      <c r="N2308" s="39" t="s">
        <v>643</v>
      </c>
      <c r="O2308" s="69"/>
      <c r="P2308" s="66">
        <v>43922</v>
      </c>
    </row>
    <row r="2309" spans="1:16" ht="15.75" customHeight="1">
      <c r="A2309" s="13">
        <f t="shared" si="44"/>
        <v>2287</v>
      </c>
      <c r="B2309" s="45" t="s">
        <v>922</v>
      </c>
      <c r="C2309" s="23" t="s">
        <v>923</v>
      </c>
      <c r="D2309" s="52" t="s">
        <v>617</v>
      </c>
      <c r="E2309" s="23" t="s">
        <v>13</v>
      </c>
      <c r="F2309" s="46">
        <v>20</v>
      </c>
      <c r="G2309" s="27">
        <v>10</v>
      </c>
      <c r="H2309" s="34"/>
      <c r="I2309" s="84">
        <v>955.21</v>
      </c>
      <c r="J2309" s="136"/>
      <c r="K2309" s="118">
        <v>1466.91</v>
      </c>
      <c r="L2309" s="35"/>
      <c r="M2309" s="85"/>
      <c r="N2309" s="99" t="s">
        <v>642</v>
      </c>
      <c r="O2309" s="69"/>
      <c r="P2309" s="66">
        <v>44713</v>
      </c>
    </row>
    <row r="2310" spans="1:16" ht="15.75" customHeight="1">
      <c r="A2310" s="13">
        <f t="shared" si="44"/>
        <v>2288</v>
      </c>
      <c r="B2310" s="45" t="s">
        <v>922</v>
      </c>
      <c r="C2310" s="23" t="s">
        <v>923</v>
      </c>
      <c r="D2310" s="52" t="s">
        <v>617</v>
      </c>
      <c r="E2310" s="23" t="s">
        <v>13</v>
      </c>
      <c r="F2310" s="46">
        <v>20</v>
      </c>
      <c r="G2310" s="27">
        <v>10</v>
      </c>
      <c r="H2310" s="34"/>
      <c r="I2310" s="84">
        <v>966.86</v>
      </c>
      <c r="J2310" s="136"/>
      <c r="K2310" s="118">
        <v>1490.24</v>
      </c>
      <c r="L2310" s="35"/>
      <c r="M2310" s="85"/>
      <c r="N2310" s="99" t="s">
        <v>642</v>
      </c>
      <c r="O2310" s="69"/>
      <c r="P2310" s="66">
        <v>45078</v>
      </c>
    </row>
    <row r="2311" spans="1:16" ht="15.75" customHeight="1">
      <c r="A2311" s="13">
        <f t="shared" si="44"/>
        <v>2289</v>
      </c>
      <c r="B2311" s="158" t="s">
        <v>922</v>
      </c>
      <c r="C2311" s="23" t="s">
        <v>923</v>
      </c>
      <c r="D2311" s="52" t="s">
        <v>617</v>
      </c>
      <c r="E2311" s="23" t="s">
        <v>13</v>
      </c>
      <c r="F2311" s="46">
        <v>20</v>
      </c>
      <c r="G2311" s="27">
        <v>10</v>
      </c>
      <c r="H2311" s="34"/>
      <c r="I2311" s="84">
        <v>920.42</v>
      </c>
      <c r="J2311" s="136"/>
      <c r="K2311" s="118">
        <v>1352.97</v>
      </c>
      <c r="L2311" s="35"/>
      <c r="M2311" s="85"/>
      <c r="N2311" s="157" t="s">
        <v>1163</v>
      </c>
      <c r="O2311" s="69"/>
      <c r="P2311" s="66">
        <v>45352</v>
      </c>
    </row>
    <row r="2312" spans="1:16" ht="15.75" customHeight="1">
      <c r="A2312" s="13">
        <f t="shared" si="44"/>
        <v>2290</v>
      </c>
      <c r="B2312" s="158" t="s">
        <v>922</v>
      </c>
      <c r="C2312" s="23" t="s">
        <v>923</v>
      </c>
      <c r="D2312" s="52" t="s">
        <v>617</v>
      </c>
      <c r="E2312" s="23" t="s">
        <v>13</v>
      </c>
      <c r="F2312" s="46">
        <v>18</v>
      </c>
      <c r="G2312" s="27">
        <v>16</v>
      </c>
      <c r="H2312" s="34"/>
      <c r="I2312" s="84">
        <v>968.52</v>
      </c>
      <c r="J2312" s="136"/>
      <c r="K2312" s="118">
        <v>1028.57</v>
      </c>
      <c r="L2312" s="35"/>
      <c r="M2312" s="85"/>
      <c r="N2312" s="157" t="s">
        <v>1163</v>
      </c>
      <c r="O2312" s="69"/>
      <c r="P2312" s="66">
        <v>45352</v>
      </c>
    </row>
    <row r="2313" spans="1:16" ht="15.75" customHeight="1">
      <c r="A2313" s="13">
        <f t="shared" si="44"/>
        <v>2291</v>
      </c>
      <c r="B2313" s="158" t="s">
        <v>922</v>
      </c>
      <c r="C2313" s="23" t="s">
        <v>923</v>
      </c>
      <c r="D2313" s="52" t="s">
        <v>617</v>
      </c>
      <c r="E2313" s="23" t="s">
        <v>13</v>
      </c>
      <c r="F2313" s="46">
        <v>20</v>
      </c>
      <c r="G2313" s="27">
        <v>10</v>
      </c>
      <c r="H2313" s="34"/>
      <c r="I2313" s="84">
        <v>989.03</v>
      </c>
      <c r="J2313" s="136"/>
      <c r="K2313" s="118">
        <v>1436.75</v>
      </c>
      <c r="L2313" s="35"/>
      <c r="M2313" s="85"/>
      <c r="N2313" s="157" t="s">
        <v>1163</v>
      </c>
      <c r="O2313" s="69"/>
      <c r="P2313" s="66">
        <v>45689</v>
      </c>
    </row>
    <row r="2314" spans="1:16" ht="15.75" customHeight="1">
      <c r="A2314" s="13">
        <f t="shared" si="44"/>
        <v>2292</v>
      </c>
      <c r="B2314" s="158" t="s">
        <v>922</v>
      </c>
      <c r="C2314" s="23" t="s">
        <v>923</v>
      </c>
      <c r="D2314" s="52" t="s">
        <v>617</v>
      </c>
      <c r="E2314" s="23" t="s">
        <v>13</v>
      </c>
      <c r="F2314" s="46">
        <v>18</v>
      </c>
      <c r="G2314" s="27">
        <v>16</v>
      </c>
      <c r="H2314" s="34"/>
      <c r="I2314" s="84">
        <v>1038.78</v>
      </c>
      <c r="J2314" s="136"/>
      <c r="K2314" s="118">
        <v>1100.96</v>
      </c>
      <c r="L2314" s="35"/>
      <c r="M2314" s="85"/>
      <c r="N2314" s="157" t="s">
        <v>1163</v>
      </c>
      <c r="O2314" s="69"/>
      <c r="P2314" s="66">
        <v>45689</v>
      </c>
    </row>
    <row r="2315" spans="1:16" ht="15.75" customHeight="1">
      <c r="A2315" s="13">
        <f t="shared" si="44"/>
        <v>2293</v>
      </c>
      <c r="B2315" s="45" t="s">
        <v>904</v>
      </c>
      <c r="C2315" s="14" t="s">
        <v>160</v>
      </c>
      <c r="D2315" s="52" t="s">
        <v>786</v>
      </c>
      <c r="E2315" s="23" t="s">
        <v>13</v>
      </c>
      <c r="F2315" s="46">
        <v>20</v>
      </c>
      <c r="G2315" s="27">
        <v>10</v>
      </c>
      <c r="H2315" s="34"/>
      <c r="I2315" s="84">
        <v>1359.96</v>
      </c>
      <c r="J2315" s="136"/>
      <c r="K2315" s="118">
        <v>1921.76</v>
      </c>
      <c r="L2315" s="35"/>
      <c r="M2315" s="85"/>
      <c r="N2315" s="39" t="s">
        <v>643</v>
      </c>
      <c r="O2315" s="69"/>
      <c r="P2315" s="66">
        <v>43891</v>
      </c>
    </row>
    <row r="2316" spans="1:16" ht="15.75" customHeight="1">
      <c r="A2316" s="13">
        <f t="shared" si="44"/>
        <v>2294</v>
      </c>
      <c r="B2316" s="52" t="s">
        <v>939</v>
      </c>
      <c r="C2316" s="23" t="s">
        <v>156</v>
      </c>
      <c r="D2316" s="52" t="s">
        <v>940</v>
      </c>
      <c r="E2316" s="23" t="s">
        <v>13</v>
      </c>
      <c r="F2316" s="46">
        <v>20</v>
      </c>
      <c r="G2316" s="27">
        <v>10</v>
      </c>
      <c r="H2316" s="34"/>
      <c r="I2316" s="84">
        <v>1161.1600000000001</v>
      </c>
      <c r="J2316" s="136"/>
      <c r="K2316" s="118">
        <v>1689.18</v>
      </c>
      <c r="L2316" s="35"/>
      <c r="M2316" s="85"/>
      <c r="N2316" s="38" t="s">
        <v>796</v>
      </c>
      <c r="O2316" s="69"/>
      <c r="P2316" s="66">
        <v>44562</v>
      </c>
    </row>
    <row r="2317" spans="1:16" ht="15.75" customHeight="1">
      <c r="A2317" s="13">
        <f t="shared" si="44"/>
        <v>2295</v>
      </c>
      <c r="B2317" s="52" t="s">
        <v>939</v>
      </c>
      <c r="C2317" s="23" t="s">
        <v>156</v>
      </c>
      <c r="D2317" s="52" t="s">
        <v>940</v>
      </c>
      <c r="E2317" s="23" t="s">
        <v>13</v>
      </c>
      <c r="F2317" s="46">
        <v>20</v>
      </c>
      <c r="G2317" s="27">
        <v>10</v>
      </c>
      <c r="H2317" s="34"/>
      <c r="I2317" s="84">
        <v>1231.3900000000001</v>
      </c>
      <c r="J2317" s="136"/>
      <c r="K2317" s="118">
        <v>1787.43</v>
      </c>
      <c r="L2317" s="35"/>
      <c r="M2317" s="85"/>
      <c r="N2317" s="38" t="s">
        <v>796</v>
      </c>
      <c r="O2317" s="69"/>
      <c r="P2317" s="66">
        <v>45078</v>
      </c>
    </row>
    <row r="2318" spans="1:16" ht="15.75" customHeight="1">
      <c r="A2318" s="13">
        <f t="shared" si="44"/>
        <v>2296</v>
      </c>
      <c r="B2318" s="181" t="s">
        <v>939</v>
      </c>
      <c r="C2318" s="23" t="s">
        <v>156</v>
      </c>
      <c r="D2318" s="52" t="s">
        <v>940</v>
      </c>
      <c r="E2318" s="23" t="s">
        <v>13</v>
      </c>
      <c r="F2318" s="46">
        <v>20</v>
      </c>
      <c r="G2318" s="27">
        <v>10</v>
      </c>
      <c r="H2318" s="34"/>
      <c r="I2318" s="84">
        <v>1416.19</v>
      </c>
      <c r="J2318" s="136"/>
      <c r="K2318" s="118">
        <v>2055.7800000000002</v>
      </c>
      <c r="L2318" s="35"/>
      <c r="M2318" s="85"/>
      <c r="N2318" s="38" t="s">
        <v>796</v>
      </c>
      <c r="O2318" s="69"/>
      <c r="P2318" s="66">
        <v>45352</v>
      </c>
    </row>
    <row r="2319" spans="1:16" ht="15.75" customHeight="1">
      <c r="A2319" s="13">
        <f t="shared" si="44"/>
        <v>2297</v>
      </c>
      <c r="B2319" s="181" t="s">
        <v>939</v>
      </c>
      <c r="C2319" s="23" t="s">
        <v>156</v>
      </c>
      <c r="D2319" s="52" t="s">
        <v>940</v>
      </c>
      <c r="E2319" s="23" t="s">
        <v>13</v>
      </c>
      <c r="F2319" s="46">
        <v>16</v>
      </c>
      <c r="G2319" s="27">
        <v>14</v>
      </c>
      <c r="H2319" s="34"/>
      <c r="I2319" s="84">
        <v>1576.09</v>
      </c>
      <c r="J2319" s="136"/>
      <c r="K2319" s="118">
        <v>1690.29</v>
      </c>
      <c r="L2319" s="35"/>
      <c r="M2319" s="85"/>
      <c r="N2319" s="38" t="s">
        <v>796</v>
      </c>
      <c r="O2319" s="69"/>
      <c r="P2319" s="66">
        <v>45352</v>
      </c>
    </row>
    <row r="2320" spans="1:16" ht="15.75" customHeight="1">
      <c r="A2320" s="13">
        <f t="shared" si="44"/>
        <v>2298</v>
      </c>
      <c r="B2320" s="181" t="s">
        <v>939</v>
      </c>
      <c r="C2320" s="23" t="s">
        <v>156</v>
      </c>
      <c r="D2320" s="52" t="s">
        <v>940</v>
      </c>
      <c r="E2320" s="23" t="s">
        <v>13</v>
      </c>
      <c r="F2320" s="46">
        <v>20</v>
      </c>
      <c r="G2320" s="27">
        <v>10</v>
      </c>
      <c r="H2320" s="34"/>
      <c r="I2320" s="84">
        <v>1668.76</v>
      </c>
      <c r="J2320" s="136"/>
      <c r="K2320" s="118">
        <v>2421.1</v>
      </c>
      <c r="L2320" s="35"/>
      <c r="M2320" s="85"/>
      <c r="N2320" s="38" t="s">
        <v>796</v>
      </c>
      <c r="O2320" s="69"/>
      <c r="P2320" s="66">
        <v>45689</v>
      </c>
    </row>
    <row r="2321" spans="1:16" ht="15.75" customHeight="1">
      <c r="A2321" s="13">
        <f t="shared" si="44"/>
        <v>2299</v>
      </c>
      <c r="B2321" s="181" t="s">
        <v>939</v>
      </c>
      <c r="C2321" s="23" t="s">
        <v>156</v>
      </c>
      <c r="D2321" s="52" t="s">
        <v>940</v>
      </c>
      <c r="E2321" s="23" t="s">
        <v>13</v>
      </c>
      <c r="F2321" s="46">
        <v>16</v>
      </c>
      <c r="G2321" s="27">
        <v>14</v>
      </c>
      <c r="H2321" s="34"/>
      <c r="I2321" s="84">
        <v>1856.82</v>
      </c>
      <c r="J2321" s="136"/>
      <c r="K2321" s="118">
        <v>1991.2</v>
      </c>
      <c r="L2321" s="35"/>
      <c r="M2321" s="85"/>
      <c r="N2321" s="38" t="s">
        <v>796</v>
      </c>
      <c r="O2321" s="69"/>
      <c r="P2321" s="66">
        <v>45689</v>
      </c>
    </row>
    <row r="2322" spans="1:16" ht="15.75" customHeight="1">
      <c r="A2322" s="13">
        <f t="shared" si="44"/>
        <v>2300</v>
      </c>
      <c r="B2322" s="158" t="s">
        <v>939</v>
      </c>
      <c r="C2322" s="23" t="s">
        <v>156</v>
      </c>
      <c r="D2322" s="52" t="s">
        <v>940</v>
      </c>
      <c r="E2322" s="23" t="s">
        <v>13</v>
      </c>
      <c r="F2322" s="46">
        <v>20</v>
      </c>
      <c r="G2322" s="27">
        <v>10</v>
      </c>
      <c r="H2322" s="34"/>
      <c r="I2322" s="84">
        <v>1999.26</v>
      </c>
      <c r="J2322" s="136"/>
      <c r="K2322" s="118">
        <v>2846.73</v>
      </c>
      <c r="L2322" s="35"/>
      <c r="M2322" s="85"/>
      <c r="N2322" s="38" t="s">
        <v>796</v>
      </c>
      <c r="O2322" s="69"/>
      <c r="P2322" s="193">
        <v>46082</v>
      </c>
    </row>
    <row r="2323" spans="1:16" ht="15.75" customHeight="1">
      <c r="A2323" s="13">
        <f t="shared" si="44"/>
        <v>2301</v>
      </c>
      <c r="B2323" s="158" t="s">
        <v>939</v>
      </c>
      <c r="C2323" s="23" t="s">
        <v>156</v>
      </c>
      <c r="D2323" s="52" t="s">
        <v>940</v>
      </c>
      <c r="E2323" s="23" t="s">
        <v>13</v>
      </c>
      <c r="F2323" s="46">
        <v>16</v>
      </c>
      <c r="G2323" s="27">
        <v>14</v>
      </c>
      <c r="H2323" s="34"/>
      <c r="I2323" s="84">
        <v>2211.14</v>
      </c>
      <c r="J2323" s="136"/>
      <c r="K2323" s="118">
        <v>2362.46</v>
      </c>
      <c r="L2323" s="35"/>
      <c r="M2323" s="85"/>
      <c r="N2323" s="38" t="s">
        <v>796</v>
      </c>
      <c r="O2323" s="69"/>
      <c r="P2323" s="193">
        <v>46082</v>
      </c>
    </row>
    <row r="2324" spans="1:16" ht="15.75" customHeight="1">
      <c r="A2324" s="13">
        <f t="shared" si="44"/>
        <v>2302</v>
      </c>
      <c r="B2324" s="45" t="s">
        <v>980</v>
      </c>
      <c r="C2324" s="23" t="s">
        <v>156</v>
      </c>
      <c r="D2324" s="52" t="s">
        <v>981</v>
      </c>
      <c r="E2324" s="23" t="s">
        <v>13</v>
      </c>
      <c r="F2324" s="46">
        <v>20</v>
      </c>
      <c r="G2324" s="27">
        <v>10</v>
      </c>
      <c r="H2324" s="34"/>
      <c r="I2324" s="84">
        <v>1094.6400000000001</v>
      </c>
      <c r="J2324" s="136"/>
      <c r="K2324" s="118">
        <v>1622.68</v>
      </c>
      <c r="L2324" s="35"/>
      <c r="M2324" s="85"/>
      <c r="N2324" s="38" t="s">
        <v>796</v>
      </c>
      <c r="O2324" s="69"/>
      <c r="P2324" s="66">
        <v>44562</v>
      </c>
    </row>
    <row r="2325" spans="1:16" ht="15.75" customHeight="1">
      <c r="A2325" s="13">
        <f t="shared" si="44"/>
        <v>2303</v>
      </c>
      <c r="B2325" s="45" t="s">
        <v>980</v>
      </c>
      <c r="C2325" s="23" t="s">
        <v>156</v>
      </c>
      <c r="D2325" s="52" t="s">
        <v>981</v>
      </c>
      <c r="E2325" s="23" t="s">
        <v>13</v>
      </c>
      <c r="F2325" s="46">
        <v>20</v>
      </c>
      <c r="G2325" s="27">
        <v>10</v>
      </c>
      <c r="H2325" s="34"/>
      <c r="I2325" s="84">
        <v>1160.45</v>
      </c>
      <c r="J2325" s="136"/>
      <c r="K2325" s="118">
        <v>1716.5</v>
      </c>
      <c r="L2325" s="35"/>
      <c r="M2325" s="85"/>
      <c r="N2325" s="38" t="s">
        <v>796</v>
      </c>
      <c r="O2325" s="69"/>
      <c r="P2325" s="66">
        <v>45078</v>
      </c>
    </row>
    <row r="2326" spans="1:16" ht="15.75" customHeight="1">
      <c r="A2326" s="13">
        <f t="shared" si="44"/>
        <v>2304</v>
      </c>
      <c r="B2326" s="45" t="s">
        <v>980</v>
      </c>
      <c r="C2326" s="23" t="s">
        <v>156</v>
      </c>
      <c r="D2326" s="52" t="s">
        <v>981</v>
      </c>
      <c r="E2326" s="23" t="s">
        <v>13</v>
      </c>
      <c r="F2326" s="46">
        <v>8</v>
      </c>
      <c r="G2326" s="27">
        <v>2</v>
      </c>
      <c r="H2326" s="34"/>
      <c r="I2326" s="84">
        <v>1994.57</v>
      </c>
      <c r="J2326" s="136"/>
      <c r="K2326" s="118">
        <v>6165.22</v>
      </c>
      <c r="L2326" s="35"/>
      <c r="M2326" s="85"/>
      <c r="N2326" s="38" t="s">
        <v>796</v>
      </c>
      <c r="O2326" s="69"/>
      <c r="P2326" s="66">
        <v>45200</v>
      </c>
    </row>
    <row r="2327" spans="1:16" ht="15.75" customHeight="1">
      <c r="A2327" s="13">
        <f t="shared" si="44"/>
        <v>2305</v>
      </c>
      <c r="B2327" s="181" t="s">
        <v>980</v>
      </c>
      <c r="C2327" s="23" t="s">
        <v>156</v>
      </c>
      <c r="D2327" s="52" t="s">
        <v>981</v>
      </c>
      <c r="E2327" s="23" t="s">
        <v>13</v>
      </c>
      <c r="F2327" s="46">
        <v>20</v>
      </c>
      <c r="G2327" s="27">
        <v>10</v>
      </c>
      <c r="H2327" s="34"/>
      <c r="I2327" s="84">
        <v>1334.6</v>
      </c>
      <c r="J2327" s="136"/>
      <c r="K2327" s="118">
        <v>1974.2</v>
      </c>
      <c r="L2327" s="35"/>
      <c r="M2327" s="85"/>
      <c r="N2327" s="38" t="s">
        <v>796</v>
      </c>
      <c r="O2327" s="69"/>
      <c r="P2327" s="66">
        <v>45352</v>
      </c>
    </row>
    <row r="2328" spans="1:16" ht="15.75" customHeight="1">
      <c r="A2328" s="13">
        <f t="shared" si="44"/>
        <v>2306</v>
      </c>
      <c r="B2328" s="181" t="s">
        <v>980</v>
      </c>
      <c r="C2328" s="23" t="s">
        <v>156</v>
      </c>
      <c r="D2328" s="52" t="s">
        <v>981</v>
      </c>
      <c r="E2328" s="23" t="s">
        <v>13</v>
      </c>
      <c r="F2328" s="46">
        <v>16</v>
      </c>
      <c r="G2328" s="27">
        <v>14</v>
      </c>
      <c r="H2328" s="34"/>
      <c r="I2328" s="84">
        <v>1494.5</v>
      </c>
      <c r="J2328" s="136"/>
      <c r="K2328" s="118">
        <v>1608.71</v>
      </c>
      <c r="L2328" s="35"/>
      <c r="M2328" s="85"/>
      <c r="N2328" s="38" t="s">
        <v>796</v>
      </c>
      <c r="O2328" s="69"/>
      <c r="P2328" s="66">
        <v>45352</v>
      </c>
    </row>
    <row r="2329" spans="1:16" ht="15.75" customHeight="1">
      <c r="A2329" s="13">
        <f t="shared" si="44"/>
        <v>2307</v>
      </c>
      <c r="B2329" s="181" t="s">
        <v>980</v>
      </c>
      <c r="C2329" s="23" t="s">
        <v>156</v>
      </c>
      <c r="D2329" s="52" t="s">
        <v>981</v>
      </c>
      <c r="E2329" s="23" t="s">
        <v>13</v>
      </c>
      <c r="F2329" s="46">
        <v>20</v>
      </c>
      <c r="G2329" s="27">
        <v>10</v>
      </c>
      <c r="H2329" s="34"/>
      <c r="I2329" s="84">
        <v>1572.48</v>
      </c>
      <c r="J2329" s="136"/>
      <c r="K2329" s="118">
        <v>2324.84</v>
      </c>
      <c r="L2329" s="35"/>
      <c r="M2329" s="85"/>
      <c r="N2329" s="38" t="s">
        <v>796</v>
      </c>
      <c r="O2329" s="69"/>
      <c r="P2329" s="66">
        <v>45689</v>
      </c>
    </row>
    <row r="2330" spans="1:16" ht="15.75" customHeight="1">
      <c r="A2330" s="13">
        <f t="shared" si="44"/>
        <v>2308</v>
      </c>
      <c r="B2330" s="181" t="s">
        <v>980</v>
      </c>
      <c r="C2330" s="23" t="s">
        <v>156</v>
      </c>
      <c r="D2330" s="52" t="s">
        <v>981</v>
      </c>
      <c r="E2330" s="23" t="s">
        <v>13</v>
      </c>
      <c r="F2330" s="46">
        <v>16</v>
      </c>
      <c r="G2330" s="27">
        <v>14</v>
      </c>
      <c r="H2330" s="34"/>
      <c r="I2330" s="84">
        <v>1760.56</v>
      </c>
      <c r="J2330" s="136"/>
      <c r="K2330" s="118">
        <v>1894.92</v>
      </c>
      <c r="L2330" s="35"/>
      <c r="M2330" s="85"/>
      <c r="N2330" s="38" t="s">
        <v>796</v>
      </c>
      <c r="O2330" s="69" t="s">
        <v>885</v>
      </c>
      <c r="P2330" s="66">
        <v>45689</v>
      </c>
    </row>
    <row r="2331" spans="1:16" ht="15.75" customHeight="1">
      <c r="A2331" s="13">
        <f t="shared" si="44"/>
        <v>2309</v>
      </c>
      <c r="B2331" s="158" t="s">
        <v>980</v>
      </c>
      <c r="C2331" s="23" t="s">
        <v>156</v>
      </c>
      <c r="D2331" s="52" t="s">
        <v>981</v>
      </c>
      <c r="E2331" s="23" t="s">
        <v>13</v>
      </c>
      <c r="F2331" s="46">
        <v>20</v>
      </c>
      <c r="G2331" s="27">
        <v>10</v>
      </c>
      <c r="H2331" s="34"/>
      <c r="I2331" s="84">
        <v>1749.61</v>
      </c>
      <c r="J2331" s="136"/>
      <c r="K2331" s="118">
        <v>2597.0500000000002</v>
      </c>
      <c r="L2331" s="35"/>
      <c r="M2331" s="85"/>
      <c r="N2331" s="38" t="s">
        <v>796</v>
      </c>
      <c r="O2331" s="69"/>
      <c r="P2331" s="193">
        <v>46082</v>
      </c>
    </row>
    <row r="2332" spans="1:16" ht="15.75" customHeight="1">
      <c r="A2332" s="13">
        <f t="shared" si="44"/>
        <v>2310</v>
      </c>
      <c r="B2332" s="158" t="s">
        <v>980</v>
      </c>
      <c r="C2332" s="23" t="s">
        <v>156</v>
      </c>
      <c r="D2332" s="52" t="s">
        <v>981</v>
      </c>
      <c r="E2332" s="23" t="s">
        <v>13</v>
      </c>
      <c r="F2332" s="46">
        <v>16</v>
      </c>
      <c r="G2332" s="27">
        <v>14</v>
      </c>
      <c r="H2332" s="34"/>
      <c r="I2332" s="84">
        <v>1961.46</v>
      </c>
      <c r="J2332" s="136"/>
      <c r="K2332" s="118">
        <v>2112.8000000000002</v>
      </c>
      <c r="L2332" s="35"/>
      <c r="M2332" s="85"/>
      <c r="N2332" s="38" t="s">
        <v>796</v>
      </c>
      <c r="O2332" s="69"/>
      <c r="P2332" s="193">
        <v>46082</v>
      </c>
    </row>
    <row r="2333" spans="1:16" ht="15.75" customHeight="1">
      <c r="A2333" s="13">
        <f t="shared" si="44"/>
        <v>2311</v>
      </c>
      <c r="B2333" s="45" t="s">
        <v>941</v>
      </c>
      <c r="C2333" s="23" t="s">
        <v>156</v>
      </c>
      <c r="D2333" s="52" t="s">
        <v>942</v>
      </c>
      <c r="E2333" s="23" t="s">
        <v>13</v>
      </c>
      <c r="F2333" s="46">
        <v>20</v>
      </c>
      <c r="G2333" s="27">
        <v>10</v>
      </c>
      <c r="H2333" s="34"/>
      <c r="I2333" s="84">
        <v>1127.9100000000001</v>
      </c>
      <c r="J2333" s="136"/>
      <c r="K2333" s="118">
        <v>1655.93</v>
      </c>
      <c r="L2333" s="35"/>
      <c r="M2333" s="85"/>
      <c r="N2333" s="38" t="s">
        <v>796</v>
      </c>
      <c r="O2333" s="69"/>
      <c r="P2333" s="66">
        <v>44562</v>
      </c>
    </row>
    <row r="2334" spans="1:16" ht="15.75" customHeight="1">
      <c r="A2334" s="13">
        <f t="shared" si="44"/>
        <v>2312</v>
      </c>
      <c r="B2334" s="45" t="s">
        <v>941</v>
      </c>
      <c r="C2334" s="23" t="s">
        <v>156</v>
      </c>
      <c r="D2334" s="52" t="s">
        <v>942</v>
      </c>
      <c r="E2334" s="23" t="s">
        <v>13</v>
      </c>
      <c r="F2334" s="46">
        <v>20</v>
      </c>
      <c r="G2334" s="27">
        <v>10</v>
      </c>
      <c r="H2334" s="34"/>
      <c r="I2334" s="84">
        <v>1195.93</v>
      </c>
      <c r="J2334" s="136"/>
      <c r="K2334" s="118">
        <v>1751.97</v>
      </c>
      <c r="L2334" s="35"/>
      <c r="M2334" s="85"/>
      <c r="N2334" s="38" t="s">
        <v>796</v>
      </c>
      <c r="O2334" s="69"/>
      <c r="P2334" s="66">
        <v>45078</v>
      </c>
    </row>
    <row r="2335" spans="1:16" ht="15.75" customHeight="1">
      <c r="A2335" s="13">
        <f t="shared" si="44"/>
        <v>2313</v>
      </c>
      <c r="B2335" s="181" t="s">
        <v>941</v>
      </c>
      <c r="C2335" s="23" t="s">
        <v>156</v>
      </c>
      <c r="D2335" s="52" t="s">
        <v>942</v>
      </c>
      <c r="E2335" s="23" t="s">
        <v>13</v>
      </c>
      <c r="F2335" s="46">
        <v>20</v>
      </c>
      <c r="G2335" s="27">
        <v>10</v>
      </c>
      <c r="H2335" s="34"/>
      <c r="I2335" s="84">
        <v>1375.39</v>
      </c>
      <c r="J2335" s="136"/>
      <c r="K2335" s="118">
        <v>2014.99</v>
      </c>
      <c r="L2335" s="35"/>
      <c r="M2335" s="85"/>
      <c r="N2335" s="38" t="s">
        <v>796</v>
      </c>
      <c r="O2335" s="69"/>
      <c r="P2335" s="66">
        <v>45352</v>
      </c>
    </row>
    <row r="2336" spans="1:16" ht="15.75" customHeight="1">
      <c r="A2336" s="13">
        <f t="shared" si="44"/>
        <v>2314</v>
      </c>
      <c r="B2336" s="181" t="s">
        <v>941</v>
      </c>
      <c r="C2336" s="23" t="s">
        <v>156</v>
      </c>
      <c r="D2336" s="52" t="s">
        <v>942</v>
      </c>
      <c r="E2336" s="23" t="s">
        <v>13</v>
      </c>
      <c r="F2336" s="46">
        <v>16</v>
      </c>
      <c r="G2336" s="27">
        <v>14</v>
      </c>
      <c r="H2336" s="34"/>
      <c r="I2336" s="84">
        <v>1535.3</v>
      </c>
      <c r="J2336" s="136"/>
      <c r="K2336" s="118">
        <v>1649.51</v>
      </c>
      <c r="L2336" s="35"/>
      <c r="M2336" s="85"/>
      <c r="N2336" s="38" t="s">
        <v>796</v>
      </c>
      <c r="O2336" s="69"/>
      <c r="P2336" s="66">
        <v>45352</v>
      </c>
    </row>
    <row r="2337" spans="1:16" ht="15.75" customHeight="1">
      <c r="A2337" s="13">
        <f t="shared" si="44"/>
        <v>2315</v>
      </c>
      <c r="B2337" s="181" t="s">
        <v>941</v>
      </c>
      <c r="C2337" s="23" t="s">
        <v>156</v>
      </c>
      <c r="D2337" s="52" t="s">
        <v>942</v>
      </c>
      <c r="E2337" s="23" t="s">
        <v>13</v>
      </c>
      <c r="F2337" s="46">
        <v>20</v>
      </c>
      <c r="G2337" s="27">
        <v>10</v>
      </c>
      <c r="H2337" s="34"/>
      <c r="I2337" s="84">
        <v>1620.63</v>
      </c>
      <c r="J2337" s="136"/>
      <c r="K2337" s="118">
        <v>2372.9699999999998</v>
      </c>
      <c r="L2337" s="35"/>
      <c r="M2337" s="85"/>
      <c r="N2337" s="38" t="s">
        <v>796</v>
      </c>
      <c r="O2337" s="69"/>
      <c r="P2337" s="66">
        <v>45689</v>
      </c>
    </row>
    <row r="2338" spans="1:16" ht="15.75" customHeight="1">
      <c r="A2338" s="13">
        <f t="shared" si="44"/>
        <v>2316</v>
      </c>
      <c r="B2338" s="181" t="s">
        <v>941</v>
      </c>
      <c r="C2338" s="23" t="s">
        <v>156</v>
      </c>
      <c r="D2338" s="52" t="s">
        <v>942</v>
      </c>
      <c r="E2338" s="23" t="s">
        <v>13</v>
      </c>
      <c r="F2338" s="46">
        <v>16</v>
      </c>
      <c r="G2338" s="27">
        <v>14</v>
      </c>
      <c r="H2338" s="34"/>
      <c r="I2338" s="84">
        <v>1808.69</v>
      </c>
      <c r="J2338" s="136"/>
      <c r="K2338" s="118">
        <v>1943.06</v>
      </c>
      <c r="L2338" s="35"/>
      <c r="M2338" s="85"/>
      <c r="N2338" s="38" t="s">
        <v>796</v>
      </c>
      <c r="O2338" s="69" t="s">
        <v>885</v>
      </c>
      <c r="P2338" s="66">
        <v>45689</v>
      </c>
    </row>
    <row r="2339" spans="1:16" ht="15.75" customHeight="1">
      <c r="A2339" s="13">
        <f t="shared" si="44"/>
        <v>2317</v>
      </c>
      <c r="B2339" s="158" t="s">
        <v>941</v>
      </c>
      <c r="C2339" s="23" t="s">
        <v>156</v>
      </c>
      <c r="D2339" s="52" t="s">
        <v>942</v>
      </c>
      <c r="E2339" s="23" t="s">
        <v>13</v>
      </c>
      <c r="F2339" s="46">
        <v>20</v>
      </c>
      <c r="G2339" s="27">
        <v>10</v>
      </c>
      <c r="H2339" s="34"/>
      <c r="I2339" s="84">
        <v>1874.44</v>
      </c>
      <c r="J2339" s="136"/>
      <c r="K2339" s="118">
        <v>2721.89</v>
      </c>
      <c r="L2339" s="35"/>
      <c r="M2339" s="85"/>
      <c r="N2339" s="38" t="s">
        <v>796</v>
      </c>
      <c r="O2339" s="69"/>
      <c r="P2339" s="193">
        <v>46082</v>
      </c>
    </row>
    <row r="2340" spans="1:16" ht="15.75" customHeight="1">
      <c r="A2340" s="13">
        <f t="shared" si="44"/>
        <v>2318</v>
      </c>
      <c r="B2340" s="158" t="s">
        <v>941</v>
      </c>
      <c r="C2340" s="23" t="s">
        <v>156</v>
      </c>
      <c r="D2340" s="52" t="s">
        <v>942</v>
      </c>
      <c r="E2340" s="23" t="s">
        <v>13</v>
      </c>
      <c r="F2340" s="46">
        <v>16</v>
      </c>
      <c r="G2340" s="27">
        <v>14</v>
      </c>
      <c r="H2340" s="34"/>
      <c r="I2340" s="84">
        <v>2086.3000000000002</v>
      </c>
      <c r="J2340" s="136"/>
      <c r="K2340" s="118">
        <v>2237.64</v>
      </c>
      <c r="L2340" s="35"/>
      <c r="M2340" s="85"/>
      <c r="N2340" s="38" t="s">
        <v>796</v>
      </c>
      <c r="O2340" s="69"/>
      <c r="P2340" s="193">
        <v>46082</v>
      </c>
    </row>
    <row r="2341" spans="1:16" ht="15.75" customHeight="1">
      <c r="A2341" s="13">
        <f t="shared" si="44"/>
        <v>2319</v>
      </c>
      <c r="B2341" s="45" t="s">
        <v>1064</v>
      </c>
      <c r="C2341" s="23" t="s">
        <v>156</v>
      </c>
      <c r="D2341" s="52" t="s">
        <v>940</v>
      </c>
      <c r="E2341" s="23" t="s">
        <v>19</v>
      </c>
      <c r="F2341" s="46" t="s">
        <v>977</v>
      </c>
      <c r="G2341" s="27"/>
      <c r="H2341" s="34"/>
      <c r="I2341" s="84">
        <v>56680.08</v>
      </c>
      <c r="J2341" s="136"/>
      <c r="K2341" s="118"/>
      <c r="L2341" s="35"/>
      <c r="M2341" s="85"/>
      <c r="N2341" s="38" t="s">
        <v>796</v>
      </c>
      <c r="O2341" s="69"/>
      <c r="P2341" s="66">
        <v>44562</v>
      </c>
    </row>
    <row r="2342" spans="1:16" ht="15.75" customHeight="1">
      <c r="A2342" s="13">
        <f t="shared" si="44"/>
        <v>2320</v>
      </c>
      <c r="B2342" s="45" t="s">
        <v>964</v>
      </c>
      <c r="C2342" s="23" t="s">
        <v>156</v>
      </c>
      <c r="D2342" s="52" t="s">
        <v>940</v>
      </c>
      <c r="E2342" s="23" t="s">
        <v>19</v>
      </c>
      <c r="F2342" s="46">
        <v>20</v>
      </c>
      <c r="G2342" s="27">
        <v>10</v>
      </c>
      <c r="H2342" s="34"/>
      <c r="I2342" s="84">
        <v>1558.23</v>
      </c>
      <c r="J2342" s="136"/>
      <c r="K2342" s="118">
        <v>2495.6999999999998</v>
      </c>
      <c r="L2342" s="35"/>
      <c r="M2342" s="85">
        <v>18749.5</v>
      </c>
      <c r="N2342" s="38" t="s">
        <v>796</v>
      </c>
      <c r="O2342" s="69"/>
      <c r="P2342" s="66">
        <v>44562</v>
      </c>
    </row>
    <row r="2343" spans="1:16" ht="15.75" customHeight="1">
      <c r="A2343" s="13">
        <f t="shared" si="44"/>
        <v>2321</v>
      </c>
      <c r="B2343" s="45" t="s">
        <v>964</v>
      </c>
      <c r="C2343" s="23" t="s">
        <v>156</v>
      </c>
      <c r="D2343" s="52" t="s">
        <v>940</v>
      </c>
      <c r="E2343" s="23" t="s">
        <v>19</v>
      </c>
      <c r="F2343" s="46">
        <v>20</v>
      </c>
      <c r="G2343" s="27">
        <v>10</v>
      </c>
      <c r="H2343" s="34"/>
      <c r="I2343" s="84">
        <v>1645.42</v>
      </c>
      <c r="J2343" s="136"/>
      <c r="K2343" s="118">
        <v>2628.72</v>
      </c>
      <c r="L2343" s="35"/>
      <c r="M2343" s="85"/>
      <c r="N2343" s="38" t="s">
        <v>796</v>
      </c>
      <c r="O2343" s="69"/>
      <c r="P2343" s="66">
        <v>45078</v>
      </c>
    </row>
    <row r="2344" spans="1:16" ht="15.75" customHeight="1">
      <c r="A2344" s="13">
        <f t="shared" si="44"/>
        <v>2322</v>
      </c>
      <c r="B2344" s="45" t="s">
        <v>1064</v>
      </c>
      <c r="C2344" s="23" t="s">
        <v>156</v>
      </c>
      <c r="D2344" s="52" t="s">
        <v>940</v>
      </c>
      <c r="E2344" s="23" t="s">
        <v>19</v>
      </c>
      <c r="F2344" s="46" t="s">
        <v>977</v>
      </c>
      <c r="G2344" s="27"/>
      <c r="H2344" s="34"/>
      <c r="I2344" s="84">
        <v>57383.49</v>
      </c>
      <c r="J2344" s="136"/>
      <c r="K2344" s="118"/>
      <c r="L2344" s="35"/>
      <c r="M2344" s="85"/>
      <c r="N2344" s="38" t="s">
        <v>796</v>
      </c>
      <c r="O2344" s="69"/>
      <c r="P2344" s="66">
        <v>45078</v>
      </c>
    </row>
    <row r="2345" spans="1:16" ht="15.75" customHeight="1">
      <c r="A2345" s="13">
        <f t="shared" si="44"/>
        <v>2323</v>
      </c>
      <c r="B2345" s="45" t="s">
        <v>964</v>
      </c>
      <c r="C2345" s="23" t="s">
        <v>156</v>
      </c>
      <c r="D2345" s="52" t="s">
        <v>940</v>
      </c>
      <c r="E2345" s="23" t="s">
        <v>19</v>
      </c>
      <c r="F2345" s="46">
        <v>20</v>
      </c>
      <c r="G2345" s="27">
        <v>10</v>
      </c>
      <c r="H2345" s="34"/>
      <c r="I2345" s="84">
        <v>1892.39</v>
      </c>
      <c r="J2345" s="136"/>
      <c r="K2345" s="118">
        <v>3023.37</v>
      </c>
      <c r="L2345" s="35"/>
      <c r="M2345" s="85">
        <v>22618.99</v>
      </c>
      <c r="N2345" s="38" t="s">
        <v>796</v>
      </c>
      <c r="O2345" s="69"/>
      <c r="P2345" s="66">
        <v>45352</v>
      </c>
    </row>
    <row r="2346" spans="1:16" ht="15.75" customHeight="1">
      <c r="A2346" s="13">
        <f t="shared" si="44"/>
        <v>2324</v>
      </c>
      <c r="B2346" s="45" t="s">
        <v>964</v>
      </c>
      <c r="C2346" s="23" t="s">
        <v>156</v>
      </c>
      <c r="D2346" s="52" t="s">
        <v>940</v>
      </c>
      <c r="E2346" s="23" t="s">
        <v>19</v>
      </c>
      <c r="F2346" s="46">
        <v>19</v>
      </c>
      <c r="G2346" s="27">
        <v>11</v>
      </c>
      <c r="H2346" s="34"/>
      <c r="I2346" s="84">
        <v>1951.93</v>
      </c>
      <c r="J2346" s="136"/>
      <c r="K2346" s="118">
        <v>2817.73</v>
      </c>
      <c r="L2346" s="35"/>
      <c r="M2346" s="85"/>
      <c r="N2346" s="38" t="s">
        <v>796</v>
      </c>
      <c r="O2346" s="69"/>
      <c r="P2346" s="66">
        <v>45352</v>
      </c>
    </row>
    <row r="2347" spans="1:16" ht="15.75" customHeight="1">
      <c r="A2347" s="13">
        <f t="shared" si="44"/>
        <v>2325</v>
      </c>
      <c r="B2347" s="45" t="s">
        <v>964</v>
      </c>
      <c r="C2347" s="23" t="s">
        <v>156</v>
      </c>
      <c r="D2347" s="52" t="s">
        <v>940</v>
      </c>
      <c r="E2347" s="23" t="s">
        <v>19</v>
      </c>
      <c r="F2347" s="46">
        <v>18</v>
      </c>
      <c r="G2347" s="27">
        <v>12</v>
      </c>
      <c r="H2347" s="34"/>
      <c r="I2347" s="84">
        <v>2018.08</v>
      </c>
      <c r="J2347" s="136"/>
      <c r="K2347" s="118">
        <v>2646.36</v>
      </c>
      <c r="L2347" s="35"/>
      <c r="M2347" s="85"/>
      <c r="N2347" s="38" t="s">
        <v>796</v>
      </c>
      <c r="O2347" s="69"/>
      <c r="P2347" s="66">
        <v>45352</v>
      </c>
    </row>
    <row r="2348" spans="1:16" ht="15.75" customHeight="1">
      <c r="A2348" s="13">
        <f t="shared" si="44"/>
        <v>2326</v>
      </c>
      <c r="B2348" s="45" t="s">
        <v>964</v>
      </c>
      <c r="C2348" s="23" t="s">
        <v>156</v>
      </c>
      <c r="D2348" s="52" t="s">
        <v>940</v>
      </c>
      <c r="E2348" s="23" t="s">
        <v>19</v>
      </c>
      <c r="F2348" s="46">
        <v>17</v>
      </c>
      <c r="G2348" s="27">
        <v>13</v>
      </c>
      <c r="H2348" s="34"/>
      <c r="I2348" s="84">
        <v>2091.9899999999998</v>
      </c>
      <c r="J2348" s="136"/>
      <c r="K2348" s="118">
        <v>2501.38</v>
      </c>
      <c r="L2348" s="35"/>
      <c r="M2348" s="85"/>
      <c r="N2348" s="38" t="s">
        <v>796</v>
      </c>
      <c r="O2348" s="69"/>
      <c r="P2348" s="66">
        <v>45352</v>
      </c>
    </row>
    <row r="2349" spans="1:16" ht="15.75" customHeight="1">
      <c r="A2349" s="13">
        <f t="shared" si="44"/>
        <v>2327</v>
      </c>
      <c r="B2349" s="45" t="s">
        <v>964</v>
      </c>
      <c r="C2349" s="23" t="s">
        <v>156</v>
      </c>
      <c r="D2349" s="52" t="s">
        <v>940</v>
      </c>
      <c r="E2349" s="23" t="s">
        <v>19</v>
      </c>
      <c r="F2349" s="46">
        <v>16</v>
      </c>
      <c r="G2349" s="27">
        <v>14</v>
      </c>
      <c r="H2349" s="34"/>
      <c r="I2349" s="84">
        <v>2175.15</v>
      </c>
      <c r="J2349" s="136"/>
      <c r="K2349" s="118">
        <v>2377.08</v>
      </c>
      <c r="L2349" s="35"/>
      <c r="M2349" s="85"/>
      <c r="N2349" s="38" t="s">
        <v>796</v>
      </c>
      <c r="O2349" s="69"/>
      <c r="P2349" s="66">
        <v>45352</v>
      </c>
    </row>
    <row r="2350" spans="1:16" ht="15.75" customHeight="1">
      <c r="A2350" s="13">
        <f t="shared" si="44"/>
        <v>2328</v>
      </c>
      <c r="B2350" s="45" t="s">
        <v>964</v>
      </c>
      <c r="C2350" s="23" t="s">
        <v>156</v>
      </c>
      <c r="D2350" s="52" t="s">
        <v>940</v>
      </c>
      <c r="E2350" s="23" t="s">
        <v>19</v>
      </c>
      <c r="F2350" s="46">
        <v>15</v>
      </c>
      <c r="G2350" s="27"/>
      <c r="H2350" s="34"/>
      <c r="I2350" s="84">
        <v>2269.39</v>
      </c>
      <c r="J2350" s="136"/>
      <c r="K2350" s="118"/>
      <c r="L2350" s="35"/>
      <c r="M2350" s="85"/>
      <c r="N2350" s="38" t="s">
        <v>796</v>
      </c>
      <c r="O2350" s="69"/>
      <c r="P2350" s="66">
        <v>45352</v>
      </c>
    </row>
    <row r="2351" spans="1:16" ht="15.75" customHeight="1">
      <c r="A2351" s="13">
        <f t="shared" si="44"/>
        <v>2329</v>
      </c>
      <c r="B2351" s="45" t="s">
        <v>964</v>
      </c>
      <c r="C2351" s="23" t="s">
        <v>156</v>
      </c>
      <c r="D2351" s="52" t="s">
        <v>940</v>
      </c>
      <c r="E2351" s="23" t="s">
        <v>19</v>
      </c>
      <c r="F2351" s="46">
        <v>20</v>
      </c>
      <c r="G2351" s="27">
        <v>10</v>
      </c>
      <c r="H2351" s="34"/>
      <c r="I2351" s="84">
        <v>2229.25</v>
      </c>
      <c r="J2351" s="136"/>
      <c r="K2351" s="118">
        <v>3559.96</v>
      </c>
      <c r="L2351" s="35"/>
      <c r="M2351" s="85">
        <v>26614.34</v>
      </c>
      <c r="N2351" s="38" t="s">
        <v>796</v>
      </c>
      <c r="O2351" s="69"/>
      <c r="P2351" s="66">
        <v>45689</v>
      </c>
    </row>
    <row r="2352" spans="1:16" ht="15.75" customHeight="1">
      <c r="A2352" s="13">
        <f t="shared" si="44"/>
        <v>2330</v>
      </c>
      <c r="B2352" s="45" t="s">
        <v>964</v>
      </c>
      <c r="C2352" s="23" t="s">
        <v>156</v>
      </c>
      <c r="D2352" s="52" t="s">
        <v>940</v>
      </c>
      <c r="E2352" s="23" t="s">
        <v>19</v>
      </c>
      <c r="F2352" s="46">
        <v>19</v>
      </c>
      <c r="G2352" s="27">
        <v>11</v>
      </c>
      <c r="H2352" s="34"/>
      <c r="I2352" s="84">
        <v>2299.29</v>
      </c>
      <c r="J2352" s="136"/>
      <c r="K2352" s="118">
        <v>3318.01</v>
      </c>
      <c r="L2352" s="35"/>
      <c r="M2352" s="85"/>
      <c r="N2352" s="38" t="s">
        <v>796</v>
      </c>
      <c r="O2352" s="69"/>
      <c r="P2352" s="66">
        <v>45689</v>
      </c>
    </row>
    <row r="2353" spans="1:16" ht="15.75" customHeight="1">
      <c r="A2353" s="13">
        <f t="shared" si="44"/>
        <v>2331</v>
      </c>
      <c r="B2353" s="45" t="s">
        <v>964</v>
      </c>
      <c r="C2353" s="23" t="s">
        <v>156</v>
      </c>
      <c r="D2353" s="52" t="s">
        <v>940</v>
      </c>
      <c r="E2353" s="23" t="s">
        <v>19</v>
      </c>
      <c r="F2353" s="46">
        <v>18</v>
      </c>
      <c r="G2353" s="27">
        <v>12</v>
      </c>
      <c r="H2353" s="34"/>
      <c r="I2353" s="84">
        <v>2377.09</v>
      </c>
      <c r="J2353" s="136"/>
      <c r="K2353" s="118">
        <v>3116.39</v>
      </c>
      <c r="L2353" s="35"/>
      <c r="M2353" s="85"/>
      <c r="N2353" s="38" t="s">
        <v>796</v>
      </c>
      <c r="O2353" s="69"/>
      <c r="P2353" s="66">
        <v>45689</v>
      </c>
    </row>
    <row r="2354" spans="1:16" ht="15.75" customHeight="1">
      <c r="A2354" s="13">
        <f t="shared" si="44"/>
        <v>2332</v>
      </c>
      <c r="B2354" s="45" t="s">
        <v>964</v>
      </c>
      <c r="C2354" s="23" t="s">
        <v>156</v>
      </c>
      <c r="D2354" s="52" t="s">
        <v>940</v>
      </c>
      <c r="E2354" s="23" t="s">
        <v>19</v>
      </c>
      <c r="F2354" s="46">
        <v>17</v>
      </c>
      <c r="G2354" s="27">
        <v>13</v>
      </c>
      <c r="H2354" s="34"/>
      <c r="I2354" s="84">
        <v>2464.1</v>
      </c>
      <c r="J2354" s="136"/>
      <c r="K2354" s="118">
        <v>2945.79</v>
      </c>
      <c r="L2354" s="35"/>
      <c r="M2354" s="85"/>
      <c r="N2354" s="38" t="s">
        <v>796</v>
      </c>
      <c r="O2354" s="69"/>
      <c r="P2354" s="66">
        <v>45689</v>
      </c>
    </row>
    <row r="2355" spans="1:16" ht="15.75" customHeight="1">
      <c r="A2355" s="13">
        <f t="shared" si="44"/>
        <v>2333</v>
      </c>
      <c r="B2355" s="45" t="s">
        <v>964</v>
      </c>
      <c r="C2355" s="23" t="s">
        <v>156</v>
      </c>
      <c r="D2355" s="52" t="s">
        <v>940</v>
      </c>
      <c r="E2355" s="23" t="s">
        <v>19</v>
      </c>
      <c r="F2355" s="46">
        <v>16</v>
      </c>
      <c r="G2355" s="27">
        <v>14</v>
      </c>
      <c r="H2355" s="34"/>
      <c r="I2355" s="84">
        <v>2561.94</v>
      </c>
      <c r="J2355" s="136"/>
      <c r="K2355" s="118">
        <v>2799.55</v>
      </c>
      <c r="L2355" s="35"/>
      <c r="M2355" s="85"/>
      <c r="N2355" s="38" t="s">
        <v>796</v>
      </c>
      <c r="O2355" s="69"/>
      <c r="P2355" s="66">
        <v>45689</v>
      </c>
    </row>
    <row r="2356" spans="1:16" ht="15.75" customHeight="1">
      <c r="A2356" s="13">
        <f t="shared" si="44"/>
        <v>2334</v>
      </c>
      <c r="B2356" s="45" t="s">
        <v>964</v>
      </c>
      <c r="C2356" s="23" t="s">
        <v>156</v>
      </c>
      <c r="D2356" s="52" t="s">
        <v>940</v>
      </c>
      <c r="E2356" s="23" t="s">
        <v>19</v>
      </c>
      <c r="F2356" s="46">
        <v>15</v>
      </c>
      <c r="G2356" s="27"/>
      <c r="H2356" s="34"/>
      <c r="I2356" s="84">
        <v>2672.81</v>
      </c>
      <c r="J2356" s="136"/>
      <c r="K2356" s="118"/>
      <c r="L2356" s="35"/>
      <c r="M2356" s="85"/>
      <c r="N2356" s="38" t="s">
        <v>796</v>
      </c>
      <c r="O2356" s="69"/>
      <c r="P2356" s="66">
        <v>45689</v>
      </c>
    </row>
    <row r="2357" spans="1:16" ht="15.75" customHeight="1">
      <c r="A2357" s="13">
        <f t="shared" si="44"/>
        <v>2335</v>
      </c>
      <c r="B2357" s="45" t="s">
        <v>1064</v>
      </c>
      <c r="C2357" s="23" t="s">
        <v>156</v>
      </c>
      <c r="D2357" s="52" t="s">
        <v>940</v>
      </c>
      <c r="E2357" s="23" t="s">
        <v>19</v>
      </c>
      <c r="F2357" s="46" t="s">
        <v>977</v>
      </c>
      <c r="G2357" s="27"/>
      <c r="H2357" s="34"/>
      <c r="I2357" s="84">
        <v>79558.42</v>
      </c>
      <c r="J2357" s="136"/>
      <c r="K2357" s="118"/>
      <c r="L2357" s="35"/>
      <c r="M2357" s="85"/>
      <c r="N2357" s="38" t="s">
        <v>796</v>
      </c>
      <c r="O2357" s="69"/>
      <c r="P2357" s="66">
        <v>45352</v>
      </c>
    </row>
    <row r="2358" spans="1:16" ht="15.75" customHeight="1">
      <c r="A2358" s="13">
        <f t="shared" si="44"/>
        <v>2336</v>
      </c>
      <c r="B2358" s="45" t="s">
        <v>1064</v>
      </c>
      <c r="C2358" s="23" t="s">
        <v>156</v>
      </c>
      <c r="D2358" s="52" t="s">
        <v>940</v>
      </c>
      <c r="E2358" s="23" t="s">
        <v>19</v>
      </c>
      <c r="F2358" s="46" t="s">
        <v>977</v>
      </c>
      <c r="G2358" s="27"/>
      <c r="H2358" s="34"/>
      <c r="I2358" s="84">
        <v>91917.9</v>
      </c>
      <c r="J2358" s="136"/>
      <c r="K2358" s="118"/>
      <c r="L2358" s="35"/>
      <c r="M2358" s="85"/>
      <c r="N2358" s="38" t="s">
        <v>796</v>
      </c>
      <c r="O2358" s="69"/>
      <c r="P2358" s="66">
        <v>45689</v>
      </c>
    </row>
    <row r="2359" spans="1:16" ht="15.75" customHeight="1">
      <c r="A2359" s="13">
        <f t="shared" si="44"/>
        <v>2337</v>
      </c>
      <c r="B2359" s="158" t="s">
        <v>964</v>
      </c>
      <c r="C2359" s="23" t="s">
        <v>156</v>
      </c>
      <c r="D2359" s="52" t="s">
        <v>940</v>
      </c>
      <c r="E2359" s="23" t="s">
        <v>19</v>
      </c>
      <c r="F2359" s="46">
        <v>20</v>
      </c>
      <c r="G2359" s="27">
        <v>10</v>
      </c>
      <c r="H2359" s="34"/>
      <c r="I2359" s="84">
        <v>2599.59</v>
      </c>
      <c r="J2359" s="136"/>
      <c r="K2359" s="118">
        <v>4067.06</v>
      </c>
      <c r="L2359" s="35"/>
      <c r="M2359" s="85">
        <v>29349.24</v>
      </c>
      <c r="N2359" s="38" t="s">
        <v>796</v>
      </c>
      <c r="O2359" s="69"/>
      <c r="P2359" s="193">
        <v>46082</v>
      </c>
    </row>
    <row r="2360" spans="1:16" ht="15.75" customHeight="1">
      <c r="A2360" s="13">
        <f t="shared" si="44"/>
        <v>2338</v>
      </c>
      <c r="B2360" s="158" t="s">
        <v>964</v>
      </c>
      <c r="C2360" s="23" t="s">
        <v>156</v>
      </c>
      <c r="D2360" s="52" t="s">
        <v>940</v>
      </c>
      <c r="E2360" s="23" t="s">
        <v>19</v>
      </c>
      <c r="F2360" s="46">
        <v>19</v>
      </c>
      <c r="G2360" s="27">
        <v>11</v>
      </c>
      <c r="H2360" s="34"/>
      <c r="I2360" s="84">
        <v>2676.84</v>
      </c>
      <c r="J2360" s="136"/>
      <c r="K2360" s="118">
        <v>3800.25</v>
      </c>
      <c r="L2360" s="35"/>
      <c r="M2360" s="85"/>
      <c r="N2360" s="38" t="s">
        <v>796</v>
      </c>
      <c r="O2360" s="69"/>
      <c r="P2360" s="193">
        <v>46082</v>
      </c>
    </row>
    <row r="2361" spans="1:16" ht="15.75" customHeight="1">
      <c r="A2361" s="13">
        <f t="shared" si="44"/>
        <v>2339</v>
      </c>
      <c r="B2361" s="158" t="s">
        <v>964</v>
      </c>
      <c r="C2361" s="23" t="s">
        <v>156</v>
      </c>
      <c r="D2361" s="52" t="s">
        <v>940</v>
      </c>
      <c r="E2361" s="23" t="s">
        <v>19</v>
      </c>
      <c r="F2361" s="46">
        <v>18</v>
      </c>
      <c r="G2361" s="27">
        <v>12</v>
      </c>
      <c r="H2361" s="34"/>
      <c r="I2361" s="84">
        <v>2762.65</v>
      </c>
      <c r="J2361" s="136"/>
      <c r="K2361" s="118">
        <v>3577.89</v>
      </c>
      <c r="L2361" s="35"/>
      <c r="M2361" s="85"/>
      <c r="N2361" s="38" t="s">
        <v>796</v>
      </c>
      <c r="O2361" s="69"/>
      <c r="P2361" s="193">
        <v>46082</v>
      </c>
    </row>
    <row r="2362" spans="1:16" ht="15.75" customHeight="1">
      <c r="A2362" s="13">
        <f t="shared" si="44"/>
        <v>2340</v>
      </c>
      <c r="B2362" s="158" t="s">
        <v>964</v>
      </c>
      <c r="C2362" s="23" t="s">
        <v>156</v>
      </c>
      <c r="D2362" s="52" t="s">
        <v>940</v>
      </c>
      <c r="E2362" s="23" t="s">
        <v>19</v>
      </c>
      <c r="F2362" s="46">
        <v>17</v>
      </c>
      <c r="G2362" s="27">
        <v>13</v>
      </c>
      <c r="H2362" s="34"/>
      <c r="I2362" s="84">
        <v>2858.57</v>
      </c>
      <c r="J2362" s="136"/>
      <c r="K2362" s="118">
        <v>3389.77</v>
      </c>
      <c r="L2362" s="35"/>
      <c r="M2362" s="85"/>
      <c r="N2362" s="38" t="s">
        <v>796</v>
      </c>
      <c r="O2362" s="69"/>
      <c r="P2362" s="193">
        <v>46082</v>
      </c>
    </row>
    <row r="2363" spans="1:16" ht="15.75" customHeight="1">
      <c r="A2363" s="13">
        <f t="shared" si="44"/>
        <v>2341</v>
      </c>
      <c r="B2363" s="158" t="s">
        <v>964</v>
      </c>
      <c r="C2363" s="23" t="s">
        <v>156</v>
      </c>
      <c r="D2363" s="52" t="s">
        <v>940</v>
      </c>
      <c r="E2363" s="23" t="s">
        <v>19</v>
      </c>
      <c r="F2363" s="46">
        <v>16</v>
      </c>
      <c r="G2363" s="27">
        <v>14</v>
      </c>
      <c r="H2363" s="34"/>
      <c r="I2363" s="84">
        <v>2966.48</v>
      </c>
      <c r="J2363" s="136"/>
      <c r="K2363" s="118">
        <v>3228.52</v>
      </c>
      <c r="L2363" s="35"/>
      <c r="M2363" s="85"/>
      <c r="N2363" s="38" t="s">
        <v>796</v>
      </c>
      <c r="O2363" s="69"/>
      <c r="P2363" s="193">
        <v>46082</v>
      </c>
    </row>
    <row r="2364" spans="1:16" ht="15.75" customHeight="1">
      <c r="A2364" s="13">
        <f t="shared" si="44"/>
        <v>2342</v>
      </c>
      <c r="B2364" s="158" t="s">
        <v>964</v>
      </c>
      <c r="C2364" s="23" t="s">
        <v>156</v>
      </c>
      <c r="D2364" s="52" t="s">
        <v>940</v>
      </c>
      <c r="E2364" s="23" t="s">
        <v>19</v>
      </c>
      <c r="F2364" s="46">
        <v>15</v>
      </c>
      <c r="G2364" s="27"/>
      <c r="H2364" s="34"/>
      <c r="I2364" s="84">
        <v>3088.76</v>
      </c>
      <c r="J2364" s="136"/>
      <c r="K2364" s="118"/>
      <c r="L2364" s="35"/>
      <c r="M2364" s="85"/>
      <c r="N2364" s="38" t="s">
        <v>796</v>
      </c>
      <c r="O2364" s="69"/>
      <c r="P2364" s="193">
        <v>46082</v>
      </c>
    </row>
    <row r="2365" spans="1:16" ht="15.75" customHeight="1">
      <c r="A2365" s="13">
        <f t="shared" si="44"/>
        <v>2343</v>
      </c>
      <c r="B2365" s="158" t="s">
        <v>1064</v>
      </c>
      <c r="C2365" s="23" t="s">
        <v>156</v>
      </c>
      <c r="D2365" s="52" t="s">
        <v>940</v>
      </c>
      <c r="E2365" s="23" t="s">
        <v>19</v>
      </c>
      <c r="F2365" s="46" t="s">
        <v>977</v>
      </c>
      <c r="G2365" s="27"/>
      <c r="H2365" s="34"/>
      <c r="I2365" s="84">
        <v>115326.07</v>
      </c>
      <c r="J2365" s="136"/>
      <c r="K2365" s="118"/>
      <c r="L2365" s="35"/>
      <c r="M2365" s="85"/>
      <c r="N2365" s="38" t="s">
        <v>796</v>
      </c>
      <c r="O2365" s="69"/>
      <c r="P2365" s="193">
        <v>46082</v>
      </c>
    </row>
    <row r="2366" spans="1:16" ht="15.75" customHeight="1">
      <c r="A2366" s="13">
        <f t="shared" si="44"/>
        <v>2344</v>
      </c>
      <c r="B2366" s="45" t="s">
        <v>1065</v>
      </c>
      <c r="C2366" s="23" t="s">
        <v>156</v>
      </c>
      <c r="D2366" s="52" t="s">
        <v>958</v>
      </c>
      <c r="E2366" s="23" t="s">
        <v>19</v>
      </c>
      <c r="F2366" s="46" t="s">
        <v>977</v>
      </c>
      <c r="G2366" s="27"/>
      <c r="H2366" s="34"/>
      <c r="I2366" s="84">
        <v>56776.72</v>
      </c>
      <c r="J2366" s="136"/>
      <c r="K2366" s="118"/>
      <c r="L2366" s="35"/>
      <c r="M2366" s="85"/>
      <c r="N2366" s="38" t="s">
        <v>796</v>
      </c>
      <c r="O2366" s="69"/>
      <c r="P2366" s="66">
        <v>44562</v>
      </c>
    </row>
    <row r="2367" spans="1:16" ht="15.75" customHeight="1">
      <c r="A2367" s="13">
        <f t="shared" si="44"/>
        <v>2345</v>
      </c>
      <c r="B2367" s="45" t="s">
        <v>957</v>
      </c>
      <c r="C2367" s="23" t="s">
        <v>156</v>
      </c>
      <c r="D2367" s="52" t="s">
        <v>958</v>
      </c>
      <c r="E2367" s="23" t="s">
        <v>19</v>
      </c>
      <c r="F2367" s="46">
        <v>20</v>
      </c>
      <c r="G2367" s="27">
        <v>10</v>
      </c>
      <c r="H2367" s="34"/>
      <c r="I2367" s="84">
        <v>1491.73</v>
      </c>
      <c r="J2367" s="136"/>
      <c r="K2367" s="118">
        <v>2429.19</v>
      </c>
      <c r="L2367" s="35"/>
      <c r="M2367" s="85">
        <v>18749.5</v>
      </c>
      <c r="N2367" s="38" t="s">
        <v>796</v>
      </c>
      <c r="O2367" s="69"/>
      <c r="P2367" s="66">
        <v>44562</v>
      </c>
    </row>
    <row r="2368" spans="1:16" ht="15.75" customHeight="1">
      <c r="A2368" s="13">
        <f t="shared" si="44"/>
        <v>2346</v>
      </c>
      <c r="B2368" s="45" t="s">
        <v>957</v>
      </c>
      <c r="C2368" s="23" t="s">
        <v>156</v>
      </c>
      <c r="D2368" s="52" t="s">
        <v>958</v>
      </c>
      <c r="E2368" s="23" t="s">
        <v>19</v>
      </c>
      <c r="F2368" s="46">
        <v>20</v>
      </c>
      <c r="G2368" s="27">
        <v>10</v>
      </c>
      <c r="H2368" s="34"/>
      <c r="I2368" s="84">
        <v>1574.49</v>
      </c>
      <c r="J2368" s="136"/>
      <c r="K2368" s="118">
        <v>2557.77</v>
      </c>
      <c r="L2368" s="35"/>
      <c r="M2368" s="85"/>
      <c r="N2368" s="38" t="s">
        <v>796</v>
      </c>
      <c r="O2368" s="69"/>
      <c r="P2368" s="66">
        <v>45078</v>
      </c>
    </row>
    <row r="2369" spans="1:16" ht="15.75" customHeight="1">
      <c r="A2369" s="13">
        <f t="shared" si="44"/>
        <v>2347</v>
      </c>
      <c r="B2369" s="45" t="s">
        <v>1065</v>
      </c>
      <c r="C2369" s="23" t="s">
        <v>156</v>
      </c>
      <c r="D2369" s="52" t="s">
        <v>958</v>
      </c>
      <c r="E2369" s="23" t="s">
        <v>19</v>
      </c>
      <c r="F2369" s="46" t="s">
        <v>977</v>
      </c>
      <c r="G2369" s="27"/>
      <c r="H2369" s="34"/>
      <c r="I2369" s="84">
        <v>57383.49</v>
      </c>
      <c r="J2369" s="136"/>
      <c r="K2369" s="118"/>
      <c r="L2369" s="35"/>
      <c r="M2369" s="85"/>
      <c r="N2369" s="38" t="s">
        <v>796</v>
      </c>
      <c r="O2369" s="69"/>
      <c r="P2369" s="66">
        <v>45078</v>
      </c>
    </row>
    <row r="2370" spans="1:16" ht="15.75" customHeight="1">
      <c r="A2370" s="13">
        <f t="shared" si="44"/>
        <v>2348</v>
      </c>
      <c r="B2370" s="45" t="s">
        <v>957</v>
      </c>
      <c r="C2370" s="23" t="s">
        <v>156</v>
      </c>
      <c r="D2370" s="52" t="s">
        <v>958</v>
      </c>
      <c r="E2370" s="23" t="s">
        <v>19</v>
      </c>
      <c r="F2370" s="46">
        <v>20</v>
      </c>
      <c r="G2370" s="27">
        <v>10</v>
      </c>
      <c r="H2370" s="34"/>
      <c r="I2370" s="84">
        <v>1810.81</v>
      </c>
      <c r="J2370" s="136"/>
      <c r="K2370" s="118">
        <v>2941.79</v>
      </c>
      <c r="L2370" s="35"/>
      <c r="M2370" s="85">
        <v>22618.99</v>
      </c>
      <c r="N2370" s="38" t="s">
        <v>796</v>
      </c>
      <c r="O2370" s="69"/>
      <c r="P2370" s="66">
        <v>45352</v>
      </c>
    </row>
    <row r="2371" spans="1:16" ht="15.75" customHeight="1">
      <c r="A2371" s="13">
        <f t="shared" si="44"/>
        <v>2349</v>
      </c>
      <c r="B2371" s="45" t="s">
        <v>957</v>
      </c>
      <c r="C2371" s="23" t="s">
        <v>156</v>
      </c>
      <c r="D2371" s="52" t="s">
        <v>958</v>
      </c>
      <c r="E2371" s="23" t="s">
        <v>19</v>
      </c>
      <c r="F2371" s="46">
        <v>19</v>
      </c>
      <c r="G2371" s="27">
        <v>11</v>
      </c>
      <c r="H2371" s="34"/>
      <c r="I2371" s="84">
        <v>1870.34</v>
      </c>
      <c r="J2371" s="136"/>
      <c r="K2371" s="118">
        <v>2736.14</v>
      </c>
      <c r="L2371" s="35"/>
      <c r="M2371" s="85"/>
      <c r="N2371" s="38" t="s">
        <v>796</v>
      </c>
      <c r="O2371" s="69"/>
      <c r="P2371" s="66">
        <v>45352</v>
      </c>
    </row>
    <row r="2372" spans="1:16" ht="15.75" customHeight="1">
      <c r="A2372" s="13">
        <f t="shared" ref="A2372:A2435" si="45">A2371+1</f>
        <v>2350</v>
      </c>
      <c r="B2372" s="45" t="s">
        <v>957</v>
      </c>
      <c r="C2372" s="23" t="s">
        <v>156</v>
      </c>
      <c r="D2372" s="52" t="s">
        <v>958</v>
      </c>
      <c r="E2372" s="23" t="s">
        <v>19</v>
      </c>
      <c r="F2372" s="46">
        <v>18</v>
      </c>
      <c r="G2372" s="27">
        <v>12</v>
      </c>
      <c r="H2372" s="34"/>
      <c r="I2372" s="84">
        <v>1936.49</v>
      </c>
      <c r="J2372" s="136"/>
      <c r="K2372" s="118">
        <v>2564.7600000000002</v>
      </c>
      <c r="L2372" s="35"/>
      <c r="M2372" s="85"/>
      <c r="N2372" s="38" t="s">
        <v>796</v>
      </c>
      <c r="O2372" s="69"/>
      <c r="P2372" s="66">
        <v>45352</v>
      </c>
    </row>
    <row r="2373" spans="1:16" ht="15.75" customHeight="1">
      <c r="A2373" s="13">
        <f t="shared" si="45"/>
        <v>2351</v>
      </c>
      <c r="B2373" s="45" t="s">
        <v>957</v>
      </c>
      <c r="C2373" s="23" t="s">
        <v>156</v>
      </c>
      <c r="D2373" s="52" t="s">
        <v>958</v>
      </c>
      <c r="E2373" s="23" t="s">
        <v>19</v>
      </c>
      <c r="F2373" s="46">
        <v>17</v>
      </c>
      <c r="G2373" s="27">
        <v>13</v>
      </c>
      <c r="H2373" s="34"/>
      <c r="I2373" s="84">
        <v>2010.41</v>
      </c>
      <c r="J2373" s="136"/>
      <c r="K2373" s="118">
        <v>2419.79</v>
      </c>
      <c r="L2373" s="35"/>
      <c r="M2373" s="85"/>
      <c r="N2373" s="38" t="s">
        <v>796</v>
      </c>
      <c r="O2373" s="69"/>
      <c r="P2373" s="66">
        <v>45352</v>
      </c>
    </row>
    <row r="2374" spans="1:16" ht="15.75" customHeight="1">
      <c r="A2374" s="13">
        <f t="shared" si="45"/>
        <v>2352</v>
      </c>
      <c r="B2374" s="45" t="s">
        <v>957</v>
      </c>
      <c r="C2374" s="23" t="s">
        <v>156</v>
      </c>
      <c r="D2374" s="52" t="s">
        <v>958</v>
      </c>
      <c r="E2374" s="23" t="s">
        <v>19</v>
      </c>
      <c r="F2374" s="46">
        <v>16</v>
      </c>
      <c r="G2374" s="27">
        <v>14</v>
      </c>
      <c r="H2374" s="34"/>
      <c r="I2374" s="84">
        <v>2093.58</v>
      </c>
      <c r="J2374" s="136"/>
      <c r="K2374" s="118">
        <v>2295.4899999999998</v>
      </c>
      <c r="L2374" s="35"/>
      <c r="M2374" s="85"/>
      <c r="N2374" s="38" t="s">
        <v>796</v>
      </c>
      <c r="O2374" s="69"/>
      <c r="P2374" s="66">
        <v>45352</v>
      </c>
    </row>
    <row r="2375" spans="1:16" ht="15.75" customHeight="1">
      <c r="A2375" s="13">
        <f t="shared" si="45"/>
        <v>2353</v>
      </c>
      <c r="B2375" s="45" t="s">
        <v>957</v>
      </c>
      <c r="C2375" s="23" t="s">
        <v>156</v>
      </c>
      <c r="D2375" s="52" t="s">
        <v>958</v>
      </c>
      <c r="E2375" s="23" t="s">
        <v>19</v>
      </c>
      <c r="F2375" s="46">
        <v>15</v>
      </c>
      <c r="G2375" s="27"/>
      <c r="H2375" s="34"/>
      <c r="I2375" s="84">
        <v>2187.81</v>
      </c>
      <c r="J2375" s="136"/>
      <c r="K2375" s="118"/>
      <c r="L2375" s="35"/>
      <c r="M2375" s="85"/>
      <c r="N2375" s="38" t="s">
        <v>796</v>
      </c>
      <c r="O2375" s="69"/>
      <c r="P2375" s="66">
        <v>45352</v>
      </c>
    </row>
    <row r="2376" spans="1:16" ht="15.75" customHeight="1">
      <c r="A2376" s="13">
        <f t="shared" si="45"/>
        <v>2354</v>
      </c>
      <c r="B2376" s="45" t="s">
        <v>957</v>
      </c>
      <c r="C2376" s="23" t="s">
        <v>156</v>
      </c>
      <c r="D2376" s="52" t="s">
        <v>958</v>
      </c>
      <c r="E2376" s="23" t="s">
        <v>19</v>
      </c>
      <c r="F2376" s="46">
        <v>20</v>
      </c>
      <c r="G2376" s="27">
        <v>10</v>
      </c>
      <c r="H2376" s="34"/>
      <c r="I2376" s="84">
        <v>2132.98</v>
      </c>
      <c r="J2376" s="136"/>
      <c r="K2376" s="118">
        <v>3463.68</v>
      </c>
      <c r="L2376" s="35"/>
      <c r="M2376" s="85">
        <v>26614.34</v>
      </c>
      <c r="N2376" s="38" t="s">
        <v>796</v>
      </c>
      <c r="O2376" s="69"/>
      <c r="P2376" s="66">
        <v>45689</v>
      </c>
    </row>
    <row r="2377" spans="1:16" ht="15.75" customHeight="1">
      <c r="A2377" s="13">
        <f t="shared" si="45"/>
        <v>2355</v>
      </c>
      <c r="B2377" s="45" t="s">
        <v>957</v>
      </c>
      <c r="C2377" s="23" t="s">
        <v>156</v>
      </c>
      <c r="D2377" s="52" t="s">
        <v>958</v>
      </c>
      <c r="E2377" s="23" t="s">
        <v>19</v>
      </c>
      <c r="F2377" s="46">
        <v>19</v>
      </c>
      <c r="G2377" s="27">
        <v>11</v>
      </c>
      <c r="H2377" s="34"/>
      <c r="I2377" s="84">
        <v>2203.0300000000002</v>
      </c>
      <c r="J2377" s="136"/>
      <c r="K2377" s="118">
        <v>3221.74</v>
      </c>
      <c r="L2377" s="35"/>
      <c r="M2377" s="85"/>
      <c r="N2377" s="38" t="s">
        <v>796</v>
      </c>
      <c r="O2377" s="69"/>
      <c r="P2377" s="66">
        <v>45689</v>
      </c>
    </row>
    <row r="2378" spans="1:16" ht="15.75" customHeight="1">
      <c r="A2378" s="13">
        <f t="shared" si="45"/>
        <v>2356</v>
      </c>
      <c r="B2378" s="45" t="s">
        <v>957</v>
      </c>
      <c r="C2378" s="23" t="s">
        <v>156</v>
      </c>
      <c r="D2378" s="52" t="s">
        <v>958</v>
      </c>
      <c r="E2378" s="23" t="s">
        <v>19</v>
      </c>
      <c r="F2378" s="46">
        <v>18</v>
      </c>
      <c r="G2378" s="27">
        <v>12</v>
      </c>
      <c r="H2378" s="34"/>
      <c r="I2378" s="84">
        <v>2280.8200000000002</v>
      </c>
      <c r="J2378" s="136"/>
      <c r="K2378" s="118">
        <v>3020.12</v>
      </c>
      <c r="L2378" s="35"/>
      <c r="M2378" s="85"/>
      <c r="N2378" s="38" t="s">
        <v>796</v>
      </c>
      <c r="O2378" s="69"/>
      <c r="P2378" s="66">
        <v>45689</v>
      </c>
    </row>
    <row r="2379" spans="1:16" ht="15.75" customHeight="1">
      <c r="A2379" s="13">
        <f t="shared" si="45"/>
        <v>2357</v>
      </c>
      <c r="B2379" s="45" t="s">
        <v>957</v>
      </c>
      <c r="C2379" s="23" t="s">
        <v>156</v>
      </c>
      <c r="D2379" s="52" t="s">
        <v>958</v>
      </c>
      <c r="E2379" s="23" t="s">
        <v>19</v>
      </c>
      <c r="F2379" s="46">
        <v>17</v>
      </c>
      <c r="G2379" s="27">
        <v>13</v>
      </c>
      <c r="H2379" s="34"/>
      <c r="I2379" s="84">
        <v>2367.81</v>
      </c>
      <c r="J2379" s="136"/>
      <c r="K2379" s="118">
        <v>2849.53</v>
      </c>
      <c r="L2379" s="35"/>
      <c r="M2379" s="85"/>
      <c r="N2379" s="38" t="s">
        <v>796</v>
      </c>
      <c r="O2379" s="69"/>
      <c r="P2379" s="66">
        <v>45689</v>
      </c>
    </row>
    <row r="2380" spans="1:16" ht="15.75" customHeight="1">
      <c r="A2380" s="13">
        <f t="shared" si="45"/>
        <v>2358</v>
      </c>
      <c r="B2380" s="45" t="s">
        <v>957</v>
      </c>
      <c r="C2380" s="23" t="s">
        <v>156</v>
      </c>
      <c r="D2380" s="52" t="s">
        <v>958</v>
      </c>
      <c r="E2380" s="23" t="s">
        <v>19</v>
      </c>
      <c r="F2380" s="46">
        <v>16</v>
      </c>
      <c r="G2380" s="27">
        <v>14</v>
      </c>
      <c r="H2380" s="34"/>
      <c r="I2380" s="84">
        <v>2465.67</v>
      </c>
      <c r="J2380" s="136"/>
      <c r="K2380" s="118">
        <v>2703.28</v>
      </c>
      <c r="L2380" s="35"/>
      <c r="M2380" s="85"/>
      <c r="N2380" s="38" t="s">
        <v>796</v>
      </c>
      <c r="O2380" s="69"/>
      <c r="P2380" s="66">
        <v>45689</v>
      </c>
    </row>
    <row r="2381" spans="1:16" ht="15.75" customHeight="1">
      <c r="A2381" s="13">
        <f t="shared" si="45"/>
        <v>2359</v>
      </c>
      <c r="B2381" s="45" t="s">
        <v>957</v>
      </c>
      <c r="C2381" s="23" t="s">
        <v>156</v>
      </c>
      <c r="D2381" s="52" t="s">
        <v>958</v>
      </c>
      <c r="E2381" s="23" t="s">
        <v>19</v>
      </c>
      <c r="F2381" s="46">
        <v>15</v>
      </c>
      <c r="G2381" s="27"/>
      <c r="H2381" s="34"/>
      <c r="I2381" s="84">
        <v>2576.5300000000002</v>
      </c>
      <c r="J2381" s="136"/>
      <c r="K2381" s="118"/>
      <c r="L2381" s="35"/>
      <c r="M2381" s="85"/>
      <c r="N2381" s="38" t="s">
        <v>796</v>
      </c>
      <c r="O2381" s="69"/>
      <c r="P2381" s="66">
        <v>45689</v>
      </c>
    </row>
    <row r="2382" spans="1:16" ht="15.75" customHeight="1">
      <c r="A2382" s="13">
        <f t="shared" si="45"/>
        <v>2360</v>
      </c>
      <c r="B2382" s="45" t="s">
        <v>1065</v>
      </c>
      <c r="C2382" s="23" t="s">
        <v>156</v>
      </c>
      <c r="D2382" s="52" t="s">
        <v>958</v>
      </c>
      <c r="E2382" s="23" t="s">
        <v>19</v>
      </c>
      <c r="F2382" s="46" t="s">
        <v>977</v>
      </c>
      <c r="G2382" s="42"/>
      <c r="H2382" s="41"/>
      <c r="I2382" s="84">
        <v>79588.42</v>
      </c>
      <c r="J2382" s="144"/>
      <c r="K2382" s="154"/>
      <c r="L2382" s="53"/>
      <c r="M2382" s="152"/>
      <c r="N2382" s="38" t="s">
        <v>796</v>
      </c>
      <c r="O2382" s="69"/>
      <c r="P2382" s="66">
        <v>45352</v>
      </c>
    </row>
    <row r="2383" spans="1:16" ht="15.75" customHeight="1">
      <c r="A2383" s="13">
        <f t="shared" si="45"/>
        <v>2361</v>
      </c>
      <c r="B2383" s="45" t="s">
        <v>1065</v>
      </c>
      <c r="C2383" s="23" t="s">
        <v>156</v>
      </c>
      <c r="D2383" s="52" t="s">
        <v>958</v>
      </c>
      <c r="E2383" s="23" t="s">
        <v>19</v>
      </c>
      <c r="F2383" s="46" t="s">
        <v>977</v>
      </c>
      <c r="G2383" s="42"/>
      <c r="H2383" s="41"/>
      <c r="I2383" s="84">
        <v>91917.9</v>
      </c>
      <c r="J2383" s="144"/>
      <c r="K2383" s="154"/>
      <c r="L2383" s="53"/>
      <c r="M2383" s="152"/>
      <c r="N2383" s="38" t="s">
        <v>796</v>
      </c>
      <c r="O2383" s="69"/>
      <c r="P2383" s="66">
        <v>45689</v>
      </c>
    </row>
    <row r="2384" spans="1:16" ht="15.75" customHeight="1">
      <c r="A2384" s="13">
        <f t="shared" si="45"/>
        <v>2362</v>
      </c>
      <c r="B2384" s="158" t="s">
        <v>957</v>
      </c>
      <c r="C2384" s="23" t="s">
        <v>156</v>
      </c>
      <c r="D2384" s="52" t="s">
        <v>958</v>
      </c>
      <c r="E2384" s="23" t="s">
        <v>19</v>
      </c>
      <c r="F2384" s="46">
        <v>20</v>
      </c>
      <c r="G2384" s="27">
        <v>10</v>
      </c>
      <c r="H2384" s="41"/>
      <c r="I2384" s="84">
        <v>2349.9299999999998</v>
      </c>
      <c r="J2384" s="144"/>
      <c r="K2384" s="84">
        <v>3817.4</v>
      </c>
      <c r="L2384" s="53"/>
      <c r="M2384" s="84">
        <v>29349.24</v>
      </c>
      <c r="N2384" s="38" t="s">
        <v>796</v>
      </c>
      <c r="O2384" s="69"/>
      <c r="P2384" s="193">
        <v>46082</v>
      </c>
    </row>
    <row r="2385" spans="1:16" ht="15.75" customHeight="1">
      <c r="A2385" s="13">
        <f t="shared" si="45"/>
        <v>2363</v>
      </c>
      <c r="B2385" s="158" t="s">
        <v>957</v>
      </c>
      <c r="C2385" s="23" t="s">
        <v>156</v>
      </c>
      <c r="D2385" s="52" t="s">
        <v>958</v>
      </c>
      <c r="E2385" s="23" t="s">
        <v>19</v>
      </c>
      <c r="F2385" s="46">
        <v>19</v>
      </c>
      <c r="G2385" s="27">
        <v>11</v>
      </c>
      <c r="H2385" s="41"/>
      <c r="I2385" s="84">
        <v>2427.1799999999998</v>
      </c>
      <c r="J2385" s="144"/>
      <c r="K2385" s="84">
        <v>3550.58</v>
      </c>
      <c r="L2385" s="53"/>
      <c r="M2385" s="152"/>
      <c r="N2385" s="38" t="s">
        <v>796</v>
      </c>
      <c r="O2385" s="69"/>
      <c r="P2385" s="193">
        <v>46082</v>
      </c>
    </row>
    <row r="2386" spans="1:16" ht="15.75" customHeight="1">
      <c r="A2386" s="13">
        <f t="shared" si="45"/>
        <v>2364</v>
      </c>
      <c r="B2386" s="158" t="s">
        <v>957</v>
      </c>
      <c r="C2386" s="23" t="s">
        <v>156</v>
      </c>
      <c r="D2386" s="52" t="s">
        <v>958</v>
      </c>
      <c r="E2386" s="23" t="s">
        <v>19</v>
      </c>
      <c r="F2386" s="46">
        <v>18</v>
      </c>
      <c r="G2386" s="27">
        <v>12</v>
      </c>
      <c r="H2386" s="41"/>
      <c r="I2386" s="84">
        <v>2513</v>
      </c>
      <c r="J2386" s="144"/>
      <c r="K2386" s="84">
        <v>3328.24</v>
      </c>
      <c r="L2386" s="53"/>
      <c r="M2386" s="152"/>
      <c r="N2386" s="38" t="s">
        <v>796</v>
      </c>
      <c r="O2386" s="69"/>
      <c r="P2386" s="193">
        <v>46082</v>
      </c>
    </row>
    <row r="2387" spans="1:16" ht="15.75" customHeight="1">
      <c r="A2387" s="13">
        <f t="shared" si="45"/>
        <v>2365</v>
      </c>
      <c r="B2387" s="158" t="s">
        <v>957</v>
      </c>
      <c r="C2387" s="23" t="s">
        <v>156</v>
      </c>
      <c r="D2387" s="52" t="s">
        <v>958</v>
      </c>
      <c r="E2387" s="23" t="s">
        <v>19</v>
      </c>
      <c r="F2387" s="46">
        <v>17</v>
      </c>
      <c r="G2387" s="27">
        <v>13</v>
      </c>
      <c r="H2387" s="41"/>
      <c r="I2387" s="84">
        <v>2608.89</v>
      </c>
      <c r="J2387" s="144"/>
      <c r="K2387" s="84">
        <v>3140.11</v>
      </c>
      <c r="L2387" s="53"/>
      <c r="M2387" s="152"/>
      <c r="N2387" s="38" t="s">
        <v>796</v>
      </c>
      <c r="O2387" s="69"/>
      <c r="P2387" s="193">
        <v>46082</v>
      </c>
    </row>
    <row r="2388" spans="1:16" ht="15.75" customHeight="1">
      <c r="A2388" s="13">
        <f t="shared" si="45"/>
        <v>2366</v>
      </c>
      <c r="B2388" s="158" t="s">
        <v>957</v>
      </c>
      <c r="C2388" s="23" t="s">
        <v>156</v>
      </c>
      <c r="D2388" s="52" t="s">
        <v>958</v>
      </c>
      <c r="E2388" s="23" t="s">
        <v>19</v>
      </c>
      <c r="F2388" s="46">
        <v>16</v>
      </c>
      <c r="G2388" s="27">
        <v>14</v>
      </c>
      <c r="H2388" s="41"/>
      <c r="I2388" s="84">
        <v>2716.83</v>
      </c>
      <c r="J2388" s="144"/>
      <c r="K2388" s="84">
        <v>2978.85</v>
      </c>
      <c r="L2388" s="53"/>
      <c r="M2388" s="152"/>
      <c r="N2388" s="38" t="s">
        <v>796</v>
      </c>
      <c r="O2388" s="69"/>
      <c r="P2388" s="193">
        <v>46082</v>
      </c>
    </row>
    <row r="2389" spans="1:16" ht="15.75" customHeight="1">
      <c r="A2389" s="13">
        <f t="shared" si="45"/>
        <v>2367</v>
      </c>
      <c r="B2389" s="158" t="s">
        <v>957</v>
      </c>
      <c r="C2389" s="23" t="s">
        <v>156</v>
      </c>
      <c r="D2389" s="52" t="s">
        <v>958</v>
      </c>
      <c r="E2389" s="23" t="s">
        <v>19</v>
      </c>
      <c r="F2389" s="46">
        <v>15</v>
      </c>
      <c r="G2389" s="27"/>
      <c r="H2389" s="41"/>
      <c r="I2389" s="84">
        <v>2839.1</v>
      </c>
      <c r="J2389" s="144"/>
      <c r="K2389" s="154"/>
      <c r="L2389" s="53"/>
      <c r="M2389" s="152"/>
      <c r="N2389" s="38" t="s">
        <v>796</v>
      </c>
      <c r="O2389" s="69"/>
      <c r="P2389" s="193">
        <v>46082</v>
      </c>
    </row>
    <row r="2390" spans="1:16" ht="15.75" customHeight="1">
      <c r="A2390" s="13">
        <f t="shared" si="45"/>
        <v>2368</v>
      </c>
      <c r="B2390" s="158" t="s">
        <v>1065</v>
      </c>
      <c r="C2390" s="23" t="s">
        <v>156</v>
      </c>
      <c r="D2390" s="52" t="s">
        <v>958</v>
      </c>
      <c r="E2390" s="23" t="s">
        <v>19</v>
      </c>
      <c r="F2390" s="46" t="s">
        <v>977</v>
      </c>
      <c r="G2390" s="42"/>
      <c r="H2390" s="41"/>
      <c r="I2390" s="84">
        <v>115326.07</v>
      </c>
      <c r="J2390" s="144"/>
      <c r="K2390" s="154"/>
      <c r="L2390" s="53"/>
      <c r="M2390" s="152"/>
      <c r="N2390" s="38" t="s">
        <v>796</v>
      </c>
      <c r="O2390" s="69"/>
      <c r="P2390" s="193">
        <v>46082</v>
      </c>
    </row>
    <row r="2391" spans="1:16" ht="15.75" customHeight="1">
      <c r="A2391" s="13">
        <f t="shared" si="45"/>
        <v>2369</v>
      </c>
      <c r="B2391" s="45" t="s">
        <v>1066</v>
      </c>
      <c r="C2391" s="23" t="s">
        <v>156</v>
      </c>
      <c r="D2391" s="52" t="s">
        <v>942</v>
      </c>
      <c r="E2391" s="23" t="s">
        <v>19</v>
      </c>
      <c r="F2391" s="46" t="s">
        <v>977</v>
      </c>
      <c r="G2391" s="27"/>
      <c r="H2391" s="34"/>
      <c r="I2391" s="84">
        <v>56776.72</v>
      </c>
      <c r="J2391" s="136"/>
      <c r="K2391" s="118"/>
      <c r="L2391" s="35"/>
      <c r="M2391" s="85"/>
      <c r="N2391" s="38" t="s">
        <v>796</v>
      </c>
      <c r="O2391" s="69"/>
      <c r="P2391" s="66">
        <v>44562</v>
      </c>
    </row>
    <row r="2392" spans="1:16" ht="15.75" customHeight="1">
      <c r="A2392" s="13">
        <f t="shared" si="45"/>
        <v>2370</v>
      </c>
      <c r="B2392" s="45" t="s">
        <v>956</v>
      </c>
      <c r="C2392" s="23" t="s">
        <v>156</v>
      </c>
      <c r="D2392" s="52" t="s">
        <v>942</v>
      </c>
      <c r="E2392" s="23" t="s">
        <v>19</v>
      </c>
      <c r="F2392" s="46">
        <v>20</v>
      </c>
      <c r="G2392" s="27">
        <v>10</v>
      </c>
      <c r="H2392" s="34"/>
      <c r="I2392" s="84">
        <v>1524.98</v>
      </c>
      <c r="J2392" s="136"/>
      <c r="K2392" s="118">
        <v>2462.4499999999998</v>
      </c>
      <c r="L2392" s="35"/>
      <c r="M2392" s="85">
        <v>18749.5</v>
      </c>
      <c r="N2392" s="38" t="s">
        <v>796</v>
      </c>
      <c r="O2392" s="69"/>
      <c r="P2392" s="66">
        <v>44562</v>
      </c>
    </row>
    <row r="2393" spans="1:16" ht="15.75" customHeight="1">
      <c r="A2393" s="13">
        <f t="shared" si="45"/>
        <v>2371</v>
      </c>
      <c r="B2393" s="45" t="s">
        <v>956</v>
      </c>
      <c r="C2393" s="23" t="s">
        <v>156</v>
      </c>
      <c r="D2393" s="52" t="s">
        <v>942</v>
      </c>
      <c r="E2393" s="23" t="s">
        <v>19</v>
      </c>
      <c r="F2393" s="46">
        <v>20</v>
      </c>
      <c r="G2393" s="27">
        <v>10</v>
      </c>
      <c r="H2393" s="34"/>
      <c r="I2393" s="84">
        <v>1609.96</v>
      </c>
      <c r="J2393" s="136"/>
      <c r="K2393" s="118">
        <v>2593.2399999999998</v>
      </c>
      <c r="L2393" s="35"/>
      <c r="M2393" s="85"/>
      <c r="N2393" s="38" t="s">
        <v>796</v>
      </c>
      <c r="O2393" s="69"/>
      <c r="P2393" s="66">
        <v>45078</v>
      </c>
    </row>
    <row r="2394" spans="1:16" ht="15.75" customHeight="1">
      <c r="A2394" s="13">
        <f t="shared" si="45"/>
        <v>2372</v>
      </c>
      <c r="B2394" s="45" t="s">
        <v>1066</v>
      </c>
      <c r="C2394" s="23" t="s">
        <v>156</v>
      </c>
      <c r="D2394" s="52" t="s">
        <v>942</v>
      </c>
      <c r="E2394" s="23" t="s">
        <v>19</v>
      </c>
      <c r="F2394" s="46" t="s">
        <v>977</v>
      </c>
      <c r="G2394" s="27"/>
      <c r="H2394" s="34"/>
      <c r="I2394" s="84">
        <v>57383.49</v>
      </c>
      <c r="J2394" s="136"/>
      <c r="K2394" s="118"/>
      <c r="L2394" s="35"/>
      <c r="M2394" s="85"/>
      <c r="N2394" s="38" t="s">
        <v>796</v>
      </c>
      <c r="O2394" s="69"/>
      <c r="P2394" s="66">
        <v>45078</v>
      </c>
    </row>
    <row r="2395" spans="1:16" ht="15.75" customHeight="1">
      <c r="A2395" s="13">
        <f t="shared" si="45"/>
        <v>2373</v>
      </c>
      <c r="B2395" s="45" t="s">
        <v>956</v>
      </c>
      <c r="C2395" s="23" t="s">
        <v>156</v>
      </c>
      <c r="D2395" s="52" t="s">
        <v>942</v>
      </c>
      <c r="E2395" s="23" t="s">
        <v>19</v>
      </c>
      <c r="F2395" s="46">
        <v>20</v>
      </c>
      <c r="G2395" s="27">
        <v>10</v>
      </c>
      <c r="H2395" s="34"/>
      <c r="I2395" s="84">
        <v>1851.6</v>
      </c>
      <c r="J2395" s="136"/>
      <c r="K2395" s="118">
        <v>2982.57</v>
      </c>
      <c r="L2395" s="35"/>
      <c r="M2395" s="85">
        <v>22618.99</v>
      </c>
      <c r="N2395" s="38" t="s">
        <v>796</v>
      </c>
      <c r="O2395" s="69"/>
      <c r="P2395" s="66">
        <v>45352</v>
      </c>
    </row>
    <row r="2396" spans="1:16" ht="15.75" customHeight="1">
      <c r="A2396" s="13">
        <f t="shared" si="45"/>
        <v>2374</v>
      </c>
      <c r="B2396" s="45" t="s">
        <v>956</v>
      </c>
      <c r="C2396" s="23" t="s">
        <v>156</v>
      </c>
      <c r="D2396" s="52" t="s">
        <v>942</v>
      </c>
      <c r="E2396" s="23" t="s">
        <v>19</v>
      </c>
      <c r="F2396" s="46">
        <v>19</v>
      </c>
      <c r="G2396" s="27">
        <v>11</v>
      </c>
      <c r="H2396" s="34"/>
      <c r="I2396" s="84">
        <v>1911.12</v>
      </c>
      <c r="J2396" s="136"/>
      <c r="K2396" s="118">
        <v>2776.94</v>
      </c>
      <c r="L2396" s="35"/>
      <c r="M2396" s="85"/>
      <c r="N2396" s="38" t="s">
        <v>796</v>
      </c>
      <c r="O2396" s="69"/>
      <c r="P2396" s="66">
        <v>45352</v>
      </c>
    </row>
    <row r="2397" spans="1:16" ht="15.75" customHeight="1">
      <c r="A2397" s="13">
        <f t="shared" si="45"/>
        <v>2375</v>
      </c>
      <c r="B2397" s="45" t="s">
        <v>956</v>
      </c>
      <c r="C2397" s="23" t="s">
        <v>156</v>
      </c>
      <c r="D2397" s="52" t="s">
        <v>942</v>
      </c>
      <c r="E2397" s="23" t="s">
        <v>19</v>
      </c>
      <c r="F2397" s="46">
        <v>18</v>
      </c>
      <c r="G2397" s="27">
        <v>12</v>
      </c>
      <c r="H2397" s="34"/>
      <c r="I2397" s="84">
        <v>1977.29</v>
      </c>
      <c r="J2397" s="136"/>
      <c r="K2397" s="118">
        <v>2605.5500000000002</v>
      </c>
      <c r="L2397" s="35"/>
      <c r="M2397" s="85"/>
      <c r="N2397" s="38" t="s">
        <v>796</v>
      </c>
      <c r="O2397" s="69"/>
      <c r="P2397" s="66">
        <v>45352</v>
      </c>
    </row>
    <row r="2398" spans="1:16" ht="15.75" customHeight="1">
      <c r="A2398" s="13">
        <f t="shared" si="45"/>
        <v>2376</v>
      </c>
      <c r="B2398" s="45" t="s">
        <v>956</v>
      </c>
      <c r="C2398" s="23" t="s">
        <v>156</v>
      </c>
      <c r="D2398" s="52" t="s">
        <v>942</v>
      </c>
      <c r="E2398" s="23" t="s">
        <v>19</v>
      </c>
      <c r="F2398" s="46">
        <v>17</v>
      </c>
      <c r="G2398" s="27">
        <v>13</v>
      </c>
      <c r="H2398" s="34"/>
      <c r="I2398" s="84">
        <v>2051.1999999999998</v>
      </c>
      <c r="J2398" s="136"/>
      <c r="K2398" s="118">
        <v>2460.59</v>
      </c>
      <c r="L2398" s="35"/>
      <c r="M2398" s="85"/>
      <c r="N2398" s="38" t="s">
        <v>796</v>
      </c>
      <c r="O2398" s="69"/>
      <c r="P2398" s="66">
        <v>45352</v>
      </c>
    </row>
    <row r="2399" spans="1:16" ht="15.75" customHeight="1">
      <c r="A2399" s="13">
        <f t="shared" si="45"/>
        <v>2377</v>
      </c>
      <c r="B2399" s="45" t="s">
        <v>956</v>
      </c>
      <c r="C2399" s="23" t="s">
        <v>156</v>
      </c>
      <c r="D2399" s="52" t="s">
        <v>942</v>
      </c>
      <c r="E2399" s="23" t="s">
        <v>19</v>
      </c>
      <c r="F2399" s="46">
        <v>16</v>
      </c>
      <c r="G2399" s="27">
        <v>14</v>
      </c>
      <c r="H2399" s="34"/>
      <c r="I2399" s="84">
        <v>2134.36</v>
      </c>
      <c r="J2399" s="136"/>
      <c r="K2399" s="118">
        <v>2336.29</v>
      </c>
      <c r="L2399" s="35"/>
      <c r="M2399" s="85"/>
      <c r="N2399" s="38" t="s">
        <v>796</v>
      </c>
      <c r="O2399" s="69"/>
      <c r="P2399" s="66">
        <v>45352</v>
      </c>
    </row>
    <row r="2400" spans="1:16" ht="15.75" customHeight="1">
      <c r="A2400" s="13">
        <f t="shared" si="45"/>
        <v>2378</v>
      </c>
      <c r="B2400" s="45" t="s">
        <v>956</v>
      </c>
      <c r="C2400" s="23" t="s">
        <v>156</v>
      </c>
      <c r="D2400" s="52" t="s">
        <v>942</v>
      </c>
      <c r="E2400" s="23" t="s">
        <v>19</v>
      </c>
      <c r="F2400" s="46">
        <v>15</v>
      </c>
      <c r="G2400" s="27"/>
      <c r="H2400" s="34"/>
      <c r="I2400" s="84">
        <v>2228.61</v>
      </c>
      <c r="J2400" s="136"/>
      <c r="K2400" s="118"/>
      <c r="L2400" s="35"/>
      <c r="M2400" s="85"/>
      <c r="N2400" s="38" t="s">
        <v>796</v>
      </c>
      <c r="O2400" s="69"/>
      <c r="P2400" s="66">
        <v>45352</v>
      </c>
    </row>
    <row r="2401" spans="1:16" ht="15.75" customHeight="1">
      <c r="A2401" s="13">
        <f t="shared" si="45"/>
        <v>2379</v>
      </c>
      <c r="B2401" s="45" t="s">
        <v>956</v>
      </c>
      <c r="C2401" s="23" t="s">
        <v>156</v>
      </c>
      <c r="D2401" s="52" t="s">
        <v>942</v>
      </c>
      <c r="E2401" s="23" t="s">
        <v>19</v>
      </c>
      <c r="F2401" s="46">
        <v>20</v>
      </c>
      <c r="G2401" s="27">
        <v>10</v>
      </c>
      <c r="H2401" s="34"/>
      <c r="I2401" s="84">
        <v>2181.11</v>
      </c>
      <c r="J2401" s="136"/>
      <c r="K2401" s="118">
        <v>3511.81</v>
      </c>
      <c r="L2401" s="35"/>
      <c r="M2401" s="85">
        <v>26614.34</v>
      </c>
      <c r="N2401" s="38" t="s">
        <v>796</v>
      </c>
      <c r="O2401" s="69"/>
      <c r="P2401" s="66">
        <v>45689</v>
      </c>
    </row>
    <row r="2402" spans="1:16" ht="15.75" customHeight="1">
      <c r="A2402" s="13">
        <f t="shared" si="45"/>
        <v>2380</v>
      </c>
      <c r="B2402" s="45" t="s">
        <v>956</v>
      </c>
      <c r="C2402" s="23" t="s">
        <v>156</v>
      </c>
      <c r="D2402" s="52" t="s">
        <v>942</v>
      </c>
      <c r="E2402" s="23" t="s">
        <v>19</v>
      </c>
      <c r="F2402" s="46">
        <v>19</v>
      </c>
      <c r="G2402" s="27">
        <v>11</v>
      </c>
      <c r="H2402" s="34"/>
      <c r="I2402" s="84">
        <v>2251.15</v>
      </c>
      <c r="J2402" s="136"/>
      <c r="K2402" s="118">
        <v>3269.86</v>
      </c>
      <c r="L2402" s="35"/>
      <c r="M2402" s="85"/>
      <c r="N2402" s="38" t="s">
        <v>796</v>
      </c>
      <c r="O2402" s="69"/>
      <c r="P2402" s="66">
        <v>45689</v>
      </c>
    </row>
    <row r="2403" spans="1:16" ht="15.75" customHeight="1">
      <c r="A2403" s="13">
        <f t="shared" si="45"/>
        <v>2381</v>
      </c>
      <c r="B2403" s="45" t="s">
        <v>956</v>
      </c>
      <c r="C2403" s="23" t="s">
        <v>156</v>
      </c>
      <c r="D2403" s="52" t="s">
        <v>942</v>
      </c>
      <c r="E2403" s="23" t="s">
        <v>19</v>
      </c>
      <c r="F2403" s="46">
        <v>18</v>
      </c>
      <c r="G2403" s="27">
        <v>12</v>
      </c>
      <c r="H2403" s="34"/>
      <c r="I2403" s="84">
        <v>2328.9699999999998</v>
      </c>
      <c r="J2403" s="136"/>
      <c r="K2403" s="118">
        <v>3068.26</v>
      </c>
      <c r="L2403" s="35"/>
      <c r="M2403" s="85"/>
      <c r="N2403" s="38" t="s">
        <v>796</v>
      </c>
      <c r="O2403" s="69"/>
      <c r="P2403" s="66">
        <v>45689</v>
      </c>
    </row>
    <row r="2404" spans="1:16" ht="15.75" customHeight="1">
      <c r="A2404" s="13">
        <f t="shared" si="45"/>
        <v>2382</v>
      </c>
      <c r="B2404" s="45" t="s">
        <v>956</v>
      </c>
      <c r="C2404" s="23" t="s">
        <v>156</v>
      </c>
      <c r="D2404" s="52" t="s">
        <v>942</v>
      </c>
      <c r="E2404" s="23" t="s">
        <v>19</v>
      </c>
      <c r="F2404" s="46">
        <v>17</v>
      </c>
      <c r="G2404" s="27">
        <v>13</v>
      </c>
      <c r="H2404" s="34"/>
      <c r="I2404" s="84">
        <v>2415.9499999999998</v>
      </c>
      <c r="J2404" s="136"/>
      <c r="K2404" s="118">
        <v>2897.65</v>
      </c>
      <c r="L2404" s="35"/>
      <c r="M2404" s="85"/>
      <c r="N2404" s="38" t="s">
        <v>796</v>
      </c>
      <c r="O2404" s="69"/>
      <c r="P2404" s="66">
        <v>45689</v>
      </c>
    </row>
    <row r="2405" spans="1:16" ht="15.75" customHeight="1">
      <c r="A2405" s="13">
        <f t="shared" si="45"/>
        <v>2383</v>
      </c>
      <c r="B2405" s="45" t="s">
        <v>956</v>
      </c>
      <c r="C2405" s="23" t="s">
        <v>156</v>
      </c>
      <c r="D2405" s="52" t="s">
        <v>942</v>
      </c>
      <c r="E2405" s="23" t="s">
        <v>19</v>
      </c>
      <c r="F2405" s="46">
        <v>16</v>
      </c>
      <c r="G2405" s="27">
        <v>14</v>
      </c>
      <c r="H2405" s="34"/>
      <c r="I2405" s="84">
        <v>2513.81</v>
      </c>
      <c r="J2405" s="136"/>
      <c r="K2405" s="118">
        <v>2751.43</v>
      </c>
      <c r="L2405" s="35"/>
      <c r="M2405" s="85"/>
      <c r="N2405" s="38" t="s">
        <v>796</v>
      </c>
      <c r="O2405" s="69"/>
      <c r="P2405" s="66">
        <v>45689</v>
      </c>
    </row>
    <row r="2406" spans="1:16" ht="15.75" customHeight="1">
      <c r="A2406" s="13">
        <f t="shared" si="45"/>
        <v>2384</v>
      </c>
      <c r="B2406" s="45" t="s">
        <v>956</v>
      </c>
      <c r="C2406" s="23" t="s">
        <v>156</v>
      </c>
      <c r="D2406" s="52" t="s">
        <v>942</v>
      </c>
      <c r="E2406" s="23" t="s">
        <v>19</v>
      </c>
      <c r="F2406" s="46">
        <v>15</v>
      </c>
      <c r="G2406" s="27"/>
      <c r="H2406" s="34"/>
      <c r="I2406" s="84">
        <v>2624.67</v>
      </c>
      <c r="J2406" s="136"/>
      <c r="K2406" s="118"/>
      <c r="L2406" s="35"/>
      <c r="M2406" s="85"/>
      <c r="N2406" s="38" t="s">
        <v>796</v>
      </c>
      <c r="O2406" s="69"/>
      <c r="P2406" s="66">
        <v>45689</v>
      </c>
    </row>
    <row r="2407" spans="1:16" ht="15.75" customHeight="1">
      <c r="A2407" s="13">
        <f t="shared" si="45"/>
        <v>2385</v>
      </c>
      <c r="B2407" s="45" t="s">
        <v>1066</v>
      </c>
      <c r="C2407" s="23" t="s">
        <v>156</v>
      </c>
      <c r="D2407" s="52" t="s">
        <v>942</v>
      </c>
      <c r="E2407" s="23" t="s">
        <v>19</v>
      </c>
      <c r="F2407" s="46" t="s">
        <v>977</v>
      </c>
      <c r="G2407" s="42"/>
      <c r="H2407" s="41"/>
      <c r="I2407" s="179">
        <v>79588.42</v>
      </c>
      <c r="J2407" s="144"/>
      <c r="K2407" s="154"/>
      <c r="L2407" s="53"/>
      <c r="M2407" s="152"/>
      <c r="N2407" s="38" t="s">
        <v>796</v>
      </c>
      <c r="O2407" s="39"/>
      <c r="P2407" s="66">
        <v>45352</v>
      </c>
    </row>
    <row r="2408" spans="1:16" ht="15.75" customHeight="1">
      <c r="A2408" s="13">
        <f t="shared" si="45"/>
        <v>2386</v>
      </c>
      <c r="B2408" s="45" t="s">
        <v>1066</v>
      </c>
      <c r="C2408" s="23" t="s">
        <v>156</v>
      </c>
      <c r="D2408" s="52" t="s">
        <v>942</v>
      </c>
      <c r="E2408" s="23" t="s">
        <v>19</v>
      </c>
      <c r="F2408" s="46" t="s">
        <v>977</v>
      </c>
      <c r="G2408" s="42"/>
      <c r="H2408" s="41"/>
      <c r="I2408" s="190">
        <v>91917.9</v>
      </c>
      <c r="J2408" s="144"/>
      <c r="K2408" s="154"/>
      <c r="L2408" s="53"/>
      <c r="M2408" s="152"/>
      <c r="N2408" s="38" t="s">
        <v>796</v>
      </c>
      <c r="O2408" s="39"/>
      <c r="P2408" s="66">
        <v>45689</v>
      </c>
    </row>
    <row r="2409" spans="1:16" ht="15.75" customHeight="1">
      <c r="A2409" s="13">
        <f t="shared" si="45"/>
        <v>2387</v>
      </c>
      <c r="B2409" s="158" t="s">
        <v>956</v>
      </c>
      <c r="C2409" s="23" t="s">
        <v>156</v>
      </c>
      <c r="D2409" s="52" t="s">
        <v>942</v>
      </c>
      <c r="E2409" s="23" t="s">
        <v>19</v>
      </c>
      <c r="F2409" s="46">
        <v>20</v>
      </c>
      <c r="G2409" s="27">
        <v>10</v>
      </c>
      <c r="H2409" s="41"/>
      <c r="I2409" s="190">
        <v>2474.7600000000002</v>
      </c>
      <c r="J2409" s="144"/>
      <c r="K2409" s="197">
        <v>3942.24</v>
      </c>
      <c r="L2409" s="53"/>
      <c r="M2409" s="197">
        <v>29349.24</v>
      </c>
      <c r="N2409" s="38" t="s">
        <v>796</v>
      </c>
      <c r="O2409" s="39"/>
      <c r="P2409" s="193">
        <v>46082</v>
      </c>
    </row>
    <row r="2410" spans="1:16" ht="15.75" customHeight="1">
      <c r="A2410" s="13">
        <f t="shared" si="45"/>
        <v>2388</v>
      </c>
      <c r="B2410" s="158" t="s">
        <v>956</v>
      </c>
      <c r="C2410" s="23" t="s">
        <v>156</v>
      </c>
      <c r="D2410" s="52" t="s">
        <v>942</v>
      </c>
      <c r="E2410" s="23" t="s">
        <v>19</v>
      </c>
      <c r="F2410" s="46">
        <v>19</v>
      </c>
      <c r="G2410" s="27">
        <v>11</v>
      </c>
      <c r="H2410" s="41"/>
      <c r="I2410" s="190">
        <v>2552.0100000000002</v>
      </c>
      <c r="J2410" s="144"/>
      <c r="K2410" s="197">
        <v>3675.41</v>
      </c>
      <c r="L2410" s="53"/>
      <c r="M2410" s="152"/>
      <c r="N2410" s="38" t="s">
        <v>796</v>
      </c>
      <c r="O2410" s="39"/>
      <c r="P2410" s="193">
        <v>46082</v>
      </c>
    </row>
    <row r="2411" spans="1:16" ht="15.75" customHeight="1">
      <c r="A2411" s="13">
        <f t="shared" si="45"/>
        <v>2389</v>
      </c>
      <c r="B2411" s="158" t="s">
        <v>956</v>
      </c>
      <c r="C2411" s="23" t="s">
        <v>156</v>
      </c>
      <c r="D2411" s="52" t="s">
        <v>942</v>
      </c>
      <c r="E2411" s="23" t="s">
        <v>19</v>
      </c>
      <c r="F2411" s="46">
        <v>18</v>
      </c>
      <c r="G2411" s="27">
        <v>12</v>
      </c>
      <c r="H2411" s="41"/>
      <c r="I2411" s="190">
        <v>2637.82</v>
      </c>
      <c r="J2411" s="144"/>
      <c r="K2411" s="197">
        <v>3453.06</v>
      </c>
      <c r="L2411" s="53"/>
      <c r="M2411" s="152"/>
      <c r="N2411" s="38" t="s">
        <v>796</v>
      </c>
      <c r="O2411" s="39"/>
      <c r="P2411" s="193">
        <v>46082</v>
      </c>
    </row>
    <row r="2412" spans="1:16" ht="15.75" customHeight="1">
      <c r="A2412" s="13">
        <f t="shared" si="45"/>
        <v>2390</v>
      </c>
      <c r="B2412" s="158" t="s">
        <v>956</v>
      </c>
      <c r="C2412" s="23" t="s">
        <v>156</v>
      </c>
      <c r="D2412" s="52" t="s">
        <v>942</v>
      </c>
      <c r="E2412" s="23" t="s">
        <v>19</v>
      </c>
      <c r="F2412" s="46">
        <v>17</v>
      </c>
      <c r="G2412" s="27">
        <v>13</v>
      </c>
      <c r="H2412" s="41"/>
      <c r="I2412" s="190">
        <v>2733.73</v>
      </c>
      <c r="J2412" s="144"/>
      <c r="K2412" s="197">
        <v>3264.95</v>
      </c>
      <c r="L2412" s="53"/>
      <c r="M2412" s="152"/>
      <c r="N2412" s="38" t="s">
        <v>796</v>
      </c>
      <c r="O2412" s="39"/>
      <c r="P2412" s="193">
        <v>46082</v>
      </c>
    </row>
    <row r="2413" spans="1:16" ht="15.75" customHeight="1">
      <c r="A2413" s="13">
        <f t="shared" si="45"/>
        <v>2391</v>
      </c>
      <c r="B2413" s="158" t="s">
        <v>956</v>
      </c>
      <c r="C2413" s="23" t="s">
        <v>156</v>
      </c>
      <c r="D2413" s="52" t="s">
        <v>942</v>
      </c>
      <c r="E2413" s="23" t="s">
        <v>19</v>
      </c>
      <c r="F2413" s="46">
        <v>16</v>
      </c>
      <c r="G2413" s="27">
        <v>14</v>
      </c>
      <c r="H2413" s="41"/>
      <c r="I2413" s="190">
        <v>2841.66</v>
      </c>
      <c r="J2413" s="144"/>
      <c r="K2413" s="197">
        <v>3103.68</v>
      </c>
      <c r="L2413" s="53"/>
      <c r="M2413" s="152"/>
      <c r="N2413" s="38" t="s">
        <v>796</v>
      </c>
      <c r="O2413" s="39"/>
      <c r="P2413" s="193">
        <v>46082</v>
      </c>
    </row>
    <row r="2414" spans="1:16" ht="15.75" customHeight="1">
      <c r="A2414" s="13">
        <f t="shared" si="45"/>
        <v>2392</v>
      </c>
      <c r="B2414" s="158" t="s">
        <v>956</v>
      </c>
      <c r="C2414" s="23" t="s">
        <v>156</v>
      </c>
      <c r="D2414" s="52" t="s">
        <v>942</v>
      </c>
      <c r="E2414" s="23" t="s">
        <v>19</v>
      </c>
      <c r="F2414" s="46">
        <v>15</v>
      </c>
      <c r="G2414" s="27"/>
      <c r="H2414" s="41"/>
      <c r="I2414" s="190">
        <v>2963.92</v>
      </c>
      <c r="J2414" s="144"/>
      <c r="K2414" s="197"/>
      <c r="L2414" s="53"/>
      <c r="M2414" s="152"/>
      <c r="N2414" s="38" t="s">
        <v>796</v>
      </c>
      <c r="O2414" s="39"/>
      <c r="P2414" s="193">
        <v>46082</v>
      </c>
    </row>
    <row r="2415" spans="1:16" ht="15.75" customHeight="1">
      <c r="A2415" s="13">
        <f t="shared" si="45"/>
        <v>2393</v>
      </c>
      <c r="B2415" s="158" t="s">
        <v>1066</v>
      </c>
      <c r="C2415" s="23" t="s">
        <v>156</v>
      </c>
      <c r="D2415" s="52" t="s">
        <v>942</v>
      </c>
      <c r="E2415" s="23" t="s">
        <v>19</v>
      </c>
      <c r="F2415" s="46" t="s">
        <v>977</v>
      </c>
      <c r="G2415" s="42"/>
      <c r="H2415" s="41"/>
      <c r="I2415" s="190">
        <v>115326.07</v>
      </c>
      <c r="J2415" s="144"/>
      <c r="K2415" s="154"/>
      <c r="L2415" s="53"/>
      <c r="M2415" s="152"/>
      <c r="N2415" s="38" t="s">
        <v>796</v>
      </c>
      <c r="O2415" s="39"/>
      <c r="P2415" s="193">
        <v>46082</v>
      </c>
    </row>
    <row r="2416" spans="1:16" ht="15.75" customHeight="1">
      <c r="A2416" s="13">
        <f t="shared" si="45"/>
        <v>2394</v>
      </c>
      <c r="B2416" s="45" t="s">
        <v>984</v>
      </c>
      <c r="C2416" s="23" t="s">
        <v>156</v>
      </c>
      <c r="D2416" s="52" t="s">
        <v>985</v>
      </c>
      <c r="E2416" s="23" t="s">
        <v>13</v>
      </c>
      <c r="F2416" s="46">
        <v>20</v>
      </c>
      <c r="G2416" s="27">
        <v>10</v>
      </c>
      <c r="H2416" s="34"/>
      <c r="I2416" s="84">
        <v>1144.53</v>
      </c>
      <c r="J2416" s="136"/>
      <c r="K2416" s="118">
        <v>1672.55</v>
      </c>
      <c r="L2416" s="35"/>
      <c r="M2416" s="85"/>
      <c r="N2416" s="38" t="s">
        <v>796</v>
      </c>
      <c r="O2416" s="69"/>
      <c r="P2416" s="66">
        <v>44562</v>
      </c>
    </row>
    <row r="2417" spans="1:16" ht="15.75" customHeight="1">
      <c r="A2417" s="13">
        <f t="shared" si="45"/>
        <v>2395</v>
      </c>
      <c r="B2417" s="45" t="s">
        <v>1093</v>
      </c>
      <c r="C2417" s="23" t="s">
        <v>156</v>
      </c>
      <c r="D2417" s="52" t="s">
        <v>985</v>
      </c>
      <c r="E2417" s="23" t="s">
        <v>13</v>
      </c>
      <c r="F2417" s="46">
        <v>20</v>
      </c>
      <c r="G2417" s="27">
        <v>10</v>
      </c>
      <c r="H2417" s="34"/>
      <c r="I2417" s="84">
        <v>1213.6600000000001</v>
      </c>
      <c r="J2417" s="136"/>
      <c r="K2417" s="118">
        <v>1769.7</v>
      </c>
      <c r="L2417" s="35"/>
      <c r="M2417" s="85"/>
      <c r="N2417" s="38" t="s">
        <v>796</v>
      </c>
      <c r="O2417" s="69"/>
      <c r="P2417" s="66">
        <v>45078</v>
      </c>
    </row>
    <row r="2418" spans="1:16" ht="15.75" customHeight="1">
      <c r="A2418" s="13">
        <f t="shared" si="45"/>
        <v>2396</v>
      </c>
      <c r="B2418" s="181" t="s">
        <v>1093</v>
      </c>
      <c r="C2418" s="23" t="s">
        <v>156</v>
      </c>
      <c r="D2418" s="52" t="s">
        <v>985</v>
      </c>
      <c r="E2418" s="23" t="s">
        <v>13</v>
      </c>
      <c r="F2418" s="46">
        <v>20</v>
      </c>
      <c r="G2418" s="27">
        <v>10</v>
      </c>
      <c r="H2418" s="34"/>
      <c r="I2418" s="84">
        <v>1395.78</v>
      </c>
      <c r="J2418" s="136"/>
      <c r="K2418" s="118">
        <v>2035.39</v>
      </c>
      <c r="L2418" s="35"/>
      <c r="M2418" s="85"/>
      <c r="N2418" s="38" t="s">
        <v>796</v>
      </c>
      <c r="O2418" s="69"/>
      <c r="P2418" s="66">
        <v>45352</v>
      </c>
    </row>
    <row r="2419" spans="1:16" ht="15.75" customHeight="1">
      <c r="A2419" s="13">
        <f t="shared" si="45"/>
        <v>2397</v>
      </c>
      <c r="B2419" s="181" t="s">
        <v>1093</v>
      </c>
      <c r="C2419" s="23" t="s">
        <v>156</v>
      </c>
      <c r="D2419" s="52" t="s">
        <v>985</v>
      </c>
      <c r="E2419" s="23" t="s">
        <v>13</v>
      </c>
      <c r="F2419" s="46">
        <v>16</v>
      </c>
      <c r="G2419" s="27">
        <v>14</v>
      </c>
      <c r="H2419" s="34"/>
      <c r="I2419" s="84">
        <v>1555.7</v>
      </c>
      <c r="J2419" s="136"/>
      <c r="K2419" s="118">
        <v>1669.9</v>
      </c>
      <c r="L2419" s="35"/>
      <c r="M2419" s="85"/>
      <c r="N2419" s="38" t="s">
        <v>796</v>
      </c>
      <c r="O2419" s="69"/>
      <c r="P2419" s="66">
        <v>45352</v>
      </c>
    </row>
    <row r="2420" spans="1:16" ht="15.75" customHeight="1">
      <c r="A2420" s="13">
        <f t="shared" si="45"/>
        <v>2398</v>
      </c>
      <c r="B2420" s="181" t="s">
        <v>1093</v>
      </c>
      <c r="C2420" s="23" t="s">
        <v>156</v>
      </c>
      <c r="D2420" s="52" t="s">
        <v>985</v>
      </c>
      <c r="E2420" s="23" t="s">
        <v>13</v>
      </c>
      <c r="F2420" s="46">
        <v>20</v>
      </c>
      <c r="G2420" s="27">
        <v>10</v>
      </c>
      <c r="H2420" s="34"/>
      <c r="I2420" s="84">
        <v>1644.68</v>
      </c>
      <c r="J2420" s="136"/>
      <c r="K2420" s="118">
        <v>2397.04</v>
      </c>
      <c r="L2420" s="35"/>
      <c r="M2420" s="85"/>
      <c r="N2420" s="38" t="s">
        <v>796</v>
      </c>
      <c r="O2420" s="69"/>
      <c r="P2420" s="66">
        <v>45689</v>
      </c>
    </row>
    <row r="2421" spans="1:16" ht="15.75" customHeight="1">
      <c r="A2421" s="13">
        <f t="shared" si="45"/>
        <v>2399</v>
      </c>
      <c r="B2421" s="181" t="s">
        <v>1093</v>
      </c>
      <c r="C2421" s="23" t="s">
        <v>156</v>
      </c>
      <c r="D2421" s="52" t="s">
        <v>985</v>
      </c>
      <c r="E2421" s="23" t="s">
        <v>13</v>
      </c>
      <c r="F2421" s="46">
        <v>16</v>
      </c>
      <c r="G2421" s="27">
        <v>14</v>
      </c>
      <c r="H2421" s="34"/>
      <c r="I2421" s="84">
        <v>1832.76</v>
      </c>
      <c r="J2421" s="136"/>
      <c r="K2421" s="118">
        <v>1967.11</v>
      </c>
      <c r="L2421" s="35"/>
      <c r="M2421" s="85"/>
      <c r="N2421" s="38" t="s">
        <v>796</v>
      </c>
      <c r="O2421" s="69"/>
      <c r="P2421" s="66">
        <v>45689</v>
      </c>
    </row>
    <row r="2422" spans="1:16" ht="15.75" customHeight="1">
      <c r="A2422" s="13">
        <f t="shared" si="45"/>
        <v>2400</v>
      </c>
      <c r="B2422" s="158" t="s">
        <v>1093</v>
      </c>
      <c r="C2422" s="23" t="s">
        <v>156</v>
      </c>
      <c r="D2422" s="52" t="s">
        <v>985</v>
      </c>
      <c r="E2422" s="23" t="s">
        <v>13</v>
      </c>
      <c r="F2422" s="46">
        <v>20</v>
      </c>
      <c r="G2422" s="27">
        <v>10</v>
      </c>
      <c r="H2422" s="34"/>
      <c r="I2422" s="84">
        <v>1829.03</v>
      </c>
      <c r="J2422" s="136"/>
      <c r="K2422" s="118">
        <v>2676.49</v>
      </c>
      <c r="L2422" s="35"/>
      <c r="M2422" s="85"/>
      <c r="N2422" s="38" t="s">
        <v>796</v>
      </c>
      <c r="O2422" s="69"/>
      <c r="P2422" s="193">
        <v>46082</v>
      </c>
    </row>
    <row r="2423" spans="1:16" ht="15.75" customHeight="1">
      <c r="A2423" s="13">
        <f t="shared" si="45"/>
        <v>2401</v>
      </c>
      <c r="B2423" s="158" t="s">
        <v>1093</v>
      </c>
      <c r="C2423" s="23" t="s">
        <v>156</v>
      </c>
      <c r="D2423" s="52" t="s">
        <v>985</v>
      </c>
      <c r="E2423" s="23" t="s">
        <v>13</v>
      </c>
      <c r="F2423" s="46">
        <v>16</v>
      </c>
      <c r="G2423" s="27">
        <v>14</v>
      </c>
      <c r="H2423" s="34"/>
      <c r="I2423" s="84">
        <v>2040.91</v>
      </c>
      <c r="J2423" s="136"/>
      <c r="K2423" s="118">
        <v>2192.23</v>
      </c>
      <c r="L2423" s="35"/>
      <c r="M2423" s="85"/>
      <c r="N2423" s="38" t="s">
        <v>796</v>
      </c>
      <c r="O2423" s="69"/>
      <c r="P2423" s="193">
        <v>46082</v>
      </c>
    </row>
    <row r="2424" spans="1:16" ht="15.75" customHeight="1">
      <c r="A2424" s="13">
        <f t="shared" si="45"/>
        <v>2402</v>
      </c>
      <c r="B2424" s="45" t="s">
        <v>986</v>
      </c>
      <c r="C2424" s="23" t="s">
        <v>156</v>
      </c>
      <c r="D2424" s="52" t="s">
        <v>987</v>
      </c>
      <c r="E2424" s="23" t="s">
        <v>13</v>
      </c>
      <c r="F2424" s="46">
        <v>20</v>
      </c>
      <c r="G2424" s="27">
        <v>10</v>
      </c>
      <c r="H2424" s="34"/>
      <c r="I2424" s="84">
        <v>1119.5999999999999</v>
      </c>
      <c r="J2424" s="136"/>
      <c r="K2424" s="118">
        <v>1647.63</v>
      </c>
      <c r="L2424" s="35"/>
      <c r="M2424" s="85"/>
      <c r="N2424" s="38" t="s">
        <v>796</v>
      </c>
      <c r="O2424" s="69"/>
      <c r="P2424" s="66">
        <v>44562</v>
      </c>
    </row>
    <row r="2425" spans="1:16" ht="15.75" customHeight="1">
      <c r="A2425" s="13">
        <f t="shared" si="45"/>
        <v>2403</v>
      </c>
      <c r="B2425" s="45" t="s">
        <v>1094</v>
      </c>
      <c r="C2425" s="23" t="s">
        <v>156</v>
      </c>
      <c r="D2425" s="52" t="s">
        <v>987</v>
      </c>
      <c r="E2425" s="23" t="s">
        <v>13</v>
      </c>
      <c r="F2425" s="46">
        <v>20</v>
      </c>
      <c r="G2425" s="27">
        <v>10</v>
      </c>
      <c r="H2425" s="34"/>
      <c r="I2425" s="84">
        <v>1187.05</v>
      </c>
      <c r="J2425" s="136"/>
      <c r="K2425" s="118">
        <v>1743.1</v>
      </c>
      <c r="L2425" s="35"/>
      <c r="M2425" s="85"/>
      <c r="N2425" s="38" t="s">
        <v>796</v>
      </c>
      <c r="O2425" s="69"/>
      <c r="P2425" s="66">
        <v>45078</v>
      </c>
    </row>
    <row r="2426" spans="1:16" ht="15.75" customHeight="1">
      <c r="A2426" s="13">
        <f t="shared" si="45"/>
        <v>2404</v>
      </c>
      <c r="B2426" s="181" t="s">
        <v>1094</v>
      </c>
      <c r="C2426" s="23" t="s">
        <v>156</v>
      </c>
      <c r="D2426" s="52" t="s">
        <v>987</v>
      </c>
      <c r="E2426" s="23" t="s">
        <v>13</v>
      </c>
      <c r="F2426" s="46">
        <v>20</v>
      </c>
      <c r="G2426" s="27">
        <v>10</v>
      </c>
      <c r="H2426" s="34"/>
      <c r="I2426" s="84">
        <v>1365.2</v>
      </c>
      <c r="J2426" s="136"/>
      <c r="K2426" s="118">
        <v>2004.78</v>
      </c>
      <c r="L2426" s="35"/>
      <c r="M2426" s="85"/>
      <c r="N2426" s="38" t="s">
        <v>796</v>
      </c>
      <c r="O2426" s="69"/>
      <c r="P2426" s="66">
        <v>45352</v>
      </c>
    </row>
    <row r="2427" spans="1:16" ht="15.75" customHeight="1">
      <c r="A2427" s="13">
        <f t="shared" si="45"/>
        <v>2405</v>
      </c>
      <c r="B2427" s="181" t="s">
        <v>1094</v>
      </c>
      <c r="C2427" s="23" t="s">
        <v>156</v>
      </c>
      <c r="D2427" s="52" t="s">
        <v>987</v>
      </c>
      <c r="E2427" s="23" t="s">
        <v>13</v>
      </c>
      <c r="F2427" s="46">
        <v>16</v>
      </c>
      <c r="G2427" s="27">
        <v>14</v>
      </c>
      <c r="H2427" s="34"/>
      <c r="I2427" s="84">
        <v>1525.1</v>
      </c>
      <c r="J2427" s="136"/>
      <c r="K2427" s="118">
        <v>1639.3</v>
      </c>
      <c r="L2427" s="35"/>
      <c r="M2427" s="85"/>
      <c r="N2427" s="38" t="s">
        <v>796</v>
      </c>
      <c r="O2427" s="69"/>
      <c r="P2427" s="66">
        <v>45352</v>
      </c>
    </row>
    <row r="2428" spans="1:16" ht="15.75" customHeight="1">
      <c r="A2428" s="13">
        <f t="shared" si="45"/>
        <v>2406</v>
      </c>
      <c r="B2428" s="181" t="s">
        <v>1094</v>
      </c>
      <c r="C2428" s="23" t="s">
        <v>156</v>
      </c>
      <c r="D2428" s="52" t="s">
        <v>987</v>
      </c>
      <c r="E2428" s="23" t="s">
        <v>13</v>
      </c>
      <c r="F2428" s="46">
        <v>20</v>
      </c>
      <c r="G2428" s="27">
        <v>10</v>
      </c>
      <c r="H2428" s="34"/>
      <c r="I2428" s="84">
        <v>1608.58</v>
      </c>
      <c r="J2428" s="136"/>
      <c r="K2428" s="118">
        <v>2360.94</v>
      </c>
      <c r="L2428" s="35"/>
      <c r="M2428" s="85"/>
      <c r="N2428" s="38" t="s">
        <v>796</v>
      </c>
      <c r="O2428" s="69"/>
      <c r="P2428" s="66">
        <v>45689</v>
      </c>
    </row>
    <row r="2429" spans="1:16" ht="15.75" customHeight="1">
      <c r="A2429" s="13">
        <f t="shared" si="45"/>
        <v>2407</v>
      </c>
      <c r="B2429" s="181" t="s">
        <v>1094</v>
      </c>
      <c r="C2429" s="23" t="s">
        <v>156</v>
      </c>
      <c r="D2429" s="52" t="s">
        <v>987</v>
      </c>
      <c r="E2429" s="23" t="s">
        <v>13</v>
      </c>
      <c r="F2429" s="46">
        <v>16</v>
      </c>
      <c r="G2429" s="27">
        <v>14</v>
      </c>
      <c r="H2429" s="34"/>
      <c r="I2429" s="84">
        <v>1796.67</v>
      </c>
      <c r="J2429" s="136"/>
      <c r="K2429" s="118">
        <v>1931.03</v>
      </c>
      <c r="L2429" s="35"/>
      <c r="M2429" s="85"/>
      <c r="N2429" s="38" t="s">
        <v>796</v>
      </c>
      <c r="O2429" s="69"/>
      <c r="P2429" s="66">
        <v>45689</v>
      </c>
    </row>
    <row r="2430" spans="1:16" ht="15.75" customHeight="1">
      <c r="A2430" s="13">
        <f t="shared" si="45"/>
        <v>2408</v>
      </c>
      <c r="B2430" s="158" t="s">
        <v>1094</v>
      </c>
      <c r="C2430" s="23" t="s">
        <v>156</v>
      </c>
      <c r="D2430" s="52" t="s">
        <v>987</v>
      </c>
      <c r="E2430" s="23" t="s">
        <v>13</v>
      </c>
      <c r="F2430" s="46">
        <v>20</v>
      </c>
      <c r="G2430" s="27">
        <v>10</v>
      </c>
      <c r="H2430" s="34"/>
      <c r="I2430" s="84">
        <v>1789.31</v>
      </c>
      <c r="J2430" s="136"/>
      <c r="K2430" s="118">
        <v>2636.78</v>
      </c>
      <c r="L2430" s="35"/>
      <c r="M2430" s="85"/>
      <c r="N2430" s="38" t="s">
        <v>796</v>
      </c>
      <c r="O2430" s="69"/>
      <c r="P2430" s="193">
        <v>46082</v>
      </c>
    </row>
    <row r="2431" spans="1:16" ht="15.75" customHeight="1">
      <c r="A2431" s="13">
        <f t="shared" si="45"/>
        <v>2409</v>
      </c>
      <c r="B2431" s="158" t="s">
        <v>1094</v>
      </c>
      <c r="C2431" s="23" t="s">
        <v>156</v>
      </c>
      <c r="D2431" s="52" t="s">
        <v>987</v>
      </c>
      <c r="E2431" s="23" t="s">
        <v>13</v>
      </c>
      <c r="F2431" s="46">
        <v>16</v>
      </c>
      <c r="G2431" s="27">
        <v>14</v>
      </c>
      <c r="H2431" s="34"/>
      <c r="I2431" s="84">
        <v>2001.19</v>
      </c>
      <c r="J2431" s="136"/>
      <c r="K2431" s="118">
        <v>2152.52</v>
      </c>
      <c r="L2431" s="35"/>
      <c r="M2431" s="85"/>
      <c r="N2431" s="38" t="s">
        <v>796</v>
      </c>
      <c r="O2431" s="69"/>
      <c r="P2431" s="193">
        <v>46082</v>
      </c>
    </row>
    <row r="2432" spans="1:16" ht="15.75" customHeight="1">
      <c r="A2432" s="13">
        <f t="shared" si="45"/>
        <v>2410</v>
      </c>
      <c r="B2432" s="45" t="s">
        <v>1095</v>
      </c>
      <c r="C2432" s="23" t="s">
        <v>1096</v>
      </c>
      <c r="D2432" s="52" t="s">
        <v>1097</v>
      </c>
      <c r="E2432" s="23" t="s">
        <v>13</v>
      </c>
      <c r="F2432" s="46">
        <v>20</v>
      </c>
      <c r="G2432" s="27">
        <v>10</v>
      </c>
      <c r="H2432" s="34"/>
      <c r="I2432" s="84">
        <v>862.21</v>
      </c>
      <c r="J2432" s="136"/>
      <c r="K2432" s="118">
        <v>1273.18</v>
      </c>
      <c r="L2432" s="35"/>
      <c r="M2432" s="85"/>
      <c r="N2432" s="38" t="s">
        <v>796</v>
      </c>
      <c r="O2432" s="69"/>
      <c r="P2432" s="66">
        <v>45078</v>
      </c>
    </row>
    <row r="2433" spans="1:16" ht="15.75" customHeight="1">
      <c r="A2433" s="13">
        <f t="shared" si="45"/>
        <v>2411</v>
      </c>
      <c r="B2433" s="181" t="s">
        <v>1095</v>
      </c>
      <c r="C2433" s="23" t="s">
        <v>1096</v>
      </c>
      <c r="D2433" s="52" t="s">
        <v>1097</v>
      </c>
      <c r="E2433" s="23" t="s">
        <v>13</v>
      </c>
      <c r="F2433" s="46">
        <v>20</v>
      </c>
      <c r="G2433" s="27">
        <v>10</v>
      </c>
      <c r="H2433" s="34"/>
      <c r="I2433" s="84">
        <v>991.59</v>
      </c>
      <c r="J2433" s="136"/>
      <c r="K2433" s="118">
        <v>1464.34</v>
      </c>
      <c r="L2433" s="35"/>
      <c r="M2433" s="85"/>
      <c r="N2433" s="38" t="s">
        <v>796</v>
      </c>
      <c r="O2433" s="69"/>
      <c r="P2433" s="66">
        <v>45352</v>
      </c>
    </row>
    <row r="2434" spans="1:16" ht="15.75" customHeight="1">
      <c r="A2434" s="13">
        <f t="shared" si="45"/>
        <v>2412</v>
      </c>
      <c r="B2434" s="181" t="s">
        <v>1095</v>
      </c>
      <c r="C2434" s="23" t="s">
        <v>1096</v>
      </c>
      <c r="D2434" s="52" t="s">
        <v>1097</v>
      </c>
      <c r="E2434" s="23" t="s">
        <v>13</v>
      </c>
      <c r="F2434" s="46">
        <v>16</v>
      </c>
      <c r="G2434" s="27">
        <v>14</v>
      </c>
      <c r="H2434" s="34"/>
      <c r="I2434" s="84">
        <v>1109.8</v>
      </c>
      <c r="J2434" s="136"/>
      <c r="K2434" s="118">
        <v>1194.21</v>
      </c>
      <c r="L2434" s="35"/>
      <c r="M2434" s="85"/>
      <c r="N2434" s="38" t="s">
        <v>796</v>
      </c>
      <c r="O2434" s="69"/>
      <c r="P2434" s="66">
        <v>45352</v>
      </c>
    </row>
    <row r="2435" spans="1:16" ht="15.75" customHeight="1">
      <c r="A2435" s="13">
        <f t="shared" si="45"/>
        <v>2413</v>
      </c>
      <c r="B2435" s="181" t="s">
        <v>1095</v>
      </c>
      <c r="C2435" s="23" t="s">
        <v>1096</v>
      </c>
      <c r="D2435" s="52" t="s">
        <v>1097</v>
      </c>
      <c r="E2435" s="23" t="s">
        <v>13</v>
      </c>
      <c r="F2435" s="46">
        <v>20</v>
      </c>
      <c r="G2435" s="27">
        <v>10</v>
      </c>
      <c r="H2435" s="34"/>
      <c r="I2435" s="84">
        <v>1167.74</v>
      </c>
      <c r="J2435" s="136"/>
      <c r="K2435" s="118">
        <v>1723.24</v>
      </c>
      <c r="L2435" s="35"/>
      <c r="M2435" s="85"/>
      <c r="N2435" s="38" t="s">
        <v>796</v>
      </c>
      <c r="O2435" s="69"/>
      <c r="P2435" s="66">
        <v>45689</v>
      </c>
    </row>
    <row r="2436" spans="1:16" ht="15.75" customHeight="1">
      <c r="A2436" s="13">
        <f t="shared" ref="A2436:A2474" si="46">A2435+1</f>
        <v>2414</v>
      </c>
      <c r="B2436" s="181" t="s">
        <v>1095</v>
      </c>
      <c r="C2436" s="23" t="s">
        <v>1096</v>
      </c>
      <c r="D2436" s="52" t="s">
        <v>1097</v>
      </c>
      <c r="E2436" s="23" t="s">
        <v>13</v>
      </c>
      <c r="F2436" s="46">
        <v>16</v>
      </c>
      <c r="G2436" s="27">
        <v>14</v>
      </c>
      <c r="H2436" s="34"/>
      <c r="I2436" s="84">
        <v>1306.6099999999999</v>
      </c>
      <c r="J2436" s="136"/>
      <c r="K2436" s="118">
        <v>1405.83</v>
      </c>
      <c r="L2436" s="35"/>
      <c r="M2436" s="85"/>
      <c r="N2436" s="38" t="s">
        <v>796</v>
      </c>
      <c r="O2436" s="69"/>
      <c r="P2436" s="66">
        <v>45689</v>
      </c>
    </row>
    <row r="2437" spans="1:16" ht="15.75" customHeight="1">
      <c r="A2437" s="13">
        <f t="shared" si="46"/>
        <v>2415</v>
      </c>
      <c r="B2437" s="158" t="s">
        <v>1095</v>
      </c>
      <c r="C2437" s="23" t="s">
        <v>1096</v>
      </c>
      <c r="D2437" s="52" t="s">
        <v>1097</v>
      </c>
      <c r="E2437" s="23" t="s">
        <v>13</v>
      </c>
      <c r="F2437" s="46">
        <v>20</v>
      </c>
      <c r="G2437" s="27">
        <v>10</v>
      </c>
      <c r="H2437" s="34"/>
      <c r="I2437" s="84">
        <v>1304.3699999999999</v>
      </c>
      <c r="J2437" s="136"/>
      <c r="K2437" s="118">
        <v>1935.28</v>
      </c>
      <c r="L2437" s="35"/>
      <c r="M2437" s="85"/>
      <c r="N2437" s="38" t="s">
        <v>796</v>
      </c>
      <c r="O2437" s="69"/>
      <c r="P2437" s="193">
        <v>46082</v>
      </c>
    </row>
    <row r="2438" spans="1:16" ht="15.75" customHeight="1">
      <c r="A2438" s="13">
        <f t="shared" si="46"/>
        <v>2416</v>
      </c>
      <c r="B2438" s="158" t="s">
        <v>1095</v>
      </c>
      <c r="C2438" s="23" t="s">
        <v>1096</v>
      </c>
      <c r="D2438" s="52" t="s">
        <v>1097</v>
      </c>
      <c r="E2438" s="23" t="s">
        <v>13</v>
      </c>
      <c r="F2438" s="46">
        <v>16</v>
      </c>
      <c r="G2438" s="27">
        <v>14</v>
      </c>
      <c r="H2438" s="34"/>
      <c r="I2438" s="84">
        <v>1462.11</v>
      </c>
      <c r="J2438" s="136"/>
      <c r="K2438" s="118">
        <v>1574.79</v>
      </c>
      <c r="L2438" s="35"/>
      <c r="M2438" s="85"/>
      <c r="N2438" s="38" t="s">
        <v>796</v>
      </c>
      <c r="O2438" s="69"/>
      <c r="P2438" s="193">
        <v>46082</v>
      </c>
    </row>
    <row r="2439" spans="1:16" ht="15.75" customHeight="1">
      <c r="A2439" s="13">
        <f t="shared" si="46"/>
        <v>2417</v>
      </c>
      <c r="B2439" s="45" t="s">
        <v>1098</v>
      </c>
      <c r="C2439" s="23" t="s">
        <v>1099</v>
      </c>
      <c r="D2439" s="52" t="s">
        <v>1089</v>
      </c>
      <c r="E2439" s="23" t="s">
        <v>13</v>
      </c>
      <c r="F2439" s="46">
        <v>20</v>
      </c>
      <c r="G2439" s="27">
        <v>10</v>
      </c>
      <c r="H2439" s="34"/>
      <c r="I2439" s="84">
        <v>1228.19</v>
      </c>
      <c r="J2439" s="136"/>
      <c r="K2439" s="118">
        <v>1790.7</v>
      </c>
      <c r="L2439" s="35"/>
      <c r="M2439" s="85"/>
      <c r="N2439" s="38" t="s">
        <v>643</v>
      </c>
      <c r="O2439" s="69"/>
      <c r="P2439" s="66">
        <v>45078</v>
      </c>
    </row>
    <row r="2440" spans="1:16" ht="15.75" customHeight="1">
      <c r="A2440" s="13">
        <f t="shared" si="46"/>
        <v>2418</v>
      </c>
      <c r="B2440" s="181" t="s">
        <v>1098</v>
      </c>
      <c r="C2440" s="23" t="s">
        <v>1099</v>
      </c>
      <c r="D2440" s="52" t="s">
        <v>1089</v>
      </c>
      <c r="E2440" s="23" t="s">
        <v>13</v>
      </c>
      <c r="F2440" s="46">
        <v>20</v>
      </c>
      <c r="G2440" s="27">
        <v>10</v>
      </c>
      <c r="H2440" s="34"/>
      <c r="I2440" s="84">
        <v>1412.7</v>
      </c>
      <c r="J2440" s="136"/>
      <c r="K2440" s="118">
        <v>2059.81</v>
      </c>
      <c r="L2440" s="35"/>
      <c r="M2440" s="85"/>
      <c r="N2440" s="38" t="s">
        <v>643</v>
      </c>
      <c r="O2440" s="69"/>
      <c r="P2440" s="66">
        <v>45352</v>
      </c>
    </row>
    <row r="2441" spans="1:16" ht="15.75" customHeight="1">
      <c r="A2441" s="13">
        <f t="shared" si="46"/>
        <v>2419</v>
      </c>
      <c r="B2441" s="181" t="s">
        <v>1098</v>
      </c>
      <c r="C2441" s="23" t="s">
        <v>1099</v>
      </c>
      <c r="D2441" s="52" t="s">
        <v>1089</v>
      </c>
      <c r="E2441" s="23" t="s">
        <v>13</v>
      </c>
      <c r="F2441" s="46">
        <v>16</v>
      </c>
      <c r="G2441" s="27">
        <v>14</v>
      </c>
      <c r="H2441" s="34"/>
      <c r="I2441" s="84">
        <v>1574.45</v>
      </c>
      <c r="J2441" s="136"/>
      <c r="K2441" s="118">
        <v>1690.03</v>
      </c>
      <c r="L2441" s="35"/>
      <c r="M2441" s="85"/>
      <c r="N2441" s="38" t="s">
        <v>643</v>
      </c>
      <c r="O2441" s="69"/>
      <c r="P2441" s="66">
        <v>45352</v>
      </c>
    </row>
    <row r="2442" spans="1:16" ht="15.75" customHeight="1">
      <c r="A2442" s="13">
        <f t="shared" si="46"/>
        <v>2420</v>
      </c>
      <c r="B2442" s="181" t="s">
        <v>1098</v>
      </c>
      <c r="C2442" s="23" t="s">
        <v>1099</v>
      </c>
      <c r="D2442" s="52" t="s">
        <v>1089</v>
      </c>
      <c r="E2442" s="23" t="s">
        <v>13</v>
      </c>
      <c r="F2442" s="46">
        <v>20</v>
      </c>
      <c r="G2442" s="27">
        <v>10</v>
      </c>
      <c r="H2442" s="34"/>
      <c r="I2442" s="84">
        <v>1625.45</v>
      </c>
      <c r="J2442" s="136"/>
      <c r="K2442" s="118">
        <v>2369.7399999999998</v>
      </c>
      <c r="L2442" s="35"/>
      <c r="M2442" s="85"/>
      <c r="N2442" s="38" t="s">
        <v>643</v>
      </c>
      <c r="O2442" s="69"/>
      <c r="P2442" s="66">
        <v>45689</v>
      </c>
    </row>
    <row r="2443" spans="1:16" ht="15.75" customHeight="1">
      <c r="A2443" s="13">
        <f t="shared" si="46"/>
        <v>2421</v>
      </c>
      <c r="B2443" s="181" t="s">
        <v>1098</v>
      </c>
      <c r="C2443" s="23" t="s">
        <v>1099</v>
      </c>
      <c r="D2443" s="52" t="s">
        <v>1089</v>
      </c>
      <c r="E2443" s="23" t="s">
        <v>13</v>
      </c>
      <c r="F2443" s="46">
        <v>16</v>
      </c>
      <c r="G2443" s="27">
        <v>14</v>
      </c>
      <c r="H2443" s="34"/>
      <c r="I2443" s="84">
        <v>1811.53</v>
      </c>
      <c r="J2443" s="136"/>
      <c r="K2443" s="118">
        <v>1944.45</v>
      </c>
      <c r="L2443" s="35"/>
      <c r="M2443" s="85"/>
      <c r="N2443" s="38" t="s">
        <v>643</v>
      </c>
      <c r="O2443" s="69"/>
      <c r="P2443" s="66">
        <v>45689</v>
      </c>
    </row>
    <row r="2444" spans="1:16" ht="15.75" customHeight="1">
      <c r="A2444" s="13">
        <f t="shared" si="46"/>
        <v>2422</v>
      </c>
      <c r="B2444" s="158" t="s">
        <v>1098</v>
      </c>
      <c r="C2444" s="23" t="s">
        <v>1099</v>
      </c>
      <c r="D2444" s="52" t="s">
        <v>1089</v>
      </c>
      <c r="E2444" s="23" t="s">
        <v>13</v>
      </c>
      <c r="F2444" s="46">
        <v>20</v>
      </c>
      <c r="G2444" s="27">
        <v>10</v>
      </c>
      <c r="H2444" s="34"/>
      <c r="I2444" s="84">
        <v>1667.27</v>
      </c>
      <c r="J2444" s="136"/>
      <c r="K2444" s="118">
        <v>2440.61</v>
      </c>
      <c r="L2444" s="35"/>
      <c r="M2444" s="85"/>
      <c r="N2444" s="38" t="s">
        <v>643</v>
      </c>
      <c r="O2444" s="69"/>
      <c r="P2444" s="193">
        <v>46082</v>
      </c>
    </row>
    <row r="2445" spans="1:16" ht="15.75" customHeight="1">
      <c r="A2445" s="13">
        <f t="shared" si="46"/>
        <v>2423</v>
      </c>
      <c r="B2445" s="158" t="s">
        <v>1098</v>
      </c>
      <c r="C2445" s="23" t="s">
        <v>1099</v>
      </c>
      <c r="D2445" s="52" t="s">
        <v>1089</v>
      </c>
      <c r="E2445" s="23" t="s">
        <v>13</v>
      </c>
      <c r="F2445" s="46">
        <v>16</v>
      </c>
      <c r="G2445" s="27">
        <v>14</v>
      </c>
      <c r="H2445" s="34"/>
      <c r="I2445" s="84">
        <v>1860.61</v>
      </c>
      <c r="J2445" s="136"/>
      <c r="K2445" s="118">
        <v>1998.71</v>
      </c>
      <c r="L2445" s="35"/>
      <c r="M2445" s="85"/>
      <c r="N2445" s="38" t="s">
        <v>643</v>
      </c>
      <c r="O2445" s="69"/>
      <c r="P2445" s="193">
        <v>46082</v>
      </c>
    </row>
    <row r="2446" spans="1:16" ht="15.75" customHeight="1">
      <c r="A2446" s="13">
        <f t="shared" si="46"/>
        <v>2424</v>
      </c>
      <c r="B2446" s="45" t="s">
        <v>1100</v>
      </c>
      <c r="C2446" s="23" t="s">
        <v>1101</v>
      </c>
      <c r="D2446" s="52" t="s">
        <v>1102</v>
      </c>
      <c r="E2446" s="23" t="s">
        <v>13</v>
      </c>
      <c r="F2446" s="46">
        <v>20</v>
      </c>
      <c r="G2446" s="27">
        <v>10</v>
      </c>
      <c r="H2446" s="34"/>
      <c r="I2446" s="84">
        <v>925.17</v>
      </c>
      <c r="J2446" s="136"/>
      <c r="K2446" s="118">
        <v>1322.16</v>
      </c>
      <c r="L2446" s="35"/>
      <c r="M2446" s="85"/>
      <c r="N2446" s="38" t="s">
        <v>643</v>
      </c>
      <c r="O2446" s="69"/>
      <c r="P2446" s="66">
        <v>45078</v>
      </c>
    </row>
    <row r="2447" spans="1:16" ht="15.75" customHeight="1">
      <c r="A2447" s="13">
        <f t="shared" si="46"/>
        <v>2425</v>
      </c>
      <c r="B2447" s="181" t="s">
        <v>1100</v>
      </c>
      <c r="C2447" s="23" t="s">
        <v>1101</v>
      </c>
      <c r="D2447" s="52" t="s">
        <v>1102</v>
      </c>
      <c r="E2447" s="23" t="s">
        <v>13</v>
      </c>
      <c r="F2447" s="46">
        <v>20</v>
      </c>
      <c r="G2447" s="27">
        <v>10</v>
      </c>
      <c r="H2447" s="34"/>
      <c r="I2447" s="84">
        <v>1064.9100000000001</v>
      </c>
      <c r="J2447" s="136"/>
      <c r="K2447" s="118">
        <v>1521.62</v>
      </c>
      <c r="L2447" s="35"/>
      <c r="M2447" s="85"/>
      <c r="N2447" s="38" t="s">
        <v>643</v>
      </c>
      <c r="O2447" s="69"/>
      <c r="P2447" s="66">
        <v>45352</v>
      </c>
    </row>
    <row r="2448" spans="1:16" ht="15.75" customHeight="1">
      <c r="A2448" s="13">
        <f t="shared" si="46"/>
        <v>2426</v>
      </c>
      <c r="B2448" s="181" t="s">
        <v>1100</v>
      </c>
      <c r="C2448" s="23" t="s">
        <v>1101</v>
      </c>
      <c r="D2448" s="52" t="s">
        <v>1102</v>
      </c>
      <c r="E2448" s="23" t="s">
        <v>13</v>
      </c>
      <c r="F2448" s="173">
        <v>16</v>
      </c>
      <c r="G2448" s="173">
        <v>5</v>
      </c>
      <c r="H2448" s="41"/>
      <c r="I2448" s="84">
        <v>1179.0899999999999</v>
      </c>
      <c r="J2448" s="144"/>
      <c r="K2448" s="118">
        <v>2435.15</v>
      </c>
      <c r="L2448" s="53"/>
      <c r="M2448" s="152"/>
      <c r="N2448" s="38" t="s">
        <v>643</v>
      </c>
      <c r="O2448" s="69"/>
      <c r="P2448" s="66">
        <v>45352</v>
      </c>
    </row>
    <row r="2449" spans="1:16" ht="15.75" customHeight="1">
      <c r="A2449" s="13">
        <f t="shared" si="46"/>
        <v>2427</v>
      </c>
      <c r="B2449" s="181" t="s">
        <v>1100</v>
      </c>
      <c r="C2449" s="23" t="s">
        <v>1101</v>
      </c>
      <c r="D2449" s="52" t="s">
        <v>1102</v>
      </c>
      <c r="E2449" s="23" t="s">
        <v>13</v>
      </c>
      <c r="F2449" s="46">
        <v>20</v>
      </c>
      <c r="G2449" s="27">
        <v>10</v>
      </c>
      <c r="H2449" s="41"/>
      <c r="I2449" s="84">
        <v>1225.47</v>
      </c>
      <c r="J2449" s="144"/>
      <c r="K2449" s="118">
        <v>1750.81</v>
      </c>
      <c r="L2449" s="53"/>
      <c r="M2449" s="152"/>
      <c r="N2449" s="38" t="s">
        <v>643</v>
      </c>
      <c r="O2449" s="69"/>
      <c r="P2449" s="66">
        <v>45689</v>
      </c>
    </row>
    <row r="2450" spans="1:16" ht="15.75" customHeight="1">
      <c r="A2450" s="13">
        <f t="shared" si="46"/>
        <v>2428</v>
      </c>
      <c r="B2450" s="181" t="s">
        <v>1100</v>
      </c>
      <c r="C2450" s="23" t="s">
        <v>1101</v>
      </c>
      <c r="D2450" s="52" t="s">
        <v>1102</v>
      </c>
      <c r="E2450" s="23" t="s">
        <v>13</v>
      </c>
      <c r="F2450" s="173">
        <v>16</v>
      </c>
      <c r="G2450" s="173">
        <v>5</v>
      </c>
      <c r="H2450" s="41"/>
      <c r="I2450" s="84">
        <v>1356.79</v>
      </c>
      <c r="J2450" s="144"/>
      <c r="K2450" s="118">
        <v>2801.61</v>
      </c>
      <c r="L2450" s="53"/>
      <c r="M2450" s="152"/>
      <c r="N2450" s="38" t="s">
        <v>643</v>
      </c>
      <c r="O2450" s="69"/>
      <c r="P2450" s="66">
        <v>45689</v>
      </c>
    </row>
    <row r="2451" spans="1:16" ht="15.75" customHeight="1">
      <c r="A2451" s="13">
        <f t="shared" si="46"/>
        <v>2429</v>
      </c>
      <c r="B2451" s="158" t="s">
        <v>1100</v>
      </c>
      <c r="C2451" s="23" t="s">
        <v>1101</v>
      </c>
      <c r="D2451" s="52" t="s">
        <v>1102</v>
      </c>
      <c r="E2451" s="23" t="s">
        <v>13</v>
      </c>
      <c r="F2451" s="46">
        <v>20</v>
      </c>
      <c r="G2451" s="27">
        <v>10</v>
      </c>
      <c r="H2451" s="41"/>
      <c r="I2451" s="84">
        <v>1261.31</v>
      </c>
      <c r="J2451" s="144"/>
      <c r="K2451" s="118">
        <v>1812.75</v>
      </c>
      <c r="L2451" s="53"/>
      <c r="M2451" s="152"/>
      <c r="N2451" s="38" t="s">
        <v>643</v>
      </c>
      <c r="O2451" s="69"/>
      <c r="P2451" s="193">
        <v>46082</v>
      </c>
    </row>
    <row r="2452" spans="1:16" ht="15.75" customHeight="1">
      <c r="A2452" s="13">
        <f t="shared" si="46"/>
        <v>2430</v>
      </c>
      <c r="B2452" s="158" t="s">
        <v>1100</v>
      </c>
      <c r="C2452" s="23" t="s">
        <v>1101</v>
      </c>
      <c r="D2452" s="52" t="s">
        <v>1102</v>
      </c>
      <c r="E2452" s="23" t="s">
        <v>13</v>
      </c>
      <c r="F2452" s="173">
        <v>16</v>
      </c>
      <c r="G2452" s="173">
        <v>5</v>
      </c>
      <c r="H2452" s="41"/>
      <c r="I2452" s="84">
        <v>1399.17</v>
      </c>
      <c r="J2452" s="144"/>
      <c r="K2452" s="118">
        <v>2915.63</v>
      </c>
      <c r="L2452" s="53"/>
      <c r="M2452" s="152"/>
      <c r="N2452" s="38" t="s">
        <v>643</v>
      </c>
      <c r="O2452" s="69"/>
      <c r="P2452" s="193">
        <v>46082</v>
      </c>
    </row>
    <row r="2453" spans="1:16" ht="15.75" customHeight="1">
      <c r="A2453" s="13">
        <f t="shared" si="46"/>
        <v>2431</v>
      </c>
      <c r="B2453" s="45" t="s">
        <v>1133</v>
      </c>
      <c r="C2453" s="23" t="s">
        <v>570</v>
      </c>
      <c r="D2453" s="52" t="s">
        <v>1134</v>
      </c>
      <c r="E2453" s="23" t="s">
        <v>13</v>
      </c>
      <c r="F2453" s="46">
        <v>12</v>
      </c>
      <c r="G2453" s="27">
        <v>6</v>
      </c>
      <c r="H2453" s="34"/>
      <c r="I2453" s="84">
        <v>2190.3000000000002</v>
      </c>
      <c r="J2453" s="136"/>
      <c r="K2453" s="118">
        <v>3976.23</v>
      </c>
      <c r="L2453" s="35"/>
      <c r="M2453" s="85"/>
      <c r="N2453" s="38" t="s">
        <v>796</v>
      </c>
      <c r="O2453" s="69"/>
      <c r="P2453" s="66">
        <v>45231</v>
      </c>
    </row>
    <row r="2454" spans="1:16" ht="15.75" customHeight="1">
      <c r="A2454" s="13">
        <f t="shared" si="46"/>
        <v>2432</v>
      </c>
      <c r="B2454" s="45" t="s">
        <v>1133</v>
      </c>
      <c r="C2454" s="23" t="s">
        <v>570</v>
      </c>
      <c r="D2454" s="52" t="s">
        <v>1135</v>
      </c>
      <c r="E2454" s="23" t="s">
        <v>13</v>
      </c>
      <c r="F2454" s="46">
        <v>5</v>
      </c>
      <c r="G2454" s="27">
        <v>2</v>
      </c>
      <c r="H2454" s="34"/>
      <c r="I2454" s="84">
        <v>4690.62</v>
      </c>
      <c r="J2454" s="136"/>
      <c r="K2454" s="118">
        <v>11119.96</v>
      </c>
      <c r="L2454" s="35"/>
      <c r="M2454" s="85"/>
      <c r="N2454" s="38" t="s">
        <v>796</v>
      </c>
      <c r="O2454" s="69"/>
      <c r="P2454" s="66">
        <v>45231</v>
      </c>
    </row>
    <row r="2455" spans="1:16" ht="15.75" customHeight="1">
      <c r="A2455" s="13">
        <f t="shared" si="46"/>
        <v>2433</v>
      </c>
      <c r="B2455" s="181" t="s">
        <v>1133</v>
      </c>
      <c r="C2455" s="23" t="s">
        <v>570</v>
      </c>
      <c r="D2455" s="52" t="s">
        <v>1135</v>
      </c>
      <c r="E2455" s="23" t="s">
        <v>13</v>
      </c>
      <c r="F2455" s="46">
        <v>12</v>
      </c>
      <c r="G2455" s="27">
        <v>6</v>
      </c>
      <c r="H2455" s="34"/>
      <c r="I2455" s="84">
        <v>2518.96</v>
      </c>
      <c r="J2455" s="136"/>
      <c r="K2455" s="118">
        <v>4572.9399999999996</v>
      </c>
      <c r="L2455" s="35"/>
      <c r="M2455" s="85"/>
      <c r="N2455" s="38" t="s">
        <v>796</v>
      </c>
      <c r="O2455" s="69"/>
      <c r="P2455" s="66">
        <v>45352</v>
      </c>
    </row>
    <row r="2456" spans="1:16" ht="15.75" customHeight="1">
      <c r="A2456" s="13">
        <f t="shared" si="46"/>
        <v>2434</v>
      </c>
      <c r="B2456" s="181" t="s">
        <v>1133</v>
      </c>
      <c r="C2456" s="23" t="s">
        <v>570</v>
      </c>
      <c r="D2456" s="52" t="s">
        <v>1135</v>
      </c>
      <c r="E2456" s="23" t="s">
        <v>13</v>
      </c>
      <c r="F2456" s="46">
        <v>10</v>
      </c>
      <c r="G2456" s="27">
        <v>8</v>
      </c>
      <c r="H2456" s="34"/>
      <c r="I2456" s="84">
        <v>2929.77</v>
      </c>
      <c r="J2456" s="136"/>
      <c r="K2456" s="118">
        <v>3545.99</v>
      </c>
      <c r="L2456" s="35"/>
      <c r="M2456" s="85"/>
      <c r="N2456" s="38" t="s">
        <v>796</v>
      </c>
      <c r="O2456" s="69"/>
      <c r="P2456" s="66">
        <v>45352</v>
      </c>
    </row>
    <row r="2457" spans="1:16" ht="15.75" customHeight="1">
      <c r="A2457" s="13">
        <f t="shared" si="46"/>
        <v>2435</v>
      </c>
      <c r="B2457" s="158" t="s">
        <v>1133</v>
      </c>
      <c r="C2457" s="23" t="s">
        <v>570</v>
      </c>
      <c r="D2457" s="52" t="s">
        <v>1135</v>
      </c>
      <c r="E2457" s="23" t="s">
        <v>13</v>
      </c>
      <c r="F2457" s="46">
        <v>5</v>
      </c>
      <c r="G2457" s="27">
        <v>4</v>
      </c>
      <c r="H2457" s="34"/>
      <c r="I2457" s="84">
        <v>5394.54</v>
      </c>
      <c r="J2457" s="136"/>
      <c r="K2457" s="118">
        <v>6626.88</v>
      </c>
      <c r="L2457" s="35"/>
      <c r="M2457" s="85"/>
      <c r="N2457" s="38" t="s">
        <v>796</v>
      </c>
      <c r="O2457" s="69"/>
      <c r="P2457" s="66">
        <v>45352</v>
      </c>
    </row>
    <row r="2458" spans="1:16" ht="15.75" customHeight="1">
      <c r="A2458" s="13">
        <f t="shared" si="46"/>
        <v>2436</v>
      </c>
      <c r="B2458" s="158" t="s">
        <v>1133</v>
      </c>
      <c r="C2458" s="23" t="s">
        <v>570</v>
      </c>
      <c r="D2458" s="52" t="s">
        <v>1135</v>
      </c>
      <c r="E2458" s="23" t="s">
        <v>13</v>
      </c>
      <c r="F2458" s="46">
        <v>3</v>
      </c>
      <c r="G2458" s="27">
        <v>2</v>
      </c>
      <c r="H2458" s="34"/>
      <c r="I2458" s="84">
        <v>8680.82</v>
      </c>
      <c r="J2458" s="136"/>
      <c r="K2458" s="118">
        <v>12788.72</v>
      </c>
      <c r="L2458" s="35"/>
      <c r="M2458" s="85"/>
      <c r="N2458" s="38" t="s">
        <v>796</v>
      </c>
      <c r="O2458" s="69"/>
      <c r="P2458" s="66">
        <v>45352</v>
      </c>
    </row>
    <row r="2459" spans="1:16" ht="15.75" customHeight="1">
      <c r="A2459" s="13">
        <f t="shared" si="46"/>
        <v>2437</v>
      </c>
      <c r="B2459" s="181" t="s">
        <v>1133</v>
      </c>
      <c r="C2459" s="23" t="s">
        <v>570</v>
      </c>
      <c r="D2459" s="52" t="s">
        <v>1135</v>
      </c>
      <c r="E2459" s="23" t="s">
        <v>13</v>
      </c>
      <c r="F2459" s="46">
        <v>12</v>
      </c>
      <c r="G2459" s="27">
        <v>6</v>
      </c>
      <c r="H2459" s="34"/>
      <c r="I2459" s="84">
        <v>2963.11</v>
      </c>
      <c r="J2459" s="136"/>
      <c r="K2459" s="118">
        <v>5377.45</v>
      </c>
      <c r="L2459" s="35"/>
      <c r="M2459" s="85"/>
      <c r="N2459" s="38" t="s">
        <v>796</v>
      </c>
      <c r="O2459" s="69"/>
      <c r="P2459" s="66">
        <v>45689</v>
      </c>
    </row>
    <row r="2460" spans="1:16" ht="15.75" customHeight="1">
      <c r="A2460" s="13">
        <f t="shared" si="46"/>
        <v>2438</v>
      </c>
      <c r="B2460" s="181" t="s">
        <v>1133</v>
      </c>
      <c r="C2460" s="23" t="s">
        <v>570</v>
      </c>
      <c r="D2460" s="52" t="s">
        <v>1135</v>
      </c>
      <c r="E2460" s="23" t="s">
        <v>13</v>
      </c>
      <c r="F2460" s="46">
        <v>10</v>
      </c>
      <c r="G2460" s="27">
        <v>8</v>
      </c>
      <c r="H2460" s="34"/>
      <c r="I2460" s="84">
        <v>3445.96</v>
      </c>
      <c r="J2460" s="136"/>
      <c r="K2460" s="118">
        <v>4170.25</v>
      </c>
      <c r="L2460" s="35"/>
      <c r="M2460" s="85"/>
      <c r="N2460" s="38" t="s">
        <v>796</v>
      </c>
      <c r="O2460" s="69"/>
      <c r="P2460" s="66">
        <v>45689</v>
      </c>
    </row>
    <row r="2461" spans="1:16" ht="15.75" customHeight="1">
      <c r="A2461" s="13">
        <f t="shared" si="46"/>
        <v>2439</v>
      </c>
      <c r="B2461" s="45" t="s">
        <v>1133</v>
      </c>
      <c r="C2461" s="23" t="s">
        <v>570</v>
      </c>
      <c r="D2461" s="52" t="s">
        <v>1134</v>
      </c>
      <c r="E2461" s="23" t="s">
        <v>13</v>
      </c>
      <c r="F2461" s="46">
        <v>12</v>
      </c>
      <c r="G2461" s="27">
        <v>6</v>
      </c>
      <c r="H2461" s="34"/>
      <c r="I2461" s="84">
        <v>3289.63</v>
      </c>
      <c r="J2461" s="136"/>
      <c r="K2461" s="118">
        <v>5975.66</v>
      </c>
      <c r="L2461" s="35"/>
      <c r="M2461" s="85"/>
      <c r="N2461" s="38" t="s">
        <v>796</v>
      </c>
      <c r="O2461" s="69"/>
      <c r="P2461" s="67">
        <v>46082</v>
      </c>
    </row>
    <row r="2462" spans="1:16" ht="15.75" customHeight="1">
      <c r="A2462" s="13">
        <f t="shared" si="46"/>
        <v>2440</v>
      </c>
      <c r="B2462" s="45" t="s">
        <v>1133</v>
      </c>
      <c r="C2462" s="23" t="s">
        <v>570</v>
      </c>
      <c r="D2462" s="52" t="s">
        <v>1134</v>
      </c>
      <c r="E2462" s="23" t="s">
        <v>13</v>
      </c>
      <c r="F2462" s="46">
        <v>10</v>
      </c>
      <c r="G2462" s="27">
        <v>8</v>
      </c>
      <c r="H2462" s="34"/>
      <c r="I2462" s="84">
        <v>3826.87</v>
      </c>
      <c r="J2462" s="136"/>
      <c r="K2462" s="118">
        <v>4632.6899999999996</v>
      </c>
      <c r="L2462" s="35"/>
      <c r="M2462" s="85"/>
      <c r="N2462" s="38" t="s">
        <v>796</v>
      </c>
      <c r="O2462" s="69"/>
      <c r="P2462" s="67">
        <v>46082</v>
      </c>
    </row>
    <row r="2463" spans="1:16" ht="15.75" customHeight="1">
      <c r="A2463" s="13">
        <f t="shared" si="46"/>
        <v>2441</v>
      </c>
      <c r="B2463" s="184" t="s">
        <v>1133</v>
      </c>
      <c r="C2463" s="23" t="s">
        <v>570</v>
      </c>
      <c r="D2463" s="52" t="s">
        <v>1134</v>
      </c>
      <c r="E2463" s="23" t="s">
        <v>13</v>
      </c>
      <c r="F2463" s="46">
        <v>12</v>
      </c>
      <c r="G2463" s="27">
        <v>8</v>
      </c>
      <c r="H2463" s="34"/>
      <c r="I2463" s="84">
        <v>2306.4</v>
      </c>
      <c r="J2463" s="136"/>
      <c r="K2463" s="118">
        <v>3157.81</v>
      </c>
      <c r="L2463" s="35"/>
      <c r="M2463" s="85"/>
      <c r="N2463" s="38" t="s">
        <v>796</v>
      </c>
      <c r="O2463" s="69"/>
      <c r="P2463" s="193">
        <v>46082</v>
      </c>
    </row>
    <row r="2464" spans="1:16" ht="15.75" customHeight="1">
      <c r="A2464" s="13">
        <f t="shared" si="46"/>
        <v>2442</v>
      </c>
      <c r="B2464" s="184" t="s">
        <v>1133</v>
      </c>
      <c r="C2464" s="23" t="s">
        <v>570</v>
      </c>
      <c r="D2464" s="52" t="s">
        <v>1134</v>
      </c>
      <c r="E2464" s="23" t="s">
        <v>13</v>
      </c>
      <c r="F2464" s="46">
        <v>10</v>
      </c>
      <c r="G2464" s="27">
        <v>6</v>
      </c>
      <c r="H2464" s="34"/>
      <c r="I2464" s="84">
        <v>2646.96</v>
      </c>
      <c r="J2464" s="136"/>
      <c r="K2464" s="118">
        <v>4009.19</v>
      </c>
      <c r="L2464" s="35"/>
      <c r="M2464" s="85"/>
      <c r="N2464" s="38" t="s">
        <v>796</v>
      </c>
      <c r="O2464" s="69"/>
      <c r="P2464" s="193">
        <v>46082</v>
      </c>
    </row>
    <row r="2465" spans="1:16" ht="15.75" customHeight="1">
      <c r="A2465" s="13">
        <f t="shared" si="46"/>
        <v>2443</v>
      </c>
      <c r="B2465" s="181" t="s">
        <v>1173</v>
      </c>
      <c r="C2465" s="23" t="s">
        <v>1099</v>
      </c>
      <c r="D2465" s="52" t="s">
        <v>1174</v>
      </c>
      <c r="E2465" s="23" t="s">
        <v>13</v>
      </c>
      <c r="F2465" s="46">
        <v>16</v>
      </c>
      <c r="G2465" s="27">
        <v>14</v>
      </c>
      <c r="H2465" s="34"/>
      <c r="I2465" s="84">
        <v>1666.08</v>
      </c>
      <c r="J2465" s="136"/>
      <c r="K2465" s="118">
        <v>1781.67</v>
      </c>
      <c r="L2465" s="35"/>
      <c r="M2465" s="85"/>
      <c r="N2465" s="38" t="s">
        <v>643</v>
      </c>
      <c r="O2465" s="69"/>
      <c r="P2465" s="66">
        <v>45383</v>
      </c>
    </row>
    <row r="2466" spans="1:16" ht="15.75" customHeight="1">
      <c r="A2466" s="13">
        <f t="shared" si="46"/>
        <v>2444</v>
      </c>
      <c r="B2466" s="181" t="s">
        <v>1173</v>
      </c>
      <c r="C2466" s="23" t="s">
        <v>1099</v>
      </c>
      <c r="D2466" s="52" t="s">
        <v>1174</v>
      </c>
      <c r="E2466" s="23" t="s">
        <v>13</v>
      </c>
      <c r="F2466" s="46">
        <v>12</v>
      </c>
      <c r="G2466" s="27">
        <v>10</v>
      </c>
      <c r="H2466" s="34"/>
      <c r="I2466" s="84">
        <v>1935.72</v>
      </c>
      <c r="J2466" s="136"/>
      <c r="K2466" s="118">
        <v>2151.4499999999998</v>
      </c>
      <c r="L2466" s="35"/>
      <c r="M2466" s="85"/>
      <c r="N2466" s="38" t="s">
        <v>643</v>
      </c>
      <c r="O2466" s="69"/>
      <c r="P2466" s="66">
        <v>45383</v>
      </c>
    </row>
    <row r="2467" spans="1:16" s="100" customFormat="1" ht="15.75" customHeight="1">
      <c r="A2467" s="13">
        <f t="shared" si="46"/>
        <v>2445</v>
      </c>
      <c r="B2467" s="181" t="s">
        <v>1173</v>
      </c>
      <c r="C2467" s="86" t="s">
        <v>1099</v>
      </c>
      <c r="D2467" s="94" t="s">
        <v>1174</v>
      </c>
      <c r="E2467" s="86" t="s">
        <v>13</v>
      </c>
      <c r="F2467" s="185">
        <v>16</v>
      </c>
      <c r="G2467" s="88">
        <v>14</v>
      </c>
      <c r="H2467" s="89"/>
      <c r="I2467" s="84">
        <v>1916.47</v>
      </c>
      <c r="J2467" s="142"/>
      <c r="K2467" s="84">
        <v>2049.39</v>
      </c>
      <c r="L2467" s="90"/>
      <c r="M2467" s="85"/>
      <c r="N2467" s="186" t="s">
        <v>643</v>
      </c>
      <c r="O2467" s="91"/>
      <c r="P2467" s="92">
        <v>45689</v>
      </c>
    </row>
    <row r="2468" spans="1:16" s="100" customFormat="1" ht="15.75" customHeight="1">
      <c r="A2468" s="13">
        <f t="shared" si="46"/>
        <v>2446</v>
      </c>
      <c r="B2468" s="181" t="s">
        <v>1173</v>
      </c>
      <c r="C2468" s="86" t="s">
        <v>1099</v>
      </c>
      <c r="D2468" s="94" t="s">
        <v>1174</v>
      </c>
      <c r="E2468" s="86" t="s">
        <v>13</v>
      </c>
      <c r="F2468" s="185">
        <v>12</v>
      </c>
      <c r="G2468" s="88">
        <v>10</v>
      </c>
      <c r="H2468" s="89"/>
      <c r="I2468" s="118">
        <v>2226.58</v>
      </c>
      <c r="J2468" s="187" t="s">
        <v>885</v>
      </c>
      <c r="K2468" s="118">
        <v>2474.67</v>
      </c>
      <c r="L2468" s="90"/>
      <c r="M2468" s="85"/>
      <c r="N2468" s="186" t="s">
        <v>643</v>
      </c>
      <c r="O2468" s="91"/>
      <c r="P2468" s="92">
        <v>45689</v>
      </c>
    </row>
    <row r="2469" spans="1:16" s="100" customFormat="1" ht="15.75" customHeight="1">
      <c r="A2469" s="13">
        <f t="shared" si="46"/>
        <v>2447</v>
      </c>
      <c r="B2469" s="184" t="s">
        <v>1173</v>
      </c>
      <c r="C2469" s="86" t="s">
        <v>1099</v>
      </c>
      <c r="D2469" s="94" t="s">
        <v>1174</v>
      </c>
      <c r="E2469" s="86" t="s">
        <v>13</v>
      </c>
      <c r="F2469" s="185">
        <v>16</v>
      </c>
      <c r="G2469" s="88">
        <v>14</v>
      </c>
      <c r="H2469" s="89"/>
      <c r="I2469" s="118">
        <v>2124.7399999999998</v>
      </c>
      <c r="J2469" s="187"/>
      <c r="K2469" s="118">
        <v>2751.14</v>
      </c>
      <c r="L2469" s="90"/>
      <c r="M2469" s="85"/>
      <c r="N2469" s="186" t="s">
        <v>643</v>
      </c>
      <c r="O2469" s="91"/>
      <c r="P2469" s="193">
        <v>46082</v>
      </c>
    </row>
    <row r="2470" spans="1:16" s="100" customFormat="1" ht="15.75" customHeight="1">
      <c r="A2470" s="13">
        <f t="shared" si="46"/>
        <v>2448</v>
      </c>
      <c r="B2470" s="184" t="s">
        <v>1173</v>
      </c>
      <c r="C2470" s="86" t="s">
        <v>1099</v>
      </c>
      <c r="D2470" s="94" t="s">
        <v>1174</v>
      </c>
      <c r="E2470" s="86" t="s">
        <v>13</v>
      </c>
      <c r="F2470" s="185">
        <v>12</v>
      </c>
      <c r="G2470" s="88">
        <v>10</v>
      </c>
      <c r="H2470" s="89"/>
      <c r="I2470" s="118">
        <v>2273.89</v>
      </c>
      <c r="J2470" s="187"/>
      <c r="K2470" s="118">
        <v>2472.7399999999998</v>
      </c>
      <c r="L2470" s="90"/>
      <c r="M2470" s="85"/>
      <c r="N2470" s="186" t="s">
        <v>643</v>
      </c>
      <c r="O2470" s="91"/>
      <c r="P2470" s="193">
        <v>46082</v>
      </c>
    </row>
    <row r="2471" spans="1:16" ht="15.75" customHeight="1">
      <c r="A2471" s="13">
        <f t="shared" si="46"/>
        <v>2449</v>
      </c>
      <c r="B2471" s="181" t="s">
        <v>1182</v>
      </c>
      <c r="C2471" s="23" t="s">
        <v>1099</v>
      </c>
      <c r="D2471" s="52" t="s">
        <v>1204</v>
      </c>
      <c r="E2471" s="23" t="s">
        <v>13</v>
      </c>
      <c r="F2471" s="46">
        <v>16</v>
      </c>
      <c r="G2471" s="27">
        <v>14</v>
      </c>
      <c r="H2471" s="34"/>
      <c r="I2471" s="118">
        <v>2226.58</v>
      </c>
      <c r="J2471" s="136"/>
      <c r="K2471" s="118">
        <v>2257.7800000000002</v>
      </c>
      <c r="L2471" s="35"/>
      <c r="M2471" s="85"/>
      <c r="N2471" s="38" t="s">
        <v>643</v>
      </c>
      <c r="O2471" s="69"/>
      <c r="P2471" s="66">
        <v>45689</v>
      </c>
    </row>
    <row r="2472" spans="1:16" ht="15.75" customHeight="1">
      <c r="A2472" s="13">
        <f t="shared" si="46"/>
        <v>2450</v>
      </c>
      <c r="B2472" s="181" t="s">
        <v>1182</v>
      </c>
      <c r="C2472" s="23" t="s">
        <v>1099</v>
      </c>
      <c r="D2472" s="52" t="s">
        <v>1204</v>
      </c>
      <c r="E2472" s="23" t="s">
        <v>13</v>
      </c>
      <c r="F2472" s="46">
        <v>12</v>
      </c>
      <c r="G2472" s="27">
        <v>10</v>
      </c>
      <c r="H2472" s="34"/>
      <c r="I2472" s="84">
        <v>2434.98</v>
      </c>
      <c r="J2472" s="136"/>
      <c r="K2472" s="118">
        <v>2683.07</v>
      </c>
      <c r="L2472" s="35"/>
      <c r="M2472" s="85"/>
      <c r="N2472" s="38" t="s">
        <v>643</v>
      </c>
      <c r="O2472" s="69"/>
      <c r="P2472" s="66">
        <v>45689</v>
      </c>
    </row>
    <row r="2473" spans="1:16" ht="15.75" customHeight="1">
      <c r="A2473" s="13">
        <f t="shared" si="46"/>
        <v>2451</v>
      </c>
      <c r="B2473" s="158" t="s">
        <v>1182</v>
      </c>
      <c r="C2473" s="23" t="s">
        <v>1099</v>
      </c>
      <c r="D2473" s="52" t="s">
        <v>1204</v>
      </c>
      <c r="E2473" s="23" t="s">
        <v>13</v>
      </c>
      <c r="F2473" s="46">
        <v>16</v>
      </c>
      <c r="G2473" s="27">
        <v>14</v>
      </c>
      <c r="H2473" s="34"/>
      <c r="I2473" s="84">
        <v>2352.35</v>
      </c>
      <c r="J2473" s="136"/>
      <c r="K2473" s="118">
        <v>2978.75</v>
      </c>
      <c r="L2473" s="35"/>
      <c r="M2473" s="85"/>
      <c r="N2473" s="38" t="s">
        <v>643</v>
      </c>
      <c r="O2473" s="69"/>
      <c r="P2473" s="193">
        <v>46082</v>
      </c>
    </row>
    <row r="2474" spans="1:16" ht="15.75" customHeight="1">
      <c r="A2474" s="13">
        <f t="shared" si="46"/>
        <v>2452</v>
      </c>
      <c r="B2474" s="158" t="s">
        <v>1182</v>
      </c>
      <c r="C2474" s="23" t="s">
        <v>1099</v>
      </c>
      <c r="D2474" s="52" t="s">
        <v>1204</v>
      </c>
      <c r="E2474" s="23" t="s">
        <v>13</v>
      </c>
      <c r="F2474" s="46">
        <v>12</v>
      </c>
      <c r="G2474" s="27">
        <v>10</v>
      </c>
      <c r="H2474" s="34"/>
      <c r="I2474" s="84">
        <v>2501.5</v>
      </c>
      <c r="J2474" s="136"/>
      <c r="K2474" s="118">
        <v>2700.35</v>
      </c>
      <c r="L2474" s="35"/>
      <c r="M2474" s="85"/>
      <c r="N2474" s="38" t="s">
        <v>643</v>
      </c>
      <c r="O2474" s="69"/>
      <c r="P2474" s="193">
        <v>46082</v>
      </c>
    </row>
    <row r="2475" spans="1:16" ht="12.75" customHeight="1">
      <c r="A2475" s="202" t="s">
        <v>26</v>
      </c>
      <c r="B2475" s="202"/>
      <c r="C2475" s="202"/>
      <c r="D2475" s="202"/>
      <c r="E2475" s="202"/>
      <c r="F2475" s="202"/>
      <c r="G2475" s="202"/>
      <c r="H2475" s="202"/>
      <c r="I2475" s="202"/>
      <c r="J2475" s="202"/>
      <c r="K2475" s="202"/>
      <c r="L2475" s="202"/>
      <c r="M2475" s="202"/>
      <c r="N2475" s="202"/>
      <c r="O2475" s="202"/>
      <c r="P2475" s="202"/>
    </row>
    <row r="2476" spans="1:16" ht="12.75" customHeight="1">
      <c r="A2476" s="13">
        <f>A2474+1</f>
        <v>2453</v>
      </c>
      <c r="B2476" s="32" t="s">
        <v>359</v>
      </c>
      <c r="C2476" s="14" t="s">
        <v>192</v>
      </c>
      <c r="D2476" s="15" t="s">
        <v>193</v>
      </c>
      <c r="E2476" s="57" t="s">
        <v>13</v>
      </c>
      <c r="F2476" s="27">
        <v>10</v>
      </c>
      <c r="G2476" s="27">
        <v>4</v>
      </c>
      <c r="H2476" s="44">
        <v>976.8</v>
      </c>
      <c r="I2476" s="103">
        <v>829.07</v>
      </c>
      <c r="J2476" s="131">
        <v>1837.77</v>
      </c>
      <c r="K2476" s="132">
        <v>1126.48</v>
      </c>
      <c r="L2476" s="47">
        <v>0</v>
      </c>
      <c r="M2476" s="103"/>
      <c r="N2476" s="99" t="s">
        <v>642</v>
      </c>
      <c r="O2476" s="68">
        <v>584</v>
      </c>
      <c r="P2476" s="66">
        <v>43617</v>
      </c>
    </row>
    <row r="2477" spans="1:16" ht="12.75" customHeight="1">
      <c r="A2477" s="13">
        <f>A2476+1</f>
        <v>2454</v>
      </c>
      <c r="B2477" s="32" t="s">
        <v>495</v>
      </c>
      <c r="C2477" s="14" t="s">
        <v>192</v>
      </c>
      <c r="D2477" s="15" t="s">
        <v>194</v>
      </c>
      <c r="E2477" s="57" t="s">
        <v>13</v>
      </c>
      <c r="F2477" s="27">
        <v>10</v>
      </c>
      <c r="G2477" s="27">
        <v>4</v>
      </c>
      <c r="H2477" s="44">
        <v>1013.74</v>
      </c>
      <c r="I2477" s="103">
        <v>866.02</v>
      </c>
      <c r="J2477" s="131">
        <v>1874.73</v>
      </c>
      <c r="K2477" s="132">
        <v>1163.43</v>
      </c>
      <c r="L2477" s="47"/>
      <c r="M2477" s="103"/>
      <c r="N2477" s="99" t="s">
        <v>642</v>
      </c>
      <c r="O2477" s="68">
        <v>584</v>
      </c>
      <c r="P2477" s="66">
        <v>43617</v>
      </c>
    </row>
    <row r="2478" spans="1:16" ht="12.75" customHeight="1">
      <c r="A2478" s="13">
        <f t="shared" ref="A2478:A2482" si="47">A2477+1</f>
        <v>2455</v>
      </c>
      <c r="B2478" s="32" t="s">
        <v>496</v>
      </c>
      <c r="C2478" s="14" t="s">
        <v>195</v>
      </c>
      <c r="D2478" s="15" t="s">
        <v>196</v>
      </c>
      <c r="E2478" s="57" t="s">
        <v>13</v>
      </c>
      <c r="F2478" s="27">
        <v>10</v>
      </c>
      <c r="G2478" s="27">
        <v>4</v>
      </c>
      <c r="H2478" s="44"/>
      <c r="I2478" s="103">
        <v>847.55</v>
      </c>
      <c r="J2478" s="131"/>
      <c r="K2478" s="132">
        <v>1144.96</v>
      </c>
      <c r="L2478" s="47"/>
      <c r="M2478" s="103"/>
      <c r="N2478" s="99" t="s">
        <v>642</v>
      </c>
      <c r="O2478" s="68"/>
      <c r="P2478" s="66">
        <v>43617</v>
      </c>
    </row>
    <row r="2479" spans="1:16" ht="12.75" customHeight="1">
      <c r="A2479" s="13">
        <f t="shared" si="47"/>
        <v>2456</v>
      </c>
      <c r="B2479" s="32" t="s">
        <v>496</v>
      </c>
      <c r="C2479" s="14" t="s">
        <v>195</v>
      </c>
      <c r="D2479" s="15" t="s">
        <v>196</v>
      </c>
      <c r="E2479" s="57" t="s">
        <v>13</v>
      </c>
      <c r="F2479" s="26">
        <v>20</v>
      </c>
      <c r="G2479" s="26">
        <v>4</v>
      </c>
      <c r="H2479" s="44">
        <v>680.31</v>
      </c>
      <c r="I2479" s="103"/>
      <c r="J2479" s="131">
        <v>804.47</v>
      </c>
      <c r="K2479" s="132"/>
      <c r="L2479" s="47">
        <v>0</v>
      </c>
      <c r="M2479" s="103"/>
      <c r="N2479" s="99" t="s">
        <v>642</v>
      </c>
      <c r="O2479" s="68">
        <v>584</v>
      </c>
      <c r="P2479" s="66" t="s">
        <v>782</v>
      </c>
    </row>
    <row r="2480" spans="1:16" ht="12.75" customHeight="1">
      <c r="A2480" s="13">
        <f t="shared" si="47"/>
        <v>2457</v>
      </c>
      <c r="B2480" s="32" t="s">
        <v>496</v>
      </c>
      <c r="C2480" s="14" t="s">
        <v>195</v>
      </c>
      <c r="D2480" s="15" t="s">
        <v>196</v>
      </c>
      <c r="E2480" s="57" t="s">
        <v>13</v>
      </c>
      <c r="F2480" s="26">
        <v>12</v>
      </c>
      <c r="G2480" s="26">
        <v>4</v>
      </c>
      <c r="H2480" s="44"/>
      <c r="I2480" s="103">
        <v>814.5</v>
      </c>
      <c r="J2480" s="131"/>
      <c r="K2480" s="132">
        <v>1144.96</v>
      </c>
      <c r="L2480" s="47"/>
      <c r="M2480" s="103"/>
      <c r="N2480" s="99" t="s">
        <v>642</v>
      </c>
      <c r="O2480" s="68" t="s">
        <v>869</v>
      </c>
      <c r="P2480" s="66">
        <v>43647</v>
      </c>
    </row>
    <row r="2481" spans="1:16" ht="12.75" customHeight="1">
      <c r="A2481" s="13">
        <f t="shared" si="47"/>
        <v>2458</v>
      </c>
      <c r="B2481" s="32" t="s">
        <v>497</v>
      </c>
      <c r="C2481" s="14" t="s">
        <v>197</v>
      </c>
      <c r="D2481" s="15" t="s">
        <v>198</v>
      </c>
      <c r="E2481" s="57" t="s">
        <v>13</v>
      </c>
      <c r="F2481" s="26">
        <v>20</v>
      </c>
      <c r="G2481" s="26">
        <v>10</v>
      </c>
      <c r="H2481" s="44">
        <v>809.13</v>
      </c>
      <c r="I2481" s="103"/>
      <c r="J2481" s="131">
        <v>1178.58</v>
      </c>
      <c r="K2481" s="132"/>
      <c r="L2481" s="47">
        <v>0</v>
      </c>
      <c r="M2481" s="103"/>
      <c r="N2481" s="99" t="s">
        <v>642</v>
      </c>
      <c r="O2481" s="68">
        <v>583</v>
      </c>
      <c r="P2481" s="66">
        <v>41275</v>
      </c>
    </row>
    <row r="2482" spans="1:16" ht="15.75" customHeight="1">
      <c r="A2482" s="13">
        <f t="shared" si="47"/>
        <v>2459</v>
      </c>
      <c r="B2482" s="32" t="s">
        <v>498</v>
      </c>
      <c r="C2482" s="23" t="s">
        <v>284</v>
      </c>
      <c r="D2482" s="24" t="s">
        <v>285</v>
      </c>
      <c r="E2482" s="25" t="s">
        <v>13</v>
      </c>
      <c r="F2482" s="28" t="s">
        <v>286</v>
      </c>
      <c r="G2482" s="28" t="s">
        <v>287</v>
      </c>
      <c r="H2482" s="44">
        <v>3008.9</v>
      </c>
      <c r="I2482" s="103"/>
      <c r="J2482" s="131">
        <v>1509.46</v>
      </c>
      <c r="K2482" s="132"/>
      <c r="L2482" s="70" t="s">
        <v>262</v>
      </c>
      <c r="M2482" s="165"/>
      <c r="N2482" s="107" t="s">
        <v>820</v>
      </c>
      <c r="O2482" s="68">
        <v>607</v>
      </c>
      <c r="P2482" s="66">
        <v>41275</v>
      </c>
    </row>
    <row r="2483" spans="1:16" ht="12.75" customHeight="1">
      <c r="A2483" s="202" t="s">
        <v>27</v>
      </c>
      <c r="B2483" s="202"/>
      <c r="C2483" s="202"/>
      <c r="D2483" s="202"/>
      <c r="E2483" s="202"/>
      <c r="F2483" s="202"/>
      <c r="G2483" s="202"/>
      <c r="H2483" s="202"/>
      <c r="I2483" s="202"/>
      <c r="J2483" s="202"/>
      <c r="K2483" s="202"/>
      <c r="L2483" s="202"/>
      <c r="M2483" s="202"/>
      <c r="N2483" s="202"/>
      <c r="O2483" s="202"/>
      <c r="P2483" s="202"/>
    </row>
    <row r="2484" spans="1:16" ht="12.75" customHeight="1">
      <c r="A2484" s="13">
        <f>A2482+1</f>
        <v>2460</v>
      </c>
      <c r="B2484" s="52" t="s">
        <v>499</v>
      </c>
      <c r="C2484" s="14" t="s">
        <v>199</v>
      </c>
      <c r="D2484" s="24" t="s">
        <v>568</v>
      </c>
      <c r="E2484" s="57" t="s">
        <v>13</v>
      </c>
      <c r="F2484" s="26">
        <v>20</v>
      </c>
      <c r="G2484" s="26">
        <v>10</v>
      </c>
      <c r="H2484" s="44">
        <v>1126.07</v>
      </c>
      <c r="I2484" s="103">
        <v>1108.54</v>
      </c>
      <c r="J2484" s="131">
        <v>1659.09</v>
      </c>
      <c r="K2484" s="132">
        <v>1624.04</v>
      </c>
      <c r="L2484" s="70" t="s">
        <v>262</v>
      </c>
      <c r="M2484" s="165"/>
      <c r="N2484" s="38" t="s">
        <v>796</v>
      </c>
      <c r="O2484" s="39"/>
      <c r="P2484" s="66">
        <v>43617</v>
      </c>
    </row>
    <row r="2485" spans="1:16" ht="12.75" customHeight="1">
      <c r="A2485" s="13">
        <f>A2484+1</f>
        <v>2461</v>
      </c>
      <c r="B2485" s="14" t="s">
        <v>499</v>
      </c>
      <c r="C2485" s="14" t="s">
        <v>199</v>
      </c>
      <c r="D2485" s="24" t="s">
        <v>568</v>
      </c>
      <c r="E2485" s="25" t="s">
        <v>13</v>
      </c>
      <c r="F2485" s="26">
        <v>20</v>
      </c>
      <c r="G2485" s="26">
        <v>10</v>
      </c>
      <c r="H2485" s="44"/>
      <c r="I2485" s="103">
        <v>1175.9000000000001</v>
      </c>
      <c r="J2485" s="131"/>
      <c r="K2485" s="132">
        <v>1748.16</v>
      </c>
      <c r="L2485" s="70"/>
      <c r="M2485" s="165"/>
      <c r="N2485" s="38" t="s">
        <v>796</v>
      </c>
      <c r="O2485" s="39"/>
      <c r="P2485" s="66">
        <v>44562</v>
      </c>
    </row>
    <row r="2486" spans="1:16" ht="12.75" customHeight="1">
      <c r="A2486" s="13">
        <f t="shared" ref="A2486:A2549" si="48">A2485+1</f>
        <v>2462</v>
      </c>
      <c r="B2486" s="14" t="s">
        <v>499</v>
      </c>
      <c r="C2486" s="14" t="s">
        <v>199</v>
      </c>
      <c r="D2486" s="24" t="s">
        <v>568</v>
      </c>
      <c r="E2486" s="25" t="s">
        <v>13</v>
      </c>
      <c r="F2486" s="26">
        <v>20</v>
      </c>
      <c r="G2486" s="26">
        <v>10</v>
      </c>
      <c r="H2486" s="44"/>
      <c r="I2486" s="103">
        <v>1189.23</v>
      </c>
      <c r="J2486" s="131"/>
      <c r="K2486" s="132">
        <v>1774.09</v>
      </c>
      <c r="L2486" s="70"/>
      <c r="M2486" s="165"/>
      <c r="N2486" s="38" t="s">
        <v>796</v>
      </c>
      <c r="O2486" s="39"/>
      <c r="P2486" s="66">
        <v>45078</v>
      </c>
    </row>
    <row r="2487" spans="1:16" ht="12.75" customHeight="1">
      <c r="A2487" s="13">
        <f t="shared" si="48"/>
        <v>2463</v>
      </c>
      <c r="B2487" s="32" t="s">
        <v>499</v>
      </c>
      <c r="C2487" s="14" t="s">
        <v>199</v>
      </c>
      <c r="D2487" s="24" t="s">
        <v>568</v>
      </c>
      <c r="E2487" s="25" t="s">
        <v>13</v>
      </c>
      <c r="F2487" s="26">
        <v>20</v>
      </c>
      <c r="G2487" s="26">
        <v>10</v>
      </c>
      <c r="H2487" s="44"/>
      <c r="I2487" s="103">
        <v>1367.72</v>
      </c>
      <c r="J2487" s="131"/>
      <c r="K2487" s="132">
        <v>2040.39</v>
      </c>
      <c r="L2487" s="70"/>
      <c r="M2487" s="165"/>
      <c r="N2487" s="38" t="s">
        <v>796</v>
      </c>
      <c r="O2487" s="39"/>
      <c r="P2487" s="66">
        <v>45352</v>
      </c>
    </row>
    <row r="2488" spans="1:16" ht="12.75" customHeight="1">
      <c r="A2488" s="13">
        <f t="shared" si="48"/>
        <v>2464</v>
      </c>
      <c r="B2488" s="32" t="s">
        <v>499</v>
      </c>
      <c r="C2488" s="14" t="s">
        <v>199</v>
      </c>
      <c r="D2488" s="24" t="s">
        <v>568</v>
      </c>
      <c r="E2488" s="25" t="s">
        <v>13</v>
      </c>
      <c r="F2488" s="26">
        <v>16</v>
      </c>
      <c r="G2488" s="26">
        <v>14</v>
      </c>
      <c r="H2488" s="44"/>
      <c r="I2488" s="103">
        <v>1535.87</v>
      </c>
      <c r="J2488" s="131"/>
      <c r="K2488" s="132">
        <v>1656.02</v>
      </c>
      <c r="L2488" s="70"/>
      <c r="M2488" s="165"/>
      <c r="N2488" s="38" t="s">
        <v>796</v>
      </c>
      <c r="O2488" s="39"/>
      <c r="P2488" s="66">
        <v>45352</v>
      </c>
    </row>
    <row r="2489" spans="1:16" ht="12.75" customHeight="1">
      <c r="A2489" s="13">
        <f t="shared" si="48"/>
        <v>2465</v>
      </c>
      <c r="B2489" s="32" t="s">
        <v>499</v>
      </c>
      <c r="C2489" s="14" t="s">
        <v>199</v>
      </c>
      <c r="D2489" s="24" t="s">
        <v>568</v>
      </c>
      <c r="E2489" s="25" t="s">
        <v>13</v>
      </c>
      <c r="F2489" s="26">
        <v>20</v>
      </c>
      <c r="G2489" s="26">
        <v>10</v>
      </c>
      <c r="H2489" s="44"/>
      <c r="I2489" s="103">
        <v>1611.52</v>
      </c>
      <c r="J2489" s="131"/>
      <c r="K2489" s="132">
        <v>2402.9699999999998</v>
      </c>
      <c r="L2489" s="70"/>
      <c r="M2489" s="165"/>
      <c r="N2489" s="38" t="s">
        <v>796</v>
      </c>
      <c r="O2489" s="39"/>
      <c r="P2489" s="66">
        <v>45689</v>
      </c>
    </row>
    <row r="2490" spans="1:16" ht="12.75" customHeight="1">
      <c r="A2490" s="13">
        <f t="shared" si="48"/>
        <v>2466</v>
      </c>
      <c r="B2490" s="32" t="s">
        <v>499</v>
      </c>
      <c r="C2490" s="14" t="s">
        <v>199</v>
      </c>
      <c r="D2490" s="24" t="s">
        <v>568</v>
      </c>
      <c r="E2490" s="25" t="s">
        <v>13</v>
      </c>
      <c r="F2490" s="26">
        <v>16</v>
      </c>
      <c r="G2490" s="26">
        <v>14</v>
      </c>
      <c r="H2490" s="44"/>
      <c r="I2490" s="103">
        <v>1809.41</v>
      </c>
      <c r="J2490" s="131"/>
      <c r="K2490" s="132">
        <v>1950.72</v>
      </c>
      <c r="L2490" s="70"/>
      <c r="M2490" s="165"/>
      <c r="N2490" s="38" t="s">
        <v>796</v>
      </c>
      <c r="O2490" s="39"/>
      <c r="P2490" s="66">
        <v>45689</v>
      </c>
    </row>
    <row r="2491" spans="1:16" ht="12.75" customHeight="1">
      <c r="A2491" s="13">
        <f t="shared" si="48"/>
        <v>2467</v>
      </c>
      <c r="B2491" s="156" t="s">
        <v>499</v>
      </c>
      <c r="C2491" s="14" t="s">
        <v>199</v>
      </c>
      <c r="D2491" s="24" t="s">
        <v>568</v>
      </c>
      <c r="E2491" s="25" t="s">
        <v>13</v>
      </c>
      <c r="F2491" s="26">
        <v>20</v>
      </c>
      <c r="G2491" s="26">
        <v>10</v>
      </c>
      <c r="H2491" s="44"/>
      <c r="I2491" s="103">
        <v>1792.56</v>
      </c>
      <c r="J2491" s="131"/>
      <c r="K2491" s="132">
        <v>2683</v>
      </c>
      <c r="L2491" s="70"/>
      <c r="M2491" s="165"/>
      <c r="N2491" s="38" t="s">
        <v>796</v>
      </c>
      <c r="O2491" s="39"/>
      <c r="P2491" s="193">
        <v>46082</v>
      </c>
    </row>
    <row r="2492" spans="1:16" ht="12.75" customHeight="1">
      <c r="A2492" s="13">
        <f t="shared" si="48"/>
        <v>2468</v>
      </c>
      <c r="B2492" s="156" t="s">
        <v>499</v>
      </c>
      <c r="C2492" s="14" t="s">
        <v>199</v>
      </c>
      <c r="D2492" s="24" t="s">
        <v>568</v>
      </c>
      <c r="E2492" s="25" t="s">
        <v>13</v>
      </c>
      <c r="F2492" s="26">
        <v>16</v>
      </c>
      <c r="G2492" s="26">
        <v>14</v>
      </c>
      <c r="H2492" s="44"/>
      <c r="I2492" s="103">
        <v>2015.2</v>
      </c>
      <c r="J2492" s="131"/>
      <c r="K2492" s="132">
        <v>2174.19</v>
      </c>
      <c r="L2492" s="70"/>
      <c r="M2492" s="165"/>
      <c r="N2492" s="38" t="s">
        <v>796</v>
      </c>
      <c r="O2492" s="39"/>
      <c r="P2492" s="193">
        <v>46082</v>
      </c>
    </row>
    <row r="2493" spans="1:16" ht="12.75" customHeight="1">
      <c r="A2493" s="13">
        <f t="shared" si="48"/>
        <v>2469</v>
      </c>
      <c r="B2493" s="32" t="s">
        <v>500</v>
      </c>
      <c r="C2493" s="14" t="s">
        <v>199</v>
      </c>
      <c r="D2493" s="15" t="s">
        <v>201</v>
      </c>
      <c r="E2493" s="57" t="s">
        <v>13</v>
      </c>
      <c r="F2493" s="26">
        <v>20</v>
      </c>
      <c r="G2493" s="26">
        <v>10</v>
      </c>
      <c r="H2493" s="44">
        <v>1157.01</v>
      </c>
      <c r="I2493" s="103"/>
      <c r="J2493" s="131">
        <v>1722.83</v>
      </c>
      <c r="K2493" s="132"/>
      <c r="L2493" s="47">
        <v>0</v>
      </c>
      <c r="M2493" s="103"/>
      <c r="N2493" s="38" t="s">
        <v>796</v>
      </c>
      <c r="O2493" s="39"/>
      <c r="P2493" s="51"/>
    </row>
    <row r="2494" spans="1:16" ht="12.75" customHeight="1">
      <c r="A2494" s="13">
        <f t="shared" si="48"/>
        <v>2470</v>
      </c>
      <c r="B2494" s="32" t="s">
        <v>501</v>
      </c>
      <c r="C2494" s="14" t="s">
        <v>199</v>
      </c>
      <c r="D2494" s="15" t="s">
        <v>202</v>
      </c>
      <c r="E2494" s="57" t="s">
        <v>13</v>
      </c>
      <c r="F2494" s="26">
        <v>20</v>
      </c>
      <c r="G2494" s="26">
        <v>10</v>
      </c>
      <c r="H2494" s="44">
        <v>1157.01</v>
      </c>
      <c r="I2494" s="103"/>
      <c r="J2494" s="131">
        <v>1722.83</v>
      </c>
      <c r="K2494" s="132"/>
      <c r="L2494" s="47">
        <v>0</v>
      </c>
      <c r="M2494" s="103"/>
      <c r="N2494" s="38" t="s">
        <v>796</v>
      </c>
      <c r="O2494" s="39"/>
      <c r="P2494" s="51"/>
    </row>
    <row r="2495" spans="1:16" ht="12.75" customHeight="1">
      <c r="A2495" s="13">
        <f t="shared" si="48"/>
        <v>2471</v>
      </c>
      <c r="B2495" s="32" t="s">
        <v>502</v>
      </c>
      <c r="C2495" s="14" t="s">
        <v>203</v>
      </c>
      <c r="D2495" s="15" t="s">
        <v>204</v>
      </c>
      <c r="E2495" s="57" t="s">
        <v>13</v>
      </c>
      <c r="F2495" s="26">
        <v>40</v>
      </c>
      <c r="G2495" s="26">
        <v>10</v>
      </c>
      <c r="H2495" s="44">
        <v>804.51</v>
      </c>
      <c r="I2495" s="103"/>
      <c r="J2495" s="131">
        <v>1778.94</v>
      </c>
      <c r="K2495" s="132"/>
      <c r="L2495" s="47">
        <v>0</v>
      </c>
      <c r="M2495" s="103"/>
      <c r="N2495" s="38" t="s">
        <v>641</v>
      </c>
      <c r="O2495" s="39"/>
      <c r="P2495" s="51"/>
    </row>
    <row r="2496" spans="1:16" ht="12.75" customHeight="1">
      <c r="A2496" s="13">
        <f t="shared" si="48"/>
        <v>2472</v>
      </c>
      <c r="B2496" s="32" t="s">
        <v>503</v>
      </c>
      <c r="C2496" s="14" t="s">
        <v>203</v>
      </c>
      <c r="D2496" s="15" t="s">
        <v>205</v>
      </c>
      <c r="E2496" s="57" t="s">
        <v>13</v>
      </c>
      <c r="F2496" s="26">
        <v>40</v>
      </c>
      <c r="G2496" s="26">
        <v>10</v>
      </c>
      <c r="H2496" s="44">
        <v>804.51</v>
      </c>
      <c r="I2496" s="103"/>
      <c r="J2496" s="131">
        <v>1778.94</v>
      </c>
      <c r="K2496" s="132"/>
      <c r="L2496" s="47">
        <v>0</v>
      </c>
      <c r="M2496" s="103"/>
      <c r="N2496" s="38" t="s">
        <v>641</v>
      </c>
      <c r="O2496" s="39"/>
      <c r="P2496" s="51"/>
    </row>
    <row r="2497" spans="1:16" ht="12.75" customHeight="1">
      <c r="A2497" s="13">
        <f t="shared" si="48"/>
        <v>2473</v>
      </c>
      <c r="B2497" s="32" t="s">
        <v>504</v>
      </c>
      <c r="C2497" s="14" t="s">
        <v>203</v>
      </c>
      <c r="D2497" s="15" t="s">
        <v>206</v>
      </c>
      <c r="E2497" s="57" t="s">
        <v>13</v>
      </c>
      <c r="F2497" s="26">
        <v>40</v>
      </c>
      <c r="G2497" s="26">
        <v>10</v>
      </c>
      <c r="H2497" s="44">
        <v>804.51</v>
      </c>
      <c r="I2497" s="103"/>
      <c r="J2497" s="131">
        <v>1778.94</v>
      </c>
      <c r="K2497" s="132"/>
      <c r="L2497" s="47">
        <v>0</v>
      </c>
      <c r="M2497" s="103"/>
      <c r="N2497" s="38" t="s">
        <v>641</v>
      </c>
      <c r="O2497" s="39"/>
      <c r="P2497" s="51"/>
    </row>
    <row r="2498" spans="1:16" ht="12.75" customHeight="1">
      <c r="A2498" s="13">
        <f t="shared" si="48"/>
        <v>2474</v>
      </c>
      <c r="B2498" s="32" t="s">
        <v>505</v>
      </c>
      <c r="C2498" s="14" t="s">
        <v>207</v>
      </c>
      <c r="D2498" s="15" t="s">
        <v>208</v>
      </c>
      <c r="E2498" s="57" t="s">
        <v>13</v>
      </c>
      <c r="F2498" s="26">
        <v>16</v>
      </c>
      <c r="G2498" s="26">
        <v>10</v>
      </c>
      <c r="H2498" s="44">
        <v>2470.5100000000002</v>
      </c>
      <c r="I2498" s="103"/>
      <c r="J2498" s="131">
        <v>3083.79</v>
      </c>
      <c r="K2498" s="132"/>
      <c r="L2498" s="47">
        <v>0</v>
      </c>
      <c r="M2498" s="103"/>
      <c r="N2498" s="39" t="s">
        <v>644</v>
      </c>
      <c r="O2498" s="69">
        <v>606</v>
      </c>
      <c r="P2498" s="51"/>
    </row>
    <row r="2499" spans="1:16" ht="12.75" customHeight="1">
      <c r="A2499" s="13">
        <f t="shared" si="48"/>
        <v>2475</v>
      </c>
      <c r="B2499" s="32" t="s">
        <v>506</v>
      </c>
      <c r="C2499" s="14" t="s">
        <v>199</v>
      </c>
      <c r="D2499" s="15" t="s">
        <v>200</v>
      </c>
      <c r="E2499" s="57" t="s">
        <v>19</v>
      </c>
      <c r="F2499" s="26">
        <v>20</v>
      </c>
      <c r="G2499" s="26">
        <v>10</v>
      </c>
      <c r="H2499" s="44">
        <v>1897.72</v>
      </c>
      <c r="I2499" s="103"/>
      <c r="J2499" s="131">
        <v>2541.91</v>
      </c>
      <c r="K2499" s="132"/>
      <c r="L2499" s="47">
        <v>16856.509999999998</v>
      </c>
      <c r="M2499" s="103"/>
      <c r="N2499" s="38" t="s">
        <v>796</v>
      </c>
      <c r="O2499" s="39"/>
      <c r="P2499" s="51"/>
    </row>
    <row r="2500" spans="1:16" ht="12.75" customHeight="1">
      <c r="A2500" s="13">
        <f t="shared" si="48"/>
        <v>2476</v>
      </c>
      <c r="B2500" s="32" t="s">
        <v>507</v>
      </c>
      <c r="C2500" s="14" t="s">
        <v>199</v>
      </c>
      <c r="D2500" s="15" t="s">
        <v>201</v>
      </c>
      <c r="E2500" s="57" t="s">
        <v>19</v>
      </c>
      <c r="F2500" s="26">
        <v>20</v>
      </c>
      <c r="G2500" s="26">
        <v>10</v>
      </c>
      <c r="H2500" s="44">
        <v>1897.72</v>
      </c>
      <c r="I2500" s="103"/>
      <c r="J2500" s="131">
        <v>2541.91</v>
      </c>
      <c r="K2500" s="132"/>
      <c r="L2500" s="47">
        <v>16856.509999999998</v>
      </c>
      <c r="M2500" s="103"/>
      <c r="N2500" s="38" t="s">
        <v>796</v>
      </c>
      <c r="O2500" s="39"/>
      <c r="P2500" s="51"/>
    </row>
    <row r="2501" spans="1:16" ht="12.75" customHeight="1">
      <c r="A2501" s="13">
        <f t="shared" si="48"/>
        <v>2477</v>
      </c>
      <c r="B2501" s="52" t="s">
        <v>508</v>
      </c>
      <c r="C2501" s="14" t="s">
        <v>199</v>
      </c>
      <c r="D2501" s="24" t="s">
        <v>569</v>
      </c>
      <c r="E2501" s="57" t="s">
        <v>19</v>
      </c>
      <c r="F2501" s="26">
        <v>20</v>
      </c>
      <c r="G2501" s="26">
        <v>10</v>
      </c>
      <c r="H2501" s="44">
        <v>1989.05</v>
      </c>
      <c r="I2501" s="103"/>
      <c r="J2501" s="131">
        <v>2741.36</v>
      </c>
      <c r="K2501" s="132"/>
      <c r="L2501" s="47">
        <v>14751.95</v>
      </c>
      <c r="M2501" s="103"/>
      <c r="N2501" s="38" t="s">
        <v>796</v>
      </c>
      <c r="O2501" s="39"/>
      <c r="P2501" s="66">
        <v>43230</v>
      </c>
    </row>
    <row r="2502" spans="1:16" ht="12.75" customHeight="1">
      <c r="A2502" s="13">
        <f t="shared" si="48"/>
        <v>2478</v>
      </c>
      <c r="B2502" s="52" t="s">
        <v>815</v>
      </c>
      <c r="C2502" s="14" t="s">
        <v>199</v>
      </c>
      <c r="D2502" s="24" t="s">
        <v>569</v>
      </c>
      <c r="E2502" s="57" t="s">
        <v>19</v>
      </c>
      <c r="F2502" s="26">
        <v>20</v>
      </c>
      <c r="G2502" s="26">
        <v>10</v>
      </c>
      <c r="H2502" s="44"/>
      <c r="I2502" s="103">
        <v>2025.53</v>
      </c>
      <c r="J2502" s="131"/>
      <c r="K2502" s="132">
        <v>2782.34</v>
      </c>
      <c r="L2502" s="47"/>
      <c r="M2502" s="103">
        <v>14886.51</v>
      </c>
      <c r="N2502" s="38" t="s">
        <v>796</v>
      </c>
      <c r="O2502" s="39"/>
      <c r="P2502" s="66">
        <v>43617</v>
      </c>
    </row>
    <row r="2503" spans="1:16" ht="12.75" customHeight="1">
      <c r="A2503" s="13">
        <f t="shared" si="48"/>
        <v>2479</v>
      </c>
      <c r="B2503" s="32" t="s">
        <v>815</v>
      </c>
      <c r="C2503" s="14" t="s">
        <v>199</v>
      </c>
      <c r="D2503" s="24" t="s">
        <v>569</v>
      </c>
      <c r="E2503" s="25" t="s">
        <v>19</v>
      </c>
      <c r="F2503" s="26">
        <v>20</v>
      </c>
      <c r="G2503" s="26">
        <v>10</v>
      </c>
      <c r="H2503" s="44"/>
      <c r="I2503" s="103">
        <v>1637.03</v>
      </c>
      <c r="J2503" s="131"/>
      <c r="K2503" s="132">
        <v>2682.87</v>
      </c>
      <c r="L2503" s="47"/>
      <c r="M2503" s="103">
        <v>20916.86</v>
      </c>
      <c r="N2503" s="38" t="s">
        <v>796</v>
      </c>
      <c r="O2503" s="39"/>
      <c r="P2503" s="66">
        <v>44562</v>
      </c>
    </row>
    <row r="2504" spans="1:16" ht="12.75" customHeight="1">
      <c r="A2504" s="13">
        <f t="shared" si="48"/>
        <v>2480</v>
      </c>
      <c r="B2504" s="32" t="s">
        <v>1016</v>
      </c>
      <c r="C2504" s="14" t="s">
        <v>199</v>
      </c>
      <c r="D2504" s="24" t="s">
        <v>569</v>
      </c>
      <c r="E2504" s="25" t="s">
        <v>19</v>
      </c>
      <c r="F2504" s="46">
        <v>20</v>
      </c>
      <c r="G2504" s="26">
        <v>10</v>
      </c>
      <c r="H2504" s="44"/>
      <c r="I2504" s="103">
        <v>57563.22</v>
      </c>
      <c r="J2504" s="131"/>
      <c r="K2504" s="132"/>
      <c r="L2504" s="47"/>
      <c r="M2504" s="103"/>
      <c r="N2504" s="38" t="s">
        <v>796</v>
      </c>
      <c r="O2504" s="39"/>
      <c r="P2504" s="66">
        <v>44562</v>
      </c>
    </row>
    <row r="2505" spans="1:16" ht="12.75" customHeight="1">
      <c r="A2505" s="13">
        <f t="shared" si="48"/>
        <v>2481</v>
      </c>
      <c r="B2505" s="32" t="s">
        <v>815</v>
      </c>
      <c r="C2505" s="14" t="s">
        <v>199</v>
      </c>
      <c r="D2505" s="24" t="s">
        <v>569</v>
      </c>
      <c r="E2505" s="25" t="s">
        <v>19</v>
      </c>
      <c r="F2505" s="46">
        <v>20</v>
      </c>
      <c r="G2505" s="26">
        <v>3</v>
      </c>
      <c r="H2505" s="44"/>
      <c r="I2505" s="103">
        <v>1637.03</v>
      </c>
      <c r="J2505" s="131"/>
      <c r="K2505" s="132">
        <v>7563.47</v>
      </c>
      <c r="L2505" s="47"/>
      <c r="M2505" s="103"/>
      <c r="N2505" s="38" t="s">
        <v>796</v>
      </c>
      <c r="O2505" s="39"/>
      <c r="P2505" s="66">
        <v>44562</v>
      </c>
    </row>
    <row r="2506" spans="1:16" ht="12.75" customHeight="1">
      <c r="A2506" s="13">
        <f t="shared" si="48"/>
        <v>2482</v>
      </c>
      <c r="B2506" s="32" t="s">
        <v>1016</v>
      </c>
      <c r="C2506" s="14" t="s">
        <v>199</v>
      </c>
      <c r="D2506" s="24" t="s">
        <v>569</v>
      </c>
      <c r="E2506" s="25" t="s">
        <v>19</v>
      </c>
      <c r="F2506" s="46" t="s">
        <v>977</v>
      </c>
      <c r="G2506" s="26"/>
      <c r="H2506" s="44"/>
      <c r="I2506" s="103">
        <v>57563.32</v>
      </c>
      <c r="J2506" s="131"/>
      <c r="K2506" s="132"/>
      <c r="L2506" s="47"/>
      <c r="M2506" s="103"/>
      <c r="N2506" s="38" t="s">
        <v>796</v>
      </c>
      <c r="O2506" s="39"/>
      <c r="P2506" s="66">
        <v>44571</v>
      </c>
    </row>
    <row r="2507" spans="1:16" ht="12.75" customHeight="1">
      <c r="A2507" s="13">
        <f t="shared" si="48"/>
        <v>2483</v>
      </c>
      <c r="B2507" s="32" t="s">
        <v>815</v>
      </c>
      <c r="C2507" s="14" t="s">
        <v>199</v>
      </c>
      <c r="D2507" s="24" t="s">
        <v>569</v>
      </c>
      <c r="E2507" s="25" t="s">
        <v>19</v>
      </c>
      <c r="F2507" s="46">
        <v>20</v>
      </c>
      <c r="G2507" s="26">
        <v>10</v>
      </c>
      <c r="H2507" s="44"/>
      <c r="I2507" s="103">
        <v>1655.35</v>
      </c>
      <c r="J2507" s="131"/>
      <c r="K2507" s="132">
        <v>2719.54</v>
      </c>
      <c r="L2507" s="47"/>
      <c r="M2507" s="103"/>
      <c r="N2507" s="38" t="s">
        <v>796</v>
      </c>
      <c r="O2507" s="39"/>
      <c r="P2507" s="66">
        <v>45078</v>
      </c>
    </row>
    <row r="2508" spans="1:16" ht="12.75" customHeight="1">
      <c r="A2508" s="13">
        <f t="shared" si="48"/>
        <v>2484</v>
      </c>
      <c r="B2508" s="32" t="s">
        <v>1016</v>
      </c>
      <c r="C2508" s="14" t="s">
        <v>199</v>
      </c>
      <c r="D2508" s="24" t="s">
        <v>569</v>
      </c>
      <c r="E2508" s="25" t="s">
        <v>19</v>
      </c>
      <c r="F2508" s="46" t="s">
        <v>977</v>
      </c>
      <c r="G2508" s="26"/>
      <c r="H2508" s="44"/>
      <c r="I2508" s="103">
        <v>58115.83</v>
      </c>
      <c r="J2508" s="131"/>
      <c r="K2508" s="132"/>
      <c r="L2508" s="47"/>
      <c r="M2508" s="103"/>
      <c r="N2508" s="38" t="s">
        <v>796</v>
      </c>
      <c r="O2508" s="39"/>
      <c r="P2508" s="66">
        <v>45078</v>
      </c>
    </row>
    <row r="2509" spans="1:16" ht="12.75" customHeight="1">
      <c r="A2509" s="13">
        <f t="shared" si="48"/>
        <v>2485</v>
      </c>
      <c r="B2509" s="32" t="s">
        <v>815</v>
      </c>
      <c r="C2509" s="14" t="s">
        <v>199</v>
      </c>
      <c r="D2509" s="24" t="s">
        <v>569</v>
      </c>
      <c r="E2509" s="25" t="s">
        <v>19</v>
      </c>
      <c r="F2509" s="46">
        <v>20</v>
      </c>
      <c r="G2509" s="26">
        <v>10</v>
      </c>
      <c r="H2509" s="44"/>
      <c r="I2509" s="103">
        <v>1903.82</v>
      </c>
      <c r="J2509" s="131"/>
      <c r="K2509" s="132">
        <v>3127.8</v>
      </c>
      <c r="L2509" s="47"/>
      <c r="M2509" s="103">
        <v>24479.3</v>
      </c>
      <c r="N2509" s="38" t="s">
        <v>796</v>
      </c>
      <c r="O2509" s="39"/>
      <c r="P2509" s="66">
        <v>45352</v>
      </c>
    </row>
    <row r="2510" spans="1:16" ht="12.75" customHeight="1">
      <c r="A2510" s="13">
        <f t="shared" si="48"/>
        <v>2486</v>
      </c>
      <c r="B2510" s="32" t="s">
        <v>815</v>
      </c>
      <c r="C2510" s="14" t="s">
        <v>199</v>
      </c>
      <c r="D2510" s="24" t="s">
        <v>569</v>
      </c>
      <c r="E2510" s="25" t="s">
        <v>19</v>
      </c>
      <c r="F2510" s="46">
        <v>19</v>
      </c>
      <c r="G2510" s="26">
        <v>11</v>
      </c>
      <c r="H2510" s="44"/>
      <c r="I2510" s="103">
        <v>1968.24</v>
      </c>
      <c r="J2510" s="131"/>
      <c r="K2510" s="132">
        <v>2905.26</v>
      </c>
      <c r="L2510" s="47"/>
      <c r="M2510" s="103"/>
      <c r="N2510" s="38" t="s">
        <v>796</v>
      </c>
      <c r="O2510" s="39"/>
      <c r="P2510" s="66">
        <v>45352</v>
      </c>
    </row>
    <row r="2511" spans="1:16" ht="12.75" customHeight="1">
      <c r="A2511" s="13">
        <f t="shared" si="48"/>
        <v>2487</v>
      </c>
      <c r="B2511" s="32" t="s">
        <v>815</v>
      </c>
      <c r="C2511" s="14" t="s">
        <v>199</v>
      </c>
      <c r="D2511" s="24" t="s">
        <v>569</v>
      </c>
      <c r="E2511" s="25" t="s">
        <v>19</v>
      </c>
      <c r="F2511" s="46">
        <v>18</v>
      </c>
      <c r="G2511" s="26">
        <v>12</v>
      </c>
      <c r="H2511" s="44"/>
      <c r="I2511" s="103">
        <v>2039.84</v>
      </c>
      <c r="J2511" s="131"/>
      <c r="K2511" s="132">
        <v>2719.81</v>
      </c>
      <c r="L2511" s="47"/>
      <c r="M2511" s="103"/>
      <c r="N2511" s="38" t="s">
        <v>796</v>
      </c>
      <c r="O2511" s="39"/>
      <c r="P2511" s="66">
        <v>45352</v>
      </c>
    </row>
    <row r="2512" spans="1:16" ht="12.75" customHeight="1">
      <c r="A2512" s="13">
        <f t="shared" si="48"/>
        <v>2488</v>
      </c>
      <c r="B2512" s="32" t="s">
        <v>815</v>
      </c>
      <c r="C2512" s="14" t="s">
        <v>199</v>
      </c>
      <c r="D2512" s="24" t="s">
        <v>569</v>
      </c>
      <c r="E2512" s="25" t="s">
        <v>19</v>
      </c>
      <c r="F2512" s="46">
        <v>17</v>
      </c>
      <c r="G2512" s="26">
        <v>13</v>
      </c>
      <c r="H2512" s="44"/>
      <c r="I2512" s="103">
        <v>2119.8200000000002</v>
      </c>
      <c r="J2512" s="131"/>
      <c r="K2512" s="132">
        <v>2562.89</v>
      </c>
      <c r="L2512" s="47"/>
      <c r="M2512" s="103"/>
      <c r="N2512" s="38" t="s">
        <v>796</v>
      </c>
      <c r="O2512" s="39"/>
      <c r="P2512" s="66">
        <v>45352</v>
      </c>
    </row>
    <row r="2513" spans="1:16" ht="12.75" customHeight="1">
      <c r="A2513" s="13">
        <f t="shared" si="48"/>
        <v>2489</v>
      </c>
      <c r="B2513" s="32" t="s">
        <v>815</v>
      </c>
      <c r="C2513" s="14" t="s">
        <v>199</v>
      </c>
      <c r="D2513" s="24" t="s">
        <v>569</v>
      </c>
      <c r="E2513" s="25" t="s">
        <v>19</v>
      </c>
      <c r="F2513" s="46">
        <v>16</v>
      </c>
      <c r="G2513" s="26">
        <v>14</v>
      </c>
      <c r="H2513" s="44"/>
      <c r="I2513" s="103">
        <v>2209.84</v>
      </c>
      <c r="J2513" s="131"/>
      <c r="K2513" s="132">
        <v>2428.38</v>
      </c>
      <c r="L2513" s="47"/>
      <c r="M2513" s="103"/>
      <c r="N2513" s="38" t="s">
        <v>796</v>
      </c>
      <c r="O2513" s="39"/>
      <c r="P2513" s="66">
        <v>45352</v>
      </c>
    </row>
    <row r="2514" spans="1:16" ht="12.75" customHeight="1">
      <c r="A2514" s="13">
        <f t="shared" si="48"/>
        <v>2490</v>
      </c>
      <c r="B2514" s="32" t="s">
        <v>815</v>
      </c>
      <c r="C2514" s="14" t="s">
        <v>199</v>
      </c>
      <c r="D2514" s="24" t="s">
        <v>569</v>
      </c>
      <c r="E2514" s="25" t="s">
        <v>19</v>
      </c>
      <c r="F2514" s="46">
        <v>15</v>
      </c>
      <c r="G2514" s="26"/>
      <c r="H2514" s="44"/>
      <c r="I2514" s="103">
        <v>2311.83</v>
      </c>
      <c r="J2514" s="131"/>
      <c r="K2514" s="132"/>
      <c r="L2514" s="47"/>
      <c r="M2514" s="103"/>
      <c r="N2514" s="38" t="s">
        <v>796</v>
      </c>
      <c r="O2514" s="39"/>
      <c r="P2514" s="66">
        <v>45352</v>
      </c>
    </row>
    <row r="2515" spans="1:16" ht="12.75" customHeight="1">
      <c r="A2515" s="13">
        <f t="shared" si="48"/>
        <v>2491</v>
      </c>
      <c r="B2515" s="32" t="s">
        <v>815</v>
      </c>
      <c r="C2515" s="14" t="s">
        <v>199</v>
      </c>
      <c r="D2515" s="24" t="s">
        <v>569</v>
      </c>
      <c r="E2515" s="25" t="s">
        <v>19</v>
      </c>
      <c r="F2515" s="46">
        <v>20</v>
      </c>
      <c r="G2515" s="26">
        <v>10</v>
      </c>
      <c r="H2515" s="44"/>
      <c r="I2515" s="103">
        <v>2242.73</v>
      </c>
      <c r="J2515" s="131"/>
      <c r="K2515" s="132">
        <v>3683.2</v>
      </c>
      <c r="L2515" s="47"/>
      <c r="M2515" s="103">
        <v>28809.5</v>
      </c>
      <c r="N2515" s="38" t="s">
        <v>796</v>
      </c>
      <c r="O2515" s="39"/>
      <c r="P2515" s="66">
        <v>45689</v>
      </c>
    </row>
    <row r="2516" spans="1:16" ht="12.75" customHeight="1">
      <c r="A2516" s="13">
        <f t="shared" si="48"/>
        <v>2492</v>
      </c>
      <c r="B2516" s="32" t="s">
        <v>815</v>
      </c>
      <c r="C2516" s="14" t="s">
        <v>199</v>
      </c>
      <c r="D2516" s="24" t="s">
        <v>569</v>
      </c>
      <c r="E2516" s="25" t="s">
        <v>19</v>
      </c>
      <c r="F2516" s="46">
        <v>19</v>
      </c>
      <c r="G2516" s="26">
        <v>11</v>
      </c>
      <c r="H2516" s="44"/>
      <c r="I2516" s="103">
        <v>2318.5500000000002</v>
      </c>
      <c r="J2516" s="131"/>
      <c r="K2516" s="132">
        <v>3421.31</v>
      </c>
      <c r="L2516" s="47"/>
      <c r="M2516" s="103"/>
      <c r="N2516" s="38" t="s">
        <v>796</v>
      </c>
      <c r="O2516" s="39"/>
      <c r="P2516" s="66">
        <v>45689</v>
      </c>
    </row>
    <row r="2517" spans="1:16" ht="12.75" customHeight="1">
      <c r="A2517" s="13">
        <f t="shared" si="48"/>
        <v>2493</v>
      </c>
      <c r="B2517" s="32" t="s">
        <v>815</v>
      </c>
      <c r="C2517" s="14" t="s">
        <v>199</v>
      </c>
      <c r="D2517" s="24" t="s">
        <v>569</v>
      </c>
      <c r="E2517" s="25" t="s">
        <v>19</v>
      </c>
      <c r="F2517" s="46">
        <v>18</v>
      </c>
      <c r="G2517" s="26">
        <v>12</v>
      </c>
      <c r="H2517" s="44"/>
      <c r="I2517" s="103">
        <v>2402.75</v>
      </c>
      <c r="J2517" s="131"/>
      <c r="K2517" s="132">
        <v>3203.04</v>
      </c>
      <c r="L2517" s="47"/>
      <c r="M2517" s="103"/>
      <c r="N2517" s="38" t="s">
        <v>796</v>
      </c>
      <c r="O2517" s="39"/>
      <c r="P2517" s="66">
        <v>45689</v>
      </c>
    </row>
    <row r="2518" spans="1:16" ht="12.75" customHeight="1">
      <c r="A2518" s="13">
        <f t="shared" si="48"/>
        <v>2494</v>
      </c>
      <c r="B2518" s="32" t="s">
        <v>815</v>
      </c>
      <c r="C2518" s="14" t="s">
        <v>199</v>
      </c>
      <c r="D2518" s="24" t="s">
        <v>569</v>
      </c>
      <c r="E2518" s="25" t="s">
        <v>19</v>
      </c>
      <c r="F2518" s="46">
        <v>17</v>
      </c>
      <c r="G2518" s="26">
        <v>13</v>
      </c>
      <c r="H2518" s="44"/>
      <c r="I2518" s="103">
        <v>2496.9299999999998</v>
      </c>
      <c r="J2518" s="131"/>
      <c r="K2518" s="132">
        <v>3018.37</v>
      </c>
      <c r="L2518" s="47"/>
      <c r="M2518" s="103"/>
      <c r="N2518" s="38" t="s">
        <v>796</v>
      </c>
      <c r="O2518" s="39"/>
      <c r="P2518" s="66">
        <v>45689</v>
      </c>
    </row>
    <row r="2519" spans="1:16" ht="12.75" customHeight="1">
      <c r="A2519" s="13">
        <f t="shared" si="48"/>
        <v>2495</v>
      </c>
      <c r="B2519" s="32" t="s">
        <v>815</v>
      </c>
      <c r="C2519" s="14" t="s">
        <v>199</v>
      </c>
      <c r="D2519" s="24" t="s">
        <v>569</v>
      </c>
      <c r="E2519" s="25" t="s">
        <v>19</v>
      </c>
      <c r="F2519" s="46">
        <v>16</v>
      </c>
      <c r="G2519" s="26">
        <v>14</v>
      </c>
      <c r="H2519" s="44"/>
      <c r="I2519" s="103">
        <v>2602.86</v>
      </c>
      <c r="J2519" s="131"/>
      <c r="K2519" s="132">
        <v>2860.07</v>
      </c>
      <c r="L2519" s="47"/>
      <c r="M2519" s="103"/>
      <c r="N2519" s="38" t="s">
        <v>796</v>
      </c>
      <c r="O2519" s="39"/>
      <c r="P2519" s="66">
        <v>45689</v>
      </c>
    </row>
    <row r="2520" spans="1:16" ht="12.75" customHeight="1">
      <c r="A2520" s="13">
        <f t="shared" si="48"/>
        <v>2496</v>
      </c>
      <c r="B2520" s="32" t="s">
        <v>815</v>
      </c>
      <c r="C2520" s="14" t="s">
        <v>199</v>
      </c>
      <c r="D2520" s="24" t="s">
        <v>569</v>
      </c>
      <c r="E2520" s="25" t="s">
        <v>19</v>
      </c>
      <c r="F2520" s="46">
        <v>15</v>
      </c>
      <c r="G2520" s="26"/>
      <c r="H2520" s="44"/>
      <c r="I2520" s="103">
        <v>2722.9</v>
      </c>
      <c r="J2520" s="131"/>
      <c r="K2520" s="132"/>
      <c r="L2520" s="47"/>
      <c r="M2520" s="103"/>
      <c r="N2520" s="38" t="s">
        <v>796</v>
      </c>
      <c r="O2520" s="39"/>
      <c r="P2520" s="66">
        <v>45689</v>
      </c>
    </row>
    <row r="2521" spans="1:16" ht="12.75" customHeight="1">
      <c r="A2521" s="13">
        <f t="shared" si="48"/>
        <v>2497</v>
      </c>
      <c r="B2521" s="32" t="s">
        <v>1016</v>
      </c>
      <c r="C2521" s="14" t="s">
        <v>199</v>
      </c>
      <c r="D2521" s="24" t="s">
        <v>569</v>
      </c>
      <c r="E2521" s="25" t="s">
        <v>19</v>
      </c>
      <c r="F2521" s="46" t="s">
        <v>977</v>
      </c>
      <c r="G2521" s="26"/>
      <c r="H2521" s="44"/>
      <c r="I2521" s="103">
        <v>80430.600000000006</v>
      </c>
      <c r="J2521" s="131"/>
      <c r="K2521" s="132"/>
      <c r="L2521" s="47"/>
      <c r="M2521" s="103"/>
      <c r="N2521" s="38" t="s">
        <v>796</v>
      </c>
      <c r="O2521" s="39"/>
      <c r="P2521" s="66">
        <v>45352</v>
      </c>
    </row>
    <row r="2522" spans="1:16" ht="12.75" customHeight="1">
      <c r="A2522" s="13">
        <f t="shared" si="48"/>
        <v>2498</v>
      </c>
      <c r="B2522" s="32" t="s">
        <v>1016</v>
      </c>
      <c r="C2522" s="14" t="s">
        <v>199</v>
      </c>
      <c r="D2522" s="24" t="s">
        <v>569</v>
      </c>
      <c r="E2522" s="25" t="s">
        <v>19</v>
      </c>
      <c r="F2522" s="46" t="s">
        <v>977</v>
      </c>
      <c r="G2522" s="26"/>
      <c r="H2522" s="44"/>
      <c r="I2522" s="103">
        <v>92911.679999999993</v>
      </c>
      <c r="J2522" s="131"/>
      <c r="K2522" s="132"/>
      <c r="L2522" s="47"/>
      <c r="M2522" s="103"/>
      <c r="N2522" s="38" t="s">
        <v>796</v>
      </c>
      <c r="O2522" s="39"/>
      <c r="P2522" s="66">
        <v>45689</v>
      </c>
    </row>
    <row r="2523" spans="1:16" ht="12.75" customHeight="1">
      <c r="A2523" s="13">
        <f t="shared" si="48"/>
        <v>2499</v>
      </c>
      <c r="B2523" s="198" t="s">
        <v>815</v>
      </c>
      <c r="C2523" s="14" t="s">
        <v>199</v>
      </c>
      <c r="D2523" s="24" t="s">
        <v>1209</v>
      </c>
      <c r="E2523" s="25" t="s">
        <v>19</v>
      </c>
      <c r="F2523" s="46">
        <v>20</v>
      </c>
      <c r="G2523" s="26">
        <v>10</v>
      </c>
      <c r="H2523" s="44"/>
      <c r="I2523" s="103">
        <v>2470.66</v>
      </c>
      <c r="J2523" s="131"/>
      <c r="K2523" s="132">
        <v>4058.89</v>
      </c>
      <c r="L2523" s="47"/>
      <c r="M2523" s="103">
        <v>31763.93</v>
      </c>
      <c r="N2523" s="38" t="s">
        <v>796</v>
      </c>
      <c r="O2523" s="39"/>
      <c r="P2523" s="193">
        <v>46082</v>
      </c>
    </row>
    <row r="2524" spans="1:16" ht="12.75" customHeight="1">
      <c r="A2524" s="13">
        <f t="shared" si="48"/>
        <v>2500</v>
      </c>
      <c r="B2524" s="198" t="s">
        <v>815</v>
      </c>
      <c r="C2524" s="14" t="s">
        <v>199</v>
      </c>
      <c r="D2524" s="24" t="s">
        <v>1209</v>
      </c>
      <c r="E2524" s="25" t="s">
        <v>19</v>
      </c>
      <c r="F2524" s="46">
        <v>19</v>
      </c>
      <c r="G2524" s="26">
        <v>11</v>
      </c>
      <c r="H2524" s="44"/>
      <c r="I2524" s="103">
        <v>2554.2600000000002</v>
      </c>
      <c r="J2524" s="131"/>
      <c r="K2524" s="132">
        <v>3770.11</v>
      </c>
      <c r="L2524" s="47"/>
      <c r="M2524" s="103"/>
      <c r="N2524" s="38" t="s">
        <v>796</v>
      </c>
      <c r="O2524" s="39"/>
      <c r="P2524" s="193">
        <v>46082</v>
      </c>
    </row>
    <row r="2525" spans="1:16" ht="12.75" customHeight="1">
      <c r="A2525" s="13">
        <f t="shared" si="48"/>
        <v>2501</v>
      </c>
      <c r="B2525" s="198" t="s">
        <v>815</v>
      </c>
      <c r="C2525" s="14" t="s">
        <v>199</v>
      </c>
      <c r="D2525" s="24" t="s">
        <v>1209</v>
      </c>
      <c r="E2525" s="25" t="s">
        <v>19</v>
      </c>
      <c r="F2525" s="46">
        <v>18</v>
      </c>
      <c r="G2525" s="26">
        <v>12</v>
      </c>
      <c r="H2525" s="44"/>
      <c r="I2525" s="103">
        <v>2647.14</v>
      </c>
      <c r="J2525" s="131"/>
      <c r="K2525" s="132">
        <v>3529.46</v>
      </c>
      <c r="L2525" s="47"/>
      <c r="M2525" s="103"/>
      <c r="N2525" s="38" t="s">
        <v>796</v>
      </c>
      <c r="O2525" s="39"/>
      <c r="P2525" s="193">
        <v>46082</v>
      </c>
    </row>
    <row r="2526" spans="1:16" ht="12.75" customHeight="1">
      <c r="A2526" s="13">
        <f t="shared" si="48"/>
        <v>2502</v>
      </c>
      <c r="B2526" s="198" t="s">
        <v>815</v>
      </c>
      <c r="C2526" s="14" t="s">
        <v>199</v>
      </c>
      <c r="D2526" s="24" t="s">
        <v>1209</v>
      </c>
      <c r="E2526" s="25" t="s">
        <v>19</v>
      </c>
      <c r="F2526" s="46">
        <v>17</v>
      </c>
      <c r="G2526" s="26">
        <v>13</v>
      </c>
      <c r="H2526" s="44"/>
      <c r="I2526" s="103">
        <v>2750.92</v>
      </c>
      <c r="J2526" s="131"/>
      <c r="K2526" s="132">
        <v>3325.84</v>
      </c>
      <c r="L2526" s="47"/>
      <c r="M2526" s="103"/>
      <c r="N2526" s="38" t="s">
        <v>796</v>
      </c>
      <c r="O2526" s="39"/>
      <c r="P2526" s="193">
        <v>46082</v>
      </c>
    </row>
    <row r="2527" spans="1:16" ht="12.75" customHeight="1">
      <c r="A2527" s="13">
        <f t="shared" si="48"/>
        <v>2503</v>
      </c>
      <c r="B2527" s="198" t="s">
        <v>815</v>
      </c>
      <c r="C2527" s="14" t="s">
        <v>199</v>
      </c>
      <c r="D2527" s="24" t="s">
        <v>1209</v>
      </c>
      <c r="E2527" s="25" t="s">
        <v>19</v>
      </c>
      <c r="F2527" s="46">
        <v>16</v>
      </c>
      <c r="G2527" s="26">
        <v>14</v>
      </c>
      <c r="H2527" s="44"/>
      <c r="I2527" s="103">
        <v>2867.72</v>
      </c>
      <c r="J2527" s="131"/>
      <c r="K2527" s="132">
        <v>3151.3</v>
      </c>
      <c r="L2527" s="47"/>
      <c r="M2527" s="103"/>
      <c r="N2527" s="38" t="s">
        <v>796</v>
      </c>
      <c r="O2527" s="39"/>
      <c r="P2527" s="193">
        <v>46082</v>
      </c>
    </row>
    <row r="2528" spans="1:16" ht="12.75" customHeight="1">
      <c r="A2528" s="13">
        <f t="shared" si="48"/>
        <v>2504</v>
      </c>
      <c r="B2528" s="198" t="s">
        <v>815</v>
      </c>
      <c r="C2528" s="14" t="s">
        <v>199</v>
      </c>
      <c r="D2528" s="24" t="s">
        <v>1209</v>
      </c>
      <c r="E2528" s="25" t="s">
        <v>19</v>
      </c>
      <c r="F2528" s="46">
        <v>15</v>
      </c>
      <c r="G2528" s="26"/>
      <c r="H2528" s="44"/>
      <c r="I2528" s="103">
        <v>3000.07</v>
      </c>
      <c r="J2528" s="131"/>
      <c r="K2528" s="132"/>
      <c r="L2528" s="47"/>
      <c r="M2528" s="103"/>
      <c r="N2528" s="38" t="s">
        <v>796</v>
      </c>
      <c r="O2528" s="39"/>
      <c r="P2528" s="193">
        <v>46082</v>
      </c>
    </row>
    <row r="2529" spans="1:16" ht="12.75" customHeight="1">
      <c r="A2529" s="13">
        <f t="shared" si="48"/>
        <v>2505</v>
      </c>
      <c r="B2529" s="198" t="s">
        <v>1016</v>
      </c>
      <c r="C2529" s="14" t="s">
        <v>199</v>
      </c>
      <c r="D2529" s="24" t="s">
        <v>1209</v>
      </c>
      <c r="E2529" s="25" t="s">
        <v>19</v>
      </c>
      <c r="F2529" s="46" t="s">
        <v>977</v>
      </c>
      <c r="G2529" s="26"/>
      <c r="H2529" s="44"/>
      <c r="I2529" s="103">
        <v>116419.22</v>
      </c>
      <c r="J2529" s="131"/>
      <c r="K2529" s="132"/>
      <c r="L2529" s="47"/>
      <c r="M2529" s="103"/>
      <c r="N2529" s="38" t="s">
        <v>796</v>
      </c>
      <c r="O2529" s="39"/>
      <c r="P2529" s="193">
        <v>46082</v>
      </c>
    </row>
    <row r="2530" spans="1:16" ht="12.75" customHeight="1">
      <c r="A2530" s="13">
        <f t="shared" si="48"/>
        <v>2506</v>
      </c>
      <c r="B2530" s="32" t="s">
        <v>509</v>
      </c>
      <c r="C2530" s="14" t="s">
        <v>209</v>
      </c>
      <c r="D2530" s="15" t="s">
        <v>204</v>
      </c>
      <c r="E2530" s="57" t="s">
        <v>19</v>
      </c>
      <c r="F2530" s="26">
        <v>40</v>
      </c>
      <c r="G2530" s="26">
        <v>10</v>
      </c>
      <c r="H2530" s="44">
        <v>1568.62</v>
      </c>
      <c r="I2530" s="103"/>
      <c r="J2530" s="131">
        <v>2576.5100000000002</v>
      </c>
      <c r="K2530" s="132"/>
      <c r="L2530" s="47">
        <v>17365.97</v>
      </c>
      <c r="M2530" s="103"/>
      <c r="N2530" s="38" t="s">
        <v>641</v>
      </c>
      <c r="O2530" s="39"/>
      <c r="P2530" s="66">
        <v>45170</v>
      </c>
    </row>
    <row r="2531" spans="1:16" ht="12.75" customHeight="1">
      <c r="A2531" s="13">
        <f t="shared" si="48"/>
        <v>2507</v>
      </c>
      <c r="B2531" s="32" t="s">
        <v>1119</v>
      </c>
      <c r="C2531" s="14" t="s">
        <v>209</v>
      </c>
      <c r="D2531" s="15" t="s">
        <v>204</v>
      </c>
      <c r="E2531" s="57" t="s">
        <v>19</v>
      </c>
      <c r="F2531" s="26">
        <v>20</v>
      </c>
      <c r="G2531" s="26">
        <v>10</v>
      </c>
      <c r="H2531" s="44"/>
      <c r="I2531" s="103">
        <v>1507.87</v>
      </c>
      <c r="J2531" s="131"/>
      <c r="K2531" s="132">
        <v>2464.7800000000002</v>
      </c>
      <c r="L2531" s="47"/>
      <c r="M2531" s="103"/>
      <c r="N2531" s="38" t="s">
        <v>641</v>
      </c>
      <c r="O2531" s="39"/>
      <c r="P2531" s="66">
        <v>45170</v>
      </c>
    </row>
    <row r="2532" spans="1:16" ht="12.75" customHeight="1">
      <c r="A2532" s="13">
        <f t="shared" si="48"/>
        <v>2508</v>
      </c>
      <c r="B2532" s="32" t="s">
        <v>1120</v>
      </c>
      <c r="C2532" s="14" t="s">
        <v>209</v>
      </c>
      <c r="D2532" s="15" t="s">
        <v>204</v>
      </c>
      <c r="E2532" s="57" t="s">
        <v>19</v>
      </c>
      <c r="F2532" s="46" t="s">
        <v>977</v>
      </c>
      <c r="G2532" s="26"/>
      <c r="H2532" s="44"/>
      <c r="I2532" s="103">
        <v>62669.83</v>
      </c>
      <c r="J2532" s="131"/>
      <c r="K2532" s="132"/>
      <c r="L2532" s="47"/>
      <c r="M2532" s="103"/>
      <c r="N2532" s="38" t="s">
        <v>641</v>
      </c>
      <c r="O2532" s="39"/>
      <c r="P2532" s="66"/>
    </row>
    <row r="2533" spans="1:16" ht="12.75" customHeight="1">
      <c r="A2533" s="13">
        <f t="shared" si="48"/>
        <v>2509</v>
      </c>
      <c r="B2533" s="32" t="s">
        <v>1119</v>
      </c>
      <c r="C2533" s="14" t="s">
        <v>209</v>
      </c>
      <c r="D2533" s="15" t="s">
        <v>204</v>
      </c>
      <c r="E2533" s="57" t="s">
        <v>19</v>
      </c>
      <c r="F2533" s="26">
        <v>20</v>
      </c>
      <c r="G2533" s="26">
        <v>10</v>
      </c>
      <c r="H2533" s="44"/>
      <c r="I2533" s="103">
        <v>1773.82</v>
      </c>
      <c r="J2533" s="131"/>
      <c r="K2533" s="132">
        <v>2913.93</v>
      </c>
      <c r="L2533" s="47"/>
      <c r="M2533" s="103">
        <v>22802.02</v>
      </c>
      <c r="N2533" s="38" t="s">
        <v>1162</v>
      </c>
      <c r="O2533" s="39"/>
      <c r="P2533" s="66">
        <v>45352</v>
      </c>
    </row>
    <row r="2534" spans="1:16" ht="12.75" customHeight="1">
      <c r="A2534" s="13">
        <f t="shared" si="48"/>
        <v>2510</v>
      </c>
      <c r="B2534" s="32" t="s">
        <v>1119</v>
      </c>
      <c r="C2534" s="14" t="s">
        <v>209</v>
      </c>
      <c r="D2534" s="15" t="s">
        <v>204</v>
      </c>
      <c r="E2534" s="57" t="s">
        <v>19</v>
      </c>
      <c r="F2534" s="26">
        <v>19</v>
      </c>
      <c r="G2534" s="26">
        <v>11</v>
      </c>
      <c r="H2534" s="44"/>
      <c r="I2534" s="103">
        <v>1833.84</v>
      </c>
      <c r="J2534" s="131"/>
      <c r="K2534" s="132">
        <v>2706.63</v>
      </c>
      <c r="L2534" s="47"/>
      <c r="M2534" s="103"/>
      <c r="N2534" s="38" t="s">
        <v>1162</v>
      </c>
      <c r="O2534" s="39"/>
      <c r="P2534" s="66">
        <v>45352</v>
      </c>
    </row>
    <row r="2535" spans="1:16" ht="12.75" customHeight="1">
      <c r="A2535" s="13">
        <f t="shared" si="48"/>
        <v>2511</v>
      </c>
      <c r="B2535" s="32" t="s">
        <v>1119</v>
      </c>
      <c r="C2535" s="14" t="s">
        <v>209</v>
      </c>
      <c r="D2535" s="15" t="s">
        <v>204</v>
      </c>
      <c r="E2535" s="57" t="s">
        <v>19</v>
      </c>
      <c r="F2535" s="26">
        <v>18</v>
      </c>
      <c r="G2535" s="26">
        <v>12</v>
      </c>
      <c r="H2535" s="44"/>
      <c r="I2535" s="103">
        <v>1900.51</v>
      </c>
      <c r="J2535" s="131"/>
      <c r="K2535" s="132">
        <v>2533.86</v>
      </c>
      <c r="L2535" s="47"/>
      <c r="M2535" s="103"/>
      <c r="N2535" s="38" t="s">
        <v>1162</v>
      </c>
      <c r="O2535" s="39"/>
      <c r="P2535" s="66">
        <v>45352</v>
      </c>
    </row>
    <row r="2536" spans="1:16" ht="12.75" customHeight="1">
      <c r="A2536" s="13">
        <f t="shared" si="48"/>
        <v>2512</v>
      </c>
      <c r="B2536" s="32" t="s">
        <v>1119</v>
      </c>
      <c r="C2536" s="14" t="s">
        <v>209</v>
      </c>
      <c r="D2536" s="15" t="s">
        <v>204</v>
      </c>
      <c r="E2536" s="57" t="s">
        <v>19</v>
      </c>
      <c r="F2536" s="26">
        <v>17</v>
      </c>
      <c r="G2536" s="26">
        <v>13</v>
      </c>
      <c r="H2536" s="44"/>
      <c r="I2536" s="103">
        <v>1975.02</v>
      </c>
      <c r="J2536" s="131"/>
      <c r="K2536" s="132">
        <v>2387.71</v>
      </c>
      <c r="L2536" s="47"/>
      <c r="M2536" s="103"/>
      <c r="N2536" s="38" t="s">
        <v>1162</v>
      </c>
      <c r="O2536" s="39"/>
      <c r="P2536" s="66">
        <v>45352</v>
      </c>
    </row>
    <row r="2537" spans="1:16" ht="12.75" customHeight="1">
      <c r="A2537" s="13">
        <f t="shared" si="48"/>
        <v>2513</v>
      </c>
      <c r="B2537" s="32" t="s">
        <v>1119</v>
      </c>
      <c r="C2537" s="14" t="s">
        <v>209</v>
      </c>
      <c r="D2537" s="15" t="s">
        <v>204</v>
      </c>
      <c r="E2537" s="57" t="s">
        <v>19</v>
      </c>
      <c r="F2537" s="26">
        <v>16</v>
      </c>
      <c r="G2537" s="26">
        <v>14</v>
      </c>
      <c r="H2537" s="44"/>
      <c r="I2537" s="103">
        <v>2058.84</v>
      </c>
      <c r="J2537" s="131"/>
      <c r="K2537" s="132">
        <v>2262.4299999999998</v>
      </c>
      <c r="L2537" s="47"/>
      <c r="M2537" s="103"/>
      <c r="N2537" s="38" t="s">
        <v>1162</v>
      </c>
      <c r="O2537" s="39"/>
      <c r="P2537" s="66">
        <v>45352</v>
      </c>
    </row>
    <row r="2538" spans="1:16" ht="12.75" customHeight="1">
      <c r="A2538" s="13">
        <f t="shared" si="48"/>
        <v>2514</v>
      </c>
      <c r="B2538" s="32" t="s">
        <v>1119</v>
      </c>
      <c r="C2538" s="14" t="s">
        <v>209</v>
      </c>
      <c r="D2538" s="15" t="s">
        <v>204</v>
      </c>
      <c r="E2538" s="57" t="s">
        <v>19</v>
      </c>
      <c r="F2538" s="26">
        <v>15</v>
      </c>
      <c r="G2538" s="26"/>
      <c r="H2538" s="44"/>
      <c r="I2538" s="103">
        <v>2153.85</v>
      </c>
      <c r="J2538" s="131"/>
      <c r="K2538" s="132"/>
      <c r="L2538" s="47"/>
      <c r="M2538" s="103"/>
      <c r="N2538" s="38" t="s">
        <v>1162</v>
      </c>
      <c r="O2538" s="39"/>
      <c r="P2538" s="66">
        <v>45352</v>
      </c>
    </row>
    <row r="2539" spans="1:16" ht="12.75" customHeight="1">
      <c r="A2539" s="13">
        <f t="shared" si="48"/>
        <v>2515</v>
      </c>
      <c r="B2539" s="32" t="s">
        <v>1119</v>
      </c>
      <c r="C2539" s="14" t="s">
        <v>209</v>
      </c>
      <c r="D2539" s="15" t="s">
        <v>204</v>
      </c>
      <c r="E2539" s="57" t="s">
        <v>19</v>
      </c>
      <c r="F2539" s="26">
        <v>20</v>
      </c>
      <c r="G2539" s="26">
        <v>10</v>
      </c>
      <c r="H2539" s="44"/>
      <c r="I2539" s="103">
        <v>2049.83</v>
      </c>
      <c r="J2539" s="131"/>
      <c r="K2539" s="132">
        <v>3370.87</v>
      </c>
      <c r="L2539" s="47"/>
      <c r="M2539" s="103">
        <v>26421.09</v>
      </c>
      <c r="N2539" s="38" t="s">
        <v>1162</v>
      </c>
      <c r="O2539" s="39"/>
      <c r="P2539" s="66">
        <v>45689</v>
      </c>
    </row>
    <row r="2540" spans="1:16" ht="12.75" customHeight="1">
      <c r="A2540" s="13">
        <f t="shared" si="48"/>
        <v>2516</v>
      </c>
      <c r="B2540" s="32" t="s">
        <v>1119</v>
      </c>
      <c r="C2540" s="14" t="s">
        <v>209</v>
      </c>
      <c r="D2540" s="15" t="s">
        <v>204</v>
      </c>
      <c r="E2540" s="57" t="s">
        <v>19</v>
      </c>
      <c r="F2540" s="26">
        <v>19</v>
      </c>
      <c r="G2540" s="26">
        <v>11</v>
      </c>
      <c r="H2540" s="44"/>
      <c r="I2540" s="103">
        <v>2119.36</v>
      </c>
      <c r="J2540" s="131"/>
      <c r="K2540" s="132">
        <v>3130.67</v>
      </c>
      <c r="L2540" s="47"/>
      <c r="M2540" s="103"/>
      <c r="N2540" s="38" t="s">
        <v>1162</v>
      </c>
      <c r="O2540" s="39"/>
      <c r="P2540" s="66">
        <v>45689</v>
      </c>
    </row>
    <row r="2541" spans="1:16" ht="12.75" customHeight="1">
      <c r="A2541" s="13">
        <f t="shared" si="48"/>
        <v>2517</v>
      </c>
      <c r="B2541" s="32" t="s">
        <v>1119</v>
      </c>
      <c r="C2541" s="14" t="s">
        <v>209</v>
      </c>
      <c r="D2541" s="15" t="s">
        <v>204</v>
      </c>
      <c r="E2541" s="57" t="s">
        <v>19</v>
      </c>
      <c r="F2541" s="26">
        <v>18</v>
      </c>
      <c r="G2541" s="26">
        <v>12</v>
      </c>
      <c r="H2541" s="44"/>
      <c r="I2541" s="103">
        <v>2196.6</v>
      </c>
      <c r="J2541" s="131"/>
      <c r="K2541" s="132">
        <v>2930.54</v>
      </c>
      <c r="L2541" s="47"/>
      <c r="M2541" s="103"/>
      <c r="N2541" s="38" t="s">
        <v>1162</v>
      </c>
      <c r="O2541" s="39"/>
      <c r="P2541" s="66">
        <v>45689</v>
      </c>
    </row>
    <row r="2542" spans="1:16" ht="12.75" customHeight="1">
      <c r="A2542" s="13">
        <f t="shared" si="48"/>
        <v>2518</v>
      </c>
      <c r="B2542" s="32" t="s">
        <v>1119</v>
      </c>
      <c r="C2542" s="14" t="s">
        <v>209</v>
      </c>
      <c r="D2542" s="15" t="s">
        <v>204</v>
      </c>
      <c r="E2542" s="57" t="s">
        <v>19</v>
      </c>
      <c r="F2542" s="26">
        <v>17</v>
      </c>
      <c r="G2542" s="26">
        <v>13</v>
      </c>
      <c r="H2542" s="44"/>
      <c r="I2542" s="103">
        <v>2282.9499999999998</v>
      </c>
      <c r="J2542" s="131"/>
      <c r="K2542" s="132">
        <v>2761.16</v>
      </c>
      <c r="L2542" s="47"/>
      <c r="M2542" s="103"/>
      <c r="N2542" s="38" t="s">
        <v>1162</v>
      </c>
      <c r="O2542" s="39"/>
      <c r="P2542" s="66">
        <v>45689</v>
      </c>
    </row>
    <row r="2543" spans="1:16" ht="12.75" customHeight="1">
      <c r="A2543" s="13">
        <f t="shared" si="48"/>
        <v>2519</v>
      </c>
      <c r="B2543" s="32" t="s">
        <v>1119</v>
      </c>
      <c r="C2543" s="14" t="s">
        <v>209</v>
      </c>
      <c r="D2543" s="15" t="s">
        <v>204</v>
      </c>
      <c r="E2543" s="57" t="s">
        <v>19</v>
      </c>
      <c r="F2543" s="26">
        <v>16</v>
      </c>
      <c r="G2543" s="26">
        <v>14</v>
      </c>
      <c r="H2543" s="44"/>
      <c r="I2543" s="103">
        <v>2380.1</v>
      </c>
      <c r="J2543" s="131"/>
      <c r="K2543" s="132">
        <v>2616.0100000000002</v>
      </c>
      <c r="L2543" s="47"/>
      <c r="M2543" s="103"/>
      <c r="N2543" s="38" t="s">
        <v>1162</v>
      </c>
      <c r="O2543" s="39"/>
      <c r="P2543" s="66">
        <v>45689</v>
      </c>
    </row>
    <row r="2544" spans="1:16" ht="12.75" customHeight="1">
      <c r="A2544" s="13">
        <f t="shared" si="48"/>
        <v>2520</v>
      </c>
      <c r="B2544" s="32" t="s">
        <v>1119</v>
      </c>
      <c r="C2544" s="14" t="s">
        <v>209</v>
      </c>
      <c r="D2544" s="15" t="s">
        <v>204</v>
      </c>
      <c r="E2544" s="57" t="s">
        <v>19</v>
      </c>
      <c r="F2544" s="26">
        <v>15</v>
      </c>
      <c r="G2544" s="26"/>
      <c r="H2544" s="44"/>
      <c r="I2544" s="103">
        <v>2490.1799999999998</v>
      </c>
      <c r="J2544" s="131"/>
      <c r="K2544" s="132"/>
      <c r="L2544" s="47"/>
      <c r="M2544" s="103"/>
      <c r="N2544" s="38" t="s">
        <v>1162</v>
      </c>
      <c r="O2544" s="39"/>
      <c r="P2544" s="66">
        <v>45689</v>
      </c>
    </row>
    <row r="2545" spans="1:16" ht="12.75" customHeight="1">
      <c r="A2545" s="13">
        <f t="shared" si="48"/>
        <v>2521</v>
      </c>
      <c r="B2545" s="32" t="s">
        <v>1120</v>
      </c>
      <c r="C2545" s="14" t="s">
        <v>209</v>
      </c>
      <c r="D2545" s="15" t="s">
        <v>204</v>
      </c>
      <c r="E2545" s="57" t="s">
        <v>19</v>
      </c>
      <c r="F2545" s="46" t="s">
        <v>977</v>
      </c>
      <c r="G2545" s="26"/>
      <c r="H2545" s="44"/>
      <c r="I2545" s="103">
        <v>72419.37</v>
      </c>
      <c r="J2545" s="131"/>
      <c r="K2545" s="132"/>
      <c r="L2545" s="47"/>
      <c r="M2545" s="103"/>
      <c r="N2545" s="38" t="s">
        <v>1162</v>
      </c>
      <c r="O2545" s="39"/>
      <c r="P2545" s="66">
        <v>45352</v>
      </c>
    </row>
    <row r="2546" spans="1:16" ht="12.75" customHeight="1">
      <c r="A2546" s="13">
        <f t="shared" si="48"/>
        <v>2522</v>
      </c>
      <c r="B2546" s="32" t="s">
        <v>1120</v>
      </c>
      <c r="C2546" s="14" t="s">
        <v>209</v>
      </c>
      <c r="D2546" s="15" t="s">
        <v>204</v>
      </c>
      <c r="E2546" s="57" t="s">
        <v>19</v>
      </c>
      <c r="F2546" s="46" t="s">
        <v>977</v>
      </c>
      <c r="G2546" s="26"/>
      <c r="H2546" s="44"/>
      <c r="I2546" s="103">
        <v>87009.09</v>
      </c>
      <c r="J2546" s="131"/>
      <c r="K2546" s="132"/>
      <c r="L2546" s="47"/>
      <c r="M2546" s="103"/>
      <c r="N2546" s="38" t="s">
        <v>1162</v>
      </c>
      <c r="O2546" s="39"/>
      <c r="P2546" s="66">
        <v>45689</v>
      </c>
    </row>
    <row r="2547" spans="1:16" ht="12.75" customHeight="1">
      <c r="A2547" s="13">
        <f t="shared" si="48"/>
        <v>2523</v>
      </c>
      <c r="B2547" s="156" t="s">
        <v>1119</v>
      </c>
      <c r="C2547" s="14" t="s">
        <v>209</v>
      </c>
      <c r="D2547" s="24" t="s">
        <v>1210</v>
      </c>
      <c r="E2547" s="57" t="s">
        <v>19</v>
      </c>
      <c r="F2547" s="26">
        <v>20</v>
      </c>
      <c r="G2547" s="26">
        <v>10</v>
      </c>
      <c r="H2547" s="44"/>
      <c r="I2547" s="103">
        <v>2280.4699999999998</v>
      </c>
      <c r="J2547" s="131"/>
      <c r="K2547" s="132">
        <v>3719.46</v>
      </c>
      <c r="L2547" s="47"/>
      <c r="M2547" s="103">
        <v>28779.54</v>
      </c>
      <c r="N2547" s="38" t="s">
        <v>1162</v>
      </c>
      <c r="O2547" s="39"/>
      <c r="P2547" s="193">
        <v>46082</v>
      </c>
    </row>
    <row r="2548" spans="1:16" ht="12.75" customHeight="1">
      <c r="A2548" s="13">
        <f t="shared" si="48"/>
        <v>2524</v>
      </c>
      <c r="B2548" s="156" t="s">
        <v>1119</v>
      </c>
      <c r="C2548" s="14" t="s">
        <v>209</v>
      </c>
      <c r="D2548" s="24" t="s">
        <v>1210</v>
      </c>
      <c r="E2548" s="57" t="s">
        <v>19</v>
      </c>
      <c r="F2548" s="26">
        <v>19</v>
      </c>
      <c r="G2548" s="26">
        <v>11</v>
      </c>
      <c r="H2548" s="44"/>
      <c r="I2548" s="103">
        <v>2356.1999999999998</v>
      </c>
      <c r="J2548" s="131"/>
      <c r="K2548" s="132">
        <v>3457.8</v>
      </c>
      <c r="L2548" s="47"/>
      <c r="M2548" s="103"/>
      <c r="N2548" s="38" t="s">
        <v>1162</v>
      </c>
      <c r="O2548" s="39"/>
      <c r="P2548" s="193">
        <v>46082</v>
      </c>
    </row>
    <row r="2549" spans="1:16" ht="12.75" customHeight="1">
      <c r="A2549" s="13">
        <f t="shared" si="48"/>
        <v>2525</v>
      </c>
      <c r="B2549" s="156" t="s">
        <v>1119</v>
      </c>
      <c r="C2549" s="14" t="s">
        <v>209</v>
      </c>
      <c r="D2549" s="24" t="s">
        <v>1210</v>
      </c>
      <c r="E2549" s="57" t="s">
        <v>19</v>
      </c>
      <c r="F2549" s="26">
        <v>18</v>
      </c>
      <c r="G2549" s="26">
        <v>12</v>
      </c>
      <c r="H2549" s="44"/>
      <c r="I2549" s="103">
        <v>2440.36</v>
      </c>
      <c r="J2549" s="131"/>
      <c r="K2549" s="132">
        <v>3239.78</v>
      </c>
      <c r="L2549" s="47"/>
      <c r="M2549" s="103"/>
      <c r="N2549" s="38" t="s">
        <v>1162</v>
      </c>
      <c r="O2549" s="39"/>
      <c r="P2549" s="193">
        <v>46082</v>
      </c>
    </row>
    <row r="2550" spans="1:16" ht="12.75" customHeight="1">
      <c r="A2550" s="13">
        <f t="shared" ref="A2550:A2613" si="49">A2549+1</f>
        <v>2526</v>
      </c>
      <c r="B2550" s="156" t="s">
        <v>1119</v>
      </c>
      <c r="C2550" s="14" t="s">
        <v>209</v>
      </c>
      <c r="D2550" s="24" t="s">
        <v>1210</v>
      </c>
      <c r="E2550" s="57" t="s">
        <v>19</v>
      </c>
      <c r="F2550" s="26">
        <v>17</v>
      </c>
      <c r="G2550" s="26">
        <v>13</v>
      </c>
      <c r="H2550" s="44"/>
      <c r="I2550" s="103">
        <v>2534.41</v>
      </c>
      <c r="J2550" s="131"/>
      <c r="K2550" s="132">
        <v>3055.31</v>
      </c>
      <c r="L2550" s="47"/>
      <c r="M2550" s="103"/>
      <c r="N2550" s="38" t="s">
        <v>1162</v>
      </c>
      <c r="O2550" s="39"/>
      <c r="P2550" s="193">
        <v>46082</v>
      </c>
    </row>
    <row r="2551" spans="1:16" ht="12.75" customHeight="1">
      <c r="A2551" s="13">
        <f t="shared" si="49"/>
        <v>2527</v>
      </c>
      <c r="B2551" s="156" t="s">
        <v>1119</v>
      </c>
      <c r="C2551" s="14" t="s">
        <v>209</v>
      </c>
      <c r="D2551" s="24" t="s">
        <v>1210</v>
      </c>
      <c r="E2551" s="57" t="s">
        <v>19</v>
      </c>
      <c r="F2551" s="26">
        <v>16</v>
      </c>
      <c r="G2551" s="26">
        <v>14</v>
      </c>
      <c r="H2551" s="44"/>
      <c r="I2551" s="103">
        <v>2640.22</v>
      </c>
      <c r="J2551" s="131"/>
      <c r="K2551" s="132">
        <v>2897.18</v>
      </c>
      <c r="L2551" s="47"/>
      <c r="M2551" s="103"/>
      <c r="N2551" s="38" t="s">
        <v>1162</v>
      </c>
      <c r="O2551" s="39"/>
      <c r="P2551" s="193">
        <v>46082</v>
      </c>
    </row>
    <row r="2552" spans="1:16" ht="12.75" customHeight="1">
      <c r="A2552" s="13">
        <f t="shared" si="49"/>
        <v>2528</v>
      </c>
      <c r="B2552" s="156" t="s">
        <v>1119</v>
      </c>
      <c r="C2552" s="14" t="s">
        <v>209</v>
      </c>
      <c r="D2552" s="24" t="s">
        <v>1210</v>
      </c>
      <c r="E2552" s="57" t="s">
        <v>19</v>
      </c>
      <c r="F2552" s="26">
        <v>15</v>
      </c>
      <c r="G2552" s="26"/>
      <c r="H2552" s="44"/>
      <c r="I2552" s="103">
        <v>2760.15</v>
      </c>
      <c r="J2552" s="131"/>
      <c r="K2552" s="132"/>
      <c r="L2552" s="47"/>
      <c r="M2552" s="103"/>
      <c r="N2552" s="38" t="s">
        <v>1162</v>
      </c>
      <c r="O2552" s="39"/>
      <c r="P2552" s="193">
        <v>46082</v>
      </c>
    </row>
    <row r="2553" spans="1:16" ht="12.75" customHeight="1">
      <c r="A2553" s="13">
        <f t="shared" si="49"/>
        <v>2529</v>
      </c>
      <c r="B2553" s="156" t="s">
        <v>1120</v>
      </c>
      <c r="C2553" s="14" t="s">
        <v>209</v>
      </c>
      <c r="D2553" s="24" t="s">
        <v>1210</v>
      </c>
      <c r="E2553" s="57" t="s">
        <v>19</v>
      </c>
      <c r="F2553" s="46" t="s">
        <v>977</v>
      </c>
      <c r="G2553" s="26"/>
      <c r="H2553" s="44"/>
      <c r="I2553" s="103">
        <v>95234.1</v>
      </c>
      <c r="J2553" s="131"/>
      <c r="K2553" s="132"/>
      <c r="L2553" s="47"/>
      <c r="M2553" s="103"/>
      <c r="N2553" s="38" t="s">
        <v>1162</v>
      </c>
      <c r="O2553" s="39"/>
      <c r="P2553" s="193">
        <v>46082</v>
      </c>
    </row>
    <row r="2554" spans="1:16" ht="12.75" customHeight="1">
      <c r="A2554" s="13">
        <f t="shared" si="49"/>
        <v>2530</v>
      </c>
      <c r="B2554" s="32" t="s">
        <v>510</v>
      </c>
      <c r="C2554" s="14" t="s">
        <v>209</v>
      </c>
      <c r="D2554" s="15" t="s">
        <v>205</v>
      </c>
      <c r="E2554" s="57" t="s">
        <v>19</v>
      </c>
      <c r="F2554" s="26">
        <v>40</v>
      </c>
      <c r="G2554" s="26">
        <v>10</v>
      </c>
      <c r="H2554" s="44">
        <v>1568.62</v>
      </c>
      <c r="I2554" s="103"/>
      <c r="J2554" s="131">
        <v>2576.5100000000002</v>
      </c>
      <c r="K2554" s="132"/>
      <c r="L2554" s="47">
        <v>17365.97</v>
      </c>
      <c r="M2554" s="103"/>
      <c r="N2554" s="38" t="s">
        <v>641</v>
      </c>
      <c r="O2554" s="39"/>
      <c r="P2554" s="66"/>
    </row>
    <row r="2555" spans="1:16" ht="12.75" customHeight="1">
      <c r="A2555" s="13">
        <f t="shared" si="49"/>
        <v>2531</v>
      </c>
      <c r="B2555" s="32" t="s">
        <v>1121</v>
      </c>
      <c r="C2555" s="14" t="s">
        <v>209</v>
      </c>
      <c r="D2555" s="15" t="s">
        <v>205</v>
      </c>
      <c r="E2555" s="57" t="s">
        <v>19</v>
      </c>
      <c r="F2555" s="26">
        <v>20</v>
      </c>
      <c r="G2555" s="26">
        <v>10</v>
      </c>
      <c r="H2555" s="44"/>
      <c r="I2555" s="103">
        <v>1606.17</v>
      </c>
      <c r="J2555" s="131"/>
      <c r="K2555" s="132">
        <v>2563.06</v>
      </c>
      <c r="L2555" s="47"/>
      <c r="M2555" s="103"/>
      <c r="N2555" s="38" t="s">
        <v>641</v>
      </c>
      <c r="O2555" s="39"/>
      <c r="P2555" s="66">
        <v>45170</v>
      </c>
    </row>
    <row r="2556" spans="1:16" ht="12.75" customHeight="1">
      <c r="A2556" s="13">
        <f t="shared" si="49"/>
        <v>2532</v>
      </c>
      <c r="B2556" s="32" t="s">
        <v>1122</v>
      </c>
      <c r="C2556" s="14" t="s">
        <v>209</v>
      </c>
      <c r="D2556" s="15" t="s">
        <v>205</v>
      </c>
      <c r="E2556" s="57" t="s">
        <v>19</v>
      </c>
      <c r="F2556" s="46" t="s">
        <v>977</v>
      </c>
      <c r="G2556" s="26"/>
      <c r="H2556" s="44"/>
      <c r="I2556" s="103">
        <v>55891.43</v>
      </c>
      <c r="J2556" s="131"/>
      <c r="K2556" s="132"/>
      <c r="L2556" s="47"/>
      <c r="M2556" s="103"/>
      <c r="N2556" s="38" t="s">
        <v>641</v>
      </c>
      <c r="O2556" s="39"/>
      <c r="P2556" s="66">
        <v>45170</v>
      </c>
    </row>
    <row r="2557" spans="1:16" ht="12.75" customHeight="1">
      <c r="A2557" s="13">
        <f t="shared" si="49"/>
        <v>2533</v>
      </c>
      <c r="B2557" s="32" t="s">
        <v>1121</v>
      </c>
      <c r="C2557" s="14" t="s">
        <v>209</v>
      </c>
      <c r="D2557" s="15" t="s">
        <v>205</v>
      </c>
      <c r="E2557" s="57" t="s">
        <v>19</v>
      </c>
      <c r="F2557" s="26">
        <v>20</v>
      </c>
      <c r="G2557" s="26">
        <v>10</v>
      </c>
      <c r="H2557" s="44"/>
      <c r="I2557" s="103">
        <v>1886.85</v>
      </c>
      <c r="J2557" s="131"/>
      <c r="K2557" s="132">
        <v>3026.95</v>
      </c>
      <c r="L2557" s="47"/>
      <c r="M2557" s="103" t="s">
        <v>1153</v>
      </c>
      <c r="N2557" s="38" t="s">
        <v>641</v>
      </c>
      <c r="O2557" s="39"/>
      <c r="P2557" s="66">
        <v>45352</v>
      </c>
    </row>
    <row r="2558" spans="1:16" ht="12.75" customHeight="1">
      <c r="A2558" s="13">
        <f t="shared" si="49"/>
        <v>2534</v>
      </c>
      <c r="B2558" s="32" t="s">
        <v>1121</v>
      </c>
      <c r="C2558" s="14" t="s">
        <v>209</v>
      </c>
      <c r="D2558" s="15" t="s">
        <v>205</v>
      </c>
      <c r="E2558" s="57" t="s">
        <v>19</v>
      </c>
      <c r="F2558" s="26">
        <v>19</v>
      </c>
      <c r="G2558" s="26">
        <v>11</v>
      </c>
      <c r="H2558" s="44"/>
      <c r="I2558" s="103">
        <v>1946.86</v>
      </c>
      <c r="J2558" s="131"/>
      <c r="K2558" s="132">
        <v>2819.65</v>
      </c>
      <c r="L2558" s="47"/>
      <c r="M2558" s="103"/>
      <c r="N2558" s="38" t="s">
        <v>641</v>
      </c>
      <c r="O2558" s="39"/>
      <c r="P2558" s="66">
        <v>45352</v>
      </c>
    </row>
    <row r="2559" spans="1:16" ht="12.75" customHeight="1">
      <c r="A2559" s="13">
        <f t="shared" si="49"/>
        <v>2535</v>
      </c>
      <c r="B2559" s="32" t="s">
        <v>1121</v>
      </c>
      <c r="C2559" s="14" t="s">
        <v>209</v>
      </c>
      <c r="D2559" s="15" t="s">
        <v>205</v>
      </c>
      <c r="E2559" s="57" t="s">
        <v>19</v>
      </c>
      <c r="F2559" s="26">
        <v>18</v>
      </c>
      <c r="G2559" s="26">
        <v>12</v>
      </c>
      <c r="H2559" s="44"/>
      <c r="I2559" s="103">
        <v>2013.53</v>
      </c>
      <c r="J2559" s="131"/>
      <c r="K2559" s="132">
        <v>2646.89</v>
      </c>
      <c r="L2559" s="47"/>
      <c r="M2559" s="103"/>
      <c r="N2559" s="38" t="s">
        <v>641</v>
      </c>
      <c r="O2559" s="39"/>
      <c r="P2559" s="66">
        <v>45352</v>
      </c>
    </row>
    <row r="2560" spans="1:16" ht="12.75" customHeight="1">
      <c r="A2560" s="13">
        <f t="shared" si="49"/>
        <v>2536</v>
      </c>
      <c r="B2560" s="32" t="s">
        <v>1121</v>
      </c>
      <c r="C2560" s="14" t="s">
        <v>209</v>
      </c>
      <c r="D2560" s="15" t="s">
        <v>205</v>
      </c>
      <c r="E2560" s="57" t="s">
        <v>19</v>
      </c>
      <c r="F2560" s="26">
        <v>17</v>
      </c>
      <c r="G2560" s="26">
        <v>13</v>
      </c>
      <c r="H2560" s="44"/>
      <c r="I2560" s="103">
        <v>2088.0300000000002</v>
      </c>
      <c r="J2560" s="131"/>
      <c r="K2560" s="132">
        <v>2500.73</v>
      </c>
      <c r="L2560" s="47"/>
      <c r="M2560" s="103"/>
      <c r="N2560" s="38" t="s">
        <v>641</v>
      </c>
      <c r="O2560" s="39"/>
      <c r="P2560" s="66">
        <v>45352</v>
      </c>
    </row>
    <row r="2561" spans="1:16" ht="12.75" customHeight="1">
      <c r="A2561" s="13">
        <f t="shared" si="49"/>
        <v>2537</v>
      </c>
      <c r="B2561" s="32" t="s">
        <v>1121</v>
      </c>
      <c r="C2561" s="14" t="s">
        <v>209</v>
      </c>
      <c r="D2561" s="15" t="s">
        <v>205</v>
      </c>
      <c r="E2561" s="57" t="s">
        <v>19</v>
      </c>
      <c r="F2561" s="26">
        <v>16</v>
      </c>
      <c r="G2561" s="26">
        <v>14</v>
      </c>
      <c r="H2561" s="72" t="s">
        <v>885</v>
      </c>
      <c r="I2561" s="103">
        <v>2171.86</v>
      </c>
      <c r="J2561" s="131"/>
      <c r="K2561" s="132">
        <v>2375.4499999999998</v>
      </c>
      <c r="L2561" s="47"/>
      <c r="M2561" s="103"/>
      <c r="N2561" s="38" t="s">
        <v>641</v>
      </c>
      <c r="O2561" s="39"/>
      <c r="P2561" s="66">
        <v>45352</v>
      </c>
    </row>
    <row r="2562" spans="1:16" ht="12.75" customHeight="1">
      <c r="A2562" s="13">
        <f t="shared" si="49"/>
        <v>2538</v>
      </c>
      <c r="B2562" s="32" t="s">
        <v>1121</v>
      </c>
      <c r="C2562" s="14" t="s">
        <v>209</v>
      </c>
      <c r="D2562" s="15" t="s">
        <v>205</v>
      </c>
      <c r="E2562" s="57" t="s">
        <v>19</v>
      </c>
      <c r="F2562" s="26">
        <v>15</v>
      </c>
      <c r="G2562" s="26"/>
      <c r="H2562" s="44"/>
      <c r="I2562" s="103">
        <v>2266.87</v>
      </c>
      <c r="J2562" s="131"/>
      <c r="K2562" s="132"/>
      <c r="L2562" s="47"/>
      <c r="M2562" s="103"/>
      <c r="N2562" s="38" t="s">
        <v>641</v>
      </c>
      <c r="O2562" s="39"/>
      <c r="P2562" s="66">
        <v>45352</v>
      </c>
    </row>
    <row r="2563" spans="1:16" ht="12.75" customHeight="1">
      <c r="A2563" s="13">
        <f t="shared" si="49"/>
        <v>2539</v>
      </c>
      <c r="B2563" s="32" t="s">
        <v>1121</v>
      </c>
      <c r="C2563" s="14" t="s">
        <v>209</v>
      </c>
      <c r="D2563" s="15" t="s">
        <v>205</v>
      </c>
      <c r="E2563" s="57" t="s">
        <v>19</v>
      </c>
      <c r="F2563" s="26">
        <v>20</v>
      </c>
      <c r="G2563" s="26">
        <v>10</v>
      </c>
      <c r="H2563" s="44"/>
      <c r="I2563" s="103">
        <v>2179.81</v>
      </c>
      <c r="J2563" s="131"/>
      <c r="K2563" s="132">
        <v>3500.85</v>
      </c>
      <c r="L2563" s="47"/>
      <c r="M2563" s="103">
        <v>26421.09</v>
      </c>
      <c r="N2563" s="38" t="s">
        <v>641</v>
      </c>
      <c r="O2563" s="39"/>
      <c r="P2563" s="66">
        <v>45689</v>
      </c>
    </row>
    <row r="2564" spans="1:16" ht="12.75" customHeight="1">
      <c r="A2564" s="13">
        <f t="shared" si="49"/>
        <v>2540</v>
      </c>
      <c r="B2564" s="32" t="s">
        <v>1121</v>
      </c>
      <c r="C2564" s="14" t="s">
        <v>209</v>
      </c>
      <c r="D2564" s="15" t="s">
        <v>205</v>
      </c>
      <c r="E2564" s="57" t="s">
        <v>19</v>
      </c>
      <c r="F2564" s="26">
        <v>19</v>
      </c>
      <c r="G2564" s="26">
        <v>11</v>
      </c>
      <c r="H2564" s="44"/>
      <c r="I2564" s="103">
        <v>2249.34</v>
      </c>
      <c r="J2564" s="131"/>
      <c r="K2564" s="132">
        <v>3260.65</v>
      </c>
      <c r="L2564" s="47"/>
      <c r="M2564" s="103"/>
      <c r="N2564" s="38" t="s">
        <v>641</v>
      </c>
      <c r="O2564" s="39"/>
      <c r="P2564" s="66">
        <v>45689</v>
      </c>
    </row>
    <row r="2565" spans="1:16" ht="12.75" customHeight="1">
      <c r="A2565" s="13">
        <f t="shared" si="49"/>
        <v>2541</v>
      </c>
      <c r="B2565" s="32" t="s">
        <v>1121</v>
      </c>
      <c r="C2565" s="14" t="s">
        <v>209</v>
      </c>
      <c r="D2565" s="15" t="s">
        <v>205</v>
      </c>
      <c r="E2565" s="57" t="s">
        <v>19</v>
      </c>
      <c r="F2565" s="26">
        <v>18</v>
      </c>
      <c r="G2565" s="26">
        <v>12</v>
      </c>
      <c r="H2565" s="44"/>
      <c r="I2565" s="103">
        <v>2326.58</v>
      </c>
      <c r="J2565" s="131"/>
      <c r="K2565" s="132">
        <v>3069.51</v>
      </c>
      <c r="L2565" s="47"/>
      <c r="M2565" s="103"/>
      <c r="N2565" s="38" t="s">
        <v>641</v>
      </c>
      <c r="O2565" s="39"/>
      <c r="P2565" s="66">
        <v>45689</v>
      </c>
    </row>
    <row r="2566" spans="1:16" ht="12.75" customHeight="1">
      <c r="A2566" s="13">
        <f t="shared" si="49"/>
        <v>2542</v>
      </c>
      <c r="B2566" s="32" t="s">
        <v>1121</v>
      </c>
      <c r="C2566" s="14" t="s">
        <v>209</v>
      </c>
      <c r="D2566" s="15" t="s">
        <v>205</v>
      </c>
      <c r="E2566" s="57" t="s">
        <v>19</v>
      </c>
      <c r="F2566" s="26">
        <v>17</v>
      </c>
      <c r="G2566" s="26">
        <v>13</v>
      </c>
      <c r="H2566" s="44"/>
      <c r="I2566" s="103">
        <v>2412.9299999999998</v>
      </c>
      <c r="J2566" s="131"/>
      <c r="K2566" s="132">
        <v>2891.14</v>
      </c>
      <c r="L2566" s="47"/>
      <c r="M2566" s="103"/>
      <c r="N2566" s="38" t="s">
        <v>641</v>
      </c>
      <c r="O2566" s="39"/>
      <c r="P2566" s="66">
        <v>45689</v>
      </c>
    </row>
    <row r="2567" spans="1:16" ht="12.75" customHeight="1">
      <c r="A2567" s="13">
        <f t="shared" si="49"/>
        <v>2543</v>
      </c>
      <c r="B2567" s="32" t="s">
        <v>1121</v>
      </c>
      <c r="C2567" s="14" t="s">
        <v>209</v>
      </c>
      <c r="D2567" s="15" t="s">
        <v>205</v>
      </c>
      <c r="E2567" s="57" t="s">
        <v>19</v>
      </c>
      <c r="F2567" s="26">
        <v>16</v>
      </c>
      <c r="G2567" s="26">
        <v>14</v>
      </c>
      <c r="H2567" s="72" t="s">
        <v>885</v>
      </c>
      <c r="I2567" s="103">
        <v>2510.08</v>
      </c>
      <c r="J2567" s="131"/>
      <c r="K2567" s="132">
        <v>2745.99</v>
      </c>
      <c r="L2567" s="47"/>
      <c r="M2567" s="103"/>
      <c r="N2567" s="38" t="s">
        <v>641</v>
      </c>
      <c r="O2567" s="39"/>
      <c r="P2567" s="66">
        <v>45689</v>
      </c>
    </row>
    <row r="2568" spans="1:16" ht="12.75" customHeight="1">
      <c r="A2568" s="13">
        <f t="shared" si="49"/>
        <v>2544</v>
      </c>
      <c r="B2568" s="32" t="s">
        <v>1121</v>
      </c>
      <c r="C2568" s="14" t="s">
        <v>209</v>
      </c>
      <c r="D2568" s="15" t="s">
        <v>205</v>
      </c>
      <c r="E2568" s="57" t="s">
        <v>19</v>
      </c>
      <c r="F2568" s="26">
        <v>15</v>
      </c>
      <c r="G2568" s="26"/>
      <c r="H2568" s="44"/>
      <c r="I2568" s="103">
        <v>2620.14</v>
      </c>
      <c r="J2568" s="131"/>
      <c r="K2568" s="132"/>
      <c r="L2568" s="47"/>
      <c r="M2568" s="103"/>
      <c r="N2568" s="38" t="s">
        <v>641</v>
      </c>
      <c r="O2568" s="39"/>
      <c r="P2568" s="66">
        <v>45689</v>
      </c>
    </row>
    <row r="2569" spans="1:16">
      <c r="A2569" s="13">
        <f t="shared" si="49"/>
        <v>2545</v>
      </c>
      <c r="B2569" s="32" t="s">
        <v>1122</v>
      </c>
      <c r="C2569" s="14" t="s">
        <v>209</v>
      </c>
      <c r="D2569" s="15" t="s">
        <v>205</v>
      </c>
      <c r="E2569" s="57" t="s">
        <v>19</v>
      </c>
      <c r="F2569" s="46" t="s">
        <v>977</v>
      </c>
      <c r="G2569" s="26"/>
      <c r="H2569" s="44"/>
      <c r="I2569" s="103">
        <v>72419.37</v>
      </c>
      <c r="J2569" s="131"/>
      <c r="K2569" s="132"/>
      <c r="L2569" s="47"/>
      <c r="M2569" s="103"/>
      <c r="N2569" s="38" t="s">
        <v>641</v>
      </c>
      <c r="O2569" s="39"/>
      <c r="P2569" s="66">
        <v>45352</v>
      </c>
    </row>
    <row r="2570" spans="1:16">
      <c r="A2570" s="13">
        <f t="shared" si="49"/>
        <v>2546</v>
      </c>
      <c r="B2570" s="32" t="s">
        <v>1122</v>
      </c>
      <c r="C2570" s="14" t="s">
        <v>209</v>
      </c>
      <c r="D2570" s="15" t="s">
        <v>205</v>
      </c>
      <c r="E2570" s="57" t="s">
        <v>19</v>
      </c>
      <c r="F2570" s="46" t="s">
        <v>977</v>
      </c>
      <c r="G2570" s="26"/>
      <c r="H2570" s="44"/>
      <c r="I2570" s="103">
        <v>87009.09</v>
      </c>
      <c r="J2570" s="131"/>
      <c r="K2570" s="132"/>
      <c r="L2570" s="47"/>
      <c r="M2570" s="103"/>
      <c r="N2570" s="38" t="s">
        <v>641</v>
      </c>
      <c r="O2570" s="39"/>
      <c r="P2570" s="66">
        <v>45689</v>
      </c>
    </row>
    <row r="2571" spans="1:16">
      <c r="A2571" s="13">
        <f t="shared" si="49"/>
        <v>2547</v>
      </c>
      <c r="B2571" s="156" t="s">
        <v>1121</v>
      </c>
      <c r="C2571" s="14" t="s">
        <v>209</v>
      </c>
      <c r="D2571" s="24" t="s">
        <v>1211</v>
      </c>
      <c r="E2571" s="57" t="s">
        <v>19</v>
      </c>
      <c r="F2571" s="26">
        <v>20</v>
      </c>
      <c r="G2571" s="26">
        <v>10</v>
      </c>
      <c r="H2571" s="44"/>
      <c r="I2571" s="103">
        <v>2535.66</v>
      </c>
      <c r="J2571" s="131"/>
      <c r="K2571" s="132">
        <v>3974.63</v>
      </c>
      <c r="L2571" s="47"/>
      <c r="M2571" s="103">
        <v>28779.54</v>
      </c>
      <c r="N2571" s="38" t="s">
        <v>641</v>
      </c>
      <c r="O2571" s="39"/>
      <c r="P2571" s="193">
        <v>46082</v>
      </c>
    </row>
    <row r="2572" spans="1:16">
      <c r="A2572" s="13">
        <f t="shared" si="49"/>
        <v>2548</v>
      </c>
      <c r="B2572" s="156" t="s">
        <v>1121</v>
      </c>
      <c r="C2572" s="14" t="s">
        <v>209</v>
      </c>
      <c r="D2572" s="24" t="s">
        <v>1211</v>
      </c>
      <c r="E2572" s="57" t="s">
        <v>19</v>
      </c>
      <c r="F2572" s="26">
        <v>19</v>
      </c>
      <c r="G2572" s="26">
        <v>11</v>
      </c>
      <c r="H2572" s="44"/>
      <c r="I2572" s="103">
        <v>2611.36</v>
      </c>
      <c r="J2572" s="131"/>
      <c r="K2572" s="132">
        <v>3712.99</v>
      </c>
      <c r="L2572" s="47"/>
      <c r="M2572" s="103"/>
      <c r="N2572" s="38" t="s">
        <v>641</v>
      </c>
      <c r="O2572" s="39"/>
      <c r="P2572" s="193">
        <v>46082</v>
      </c>
    </row>
    <row r="2573" spans="1:16">
      <c r="A2573" s="13">
        <f t="shared" si="49"/>
        <v>2549</v>
      </c>
      <c r="B2573" s="156" t="s">
        <v>1121</v>
      </c>
      <c r="C2573" s="14" t="s">
        <v>209</v>
      </c>
      <c r="D2573" s="24" t="s">
        <v>1211</v>
      </c>
      <c r="E2573" s="57" t="s">
        <v>19</v>
      </c>
      <c r="F2573" s="26">
        <v>18</v>
      </c>
      <c r="G2573" s="26">
        <v>12</v>
      </c>
      <c r="H2573" s="44"/>
      <c r="I2573" s="103">
        <v>2695.53</v>
      </c>
      <c r="J2573" s="131"/>
      <c r="K2573" s="132">
        <v>3494.96</v>
      </c>
      <c r="L2573" s="47"/>
      <c r="M2573" s="103"/>
      <c r="N2573" s="38" t="s">
        <v>641</v>
      </c>
      <c r="O2573" s="39"/>
      <c r="P2573" s="193">
        <v>46082</v>
      </c>
    </row>
    <row r="2574" spans="1:16">
      <c r="A2574" s="13">
        <f t="shared" si="49"/>
        <v>2550</v>
      </c>
      <c r="B2574" s="156" t="s">
        <v>1121</v>
      </c>
      <c r="C2574" s="14" t="s">
        <v>209</v>
      </c>
      <c r="D2574" s="24" t="s">
        <v>1211</v>
      </c>
      <c r="E2574" s="57" t="s">
        <v>19</v>
      </c>
      <c r="F2574" s="26">
        <v>17</v>
      </c>
      <c r="G2574" s="26">
        <v>13</v>
      </c>
      <c r="H2574" s="44"/>
      <c r="I2574" s="103">
        <v>2789.59</v>
      </c>
      <c r="J2574" s="131"/>
      <c r="K2574" s="132">
        <v>3310.49</v>
      </c>
      <c r="L2574" s="47"/>
      <c r="M2574" s="103"/>
      <c r="N2574" s="38" t="s">
        <v>641</v>
      </c>
      <c r="O2574" s="39"/>
      <c r="P2574" s="193">
        <v>46082</v>
      </c>
    </row>
    <row r="2575" spans="1:16">
      <c r="A2575" s="13">
        <f t="shared" si="49"/>
        <v>2551</v>
      </c>
      <c r="B2575" s="156" t="s">
        <v>1121</v>
      </c>
      <c r="C2575" s="14" t="s">
        <v>209</v>
      </c>
      <c r="D2575" s="24" t="s">
        <v>1211</v>
      </c>
      <c r="E2575" s="57" t="s">
        <v>19</v>
      </c>
      <c r="F2575" s="26">
        <v>16</v>
      </c>
      <c r="G2575" s="26">
        <v>14</v>
      </c>
      <c r="H2575" s="44"/>
      <c r="I2575" s="103">
        <v>2895.38</v>
      </c>
      <c r="J2575" s="131"/>
      <c r="K2575" s="132">
        <v>3152.36</v>
      </c>
      <c r="L2575" s="47"/>
      <c r="M2575" s="103"/>
      <c r="N2575" s="38" t="s">
        <v>641</v>
      </c>
      <c r="O2575" s="39"/>
      <c r="P2575" s="193">
        <v>46082</v>
      </c>
    </row>
    <row r="2576" spans="1:16">
      <c r="A2576" s="13">
        <f t="shared" si="49"/>
        <v>2552</v>
      </c>
      <c r="B2576" s="156" t="s">
        <v>1121</v>
      </c>
      <c r="C2576" s="14" t="s">
        <v>209</v>
      </c>
      <c r="D2576" s="24" t="s">
        <v>1211</v>
      </c>
      <c r="E2576" s="57" t="s">
        <v>19</v>
      </c>
      <c r="F2576" s="26">
        <v>15</v>
      </c>
      <c r="G2576" s="26"/>
      <c r="H2576" s="44"/>
      <c r="I2576" s="103">
        <v>3015.32</v>
      </c>
      <c r="J2576" s="131"/>
      <c r="K2576" s="132"/>
      <c r="L2576" s="47"/>
      <c r="M2576" s="103"/>
      <c r="N2576" s="38" t="s">
        <v>641</v>
      </c>
      <c r="O2576" s="39"/>
      <c r="P2576" s="193">
        <v>46082</v>
      </c>
    </row>
    <row r="2577" spans="1:16">
      <c r="A2577" s="13">
        <f t="shared" si="49"/>
        <v>2553</v>
      </c>
      <c r="B2577" s="156" t="s">
        <v>1122</v>
      </c>
      <c r="C2577" s="14" t="s">
        <v>209</v>
      </c>
      <c r="D2577" s="24" t="s">
        <v>1211</v>
      </c>
      <c r="E2577" s="57" t="s">
        <v>19</v>
      </c>
      <c r="F2577" s="46" t="s">
        <v>977</v>
      </c>
      <c r="G2577" s="26"/>
      <c r="H2577" s="44"/>
      <c r="I2577" s="103">
        <v>95234.1</v>
      </c>
      <c r="J2577" s="131"/>
      <c r="K2577" s="132"/>
      <c r="L2577" s="47"/>
      <c r="M2577" s="103"/>
      <c r="N2577" s="38" t="s">
        <v>641</v>
      </c>
      <c r="O2577" s="39"/>
      <c r="P2577" s="193">
        <v>46082</v>
      </c>
    </row>
    <row r="2578" spans="1:16" ht="12.75" customHeight="1">
      <c r="A2578" s="13">
        <f t="shared" si="49"/>
        <v>2554</v>
      </c>
      <c r="B2578" s="32" t="s">
        <v>511</v>
      </c>
      <c r="C2578" s="14" t="s">
        <v>209</v>
      </c>
      <c r="D2578" s="15" t="s">
        <v>206</v>
      </c>
      <c r="E2578" s="57" t="s">
        <v>19</v>
      </c>
      <c r="F2578" s="26">
        <v>40</v>
      </c>
      <c r="G2578" s="26">
        <v>10</v>
      </c>
      <c r="H2578" s="44">
        <v>1568.62</v>
      </c>
      <c r="I2578" s="103"/>
      <c r="J2578" s="131">
        <v>2576.5100000000002</v>
      </c>
      <c r="K2578" s="132"/>
      <c r="L2578" s="47">
        <v>17365.97</v>
      </c>
      <c r="M2578" s="103"/>
      <c r="N2578" s="38" t="s">
        <v>641</v>
      </c>
      <c r="O2578" s="39"/>
      <c r="P2578" s="66"/>
    </row>
    <row r="2579" spans="1:16" ht="12.75" customHeight="1">
      <c r="A2579" s="13">
        <f t="shared" si="49"/>
        <v>2555</v>
      </c>
      <c r="B2579" s="32" t="s">
        <v>512</v>
      </c>
      <c r="C2579" s="14" t="s">
        <v>210</v>
      </c>
      <c r="D2579" s="15" t="s">
        <v>211</v>
      </c>
      <c r="E2579" s="57" t="s">
        <v>19</v>
      </c>
      <c r="F2579" s="26">
        <v>16</v>
      </c>
      <c r="G2579" s="26">
        <v>10</v>
      </c>
      <c r="H2579" s="44">
        <v>3262.92</v>
      </c>
      <c r="I2579" s="103"/>
      <c r="J2579" s="131">
        <v>3748.28</v>
      </c>
      <c r="K2579" s="132"/>
      <c r="L2579" s="47">
        <v>17714.47</v>
      </c>
      <c r="M2579" s="103"/>
      <c r="N2579" s="39" t="s">
        <v>644</v>
      </c>
      <c r="O2579" s="69">
        <v>606</v>
      </c>
      <c r="P2579" s="66"/>
    </row>
    <row r="2580" spans="1:16" ht="12.75" customHeight="1">
      <c r="A2580" s="13">
        <f t="shared" si="49"/>
        <v>2556</v>
      </c>
      <c r="B2580" s="52" t="s">
        <v>748</v>
      </c>
      <c r="C2580" s="23" t="s">
        <v>749</v>
      </c>
      <c r="D2580" s="24" t="s">
        <v>750</v>
      </c>
      <c r="E2580" s="25" t="s">
        <v>13</v>
      </c>
      <c r="F2580" s="26">
        <v>16</v>
      </c>
      <c r="G2580" s="26">
        <v>10</v>
      </c>
      <c r="H2580" s="44">
        <v>1700.63</v>
      </c>
      <c r="I2580" s="103">
        <v>1665.62</v>
      </c>
      <c r="J2580" s="131">
        <v>2151.0300000000002</v>
      </c>
      <c r="K2580" s="132">
        <v>2094.9899999999998</v>
      </c>
      <c r="L2580" s="47"/>
      <c r="M2580" s="103"/>
      <c r="N2580" s="39" t="s">
        <v>643</v>
      </c>
      <c r="O2580" s="69">
        <v>610</v>
      </c>
      <c r="P2580" s="66">
        <v>43617</v>
      </c>
    </row>
    <row r="2581" spans="1:16" ht="12.75" customHeight="1">
      <c r="A2581" s="13">
        <f t="shared" si="49"/>
        <v>2557</v>
      </c>
      <c r="B2581" s="23" t="s">
        <v>748</v>
      </c>
      <c r="C2581" s="23" t="s">
        <v>749</v>
      </c>
      <c r="D2581" s="24" t="s">
        <v>750</v>
      </c>
      <c r="E2581" s="25" t="s">
        <v>13</v>
      </c>
      <c r="F2581" s="26">
        <v>16</v>
      </c>
      <c r="G2581" s="26">
        <v>10</v>
      </c>
      <c r="H2581" s="44"/>
      <c r="I2581" s="103">
        <v>1698.34</v>
      </c>
      <c r="J2581" s="131"/>
      <c r="K2581" s="132">
        <v>2138.09</v>
      </c>
      <c r="L2581" s="47"/>
      <c r="M2581" s="103"/>
      <c r="N2581" s="39" t="s">
        <v>643</v>
      </c>
      <c r="O2581" s="69"/>
      <c r="P2581" s="66">
        <v>44562</v>
      </c>
    </row>
    <row r="2582" spans="1:16" ht="12.75" customHeight="1">
      <c r="A2582" s="13">
        <f t="shared" si="49"/>
        <v>2558</v>
      </c>
      <c r="B2582" s="23" t="s">
        <v>748</v>
      </c>
      <c r="C2582" s="23" t="s">
        <v>749</v>
      </c>
      <c r="D2582" s="24" t="s">
        <v>750</v>
      </c>
      <c r="E2582" s="25" t="s">
        <v>13</v>
      </c>
      <c r="F2582" s="26">
        <v>16</v>
      </c>
      <c r="G2582" s="26">
        <v>10</v>
      </c>
      <c r="H2582" s="44"/>
      <c r="I2582" s="103">
        <v>1873.83</v>
      </c>
      <c r="J2582" s="131"/>
      <c r="K2582" s="132">
        <v>2361.98</v>
      </c>
      <c r="L2582" s="47"/>
      <c r="M2582" s="103"/>
      <c r="N2582" s="39" t="s">
        <v>643</v>
      </c>
      <c r="O2582" s="69"/>
      <c r="P2582" s="66">
        <v>45078</v>
      </c>
    </row>
    <row r="2583" spans="1:16" ht="12.75" customHeight="1">
      <c r="A2583" s="13">
        <f t="shared" si="49"/>
        <v>2559</v>
      </c>
      <c r="B2583" s="32" t="s">
        <v>748</v>
      </c>
      <c r="C2583" s="23" t="s">
        <v>749</v>
      </c>
      <c r="D2583" s="24" t="s">
        <v>750</v>
      </c>
      <c r="E2583" s="25" t="s">
        <v>13</v>
      </c>
      <c r="F2583" s="26">
        <v>16</v>
      </c>
      <c r="G2583" s="26">
        <v>10</v>
      </c>
      <c r="H2583" s="44"/>
      <c r="I2583" s="103">
        <v>2155.1799999999998</v>
      </c>
      <c r="J2583" s="131"/>
      <c r="K2583" s="132">
        <v>2716.69</v>
      </c>
      <c r="L2583" s="47"/>
      <c r="M2583" s="103"/>
      <c r="N2583" s="39" t="s">
        <v>643</v>
      </c>
      <c r="O2583" s="69"/>
      <c r="P2583" s="66">
        <v>45352</v>
      </c>
    </row>
    <row r="2584" spans="1:16" ht="12.75" customHeight="1">
      <c r="A2584" s="13">
        <f t="shared" si="49"/>
        <v>2560</v>
      </c>
      <c r="B2584" s="32" t="s">
        <v>748</v>
      </c>
      <c r="C2584" s="23" t="s">
        <v>749</v>
      </c>
      <c r="D2584" s="24" t="s">
        <v>750</v>
      </c>
      <c r="E2584" s="25" t="s">
        <v>13</v>
      </c>
      <c r="F2584" s="26">
        <v>14</v>
      </c>
      <c r="G2584" s="26">
        <v>12</v>
      </c>
      <c r="H2584" s="44"/>
      <c r="I2584" s="103">
        <v>2288.84</v>
      </c>
      <c r="J2584" s="131"/>
      <c r="K2584" s="132">
        <v>2467.12</v>
      </c>
      <c r="L2584" s="47"/>
      <c r="M2584" s="103"/>
      <c r="N2584" s="39" t="s">
        <v>643</v>
      </c>
      <c r="O2584" s="69"/>
      <c r="P2584" s="66">
        <v>45352</v>
      </c>
    </row>
    <row r="2585" spans="1:16" ht="12.75" customHeight="1">
      <c r="A2585" s="13">
        <f t="shared" si="49"/>
        <v>2561</v>
      </c>
      <c r="B2585" s="32" t="s">
        <v>748</v>
      </c>
      <c r="C2585" s="23" t="s">
        <v>749</v>
      </c>
      <c r="D2585" s="24" t="s">
        <v>750</v>
      </c>
      <c r="E2585" s="25" t="s">
        <v>13</v>
      </c>
      <c r="F2585" s="26">
        <v>16</v>
      </c>
      <c r="G2585" s="26">
        <v>10</v>
      </c>
      <c r="H2585" s="44"/>
      <c r="I2585" s="103">
        <v>2479.27</v>
      </c>
      <c r="J2585" s="131"/>
      <c r="K2585" s="132">
        <v>3125.13</v>
      </c>
      <c r="L2585" s="47"/>
      <c r="M2585" s="103"/>
      <c r="N2585" s="39" t="s">
        <v>643</v>
      </c>
      <c r="O2585" s="69"/>
      <c r="P2585" s="66">
        <v>45689</v>
      </c>
    </row>
    <row r="2586" spans="1:16" ht="12.75" customHeight="1">
      <c r="A2586" s="13">
        <f t="shared" si="49"/>
        <v>2562</v>
      </c>
      <c r="B2586" s="32" t="s">
        <v>748</v>
      </c>
      <c r="C2586" s="23" t="s">
        <v>749</v>
      </c>
      <c r="D2586" s="24" t="s">
        <v>750</v>
      </c>
      <c r="E2586" s="25" t="s">
        <v>13</v>
      </c>
      <c r="F2586" s="26">
        <v>14</v>
      </c>
      <c r="G2586" s="26">
        <v>12</v>
      </c>
      <c r="H2586" s="44"/>
      <c r="I2586" s="103">
        <v>2633.05</v>
      </c>
      <c r="J2586" s="131"/>
      <c r="K2586" s="132">
        <v>2838.08</v>
      </c>
      <c r="L2586" s="47"/>
      <c r="M2586" s="103"/>
      <c r="N2586" s="39" t="s">
        <v>643</v>
      </c>
      <c r="O2586" s="69"/>
      <c r="P2586" s="66">
        <v>45689</v>
      </c>
    </row>
    <row r="2587" spans="1:16" ht="12.75" customHeight="1">
      <c r="A2587" s="13">
        <f t="shared" si="49"/>
        <v>2563</v>
      </c>
      <c r="B2587" s="156" t="s">
        <v>748</v>
      </c>
      <c r="C2587" s="23" t="s">
        <v>749</v>
      </c>
      <c r="D2587" s="24" t="s">
        <v>750</v>
      </c>
      <c r="E2587" s="25" t="s">
        <v>13</v>
      </c>
      <c r="F2587" s="26">
        <v>16</v>
      </c>
      <c r="G2587" s="26">
        <v>10</v>
      </c>
      <c r="H2587" s="44"/>
      <c r="I2587" s="103">
        <v>2739.82</v>
      </c>
      <c r="J2587" s="131"/>
      <c r="K2587" s="132">
        <v>3462.11</v>
      </c>
      <c r="L2587" s="47"/>
      <c r="M2587" s="103"/>
      <c r="N2587" s="39" t="s">
        <v>643</v>
      </c>
      <c r="O2587" s="69"/>
      <c r="P2587" s="193">
        <v>46082</v>
      </c>
    </row>
    <row r="2588" spans="1:16" ht="12.75" customHeight="1">
      <c r="A2588" s="13">
        <f t="shared" si="49"/>
        <v>2564</v>
      </c>
      <c r="B2588" s="156" t="s">
        <v>748</v>
      </c>
      <c r="C2588" s="23" t="s">
        <v>749</v>
      </c>
      <c r="D2588" s="24" t="s">
        <v>750</v>
      </c>
      <c r="E2588" s="25" t="s">
        <v>13</v>
      </c>
      <c r="F2588" s="26">
        <v>14</v>
      </c>
      <c r="G2588" s="26">
        <v>12</v>
      </c>
      <c r="H2588" s="44"/>
      <c r="I2588" s="103">
        <v>2911.78</v>
      </c>
      <c r="J2588" s="131"/>
      <c r="K2588" s="132">
        <v>3141.1</v>
      </c>
      <c r="L2588" s="47"/>
      <c r="M2588" s="103"/>
      <c r="N2588" s="39" t="s">
        <v>643</v>
      </c>
      <c r="O2588" s="69"/>
      <c r="P2588" s="193">
        <v>46082</v>
      </c>
    </row>
    <row r="2589" spans="1:16" ht="12.75" customHeight="1">
      <c r="A2589" s="13">
        <f t="shared" si="49"/>
        <v>2565</v>
      </c>
      <c r="B2589" s="32" t="s">
        <v>751</v>
      </c>
      <c r="C2589" s="23" t="s">
        <v>752</v>
      </c>
      <c r="D2589" s="24" t="s">
        <v>750</v>
      </c>
      <c r="E2589" s="25" t="s">
        <v>19</v>
      </c>
      <c r="F2589" s="26">
        <v>16</v>
      </c>
      <c r="G2589" s="26">
        <v>10</v>
      </c>
      <c r="H2589" s="44">
        <v>2696.61</v>
      </c>
      <c r="I2589" s="165">
        <v>2702.2</v>
      </c>
      <c r="J2589" s="131">
        <v>3730.88</v>
      </c>
      <c r="K2589" s="132">
        <v>3739.85</v>
      </c>
      <c r="L2589" s="47">
        <v>15696.96</v>
      </c>
      <c r="M2589" s="103">
        <v>15786.67</v>
      </c>
      <c r="N2589" s="39" t="s">
        <v>643</v>
      </c>
      <c r="O2589" s="69">
        <v>610</v>
      </c>
      <c r="P2589" s="66">
        <v>43617</v>
      </c>
    </row>
    <row r="2590" spans="1:16" ht="12.75" customHeight="1">
      <c r="A2590" s="13">
        <f t="shared" si="49"/>
        <v>2566</v>
      </c>
      <c r="B2590" s="32" t="s">
        <v>751</v>
      </c>
      <c r="C2590" s="23" t="s">
        <v>752</v>
      </c>
      <c r="D2590" s="24" t="s">
        <v>750</v>
      </c>
      <c r="E2590" s="25" t="s">
        <v>19</v>
      </c>
      <c r="F2590" s="26">
        <v>20</v>
      </c>
      <c r="G2590" s="26">
        <v>10</v>
      </c>
      <c r="H2590" s="44"/>
      <c r="I2590" s="165">
        <v>2346.89</v>
      </c>
      <c r="J2590" s="131"/>
      <c r="K2590" s="132">
        <v>3761.92</v>
      </c>
      <c r="L2590" s="47"/>
      <c r="M2590" s="103">
        <v>28300.41</v>
      </c>
      <c r="N2590" s="39" t="s">
        <v>643</v>
      </c>
      <c r="O2590" s="69"/>
      <c r="P2590" s="66">
        <v>44562</v>
      </c>
    </row>
    <row r="2591" spans="1:16" ht="12.75" customHeight="1">
      <c r="A2591" s="13">
        <f t="shared" si="49"/>
        <v>2567</v>
      </c>
      <c r="B2591" s="32" t="s">
        <v>1035</v>
      </c>
      <c r="C2591" s="23" t="s">
        <v>752</v>
      </c>
      <c r="D2591" s="24" t="s">
        <v>750</v>
      </c>
      <c r="E2591" s="25" t="s">
        <v>19</v>
      </c>
      <c r="F2591" s="31" t="s">
        <v>977</v>
      </c>
      <c r="G2591" s="26"/>
      <c r="H2591" s="44"/>
      <c r="I2591" s="165">
        <v>52576.79</v>
      </c>
      <c r="J2591" s="131"/>
      <c r="K2591" s="132"/>
      <c r="L2591" s="47"/>
      <c r="M2591" s="103"/>
      <c r="N2591" s="39" t="s">
        <v>643</v>
      </c>
      <c r="O2591" s="69"/>
      <c r="P2591" s="66">
        <v>44562</v>
      </c>
    </row>
    <row r="2592" spans="1:16" ht="12.75" customHeight="1">
      <c r="A2592" s="13">
        <f t="shared" si="49"/>
        <v>2568</v>
      </c>
      <c r="B2592" s="32" t="s">
        <v>1106</v>
      </c>
      <c r="C2592" s="23" t="s">
        <v>752</v>
      </c>
      <c r="D2592" s="24" t="s">
        <v>750</v>
      </c>
      <c r="E2592" s="25" t="s">
        <v>19</v>
      </c>
      <c r="F2592" s="26">
        <v>20</v>
      </c>
      <c r="G2592" s="26">
        <v>10</v>
      </c>
      <c r="H2592" s="44"/>
      <c r="I2592" s="165">
        <v>2587.0300000000002</v>
      </c>
      <c r="J2592" s="131"/>
      <c r="K2592" s="132">
        <v>4149.8500000000004</v>
      </c>
      <c r="L2592" s="47"/>
      <c r="M2592" s="103"/>
      <c r="N2592" s="39" t="s">
        <v>643</v>
      </c>
      <c r="O2592" s="69"/>
      <c r="P2592" s="66">
        <v>45078</v>
      </c>
    </row>
    <row r="2593" spans="1:16" ht="12.75" customHeight="1">
      <c r="A2593" s="13">
        <f t="shared" si="49"/>
        <v>2569</v>
      </c>
      <c r="B2593" s="32" t="s">
        <v>1107</v>
      </c>
      <c r="C2593" s="23" t="s">
        <v>752</v>
      </c>
      <c r="D2593" s="24" t="s">
        <v>750</v>
      </c>
      <c r="E2593" s="25" t="s">
        <v>19</v>
      </c>
      <c r="F2593" s="31" t="s">
        <v>977</v>
      </c>
      <c r="G2593" s="26"/>
      <c r="H2593" s="44"/>
      <c r="I2593" s="165">
        <v>53072.92</v>
      </c>
      <c r="J2593" s="131"/>
      <c r="K2593" s="132"/>
      <c r="L2593" s="47"/>
      <c r="M2593" s="103"/>
      <c r="N2593" s="39" t="s">
        <v>643</v>
      </c>
      <c r="O2593" s="69"/>
      <c r="P2593" s="66">
        <v>45078</v>
      </c>
    </row>
    <row r="2594" spans="1:16" ht="12.75" customHeight="1">
      <c r="A2594" s="13">
        <f t="shared" si="49"/>
        <v>2570</v>
      </c>
      <c r="B2594" s="32" t="s">
        <v>1106</v>
      </c>
      <c r="C2594" s="23" t="s">
        <v>752</v>
      </c>
      <c r="D2594" s="24" t="s">
        <v>750</v>
      </c>
      <c r="E2594" s="25" t="s">
        <v>19</v>
      </c>
      <c r="F2594" s="26">
        <v>20</v>
      </c>
      <c r="G2594" s="26">
        <v>10</v>
      </c>
      <c r="H2594" s="44"/>
      <c r="I2594" s="165">
        <v>2975.58</v>
      </c>
      <c r="J2594" s="131"/>
      <c r="K2594" s="132">
        <v>4773.2</v>
      </c>
      <c r="L2594" s="47"/>
      <c r="M2594" s="103" t="s">
        <v>1154</v>
      </c>
      <c r="N2594" s="39" t="s">
        <v>643</v>
      </c>
      <c r="O2594" s="69"/>
      <c r="P2594" s="66">
        <v>45352</v>
      </c>
    </row>
    <row r="2595" spans="1:16" ht="12.75" customHeight="1">
      <c r="A2595" s="13">
        <f t="shared" si="49"/>
        <v>2571</v>
      </c>
      <c r="B2595" s="32" t="s">
        <v>1106</v>
      </c>
      <c r="C2595" s="23" t="s">
        <v>752</v>
      </c>
      <c r="D2595" s="24" t="s">
        <v>750</v>
      </c>
      <c r="E2595" s="25" t="s">
        <v>19</v>
      </c>
      <c r="F2595" s="26">
        <v>19</v>
      </c>
      <c r="G2595" s="26">
        <v>11</v>
      </c>
      <c r="H2595" s="44"/>
      <c r="I2595" s="165">
        <v>3070.2</v>
      </c>
      <c r="J2595" s="131"/>
      <c r="K2595" s="132">
        <v>4446.3599999999997</v>
      </c>
      <c r="L2595" s="47"/>
      <c r="M2595" s="103"/>
      <c r="N2595" s="39" t="s">
        <v>643</v>
      </c>
      <c r="O2595" s="69"/>
      <c r="P2595" s="66">
        <v>45352</v>
      </c>
    </row>
    <row r="2596" spans="1:16" ht="12.75" customHeight="1">
      <c r="A2596" s="13">
        <f t="shared" si="49"/>
        <v>2572</v>
      </c>
      <c r="B2596" s="32" t="s">
        <v>1106</v>
      </c>
      <c r="C2596" s="23" t="s">
        <v>752</v>
      </c>
      <c r="D2596" s="24" t="s">
        <v>750</v>
      </c>
      <c r="E2596" s="25" t="s">
        <v>19</v>
      </c>
      <c r="F2596" s="26">
        <v>18</v>
      </c>
      <c r="G2596" s="26">
        <v>12</v>
      </c>
      <c r="H2596" s="44"/>
      <c r="I2596" s="165">
        <v>3175.32</v>
      </c>
      <c r="J2596" s="131"/>
      <c r="K2596" s="132">
        <v>4173.99</v>
      </c>
      <c r="L2596" s="47"/>
      <c r="M2596" s="103"/>
      <c r="N2596" s="39" t="s">
        <v>643</v>
      </c>
      <c r="O2596" s="69"/>
      <c r="P2596" s="66">
        <v>45352</v>
      </c>
    </row>
    <row r="2597" spans="1:16" ht="12.75" customHeight="1">
      <c r="A2597" s="13">
        <f t="shared" si="49"/>
        <v>2573</v>
      </c>
      <c r="B2597" s="32" t="s">
        <v>1106</v>
      </c>
      <c r="C2597" s="23" t="s">
        <v>752</v>
      </c>
      <c r="D2597" s="24" t="s">
        <v>750</v>
      </c>
      <c r="E2597" s="25" t="s">
        <v>19</v>
      </c>
      <c r="F2597" s="26">
        <v>17</v>
      </c>
      <c r="G2597" s="26">
        <v>13</v>
      </c>
      <c r="H2597" s="44"/>
      <c r="I2597" s="165">
        <v>3292.8</v>
      </c>
      <c r="J2597" s="131"/>
      <c r="K2597" s="132">
        <v>3943.53</v>
      </c>
      <c r="L2597" s="47"/>
      <c r="M2597" s="103"/>
      <c r="N2597" s="39" t="s">
        <v>643</v>
      </c>
      <c r="O2597" s="69"/>
      <c r="P2597" s="66">
        <v>45352</v>
      </c>
    </row>
    <row r="2598" spans="1:16" ht="12.75" customHeight="1">
      <c r="A2598" s="13">
        <f t="shared" si="49"/>
        <v>2574</v>
      </c>
      <c r="B2598" s="32" t="s">
        <v>1106</v>
      </c>
      <c r="C2598" s="23" t="s">
        <v>752</v>
      </c>
      <c r="D2598" s="24" t="s">
        <v>750</v>
      </c>
      <c r="E2598" s="25" t="s">
        <v>19</v>
      </c>
      <c r="F2598" s="26">
        <v>16</v>
      </c>
      <c r="G2598" s="26">
        <v>14</v>
      </c>
      <c r="H2598" s="44"/>
      <c r="I2598" s="165">
        <v>3425.01</v>
      </c>
      <c r="J2598" s="131"/>
      <c r="K2598" s="132">
        <v>3745.98</v>
      </c>
      <c r="L2598" s="47"/>
      <c r="M2598" s="103"/>
      <c r="N2598" s="39" t="s">
        <v>643</v>
      </c>
      <c r="O2598" s="69"/>
      <c r="P2598" s="66">
        <v>45352</v>
      </c>
    </row>
    <row r="2599" spans="1:16" ht="12.75" customHeight="1">
      <c r="A2599" s="13">
        <f t="shared" si="49"/>
        <v>2575</v>
      </c>
      <c r="B2599" s="32" t="s">
        <v>1106</v>
      </c>
      <c r="C2599" s="23" t="s">
        <v>752</v>
      </c>
      <c r="D2599" s="24" t="s">
        <v>750</v>
      </c>
      <c r="E2599" s="25" t="s">
        <v>19</v>
      </c>
      <c r="F2599" s="26">
        <v>15</v>
      </c>
      <c r="G2599" s="26"/>
      <c r="H2599" s="44"/>
      <c r="I2599" s="165">
        <v>3574.8</v>
      </c>
      <c r="J2599" s="131"/>
      <c r="K2599" s="132"/>
      <c r="L2599" s="47"/>
      <c r="M2599" s="103"/>
      <c r="N2599" s="39" t="s">
        <v>643</v>
      </c>
      <c r="O2599" s="69"/>
      <c r="P2599" s="66">
        <v>45352</v>
      </c>
    </row>
    <row r="2600" spans="1:16" ht="12.75" customHeight="1">
      <c r="A2600" s="13">
        <f t="shared" si="49"/>
        <v>2576</v>
      </c>
      <c r="B2600" s="32" t="s">
        <v>1106</v>
      </c>
      <c r="C2600" s="23" t="s">
        <v>752</v>
      </c>
      <c r="D2600" s="24" t="s">
        <v>750</v>
      </c>
      <c r="E2600" s="25" t="s">
        <v>19</v>
      </c>
      <c r="F2600" s="26">
        <v>20</v>
      </c>
      <c r="G2600" s="26">
        <v>10</v>
      </c>
      <c r="H2600" s="44"/>
      <c r="I2600" s="165">
        <v>3423.14</v>
      </c>
      <c r="J2600" s="131"/>
      <c r="K2600" s="132">
        <v>5490.95</v>
      </c>
      <c r="L2600" s="47"/>
      <c r="M2600" s="103">
        <v>41356.39</v>
      </c>
      <c r="N2600" s="39" t="s">
        <v>643</v>
      </c>
      <c r="O2600" s="69"/>
      <c r="P2600" s="66">
        <v>45689</v>
      </c>
    </row>
    <row r="2601" spans="1:16" ht="12.75" customHeight="1">
      <c r="A2601" s="13">
        <f t="shared" si="49"/>
        <v>2577</v>
      </c>
      <c r="B2601" s="32" t="s">
        <v>1106</v>
      </c>
      <c r="C2601" s="23" t="s">
        <v>752</v>
      </c>
      <c r="D2601" s="24" t="s">
        <v>750</v>
      </c>
      <c r="E2601" s="25" t="s">
        <v>19</v>
      </c>
      <c r="F2601" s="26">
        <v>19</v>
      </c>
      <c r="G2601" s="26">
        <v>11</v>
      </c>
      <c r="H2601" s="44"/>
      <c r="I2601" s="165">
        <v>3531.99</v>
      </c>
      <c r="J2601" s="131"/>
      <c r="K2601" s="132">
        <v>5114.99</v>
      </c>
      <c r="L2601" s="47"/>
      <c r="M2601" s="103"/>
      <c r="N2601" s="39" t="s">
        <v>643</v>
      </c>
      <c r="O2601" s="69"/>
      <c r="P2601" s="66">
        <v>45689</v>
      </c>
    </row>
    <row r="2602" spans="1:16" ht="12.75" customHeight="1">
      <c r="A2602" s="13">
        <f t="shared" si="49"/>
        <v>2578</v>
      </c>
      <c r="B2602" s="32" t="s">
        <v>1106</v>
      </c>
      <c r="C2602" s="23" t="s">
        <v>752</v>
      </c>
      <c r="D2602" s="24" t="s">
        <v>750</v>
      </c>
      <c r="E2602" s="25" t="s">
        <v>19</v>
      </c>
      <c r="F2602" s="26">
        <v>18</v>
      </c>
      <c r="G2602" s="26">
        <v>12</v>
      </c>
      <c r="H2602" s="44"/>
      <c r="I2602" s="165">
        <v>3652.88</v>
      </c>
      <c r="J2602" s="131"/>
      <c r="K2602" s="132">
        <v>4801.67</v>
      </c>
      <c r="L2602" s="47"/>
      <c r="M2602" s="103"/>
      <c r="N2602" s="39" t="s">
        <v>643</v>
      </c>
      <c r="O2602" s="69"/>
      <c r="P2602" s="66">
        <v>45689</v>
      </c>
    </row>
    <row r="2603" spans="1:16" ht="12.75" customHeight="1">
      <c r="A2603" s="13">
        <f t="shared" si="49"/>
        <v>2579</v>
      </c>
      <c r="B2603" s="32" t="s">
        <v>1106</v>
      </c>
      <c r="C2603" s="23" t="s">
        <v>752</v>
      </c>
      <c r="D2603" s="24" t="s">
        <v>750</v>
      </c>
      <c r="E2603" s="25" t="s">
        <v>19</v>
      </c>
      <c r="F2603" s="26">
        <v>17</v>
      </c>
      <c r="G2603" s="26">
        <v>13</v>
      </c>
      <c r="H2603" s="44"/>
      <c r="I2603" s="165">
        <v>3788.05</v>
      </c>
      <c r="J2603" s="131"/>
      <c r="K2603" s="132">
        <v>4536.59</v>
      </c>
      <c r="L2603" s="47"/>
      <c r="M2603" s="103"/>
      <c r="N2603" s="39" t="s">
        <v>643</v>
      </c>
      <c r="O2603" s="69"/>
      <c r="P2603" s="66">
        <v>45689</v>
      </c>
    </row>
    <row r="2604" spans="1:16" ht="12.75" customHeight="1">
      <c r="A2604" s="13">
        <f t="shared" si="49"/>
        <v>2580</v>
      </c>
      <c r="B2604" s="32" t="s">
        <v>1106</v>
      </c>
      <c r="C2604" s="23" t="s">
        <v>752</v>
      </c>
      <c r="D2604" s="24" t="s">
        <v>750</v>
      </c>
      <c r="E2604" s="25" t="s">
        <v>19</v>
      </c>
      <c r="F2604" s="26">
        <v>16</v>
      </c>
      <c r="G2604" s="26">
        <v>14</v>
      </c>
      <c r="H2604" s="44"/>
      <c r="I2604" s="165">
        <v>3940.11</v>
      </c>
      <c r="J2604" s="131"/>
      <c r="K2604" s="132">
        <v>4309.34</v>
      </c>
      <c r="L2604" s="47"/>
      <c r="M2604" s="103"/>
      <c r="N2604" s="39" t="s">
        <v>643</v>
      </c>
      <c r="O2604" s="69"/>
      <c r="P2604" s="66">
        <v>45689</v>
      </c>
    </row>
    <row r="2605" spans="1:16" ht="12.75" customHeight="1">
      <c r="A2605" s="13">
        <f t="shared" si="49"/>
        <v>2581</v>
      </c>
      <c r="B2605" s="32" t="s">
        <v>1106</v>
      </c>
      <c r="C2605" s="23" t="s">
        <v>752</v>
      </c>
      <c r="D2605" s="24" t="s">
        <v>750</v>
      </c>
      <c r="E2605" s="25" t="s">
        <v>19</v>
      </c>
      <c r="F2605" s="26">
        <v>15</v>
      </c>
      <c r="G2605" s="26"/>
      <c r="H2605" s="44"/>
      <c r="I2605" s="165">
        <v>4112.41</v>
      </c>
      <c r="J2605" s="131"/>
      <c r="K2605" s="132"/>
      <c r="L2605" s="47"/>
      <c r="M2605" s="103"/>
      <c r="N2605" s="39" t="s">
        <v>643</v>
      </c>
      <c r="O2605" s="69"/>
      <c r="P2605" s="66">
        <v>45689</v>
      </c>
    </row>
    <row r="2606" spans="1:16" ht="12.75" customHeight="1">
      <c r="A2606" s="13">
        <f t="shared" si="49"/>
        <v>2582</v>
      </c>
      <c r="B2606" s="32" t="s">
        <v>1107</v>
      </c>
      <c r="C2606" s="23" t="s">
        <v>752</v>
      </c>
      <c r="D2606" s="24" t="s">
        <v>750</v>
      </c>
      <c r="E2606" s="25" t="s">
        <v>19</v>
      </c>
      <c r="F2606" s="31" t="s">
        <v>977</v>
      </c>
      <c r="G2606" s="26"/>
      <c r="H2606" s="44"/>
      <c r="I2606" s="165">
        <v>74631.61</v>
      </c>
      <c r="J2606" s="131"/>
      <c r="K2606" s="132"/>
      <c r="L2606" s="47"/>
      <c r="M2606" s="103"/>
      <c r="N2606" s="39" t="s">
        <v>643</v>
      </c>
      <c r="O2606" s="69"/>
      <c r="P2606" s="66">
        <v>45352</v>
      </c>
    </row>
    <row r="2607" spans="1:16" ht="12.75" customHeight="1">
      <c r="A2607" s="13">
        <f t="shared" si="49"/>
        <v>2583</v>
      </c>
      <c r="B2607" s="32" t="s">
        <v>1107</v>
      </c>
      <c r="C2607" s="23" t="s">
        <v>752</v>
      </c>
      <c r="D2607" s="24" t="s">
        <v>750</v>
      </c>
      <c r="E2607" s="25" t="s">
        <v>19</v>
      </c>
      <c r="F2607" s="31" t="s">
        <v>977</v>
      </c>
      <c r="G2607" s="26"/>
      <c r="H2607" s="44"/>
      <c r="I2607" s="165">
        <v>85829.01</v>
      </c>
      <c r="J2607" s="131"/>
      <c r="K2607" s="132"/>
      <c r="L2607" s="47"/>
      <c r="M2607" s="103"/>
      <c r="N2607" s="39" t="s">
        <v>643</v>
      </c>
      <c r="O2607" s="69"/>
      <c r="P2607" s="66">
        <v>45689</v>
      </c>
    </row>
    <row r="2608" spans="1:16" ht="12.75" customHeight="1">
      <c r="A2608" s="13">
        <f t="shared" si="49"/>
        <v>2584</v>
      </c>
      <c r="B2608" s="156" t="s">
        <v>1106</v>
      </c>
      <c r="C2608" s="23" t="s">
        <v>752</v>
      </c>
      <c r="D2608" s="24" t="s">
        <v>750</v>
      </c>
      <c r="E2608" s="25" t="s">
        <v>19</v>
      </c>
      <c r="F2608" s="26">
        <v>20</v>
      </c>
      <c r="G2608" s="26">
        <v>10</v>
      </c>
      <c r="H2608" s="44"/>
      <c r="I2608" s="165">
        <v>3751.78</v>
      </c>
      <c r="J2608" s="131"/>
      <c r="K2608" s="132">
        <v>6019.64</v>
      </c>
      <c r="L2608" s="47"/>
      <c r="M2608" s="103">
        <v>45357.43</v>
      </c>
      <c r="N2608" s="39" t="s">
        <v>643</v>
      </c>
      <c r="O2608" s="69"/>
      <c r="P2608" s="193">
        <v>46082</v>
      </c>
    </row>
    <row r="2609" spans="1:16" ht="12.75" customHeight="1">
      <c r="A2609" s="13">
        <f t="shared" si="49"/>
        <v>2585</v>
      </c>
      <c r="B2609" s="156" t="s">
        <v>1106</v>
      </c>
      <c r="C2609" s="23" t="s">
        <v>752</v>
      </c>
      <c r="D2609" s="24" t="s">
        <v>750</v>
      </c>
      <c r="E2609" s="25" t="s">
        <v>19</v>
      </c>
      <c r="F2609" s="26">
        <v>19</v>
      </c>
      <c r="G2609" s="26">
        <v>11</v>
      </c>
      <c r="H2609" s="44"/>
      <c r="I2609" s="165">
        <v>3871.12</v>
      </c>
      <c r="J2609" s="131"/>
      <c r="K2609" s="132">
        <v>5607.3</v>
      </c>
      <c r="L2609" s="47"/>
      <c r="M2609" s="103"/>
      <c r="N2609" s="39" t="s">
        <v>643</v>
      </c>
      <c r="O2609" s="69"/>
      <c r="P2609" s="193">
        <v>46082</v>
      </c>
    </row>
    <row r="2610" spans="1:16" ht="12.75" customHeight="1">
      <c r="A2610" s="13">
        <f t="shared" si="49"/>
        <v>2586</v>
      </c>
      <c r="B2610" s="156" t="s">
        <v>1106</v>
      </c>
      <c r="C2610" s="23" t="s">
        <v>752</v>
      </c>
      <c r="D2610" s="24" t="s">
        <v>750</v>
      </c>
      <c r="E2610" s="25" t="s">
        <v>19</v>
      </c>
      <c r="F2610" s="26">
        <v>18</v>
      </c>
      <c r="G2610" s="26">
        <v>12</v>
      </c>
      <c r="H2610" s="44"/>
      <c r="I2610" s="165">
        <v>4003.72</v>
      </c>
      <c r="J2610" s="131"/>
      <c r="K2610" s="132">
        <v>5263.69</v>
      </c>
      <c r="L2610" s="47"/>
      <c r="M2610" s="103"/>
      <c r="N2610" s="39" t="s">
        <v>643</v>
      </c>
      <c r="O2610" s="69"/>
      <c r="P2610" s="193">
        <v>46082</v>
      </c>
    </row>
    <row r="2611" spans="1:16" ht="12.75" customHeight="1">
      <c r="A2611" s="13">
        <f t="shared" si="49"/>
        <v>2587</v>
      </c>
      <c r="B2611" s="156" t="s">
        <v>1106</v>
      </c>
      <c r="C2611" s="23" t="s">
        <v>752</v>
      </c>
      <c r="D2611" s="24" t="s">
        <v>750</v>
      </c>
      <c r="E2611" s="25" t="s">
        <v>19</v>
      </c>
      <c r="F2611" s="26">
        <v>17</v>
      </c>
      <c r="G2611" s="26">
        <v>13</v>
      </c>
      <c r="H2611" s="44"/>
      <c r="I2611" s="165">
        <v>4151.97</v>
      </c>
      <c r="J2611" s="131"/>
      <c r="K2611" s="132">
        <v>4972.9399999999996</v>
      </c>
      <c r="L2611" s="47"/>
      <c r="M2611" s="103"/>
      <c r="N2611" s="39" t="s">
        <v>643</v>
      </c>
      <c r="O2611" s="69"/>
      <c r="P2611" s="193">
        <v>46082</v>
      </c>
    </row>
    <row r="2612" spans="1:16" ht="12.75" customHeight="1">
      <c r="A2612" s="13">
        <f t="shared" si="49"/>
        <v>2588</v>
      </c>
      <c r="B2612" s="156" t="s">
        <v>1106</v>
      </c>
      <c r="C2612" s="23" t="s">
        <v>752</v>
      </c>
      <c r="D2612" s="24" t="s">
        <v>750</v>
      </c>
      <c r="E2612" s="25" t="s">
        <v>19</v>
      </c>
      <c r="F2612" s="26">
        <v>16</v>
      </c>
      <c r="G2612" s="26">
        <v>14</v>
      </c>
      <c r="H2612" s="44"/>
      <c r="I2612" s="165">
        <v>4318.74</v>
      </c>
      <c r="J2612" s="131"/>
      <c r="K2612" s="132">
        <v>4723.71</v>
      </c>
      <c r="L2612" s="47"/>
      <c r="M2612" s="103"/>
      <c r="N2612" s="39" t="s">
        <v>643</v>
      </c>
      <c r="O2612" s="69"/>
      <c r="P2612" s="193">
        <v>46082</v>
      </c>
    </row>
    <row r="2613" spans="1:16" ht="12.75" customHeight="1">
      <c r="A2613" s="13">
        <f t="shared" si="49"/>
        <v>2589</v>
      </c>
      <c r="B2613" s="156" t="s">
        <v>1106</v>
      </c>
      <c r="C2613" s="23" t="s">
        <v>752</v>
      </c>
      <c r="D2613" s="24" t="s">
        <v>750</v>
      </c>
      <c r="E2613" s="25" t="s">
        <v>19</v>
      </c>
      <c r="F2613" s="26">
        <v>15</v>
      </c>
      <c r="G2613" s="26"/>
      <c r="H2613" s="44"/>
      <c r="I2613" s="165">
        <v>4507.71</v>
      </c>
      <c r="J2613" s="131"/>
      <c r="K2613" s="132"/>
      <c r="L2613" s="47"/>
      <c r="M2613" s="103"/>
      <c r="N2613" s="39" t="s">
        <v>643</v>
      </c>
      <c r="O2613" s="69"/>
      <c r="P2613" s="193">
        <v>46082</v>
      </c>
    </row>
    <row r="2614" spans="1:16" ht="12.75" customHeight="1">
      <c r="A2614" s="13">
        <f t="shared" ref="A2614:A2677" si="50">A2613+1</f>
        <v>2590</v>
      </c>
      <c r="B2614" s="156" t="s">
        <v>1107</v>
      </c>
      <c r="C2614" s="23" t="s">
        <v>752</v>
      </c>
      <c r="D2614" s="24" t="s">
        <v>750</v>
      </c>
      <c r="E2614" s="25" t="s">
        <v>19</v>
      </c>
      <c r="F2614" s="31" t="s">
        <v>977</v>
      </c>
      <c r="G2614" s="26"/>
      <c r="H2614" s="44"/>
      <c r="I2614" s="165">
        <v>108579.9</v>
      </c>
      <c r="J2614" s="131"/>
      <c r="K2614" s="132"/>
      <c r="L2614" s="47"/>
      <c r="M2614" s="103"/>
      <c r="N2614" s="39" t="s">
        <v>643</v>
      </c>
      <c r="O2614" s="69"/>
      <c r="P2614" s="193">
        <v>46082</v>
      </c>
    </row>
    <row r="2615" spans="1:16" ht="12.75" customHeight="1">
      <c r="A2615" s="13">
        <f t="shared" si="50"/>
        <v>2591</v>
      </c>
      <c r="B2615" s="156" t="s">
        <v>1205</v>
      </c>
      <c r="C2615" s="23" t="s">
        <v>749</v>
      </c>
      <c r="D2615" s="24" t="s">
        <v>710</v>
      </c>
      <c r="E2615" s="25" t="s">
        <v>13</v>
      </c>
      <c r="F2615" s="31">
        <v>16</v>
      </c>
      <c r="G2615" s="26">
        <v>10</v>
      </c>
      <c r="H2615" s="44"/>
      <c r="I2615" s="165">
        <v>2156.7600000000002</v>
      </c>
      <c r="J2615" s="131"/>
      <c r="K2615" s="132">
        <v>2879.04</v>
      </c>
      <c r="L2615" s="47"/>
      <c r="M2615" s="103"/>
      <c r="N2615" s="39" t="s">
        <v>643</v>
      </c>
      <c r="O2615" s="69"/>
      <c r="P2615" s="193">
        <v>46082</v>
      </c>
    </row>
    <row r="2616" spans="1:16" ht="12.75" customHeight="1">
      <c r="A2616" s="13">
        <f t="shared" si="50"/>
        <v>2592</v>
      </c>
      <c r="B2616" s="156" t="s">
        <v>1205</v>
      </c>
      <c r="C2616" s="23" t="s">
        <v>749</v>
      </c>
      <c r="D2616" s="24" t="s">
        <v>710</v>
      </c>
      <c r="E2616" s="25" t="s">
        <v>13</v>
      </c>
      <c r="F2616" s="31">
        <v>14</v>
      </c>
      <c r="G2616" s="26">
        <v>12</v>
      </c>
      <c r="H2616" s="44"/>
      <c r="I2616" s="165">
        <v>2328.73</v>
      </c>
      <c r="J2616" s="131"/>
      <c r="K2616" s="132">
        <v>2558.04</v>
      </c>
      <c r="L2616" s="47"/>
      <c r="M2616" s="103"/>
      <c r="N2616" s="39" t="s">
        <v>643</v>
      </c>
      <c r="O2616" s="69"/>
      <c r="P2616" s="193">
        <v>46082</v>
      </c>
    </row>
    <row r="2617" spans="1:16" ht="12.75" customHeight="1">
      <c r="A2617" s="13">
        <f t="shared" si="50"/>
        <v>2593</v>
      </c>
      <c r="B2617" s="32" t="s">
        <v>791</v>
      </c>
      <c r="C2617" s="23" t="s">
        <v>792</v>
      </c>
      <c r="D2617" s="24" t="s">
        <v>793</v>
      </c>
      <c r="E2617" s="14" t="s">
        <v>13</v>
      </c>
      <c r="F2617" s="26">
        <v>16</v>
      </c>
      <c r="G2617" s="26">
        <v>10</v>
      </c>
      <c r="H2617" s="44">
        <v>1529.17</v>
      </c>
      <c r="I2617" s="103"/>
      <c r="J2617" s="131">
        <v>2098.1799999999998</v>
      </c>
      <c r="K2617" s="132"/>
      <c r="L2617" s="47"/>
      <c r="M2617" s="103"/>
      <c r="N2617" s="99" t="s">
        <v>642</v>
      </c>
      <c r="O2617" s="68">
        <v>603</v>
      </c>
      <c r="P2617" s="66">
        <v>42887</v>
      </c>
    </row>
    <row r="2618" spans="1:16" ht="12.75" customHeight="1">
      <c r="A2618" s="13">
        <f t="shared" si="50"/>
        <v>2594</v>
      </c>
      <c r="B2618" s="32" t="s">
        <v>682</v>
      </c>
      <c r="C2618" s="14" t="s">
        <v>210</v>
      </c>
      <c r="D2618" s="52" t="s">
        <v>596</v>
      </c>
      <c r="E2618" s="14" t="s">
        <v>13</v>
      </c>
      <c r="F2618" s="40">
        <v>16.5</v>
      </c>
      <c r="G2618" s="27">
        <v>10</v>
      </c>
      <c r="H2618" s="44">
        <v>2046.16</v>
      </c>
      <c r="I2618" s="103">
        <v>1994.08</v>
      </c>
      <c r="J2618" s="131">
        <v>2608.59</v>
      </c>
      <c r="K2618" s="132">
        <v>2522.61</v>
      </c>
      <c r="L2618" s="47"/>
      <c r="M2618" s="103"/>
      <c r="N2618" s="39" t="s">
        <v>644</v>
      </c>
      <c r="O2618" s="69">
        <v>606</v>
      </c>
      <c r="P2618" s="66">
        <v>43617</v>
      </c>
    </row>
    <row r="2619" spans="1:16" ht="12.75" customHeight="1">
      <c r="A2619" s="13">
        <f t="shared" si="50"/>
        <v>2595</v>
      </c>
      <c r="B2619" s="32" t="s">
        <v>683</v>
      </c>
      <c r="C2619" s="14" t="s">
        <v>210</v>
      </c>
      <c r="D2619" s="52" t="s">
        <v>597</v>
      </c>
      <c r="E2619" s="14" t="s">
        <v>13</v>
      </c>
      <c r="F2619" s="40">
        <v>16.5</v>
      </c>
      <c r="G2619" s="27">
        <v>10</v>
      </c>
      <c r="H2619" s="44">
        <v>2142.2199999999998</v>
      </c>
      <c r="I2619" s="103">
        <v>2090.15</v>
      </c>
      <c r="J2619" s="131">
        <v>2704.65</v>
      </c>
      <c r="K2619" s="132">
        <v>2618.69</v>
      </c>
      <c r="L2619" s="47"/>
      <c r="M2619" s="103"/>
      <c r="N2619" s="39" t="s">
        <v>644</v>
      </c>
      <c r="O2619" s="69">
        <v>606</v>
      </c>
      <c r="P2619" s="66">
        <v>43617</v>
      </c>
    </row>
    <row r="2620" spans="1:16" ht="12.75" customHeight="1">
      <c r="A2620" s="13">
        <f t="shared" si="50"/>
        <v>2596</v>
      </c>
      <c r="B2620" s="32" t="s">
        <v>684</v>
      </c>
      <c r="C2620" s="14" t="s">
        <v>210</v>
      </c>
      <c r="D2620" s="52" t="s">
        <v>598</v>
      </c>
      <c r="E2620" s="14" t="s">
        <v>13</v>
      </c>
      <c r="F2620" s="40">
        <v>16.5</v>
      </c>
      <c r="G2620" s="27">
        <v>10</v>
      </c>
      <c r="H2620" s="44">
        <v>2003.29</v>
      </c>
      <c r="I2620" s="103">
        <v>1951.21</v>
      </c>
      <c r="J2620" s="131">
        <v>2565.7199999999998</v>
      </c>
      <c r="K2620" s="132">
        <v>2479.7600000000002</v>
      </c>
      <c r="L2620" s="47"/>
      <c r="M2620" s="103"/>
      <c r="N2620" s="39" t="s">
        <v>644</v>
      </c>
      <c r="O2620" s="69">
        <v>606</v>
      </c>
      <c r="P2620" s="66">
        <v>43617</v>
      </c>
    </row>
    <row r="2621" spans="1:16" ht="12.75" customHeight="1">
      <c r="A2621" s="13">
        <f t="shared" si="50"/>
        <v>2597</v>
      </c>
      <c r="B2621" s="32" t="s">
        <v>684</v>
      </c>
      <c r="C2621" s="14" t="s">
        <v>210</v>
      </c>
      <c r="D2621" s="52" t="s">
        <v>598</v>
      </c>
      <c r="E2621" s="14" t="s">
        <v>13</v>
      </c>
      <c r="F2621" s="71" t="s">
        <v>1084</v>
      </c>
      <c r="G2621" s="27">
        <v>10</v>
      </c>
      <c r="H2621" s="44">
        <v>1951.21</v>
      </c>
      <c r="I2621" s="103"/>
      <c r="J2621" s="131">
        <v>2479.7600000000002</v>
      </c>
      <c r="K2621" s="132"/>
      <c r="L2621" s="47"/>
      <c r="M2621" s="103"/>
      <c r="N2621" s="39" t="s">
        <v>644</v>
      </c>
      <c r="O2621" s="69"/>
      <c r="P2621" s="66">
        <v>43617</v>
      </c>
    </row>
    <row r="2622" spans="1:16" ht="12.75" customHeight="1">
      <c r="A2622" s="13">
        <f t="shared" si="50"/>
        <v>2598</v>
      </c>
      <c r="B2622" s="32" t="s">
        <v>685</v>
      </c>
      <c r="C2622" s="14" t="s">
        <v>210</v>
      </c>
      <c r="D2622" s="52" t="s">
        <v>599</v>
      </c>
      <c r="E2622" s="14" t="s">
        <v>13</v>
      </c>
      <c r="F2622" s="40">
        <v>16.5</v>
      </c>
      <c r="G2622" s="27">
        <v>10</v>
      </c>
      <c r="H2622" s="44">
        <v>1899.84</v>
      </c>
      <c r="I2622" s="103">
        <v>1847.76</v>
      </c>
      <c r="J2622" s="131">
        <v>2462.27</v>
      </c>
      <c r="K2622" s="132">
        <v>2376.29</v>
      </c>
      <c r="L2622" s="47"/>
      <c r="M2622" s="103"/>
      <c r="N2622" s="39" t="s">
        <v>644</v>
      </c>
      <c r="O2622" s="69">
        <v>606</v>
      </c>
      <c r="P2622" s="66">
        <v>43617</v>
      </c>
    </row>
    <row r="2623" spans="1:16" ht="12.75" customHeight="1">
      <c r="A2623" s="13">
        <f t="shared" si="50"/>
        <v>2599</v>
      </c>
      <c r="B2623" s="32" t="s">
        <v>686</v>
      </c>
      <c r="C2623" s="14" t="s">
        <v>210</v>
      </c>
      <c r="D2623" s="52" t="s">
        <v>596</v>
      </c>
      <c r="E2623" s="14" t="s">
        <v>19</v>
      </c>
      <c r="F2623" s="40">
        <v>16.5</v>
      </c>
      <c r="G2623" s="27">
        <v>10</v>
      </c>
      <c r="H2623" s="44">
        <v>2918.68</v>
      </c>
      <c r="I2623" s="103">
        <v>2996.33</v>
      </c>
      <c r="J2623" s="132">
        <v>4048.26</v>
      </c>
      <c r="K2623" s="132">
        <v>4176.37</v>
      </c>
      <c r="L2623" s="103">
        <v>19475.64</v>
      </c>
      <c r="M2623" s="103">
        <v>19929.46</v>
      </c>
      <c r="N2623" s="39" t="s">
        <v>644</v>
      </c>
      <c r="O2623" s="69">
        <v>606</v>
      </c>
      <c r="P2623" s="66">
        <v>43617</v>
      </c>
    </row>
    <row r="2624" spans="1:16" ht="12.75" customHeight="1">
      <c r="A2624" s="13">
        <f t="shared" si="50"/>
        <v>2600</v>
      </c>
      <c r="B2624" s="32" t="s">
        <v>687</v>
      </c>
      <c r="C2624" s="14" t="s">
        <v>210</v>
      </c>
      <c r="D2624" s="52" t="s">
        <v>597</v>
      </c>
      <c r="E2624" s="14" t="s">
        <v>19</v>
      </c>
      <c r="F2624" s="40">
        <v>16.5</v>
      </c>
      <c r="G2624" s="27">
        <v>10</v>
      </c>
      <c r="H2624" s="44">
        <v>3014.74</v>
      </c>
      <c r="I2624" s="103">
        <v>3092.4</v>
      </c>
      <c r="J2624" s="131">
        <v>4144.33</v>
      </c>
      <c r="K2624" s="132">
        <v>4272.45</v>
      </c>
      <c r="L2624" s="47">
        <v>19475.64</v>
      </c>
      <c r="M2624" s="103">
        <v>19929.46</v>
      </c>
      <c r="N2624" s="39" t="s">
        <v>644</v>
      </c>
      <c r="O2624" s="69">
        <v>606</v>
      </c>
      <c r="P2624" s="66">
        <v>43617</v>
      </c>
    </row>
    <row r="2625" spans="1:16" ht="12.75" customHeight="1">
      <c r="A2625" s="13">
        <f t="shared" si="50"/>
        <v>2601</v>
      </c>
      <c r="B2625" s="32" t="s">
        <v>688</v>
      </c>
      <c r="C2625" s="14" t="s">
        <v>210</v>
      </c>
      <c r="D2625" s="52" t="s">
        <v>598</v>
      </c>
      <c r="E2625" s="14" t="s">
        <v>19</v>
      </c>
      <c r="F2625" s="40">
        <v>16.5</v>
      </c>
      <c r="G2625" s="27">
        <v>10</v>
      </c>
      <c r="H2625" s="44">
        <v>2875.81</v>
      </c>
      <c r="I2625" s="103">
        <v>2953.47</v>
      </c>
      <c r="J2625" s="131">
        <v>4005.4</v>
      </c>
      <c r="K2625" s="132">
        <v>4133.5200000000004</v>
      </c>
      <c r="L2625" s="47">
        <v>19475.64</v>
      </c>
      <c r="M2625" s="103">
        <v>19929.46</v>
      </c>
      <c r="N2625" s="39" t="s">
        <v>644</v>
      </c>
      <c r="O2625" s="69">
        <v>606</v>
      </c>
      <c r="P2625" s="66">
        <v>43617</v>
      </c>
    </row>
    <row r="2626" spans="1:16" ht="15.75" customHeight="1">
      <c r="A2626" s="13">
        <f t="shared" si="50"/>
        <v>2602</v>
      </c>
      <c r="B2626" s="32" t="s">
        <v>689</v>
      </c>
      <c r="C2626" s="14" t="s">
        <v>210</v>
      </c>
      <c r="D2626" s="52" t="s">
        <v>599</v>
      </c>
      <c r="E2626" s="14" t="s">
        <v>19</v>
      </c>
      <c r="F2626" s="40">
        <v>16.5</v>
      </c>
      <c r="G2626" s="27">
        <v>10</v>
      </c>
      <c r="H2626" s="44">
        <v>2704.96</v>
      </c>
      <c r="I2626" s="103">
        <v>2850</v>
      </c>
      <c r="J2626" s="131">
        <v>3834.55</v>
      </c>
      <c r="K2626" s="132">
        <v>4030.05</v>
      </c>
      <c r="L2626" s="47">
        <v>19475.64</v>
      </c>
      <c r="M2626" s="103">
        <v>19929.46</v>
      </c>
      <c r="N2626" s="39" t="s">
        <v>644</v>
      </c>
      <c r="O2626" s="69">
        <v>606</v>
      </c>
      <c r="P2626" s="66">
        <v>43617</v>
      </c>
    </row>
    <row r="2627" spans="1:16" ht="15.75" customHeight="1">
      <c r="A2627" s="13">
        <f t="shared" si="50"/>
        <v>2603</v>
      </c>
      <c r="B2627" s="32" t="s">
        <v>949</v>
      </c>
      <c r="C2627" s="23" t="s">
        <v>944</v>
      </c>
      <c r="D2627" s="52" t="s">
        <v>950</v>
      </c>
      <c r="E2627" s="23" t="s">
        <v>13</v>
      </c>
      <c r="F2627" s="71" t="s">
        <v>951</v>
      </c>
      <c r="G2627" s="27">
        <v>10</v>
      </c>
      <c r="H2627" s="44"/>
      <c r="I2627" s="103">
        <v>1294.1400000000001</v>
      </c>
      <c r="J2627" s="131"/>
      <c r="K2627" s="132">
        <v>1866.4</v>
      </c>
      <c r="L2627" s="47"/>
      <c r="M2627" s="103"/>
      <c r="N2627" s="38" t="s">
        <v>796</v>
      </c>
      <c r="O2627" s="69"/>
      <c r="P2627" s="66">
        <v>44562</v>
      </c>
    </row>
    <row r="2628" spans="1:16" ht="15.75" customHeight="1">
      <c r="A2628" s="13">
        <f t="shared" si="50"/>
        <v>2604</v>
      </c>
      <c r="B2628" s="32" t="s">
        <v>949</v>
      </c>
      <c r="C2628" s="23" t="s">
        <v>944</v>
      </c>
      <c r="D2628" s="52" t="s">
        <v>950</v>
      </c>
      <c r="E2628" s="23" t="s">
        <v>13</v>
      </c>
      <c r="F2628" s="71" t="s">
        <v>951</v>
      </c>
      <c r="G2628" s="27">
        <v>10</v>
      </c>
      <c r="H2628" s="44"/>
      <c r="I2628" s="103">
        <v>1503.71</v>
      </c>
      <c r="J2628" s="131"/>
      <c r="K2628" s="132">
        <v>1892.33</v>
      </c>
      <c r="L2628" s="47"/>
      <c r="M2628" s="103"/>
      <c r="N2628" s="38" t="s">
        <v>796</v>
      </c>
      <c r="O2628" s="69"/>
      <c r="P2628" s="66">
        <v>45078</v>
      </c>
    </row>
    <row r="2629" spans="1:16" ht="15.75" customHeight="1">
      <c r="A2629" s="13">
        <f t="shared" si="50"/>
        <v>2605</v>
      </c>
      <c r="B2629" s="180" t="s">
        <v>949</v>
      </c>
      <c r="C2629" s="23" t="s">
        <v>944</v>
      </c>
      <c r="D2629" s="52" t="s">
        <v>950</v>
      </c>
      <c r="E2629" s="23" t="s">
        <v>13</v>
      </c>
      <c r="F2629" s="71" t="s">
        <v>951</v>
      </c>
      <c r="G2629" s="27">
        <v>10</v>
      </c>
      <c r="H2629" s="44"/>
      <c r="I2629" s="103">
        <v>1503.71</v>
      </c>
      <c r="J2629" s="131"/>
      <c r="K2629" s="132">
        <v>2176.37</v>
      </c>
      <c r="L2629" s="47"/>
      <c r="M2629" s="103"/>
      <c r="N2629" s="38" t="s">
        <v>796</v>
      </c>
      <c r="O2629" s="69"/>
      <c r="P2629" s="66">
        <v>45352</v>
      </c>
    </row>
    <row r="2630" spans="1:16" ht="15.75" customHeight="1">
      <c r="A2630" s="13">
        <f t="shared" si="50"/>
        <v>2606</v>
      </c>
      <c r="B2630" s="180" t="s">
        <v>949</v>
      </c>
      <c r="C2630" s="23" t="s">
        <v>944</v>
      </c>
      <c r="D2630" s="52" t="s">
        <v>950</v>
      </c>
      <c r="E2630" s="23" t="s">
        <v>13</v>
      </c>
      <c r="F2630" s="71" t="s">
        <v>1164</v>
      </c>
      <c r="G2630" s="27">
        <v>14</v>
      </c>
      <c r="H2630" s="44"/>
      <c r="I2630" s="103">
        <v>1671.84</v>
      </c>
      <c r="J2630" s="131"/>
      <c r="K2630" s="132">
        <v>1791.99</v>
      </c>
      <c r="L2630" s="47"/>
      <c r="M2630" s="103"/>
      <c r="N2630" s="38" t="s">
        <v>796</v>
      </c>
      <c r="O2630" s="69"/>
      <c r="P2630" s="66">
        <v>45352</v>
      </c>
    </row>
    <row r="2631" spans="1:16" ht="15.75" customHeight="1">
      <c r="A2631" s="13">
        <f t="shared" si="50"/>
        <v>2607</v>
      </c>
      <c r="B2631" s="180" t="s">
        <v>949</v>
      </c>
      <c r="C2631" s="23" t="s">
        <v>944</v>
      </c>
      <c r="D2631" s="52" t="s">
        <v>950</v>
      </c>
      <c r="E2631" s="23" t="s">
        <v>13</v>
      </c>
      <c r="F2631" s="71" t="s">
        <v>951</v>
      </c>
      <c r="G2631" s="27">
        <v>10</v>
      </c>
      <c r="H2631" s="44"/>
      <c r="I2631" s="103">
        <v>1771.97</v>
      </c>
      <c r="J2631" s="131"/>
      <c r="K2631" s="132">
        <v>2563.42</v>
      </c>
      <c r="L2631" s="47"/>
      <c r="M2631" s="103"/>
      <c r="N2631" s="38" t="s">
        <v>796</v>
      </c>
      <c r="O2631" s="69"/>
      <c r="P2631" s="66">
        <v>45689</v>
      </c>
    </row>
    <row r="2632" spans="1:16" ht="15.75" customHeight="1">
      <c r="A2632" s="13">
        <f t="shared" si="50"/>
        <v>2608</v>
      </c>
      <c r="B2632" s="180" t="s">
        <v>949</v>
      </c>
      <c r="C2632" s="23" t="s">
        <v>944</v>
      </c>
      <c r="D2632" s="52" t="s">
        <v>950</v>
      </c>
      <c r="E2632" s="23" t="s">
        <v>13</v>
      </c>
      <c r="F2632" s="71" t="s">
        <v>1164</v>
      </c>
      <c r="G2632" s="27">
        <v>14</v>
      </c>
      <c r="H2632" s="44"/>
      <c r="I2632" s="103">
        <v>1969.84</v>
      </c>
      <c r="J2632" s="131"/>
      <c r="K2632" s="132">
        <v>2111.17</v>
      </c>
      <c r="L2632" s="47"/>
      <c r="M2632" s="103"/>
      <c r="N2632" s="38" t="s">
        <v>796</v>
      </c>
      <c r="O2632" s="69" t="s">
        <v>885</v>
      </c>
      <c r="P2632" s="66">
        <v>45689</v>
      </c>
    </row>
    <row r="2633" spans="1:16" ht="15.75" customHeight="1">
      <c r="A2633" s="13">
        <f t="shared" si="50"/>
        <v>2609</v>
      </c>
      <c r="B2633" s="156" t="s">
        <v>949</v>
      </c>
      <c r="C2633" s="23" t="s">
        <v>944</v>
      </c>
      <c r="D2633" s="52" t="s">
        <v>950</v>
      </c>
      <c r="E2633" s="23" t="s">
        <v>13</v>
      </c>
      <c r="F2633" s="71" t="s">
        <v>951</v>
      </c>
      <c r="G2633" s="27">
        <v>10</v>
      </c>
      <c r="H2633" s="44"/>
      <c r="I2633" s="103">
        <v>2123.09</v>
      </c>
      <c r="J2633" s="131"/>
      <c r="K2633" s="132">
        <v>3013.52</v>
      </c>
      <c r="L2633" s="47"/>
      <c r="M2633" s="103"/>
      <c r="N2633" s="38" t="s">
        <v>796</v>
      </c>
      <c r="O2633" s="69"/>
      <c r="P2633" s="193">
        <v>46082</v>
      </c>
    </row>
    <row r="2634" spans="1:16" ht="15.75" customHeight="1">
      <c r="A2634" s="13">
        <f t="shared" si="50"/>
        <v>2610</v>
      </c>
      <c r="B2634" s="156" t="s">
        <v>949</v>
      </c>
      <c r="C2634" s="23" t="s">
        <v>944</v>
      </c>
      <c r="D2634" s="52" t="s">
        <v>950</v>
      </c>
      <c r="E2634" s="23" t="s">
        <v>13</v>
      </c>
      <c r="F2634" s="71" t="s">
        <v>1164</v>
      </c>
      <c r="G2634" s="27">
        <v>14</v>
      </c>
      <c r="H2634" s="44"/>
      <c r="I2634" s="103">
        <v>2345.73</v>
      </c>
      <c r="J2634" s="131"/>
      <c r="K2634" s="132">
        <v>2504.71</v>
      </c>
      <c r="L2634" s="47"/>
      <c r="M2634" s="103"/>
      <c r="N2634" s="38" t="s">
        <v>796</v>
      </c>
      <c r="O2634" s="69"/>
      <c r="P2634" s="193">
        <v>46082</v>
      </c>
    </row>
    <row r="2635" spans="1:16" ht="15.75" customHeight="1">
      <c r="A2635" s="13">
        <f t="shared" si="50"/>
        <v>2611</v>
      </c>
      <c r="B2635" s="32" t="s">
        <v>943</v>
      </c>
      <c r="C2635" s="23" t="s">
        <v>944</v>
      </c>
      <c r="D2635" s="52" t="s">
        <v>945</v>
      </c>
      <c r="E2635" s="23" t="s">
        <v>13</v>
      </c>
      <c r="F2635" s="71" t="s">
        <v>951</v>
      </c>
      <c r="G2635" s="27">
        <v>10</v>
      </c>
      <c r="H2635" s="44"/>
      <c r="I2635" s="103">
        <v>1235.02</v>
      </c>
      <c r="J2635" s="131"/>
      <c r="K2635" s="132">
        <v>1807.28</v>
      </c>
      <c r="L2635" s="47"/>
      <c r="M2635" s="103"/>
      <c r="N2635" s="38" t="s">
        <v>796</v>
      </c>
      <c r="O2635" s="69"/>
      <c r="P2635" s="66">
        <v>44562</v>
      </c>
    </row>
    <row r="2636" spans="1:16" ht="15.75" customHeight="1">
      <c r="A2636" s="13">
        <f t="shared" si="50"/>
        <v>2612</v>
      </c>
      <c r="B2636" s="32" t="s">
        <v>943</v>
      </c>
      <c r="C2636" s="23" t="s">
        <v>944</v>
      </c>
      <c r="D2636" s="52" t="s">
        <v>945</v>
      </c>
      <c r="E2636" s="23" t="s">
        <v>13</v>
      </c>
      <c r="F2636" s="71" t="s">
        <v>951</v>
      </c>
      <c r="G2636" s="27">
        <v>10</v>
      </c>
      <c r="H2636" s="44"/>
      <c r="I2636" s="103">
        <v>1248.3499999999999</v>
      </c>
      <c r="J2636" s="131"/>
      <c r="K2636" s="132">
        <v>1833.21</v>
      </c>
      <c r="L2636" s="47"/>
      <c r="M2636" s="103"/>
      <c r="N2636" s="38" t="s">
        <v>796</v>
      </c>
      <c r="O2636" s="69"/>
      <c r="P2636" s="66">
        <v>45078</v>
      </c>
    </row>
    <row r="2637" spans="1:16" ht="15.75" customHeight="1">
      <c r="A2637" s="13">
        <f t="shared" si="50"/>
        <v>2613</v>
      </c>
      <c r="B2637" s="180" t="s">
        <v>943</v>
      </c>
      <c r="C2637" s="23" t="s">
        <v>944</v>
      </c>
      <c r="D2637" s="52" t="s">
        <v>945</v>
      </c>
      <c r="E2637" s="23" t="s">
        <v>13</v>
      </c>
      <c r="F2637" s="71" t="s">
        <v>951</v>
      </c>
      <c r="G2637" s="27">
        <v>10</v>
      </c>
      <c r="H2637" s="44"/>
      <c r="I2637" s="103">
        <v>1435.72</v>
      </c>
      <c r="J2637" s="131"/>
      <c r="K2637" s="132">
        <v>2108.39</v>
      </c>
      <c r="L2637" s="47"/>
      <c r="M2637" s="103"/>
      <c r="N2637" s="38" t="s">
        <v>796</v>
      </c>
      <c r="O2637" s="69"/>
      <c r="P2637" s="66">
        <v>45352</v>
      </c>
    </row>
    <row r="2638" spans="1:16" ht="15.75" customHeight="1">
      <c r="A2638" s="13">
        <f t="shared" si="50"/>
        <v>2614</v>
      </c>
      <c r="B2638" s="180" t="s">
        <v>943</v>
      </c>
      <c r="C2638" s="23" t="s">
        <v>944</v>
      </c>
      <c r="D2638" s="52" t="s">
        <v>945</v>
      </c>
      <c r="E2638" s="23" t="s">
        <v>13</v>
      </c>
      <c r="F2638" s="71" t="s">
        <v>1164</v>
      </c>
      <c r="G2638" s="27">
        <v>14</v>
      </c>
      <c r="H2638" s="44"/>
      <c r="I2638" s="103">
        <v>1603.85</v>
      </c>
      <c r="J2638" s="131"/>
      <c r="K2638" s="132">
        <v>1724</v>
      </c>
      <c r="L2638" s="47"/>
      <c r="M2638" s="103"/>
      <c r="N2638" s="38" t="s">
        <v>796</v>
      </c>
      <c r="O2638" s="69"/>
      <c r="P2638" s="66">
        <v>45352</v>
      </c>
    </row>
    <row r="2639" spans="1:16" ht="15.75" customHeight="1">
      <c r="A2639" s="13">
        <f t="shared" si="50"/>
        <v>2615</v>
      </c>
      <c r="B2639" s="180" t="s">
        <v>943</v>
      </c>
      <c r="C2639" s="23" t="s">
        <v>944</v>
      </c>
      <c r="D2639" s="52" t="s">
        <v>945</v>
      </c>
      <c r="E2639" s="23" t="s">
        <v>13</v>
      </c>
      <c r="F2639" s="71" t="s">
        <v>951</v>
      </c>
      <c r="G2639" s="27">
        <v>10</v>
      </c>
      <c r="H2639" s="44"/>
      <c r="I2639" s="103">
        <v>1691.74</v>
      </c>
      <c r="J2639" s="131"/>
      <c r="K2639" s="132">
        <v>2483.19</v>
      </c>
      <c r="L2639" s="47"/>
      <c r="M2639" s="103"/>
      <c r="N2639" s="38" t="s">
        <v>796</v>
      </c>
      <c r="O2639" s="69"/>
      <c r="P2639" s="66">
        <v>45689</v>
      </c>
    </row>
    <row r="2640" spans="1:16" ht="15.75" customHeight="1">
      <c r="A2640" s="13">
        <f t="shared" si="50"/>
        <v>2616</v>
      </c>
      <c r="B2640" s="180" t="s">
        <v>943</v>
      </c>
      <c r="C2640" s="23" t="s">
        <v>944</v>
      </c>
      <c r="D2640" s="52" t="s">
        <v>945</v>
      </c>
      <c r="E2640" s="23" t="s">
        <v>13</v>
      </c>
      <c r="F2640" s="71" t="s">
        <v>1164</v>
      </c>
      <c r="G2640" s="27">
        <v>14</v>
      </c>
      <c r="H2640" s="44"/>
      <c r="I2640" s="103">
        <v>1889.63</v>
      </c>
      <c r="J2640" s="131"/>
      <c r="K2640" s="132">
        <v>2030.95</v>
      </c>
      <c r="L2640" s="47"/>
      <c r="M2640" s="103"/>
      <c r="N2640" s="38" t="s">
        <v>796</v>
      </c>
      <c r="O2640" s="69"/>
      <c r="P2640" s="66">
        <v>45689</v>
      </c>
    </row>
    <row r="2641" spans="1:16" ht="15.75" customHeight="1">
      <c r="A2641" s="13">
        <f t="shared" si="50"/>
        <v>2617</v>
      </c>
      <c r="B2641" s="156" t="s">
        <v>943</v>
      </c>
      <c r="C2641" s="23" t="s">
        <v>944</v>
      </c>
      <c r="D2641" s="52" t="s">
        <v>945</v>
      </c>
      <c r="E2641" s="23" t="s">
        <v>13</v>
      </c>
      <c r="F2641" s="71" t="s">
        <v>951</v>
      </c>
      <c r="G2641" s="27">
        <v>10</v>
      </c>
      <c r="H2641" s="44"/>
      <c r="I2641" s="103">
        <v>1957.83</v>
      </c>
      <c r="J2641" s="131"/>
      <c r="K2641" s="132">
        <v>2848.28</v>
      </c>
      <c r="L2641" s="47"/>
      <c r="M2641" s="103"/>
      <c r="N2641" s="38" t="s">
        <v>796</v>
      </c>
      <c r="O2641" s="69"/>
      <c r="P2641" s="193">
        <v>46082</v>
      </c>
    </row>
    <row r="2642" spans="1:16" ht="15.75" customHeight="1">
      <c r="A2642" s="13">
        <f t="shared" si="50"/>
        <v>2618</v>
      </c>
      <c r="B2642" s="156" t="s">
        <v>943</v>
      </c>
      <c r="C2642" s="23" t="s">
        <v>944</v>
      </c>
      <c r="D2642" s="52" t="s">
        <v>945</v>
      </c>
      <c r="E2642" s="23" t="s">
        <v>13</v>
      </c>
      <c r="F2642" s="71" t="s">
        <v>1164</v>
      </c>
      <c r="G2642" s="27">
        <v>14</v>
      </c>
      <c r="H2642" s="44"/>
      <c r="I2642" s="103">
        <v>2180.48</v>
      </c>
      <c r="J2642" s="131"/>
      <c r="K2642" s="132">
        <v>2339.46</v>
      </c>
      <c r="L2642" s="47"/>
      <c r="M2642" s="103"/>
      <c r="N2642" s="38" t="s">
        <v>796</v>
      </c>
      <c r="O2642" s="69"/>
      <c r="P2642" s="193">
        <v>46082</v>
      </c>
    </row>
    <row r="2643" spans="1:16" ht="15.75" customHeight="1">
      <c r="A2643" s="13">
        <f t="shared" si="50"/>
        <v>2619</v>
      </c>
      <c r="B2643" s="32" t="s">
        <v>1067</v>
      </c>
      <c r="C2643" s="23" t="s">
        <v>944</v>
      </c>
      <c r="D2643" s="52" t="s">
        <v>950</v>
      </c>
      <c r="E2643" s="23" t="s">
        <v>19</v>
      </c>
      <c r="F2643" s="71" t="s">
        <v>977</v>
      </c>
      <c r="G2643" s="27"/>
      <c r="H2643" s="44"/>
      <c r="I2643" s="103">
        <v>57563.32</v>
      </c>
      <c r="J2643" s="131"/>
      <c r="K2643" s="132"/>
      <c r="L2643" s="47"/>
      <c r="M2643" s="103"/>
      <c r="N2643" s="38" t="s">
        <v>796</v>
      </c>
      <c r="O2643" s="69" t="s">
        <v>885</v>
      </c>
      <c r="P2643" s="66">
        <v>44562</v>
      </c>
    </row>
    <row r="2644" spans="1:16" ht="15.75" customHeight="1">
      <c r="A2644" s="13">
        <f t="shared" si="50"/>
        <v>2620</v>
      </c>
      <c r="B2644" s="32" t="s">
        <v>955</v>
      </c>
      <c r="C2644" s="23" t="s">
        <v>944</v>
      </c>
      <c r="D2644" s="52" t="s">
        <v>950</v>
      </c>
      <c r="E2644" s="23" t="s">
        <v>19</v>
      </c>
      <c r="F2644" s="71" t="s">
        <v>951</v>
      </c>
      <c r="G2644" s="27">
        <v>10</v>
      </c>
      <c r="H2644" s="44"/>
      <c r="I2644" s="103">
        <v>1755.27</v>
      </c>
      <c r="J2644" s="131"/>
      <c r="K2644" s="132">
        <v>2801.11</v>
      </c>
      <c r="L2644" s="47"/>
      <c r="M2644" s="103">
        <v>20916.86</v>
      </c>
      <c r="N2644" s="38" t="s">
        <v>796</v>
      </c>
      <c r="O2644" s="69"/>
      <c r="P2644" s="66">
        <v>44562</v>
      </c>
    </row>
    <row r="2645" spans="1:16" ht="15.75" customHeight="1">
      <c r="A2645" s="13">
        <f t="shared" si="50"/>
        <v>2621</v>
      </c>
      <c r="B2645" s="32" t="s">
        <v>955</v>
      </c>
      <c r="C2645" s="23" t="s">
        <v>944</v>
      </c>
      <c r="D2645" s="52" t="s">
        <v>950</v>
      </c>
      <c r="E2645" s="23" t="s">
        <v>19</v>
      </c>
      <c r="F2645" s="71" t="s">
        <v>951</v>
      </c>
      <c r="G2645" s="27">
        <v>10</v>
      </c>
      <c r="H2645" s="44"/>
      <c r="I2645" s="103">
        <v>1773.59</v>
      </c>
      <c r="J2645" s="131"/>
      <c r="K2645" s="132">
        <v>2837.78</v>
      </c>
      <c r="L2645" s="47"/>
      <c r="M2645" s="103"/>
      <c r="N2645" s="38" t="s">
        <v>796</v>
      </c>
      <c r="O2645" s="69"/>
      <c r="P2645" s="66">
        <v>45078</v>
      </c>
    </row>
    <row r="2646" spans="1:16" ht="15.75" customHeight="1">
      <c r="A2646" s="13">
        <f t="shared" si="50"/>
        <v>2622</v>
      </c>
      <c r="B2646" s="32" t="s">
        <v>1067</v>
      </c>
      <c r="C2646" s="23" t="s">
        <v>944</v>
      </c>
      <c r="D2646" s="52" t="s">
        <v>950</v>
      </c>
      <c r="E2646" s="23" t="s">
        <v>19</v>
      </c>
      <c r="F2646" s="71" t="s">
        <v>977</v>
      </c>
      <c r="G2646" s="27"/>
      <c r="H2646" s="44"/>
      <c r="I2646" s="103">
        <v>58115.83</v>
      </c>
      <c r="J2646" s="131"/>
      <c r="K2646" s="132"/>
      <c r="L2646" s="47"/>
      <c r="M2646" s="103"/>
      <c r="N2646" s="38" t="s">
        <v>796</v>
      </c>
      <c r="O2646" s="69"/>
      <c r="P2646" s="66">
        <v>45078</v>
      </c>
    </row>
    <row r="2647" spans="1:16" ht="15.75" customHeight="1">
      <c r="A2647" s="13">
        <f t="shared" si="50"/>
        <v>2623</v>
      </c>
      <c r="B2647" s="32" t="s">
        <v>955</v>
      </c>
      <c r="C2647" s="23" t="s">
        <v>944</v>
      </c>
      <c r="D2647" s="52" t="s">
        <v>950</v>
      </c>
      <c r="E2647" s="23" t="s">
        <v>19</v>
      </c>
      <c r="F2647" s="71" t="s">
        <v>951</v>
      </c>
      <c r="G2647" s="27">
        <v>10</v>
      </c>
      <c r="H2647" s="44"/>
      <c r="I2647" s="103">
        <v>2039.8</v>
      </c>
      <c r="J2647" s="131"/>
      <c r="K2647" s="132">
        <v>3263.78</v>
      </c>
      <c r="L2647" s="47"/>
      <c r="M2647" s="103">
        <v>24479.3</v>
      </c>
      <c r="N2647" s="38" t="s">
        <v>796</v>
      </c>
      <c r="O2647" s="69"/>
      <c r="P2647" s="66">
        <v>45352</v>
      </c>
    </row>
    <row r="2648" spans="1:16" ht="15.75" customHeight="1">
      <c r="A2648" s="13">
        <f t="shared" si="50"/>
        <v>2624</v>
      </c>
      <c r="B2648" s="32" t="s">
        <v>955</v>
      </c>
      <c r="C2648" s="23" t="s">
        <v>944</v>
      </c>
      <c r="D2648" s="52" t="s">
        <v>950</v>
      </c>
      <c r="E2648" s="23" t="s">
        <v>19</v>
      </c>
      <c r="F2648" s="71" t="s">
        <v>1169</v>
      </c>
      <c r="G2648" s="27">
        <v>11</v>
      </c>
      <c r="H2648" s="44"/>
      <c r="I2648" s="103">
        <v>2104.21</v>
      </c>
      <c r="J2648" s="131"/>
      <c r="K2648" s="132">
        <v>3041.24</v>
      </c>
      <c r="L2648" s="47"/>
      <c r="M2648" s="103"/>
      <c r="N2648" s="38" t="s">
        <v>796</v>
      </c>
      <c r="O2648" s="69"/>
      <c r="P2648" s="66">
        <v>45352</v>
      </c>
    </row>
    <row r="2649" spans="1:16" ht="15.75" customHeight="1">
      <c r="A2649" s="13">
        <f t="shared" si="50"/>
        <v>2625</v>
      </c>
      <c r="B2649" s="32" t="s">
        <v>955</v>
      </c>
      <c r="C2649" s="23" t="s">
        <v>944</v>
      </c>
      <c r="D2649" s="52" t="s">
        <v>950</v>
      </c>
      <c r="E2649" s="23" t="s">
        <v>19</v>
      </c>
      <c r="F2649" s="71" t="s">
        <v>1170</v>
      </c>
      <c r="G2649" s="27">
        <v>12</v>
      </c>
      <c r="H2649" s="44"/>
      <c r="I2649" s="103">
        <v>2175.81</v>
      </c>
      <c r="J2649" s="131"/>
      <c r="K2649" s="132">
        <v>2855.78</v>
      </c>
      <c r="L2649" s="47"/>
      <c r="M2649" s="103"/>
      <c r="N2649" s="38" t="s">
        <v>796</v>
      </c>
      <c r="O2649" s="69"/>
      <c r="P2649" s="66">
        <v>45352</v>
      </c>
    </row>
    <row r="2650" spans="1:16" ht="15.75" customHeight="1">
      <c r="A2650" s="13">
        <f t="shared" si="50"/>
        <v>2626</v>
      </c>
      <c r="B2650" s="32" t="s">
        <v>955</v>
      </c>
      <c r="C2650" s="23" t="s">
        <v>944</v>
      </c>
      <c r="D2650" s="52" t="s">
        <v>950</v>
      </c>
      <c r="E2650" s="23" t="s">
        <v>19</v>
      </c>
      <c r="F2650" s="71" t="s">
        <v>1171</v>
      </c>
      <c r="G2650" s="27">
        <v>13</v>
      </c>
      <c r="H2650" s="44"/>
      <c r="I2650" s="103">
        <v>2255.8000000000002</v>
      </c>
      <c r="J2650" s="131"/>
      <c r="K2650" s="132">
        <v>2698.87</v>
      </c>
      <c r="L2650" s="47"/>
      <c r="M2650" s="103"/>
      <c r="N2650" s="38" t="s">
        <v>796</v>
      </c>
      <c r="O2650" s="69"/>
      <c r="P2650" s="66">
        <v>45352</v>
      </c>
    </row>
    <row r="2651" spans="1:16" ht="15.75" customHeight="1">
      <c r="A2651" s="13">
        <f t="shared" si="50"/>
        <v>2627</v>
      </c>
      <c r="B2651" s="32" t="s">
        <v>955</v>
      </c>
      <c r="C2651" s="23" t="s">
        <v>944</v>
      </c>
      <c r="D2651" s="52" t="s">
        <v>950</v>
      </c>
      <c r="E2651" s="23" t="s">
        <v>19</v>
      </c>
      <c r="F2651" s="71" t="s">
        <v>1164</v>
      </c>
      <c r="G2651" s="27">
        <v>14</v>
      </c>
      <c r="H2651" s="44"/>
      <c r="I2651" s="103">
        <v>2345.81</v>
      </c>
      <c r="J2651" s="131"/>
      <c r="K2651" s="132">
        <v>2564.36</v>
      </c>
      <c r="L2651" s="47"/>
      <c r="M2651" s="103"/>
      <c r="N2651" s="38" t="s">
        <v>796</v>
      </c>
      <c r="O2651" s="69"/>
      <c r="P2651" s="66">
        <v>45352</v>
      </c>
    </row>
    <row r="2652" spans="1:16" ht="15.75" customHeight="1">
      <c r="A2652" s="13">
        <f t="shared" si="50"/>
        <v>2628</v>
      </c>
      <c r="B2652" s="32" t="s">
        <v>955</v>
      </c>
      <c r="C2652" s="23" t="s">
        <v>944</v>
      </c>
      <c r="D2652" s="52" t="s">
        <v>950</v>
      </c>
      <c r="E2652" s="23" t="s">
        <v>19</v>
      </c>
      <c r="F2652" s="71" t="s">
        <v>1172</v>
      </c>
      <c r="G2652" s="27"/>
      <c r="H2652" s="44"/>
      <c r="I2652" s="103">
        <v>2447.8000000000002</v>
      </c>
      <c r="J2652" s="131"/>
      <c r="K2652" s="132"/>
      <c r="L2652" s="47"/>
      <c r="M2652" s="103"/>
      <c r="N2652" s="38" t="s">
        <v>796</v>
      </c>
      <c r="O2652" s="69"/>
      <c r="P2652" s="66">
        <v>45352</v>
      </c>
    </row>
    <row r="2653" spans="1:16" ht="15.75" customHeight="1">
      <c r="A2653" s="13">
        <f t="shared" si="50"/>
        <v>2629</v>
      </c>
      <c r="B2653" s="32" t="s">
        <v>955</v>
      </c>
      <c r="C2653" s="23" t="s">
        <v>944</v>
      </c>
      <c r="D2653" s="52" t="s">
        <v>950</v>
      </c>
      <c r="E2653" s="23" t="s">
        <v>19</v>
      </c>
      <c r="F2653" s="71" t="s">
        <v>951</v>
      </c>
      <c r="G2653" s="27">
        <v>10</v>
      </c>
      <c r="H2653" s="44"/>
      <c r="I2653" s="103">
        <v>2403.1799999999998</v>
      </c>
      <c r="J2653" s="131"/>
      <c r="K2653" s="132">
        <v>3843.66</v>
      </c>
      <c r="L2653" s="47"/>
      <c r="M2653" s="103">
        <v>28809.5</v>
      </c>
      <c r="N2653" s="38" t="s">
        <v>796</v>
      </c>
      <c r="O2653" s="69"/>
      <c r="P2653" s="66">
        <v>45689</v>
      </c>
    </row>
    <row r="2654" spans="1:16" ht="15.75" customHeight="1">
      <c r="A2654" s="13">
        <f t="shared" si="50"/>
        <v>2630</v>
      </c>
      <c r="B2654" s="32" t="s">
        <v>955</v>
      </c>
      <c r="C2654" s="23" t="s">
        <v>944</v>
      </c>
      <c r="D2654" s="52" t="s">
        <v>950</v>
      </c>
      <c r="E2654" s="23" t="s">
        <v>19</v>
      </c>
      <c r="F2654" s="71" t="s">
        <v>1169</v>
      </c>
      <c r="G2654" s="27">
        <v>11</v>
      </c>
      <c r="H2654" s="44"/>
      <c r="I2654" s="103">
        <v>2479.0100000000002</v>
      </c>
      <c r="J2654" s="131"/>
      <c r="K2654" s="132">
        <v>3581.77</v>
      </c>
      <c r="L2654" s="47"/>
      <c r="M2654" s="103"/>
      <c r="N2654" s="38" t="s">
        <v>796</v>
      </c>
      <c r="O2654" s="69"/>
      <c r="P2654" s="66">
        <v>45689</v>
      </c>
    </row>
    <row r="2655" spans="1:16" ht="15.75" customHeight="1">
      <c r="A2655" s="13">
        <f t="shared" si="50"/>
        <v>2631</v>
      </c>
      <c r="B2655" s="32" t="s">
        <v>955</v>
      </c>
      <c r="C2655" s="23" t="s">
        <v>944</v>
      </c>
      <c r="D2655" s="52" t="s">
        <v>950</v>
      </c>
      <c r="E2655" s="23" t="s">
        <v>19</v>
      </c>
      <c r="F2655" s="71" t="s">
        <v>1170</v>
      </c>
      <c r="G2655" s="27">
        <v>12</v>
      </c>
      <c r="H2655" s="44"/>
      <c r="I2655" s="103">
        <v>2563.21</v>
      </c>
      <c r="J2655" s="131"/>
      <c r="K2655" s="132">
        <v>3363.5</v>
      </c>
      <c r="L2655" s="47"/>
      <c r="M2655" s="103"/>
      <c r="N2655" s="38" t="s">
        <v>796</v>
      </c>
      <c r="O2655" s="69"/>
      <c r="P2655" s="66">
        <v>45689</v>
      </c>
    </row>
    <row r="2656" spans="1:16" ht="15.75" customHeight="1">
      <c r="A2656" s="13">
        <f t="shared" si="50"/>
        <v>2632</v>
      </c>
      <c r="B2656" s="32" t="s">
        <v>955</v>
      </c>
      <c r="C2656" s="23" t="s">
        <v>944</v>
      </c>
      <c r="D2656" s="52" t="s">
        <v>950</v>
      </c>
      <c r="E2656" s="23" t="s">
        <v>19</v>
      </c>
      <c r="F2656" s="71" t="s">
        <v>1171</v>
      </c>
      <c r="G2656" s="27">
        <v>13</v>
      </c>
      <c r="H2656" s="44"/>
      <c r="I2656" s="103">
        <v>2657.38</v>
      </c>
      <c r="J2656" s="131"/>
      <c r="K2656" s="132">
        <v>3178.83</v>
      </c>
      <c r="L2656" s="47"/>
      <c r="M2656" s="103"/>
      <c r="N2656" s="38" t="s">
        <v>796</v>
      </c>
      <c r="O2656" s="69"/>
      <c r="P2656" s="66">
        <v>45689</v>
      </c>
    </row>
    <row r="2657" spans="1:16" ht="15.75" customHeight="1">
      <c r="A2657" s="13">
        <f t="shared" si="50"/>
        <v>2633</v>
      </c>
      <c r="B2657" s="32" t="s">
        <v>955</v>
      </c>
      <c r="C2657" s="23" t="s">
        <v>944</v>
      </c>
      <c r="D2657" s="52" t="s">
        <v>950</v>
      </c>
      <c r="E2657" s="23" t="s">
        <v>19</v>
      </c>
      <c r="F2657" s="71" t="s">
        <v>1164</v>
      </c>
      <c r="G2657" s="27">
        <v>14</v>
      </c>
      <c r="H2657" s="44"/>
      <c r="I2657" s="103">
        <v>2763.3</v>
      </c>
      <c r="J2657" s="131"/>
      <c r="K2657" s="132">
        <v>3020.52</v>
      </c>
      <c r="L2657" s="47"/>
      <c r="M2657" s="103"/>
      <c r="N2657" s="38" t="s">
        <v>796</v>
      </c>
      <c r="O2657" s="69"/>
      <c r="P2657" s="66">
        <v>45689</v>
      </c>
    </row>
    <row r="2658" spans="1:16" ht="15.75" customHeight="1">
      <c r="A2658" s="13">
        <f t="shared" si="50"/>
        <v>2634</v>
      </c>
      <c r="B2658" s="32" t="s">
        <v>955</v>
      </c>
      <c r="C2658" s="23" t="s">
        <v>944</v>
      </c>
      <c r="D2658" s="52" t="s">
        <v>950</v>
      </c>
      <c r="E2658" s="23" t="s">
        <v>19</v>
      </c>
      <c r="F2658" s="71" t="s">
        <v>1172</v>
      </c>
      <c r="G2658" s="27"/>
      <c r="H2658" s="44"/>
      <c r="I2658" s="103">
        <v>2883.35</v>
      </c>
      <c r="J2658" s="131"/>
      <c r="K2658" s="132"/>
      <c r="L2658" s="47"/>
      <c r="M2658" s="103"/>
      <c r="N2658" s="38" t="s">
        <v>796</v>
      </c>
      <c r="O2658" s="69"/>
      <c r="P2658" s="66">
        <v>45689</v>
      </c>
    </row>
    <row r="2659" spans="1:16" ht="15.75" customHeight="1">
      <c r="A2659" s="13">
        <f t="shared" si="50"/>
        <v>2635</v>
      </c>
      <c r="B2659" s="32" t="s">
        <v>1067</v>
      </c>
      <c r="C2659" s="53" t="s">
        <v>944</v>
      </c>
      <c r="D2659" s="15" t="s">
        <v>950</v>
      </c>
      <c r="E2659" s="171" t="s">
        <v>19</v>
      </c>
      <c r="F2659" s="173" t="s">
        <v>977</v>
      </c>
      <c r="G2659" s="42"/>
      <c r="H2659" s="41"/>
      <c r="I2659" s="179">
        <v>80430.600000000006</v>
      </c>
      <c r="J2659" s="144"/>
      <c r="K2659" s="154"/>
      <c r="L2659" s="53"/>
      <c r="M2659" s="152"/>
      <c r="N2659" s="38" t="s">
        <v>796</v>
      </c>
      <c r="O2659" s="39"/>
      <c r="P2659" s="66">
        <v>45352</v>
      </c>
    </row>
    <row r="2660" spans="1:16" ht="15.75" customHeight="1">
      <c r="A2660" s="13">
        <f t="shared" si="50"/>
        <v>2636</v>
      </c>
      <c r="B2660" s="32" t="s">
        <v>1067</v>
      </c>
      <c r="C2660" s="53" t="s">
        <v>944</v>
      </c>
      <c r="D2660" s="15" t="s">
        <v>950</v>
      </c>
      <c r="E2660" s="171" t="s">
        <v>19</v>
      </c>
      <c r="F2660" s="173" t="s">
        <v>977</v>
      </c>
      <c r="G2660" s="42"/>
      <c r="H2660" s="41"/>
      <c r="I2660" s="179"/>
      <c r="J2660" s="144"/>
      <c r="K2660" s="154"/>
      <c r="L2660" s="53"/>
      <c r="M2660" s="152"/>
      <c r="N2660" s="38" t="s">
        <v>796</v>
      </c>
      <c r="O2660" s="39"/>
      <c r="P2660" s="66">
        <v>45689</v>
      </c>
    </row>
    <row r="2661" spans="1:16" ht="15.75" customHeight="1">
      <c r="A2661" s="13">
        <f t="shared" si="50"/>
        <v>2637</v>
      </c>
      <c r="B2661" s="156" t="s">
        <v>955</v>
      </c>
      <c r="C2661" s="53" t="s">
        <v>944</v>
      </c>
      <c r="D2661" s="15" t="s">
        <v>950</v>
      </c>
      <c r="E2661" s="171" t="s">
        <v>19</v>
      </c>
      <c r="F2661" s="71" t="s">
        <v>951</v>
      </c>
      <c r="G2661" s="27">
        <v>10</v>
      </c>
      <c r="H2661" s="41"/>
      <c r="I2661" s="179">
        <v>2801.19</v>
      </c>
      <c r="J2661" s="144"/>
      <c r="K2661" s="132">
        <v>4389.41</v>
      </c>
      <c r="L2661" s="53"/>
      <c r="M2661" s="152">
        <v>31763.93</v>
      </c>
      <c r="N2661" s="38" t="s">
        <v>796</v>
      </c>
      <c r="O2661" s="39"/>
      <c r="P2661" s="193">
        <v>46082</v>
      </c>
    </row>
    <row r="2662" spans="1:16" ht="15.75" customHeight="1">
      <c r="A2662" s="13">
        <f t="shared" si="50"/>
        <v>2638</v>
      </c>
      <c r="B2662" s="156" t="s">
        <v>955</v>
      </c>
      <c r="C2662" s="53" t="s">
        <v>944</v>
      </c>
      <c r="D2662" s="15" t="s">
        <v>950</v>
      </c>
      <c r="E2662" s="171" t="s">
        <v>19</v>
      </c>
      <c r="F2662" s="71" t="s">
        <v>1169</v>
      </c>
      <c r="G2662" s="27">
        <v>11</v>
      </c>
      <c r="H2662" s="41"/>
      <c r="I2662" s="179">
        <v>2884.78</v>
      </c>
      <c r="J2662" s="144"/>
      <c r="K2662" s="132">
        <v>4100.62</v>
      </c>
      <c r="L2662" s="53"/>
      <c r="M2662" s="152"/>
      <c r="N2662" s="38" t="s">
        <v>796</v>
      </c>
      <c r="O2662" s="39"/>
      <c r="P2662" s="193">
        <v>46082</v>
      </c>
    </row>
    <row r="2663" spans="1:16" ht="15.75" customHeight="1">
      <c r="A2663" s="13">
        <f t="shared" si="50"/>
        <v>2639</v>
      </c>
      <c r="B2663" s="156" t="s">
        <v>955</v>
      </c>
      <c r="C2663" s="53" t="s">
        <v>944</v>
      </c>
      <c r="D2663" s="15" t="s">
        <v>950</v>
      </c>
      <c r="E2663" s="171" t="s">
        <v>19</v>
      </c>
      <c r="F2663" s="71" t="s">
        <v>1170</v>
      </c>
      <c r="G2663" s="27">
        <v>12</v>
      </c>
      <c r="H2663" s="41"/>
      <c r="I2663" s="179">
        <v>2977.67</v>
      </c>
      <c r="J2663" s="144"/>
      <c r="K2663" s="132">
        <v>3859.98</v>
      </c>
      <c r="L2663" s="53"/>
      <c r="M2663" s="152"/>
      <c r="N2663" s="38" t="s">
        <v>796</v>
      </c>
      <c r="O2663" s="39"/>
      <c r="P2663" s="193">
        <v>46082</v>
      </c>
    </row>
    <row r="2664" spans="1:16" ht="15.75" customHeight="1">
      <c r="A2664" s="13">
        <f t="shared" si="50"/>
        <v>2640</v>
      </c>
      <c r="B2664" s="156" t="s">
        <v>955</v>
      </c>
      <c r="C2664" s="53" t="s">
        <v>944</v>
      </c>
      <c r="D2664" s="15" t="s">
        <v>950</v>
      </c>
      <c r="E2664" s="171" t="s">
        <v>19</v>
      </c>
      <c r="F2664" s="71" t="s">
        <v>1171</v>
      </c>
      <c r="G2664" s="27">
        <v>13</v>
      </c>
      <c r="H2664" s="41"/>
      <c r="I2664" s="179">
        <v>3081.43</v>
      </c>
      <c r="J2664" s="144"/>
      <c r="K2664" s="132">
        <v>3656.36</v>
      </c>
      <c r="L2664" s="53"/>
      <c r="M2664" s="152"/>
      <c r="N2664" s="38" t="s">
        <v>796</v>
      </c>
      <c r="O2664" s="39"/>
      <c r="P2664" s="193">
        <v>46082</v>
      </c>
    </row>
    <row r="2665" spans="1:16" ht="15.75" customHeight="1">
      <c r="A2665" s="13">
        <f t="shared" si="50"/>
        <v>2641</v>
      </c>
      <c r="B2665" s="156" t="s">
        <v>955</v>
      </c>
      <c r="C2665" s="53" t="s">
        <v>944</v>
      </c>
      <c r="D2665" s="15" t="s">
        <v>950</v>
      </c>
      <c r="E2665" s="171" t="s">
        <v>19</v>
      </c>
      <c r="F2665" s="71" t="s">
        <v>1164</v>
      </c>
      <c r="G2665" s="27">
        <v>14</v>
      </c>
      <c r="H2665" s="41"/>
      <c r="I2665" s="179">
        <v>3198.25</v>
      </c>
      <c r="J2665" s="144"/>
      <c r="K2665" s="132">
        <v>3481.82</v>
      </c>
      <c r="L2665" s="53"/>
      <c r="M2665" s="152"/>
      <c r="N2665" s="38" t="s">
        <v>796</v>
      </c>
      <c r="O2665" s="39"/>
      <c r="P2665" s="193">
        <v>46082</v>
      </c>
    </row>
    <row r="2666" spans="1:16" ht="15.75" customHeight="1">
      <c r="A2666" s="13">
        <f t="shared" si="50"/>
        <v>2642</v>
      </c>
      <c r="B2666" s="156" t="s">
        <v>955</v>
      </c>
      <c r="C2666" s="53" t="s">
        <v>944</v>
      </c>
      <c r="D2666" s="15" t="s">
        <v>950</v>
      </c>
      <c r="E2666" s="171" t="s">
        <v>19</v>
      </c>
      <c r="F2666" s="71" t="s">
        <v>1172</v>
      </c>
      <c r="G2666" s="27"/>
      <c r="H2666" s="41"/>
      <c r="I2666" s="179">
        <v>3330.58</v>
      </c>
      <c r="J2666" s="144"/>
      <c r="K2666" s="154"/>
      <c r="L2666" s="53"/>
      <c r="M2666" s="152"/>
      <c r="N2666" s="38" t="s">
        <v>796</v>
      </c>
      <c r="O2666" s="39"/>
      <c r="P2666" s="193">
        <v>46082</v>
      </c>
    </row>
    <row r="2667" spans="1:16" ht="15.75" customHeight="1">
      <c r="A2667" s="13">
        <f t="shared" si="50"/>
        <v>2643</v>
      </c>
      <c r="B2667" s="156" t="s">
        <v>1067</v>
      </c>
      <c r="C2667" s="53" t="s">
        <v>944</v>
      </c>
      <c r="D2667" s="15" t="s">
        <v>950</v>
      </c>
      <c r="E2667" s="171" t="s">
        <v>19</v>
      </c>
      <c r="F2667" s="173" t="s">
        <v>977</v>
      </c>
      <c r="G2667" s="42"/>
      <c r="H2667" s="41"/>
      <c r="I2667" s="179">
        <v>116419.22</v>
      </c>
      <c r="J2667" s="144"/>
      <c r="K2667" s="154"/>
      <c r="L2667" s="53"/>
      <c r="M2667" s="152"/>
      <c r="N2667" s="38" t="s">
        <v>796</v>
      </c>
      <c r="O2667" s="39"/>
      <c r="P2667" s="193">
        <v>46082</v>
      </c>
    </row>
    <row r="2668" spans="1:16" ht="15.75" customHeight="1">
      <c r="A2668" s="13">
        <f t="shared" si="50"/>
        <v>2644</v>
      </c>
      <c r="B2668" s="32" t="s">
        <v>1068</v>
      </c>
      <c r="C2668" s="23" t="s">
        <v>944</v>
      </c>
      <c r="D2668" s="52" t="s">
        <v>945</v>
      </c>
      <c r="E2668" s="23" t="s">
        <v>19</v>
      </c>
      <c r="F2668" s="71" t="s">
        <v>977</v>
      </c>
      <c r="G2668" s="27"/>
      <c r="H2668" s="44"/>
      <c r="I2668" s="103">
        <v>57563.32</v>
      </c>
      <c r="J2668" s="131"/>
      <c r="K2668" s="132"/>
      <c r="L2668" s="47"/>
      <c r="M2668" s="103"/>
      <c r="N2668" s="38" t="s">
        <v>796</v>
      </c>
      <c r="O2668" s="69"/>
      <c r="P2668" s="66">
        <v>44562</v>
      </c>
    </row>
    <row r="2669" spans="1:16" ht="15.75" customHeight="1">
      <c r="A2669" s="13">
        <f t="shared" si="50"/>
        <v>2645</v>
      </c>
      <c r="B2669" s="32" t="s">
        <v>954</v>
      </c>
      <c r="C2669" s="23" t="s">
        <v>944</v>
      </c>
      <c r="D2669" s="52" t="s">
        <v>945</v>
      </c>
      <c r="E2669" s="23" t="s">
        <v>19</v>
      </c>
      <c r="F2669" s="71" t="s">
        <v>951</v>
      </c>
      <c r="G2669" s="27">
        <v>10</v>
      </c>
      <c r="H2669" s="44"/>
      <c r="I2669" s="103">
        <v>1696.15</v>
      </c>
      <c r="J2669" s="131"/>
      <c r="K2669" s="132">
        <v>2741.99</v>
      </c>
      <c r="L2669" s="47"/>
      <c r="M2669" s="103">
        <v>20916.86</v>
      </c>
      <c r="N2669" s="38" t="s">
        <v>796</v>
      </c>
      <c r="O2669" s="69"/>
      <c r="P2669" s="66">
        <v>44562</v>
      </c>
    </row>
    <row r="2670" spans="1:16" ht="15.75" customHeight="1">
      <c r="A2670" s="13">
        <f t="shared" si="50"/>
        <v>2646</v>
      </c>
      <c r="B2670" s="32" t="s">
        <v>954</v>
      </c>
      <c r="C2670" s="23" t="s">
        <v>944</v>
      </c>
      <c r="D2670" s="52" t="s">
        <v>945</v>
      </c>
      <c r="E2670" s="23" t="s">
        <v>19</v>
      </c>
      <c r="F2670" s="71" t="s">
        <v>951</v>
      </c>
      <c r="G2670" s="27">
        <v>10</v>
      </c>
      <c r="H2670" s="44"/>
      <c r="I2670" s="103">
        <v>1714.47</v>
      </c>
      <c r="J2670" s="131"/>
      <c r="K2670" s="132">
        <v>2778.66</v>
      </c>
      <c r="L2670" s="47"/>
      <c r="M2670" s="103"/>
      <c r="N2670" s="38" t="s">
        <v>796</v>
      </c>
      <c r="O2670" s="69"/>
      <c r="P2670" s="66">
        <v>45078</v>
      </c>
    </row>
    <row r="2671" spans="1:16" ht="15.75" customHeight="1">
      <c r="A2671" s="13">
        <f t="shared" si="50"/>
        <v>2647</v>
      </c>
      <c r="B2671" s="32" t="s">
        <v>1068</v>
      </c>
      <c r="C2671" s="23" t="s">
        <v>944</v>
      </c>
      <c r="D2671" s="52" t="s">
        <v>945</v>
      </c>
      <c r="E2671" s="23" t="s">
        <v>19</v>
      </c>
      <c r="F2671" s="71" t="s">
        <v>977</v>
      </c>
      <c r="G2671" s="27"/>
      <c r="H2671" s="44"/>
      <c r="I2671" s="103">
        <v>58115.83</v>
      </c>
      <c r="J2671" s="131"/>
      <c r="K2671" s="132"/>
      <c r="L2671" s="47"/>
      <c r="M2671" s="103"/>
      <c r="N2671" s="38" t="s">
        <v>796</v>
      </c>
      <c r="O2671" s="69"/>
      <c r="P2671" s="66">
        <v>45078</v>
      </c>
    </row>
    <row r="2672" spans="1:16" ht="15.75" customHeight="1">
      <c r="A2672" s="13">
        <f t="shared" si="50"/>
        <v>2648</v>
      </c>
      <c r="B2672" s="32" t="s">
        <v>954</v>
      </c>
      <c r="C2672" s="23" t="s">
        <v>944</v>
      </c>
      <c r="D2672" s="52" t="s">
        <v>945</v>
      </c>
      <c r="E2672" s="23" t="s">
        <v>19</v>
      </c>
      <c r="F2672" s="71" t="s">
        <v>951</v>
      </c>
      <c r="G2672" s="27">
        <v>10</v>
      </c>
      <c r="H2672" s="44"/>
      <c r="I2672" s="103">
        <v>1971.81</v>
      </c>
      <c r="J2672" s="131"/>
      <c r="K2672" s="132">
        <v>3195.8</v>
      </c>
      <c r="L2672" s="47"/>
      <c r="M2672" s="103">
        <v>24479.3</v>
      </c>
      <c r="N2672" s="38" t="s">
        <v>796</v>
      </c>
      <c r="O2672" s="69"/>
      <c r="P2672" s="66">
        <v>45352</v>
      </c>
    </row>
    <row r="2673" spans="1:16" ht="15.75" customHeight="1">
      <c r="A2673" s="13">
        <f t="shared" si="50"/>
        <v>2649</v>
      </c>
      <c r="B2673" s="32" t="s">
        <v>954</v>
      </c>
      <c r="C2673" s="23" t="s">
        <v>944</v>
      </c>
      <c r="D2673" s="52" t="s">
        <v>945</v>
      </c>
      <c r="E2673" s="23" t="s">
        <v>19</v>
      </c>
      <c r="F2673" s="71" t="s">
        <v>1169</v>
      </c>
      <c r="G2673" s="27">
        <v>11</v>
      </c>
      <c r="H2673" s="44"/>
      <c r="I2673" s="103">
        <v>2036.22</v>
      </c>
      <c r="J2673" s="131"/>
      <c r="K2673" s="132">
        <v>2973.25</v>
      </c>
      <c r="L2673" s="47"/>
      <c r="M2673" s="103"/>
      <c r="N2673" s="38" t="s">
        <v>796</v>
      </c>
      <c r="O2673" s="69"/>
      <c r="P2673" s="66">
        <v>45352</v>
      </c>
    </row>
    <row r="2674" spans="1:16" ht="15.75" customHeight="1">
      <c r="A2674" s="13">
        <f t="shared" si="50"/>
        <v>2650</v>
      </c>
      <c r="B2674" s="32" t="s">
        <v>954</v>
      </c>
      <c r="C2674" s="23" t="s">
        <v>944</v>
      </c>
      <c r="D2674" s="52" t="s">
        <v>945</v>
      </c>
      <c r="E2674" s="23" t="s">
        <v>19</v>
      </c>
      <c r="F2674" s="71" t="s">
        <v>1170</v>
      </c>
      <c r="G2674" s="27">
        <v>12</v>
      </c>
      <c r="H2674" s="44"/>
      <c r="I2674" s="103">
        <v>2107.83</v>
      </c>
      <c r="J2674" s="131"/>
      <c r="K2674" s="132">
        <v>2787.79</v>
      </c>
      <c r="L2674" s="47"/>
      <c r="M2674" s="103"/>
      <c r="N2674" s="38" t="s">
        <v>796</v>
      </c>
      <c r="O2674" s="69"/>
      <c r="P2674" s="66">
        <v>45352</v>
      </c>
    </row>
    <row r="2675" spans="1:16" ht="15.75" customHeight="1">
      <c r="A2675" s="13">
        <f t="shared" si="50"/>
        <v>2651</v>
      </c>
      <c r="B2675" s="32" t="s">
        <v>954</v>
      </c>
      <c r="C2675" s="23" t="s">
        <v>944</v>
      </c>
      <c r="D2675" s="52" t="s">
        <v>945</v>
      </c>
      <c r="E2675" s="23" t="s">
        <v>19</v>
      </c>
      <c r="F2675" s="71" t="s">
        <v>1171</v>
      </c>
      <c r="G2675" s="27">
        <v>13</v>
      </c>
      <c r="H2675" s="44"/>
      <c r="I2675" s="103">
        <v>2187.81</v>
      </c>
      <c r="J2675" s="131"/>
      <c r="K2675" s="132">
        <v>2630.88</v>
      </c>
      <c r="L2675" s="47"/>
      <c r="M2675" s="103"/>
      <c r="N2675" s="38" t="s">
        <v>796</v>
      </c>
      <c r="O2675" s="69"/>
      <c r="P2675" s="66">
        <v>45352</v>
      </c>
    </row>
    <row r="2676" spans="1:16" ht="15.75" customHeight="1">
      <c r="A2676" s="13">
        <f t="shared" si="50"/>
        <v>2652</v>
      </c>
      <c r="B2676" s="32" t="s">
        <v>954</v>
      </c>
      <c r="C2676" s="23" t="s">
        <v>944</v>
      </c>
      <c r="D2676" s="52" t="s">
        <v>945</v>
      </c>
      <c r="E2676" s="23" t="s">
        <v>19</v>
      </c>
      <c r="F2676" s="71" t="s">
        <v>1164</v>
      </c>
      <c r="G2676" s="27">
        <v>14</v>
      </c>
      <c r="H2676" s="44"/>
      <c r="I2676" s="103">
        <v>2277.83</v>
      </c>
      <c r="J2676" s="131"/>
      <c r="K2676" s="132">
        <v>2496.37</v>
      </c>
      <c r="L2676" s="47"/>
      <c r="M2676" s="103"/>
      <c r="N2676" s="38" t="s">
        <v>796</v>
      </c>
      <c r="O2676" s="69"/>
      <c r="P2676" s="66">
        <v>45352</v>
      </c>
    </row>
    <row r="2677" spans="1:16" ht="15.75" customHeight="1">
      <c r="A2677" s="13">
        <f t="shared" si="50"/>
        <v>2653</v>
      </c>
      <c r="B2677" s="32" t="s">
        <v>954</v>
      </c>
      <c r="C2677" s="23" t="s">
        <v>944</v>
      </c>
      <c r="D2677" s="52" t="s">
        <v>945</v>
      </c>
      <c r="E2677" s="23" t="s">
        <v>19</v>
      </c>
      <c r="F2677" s="71" t="s">
        <v>1172</v>
      </c>
      <c r="G2677" s="27"/>
      <c r="H2677" s="44"/>
      <c r="I2677" s="103">
        <v>2379.81</v>
      </c>
      <c r="J2677" s="131"/>
      <c r="K2677" s="132"/>
      <c r="L2677" s="47"/>
      <c r="M2677" s="103"/>
      <c r="N2677" s="38" t="s">
        <v>796</v>
      </c>
      <c r="O2677" s="69"/>
      <c r="P2677" s="66">
        <v>45352</v>
      </c>
    </row>
    <row r="2678" spans="1:16" ht="15.75" customHeight="1">
      <c r="A2678" s="13">
        <f t="shared" ref="A2678:A2699" si="51">A2677+1</f>
        <v>2654</v>
      </c>
      <c r="B2678" s="32" t="s">
        <v>954</v>
      </c>
      <c r="C2678" s="23" t="s">
        <v>944</v>
      </c>
      <c r="D2678" s="52" t="s">
        <v>945</v>
      </c>
      <c r="E2678" s="23" t="s">
        <v>19</v>
      </c>
      <c r="F2678" s="71" t="s">
        <v>951</v>
      </c>
      <c r="G2678" s="27">
        <v>10</v>
      </c>
      <c r="H2678" s="44"/>
      <c r="I2678" s="103">
        <v>2322.9499999999998</v>
      </c>
      <c r="J2678" s="131"/>
      <c r="K2678" s="132">
        <v>3763.42</v>
      </c>
      <c r="L2678" s="47"/>
      <c r="M2678" s="103">
        <v>28809.5</v>
      </c>
      <c r="N2678" s="38" t="s">
        <v>796</v>
      </c>
      <c r="O2678" s="69"/>
      <c r="P2678" s="66">
        <v>45689</v>
      </c>
    </row>
    <row r="2679" spans="1:16" ht="15.75" customHeight="1">
      <c r="A2679" s="13">
        <f t="shared" si="51"/>
        <v>2655</v>
      </c>
      <c r="B2679" s="32" t="s">
        <v>954</v>
      </c>
      <c r="C2679" s="23" t="s">
        <v>944</v>
      </c>
      <c r="D2679" s="52" t="s">
        <v>945</v>
      </c>
      <c r="E2679" s="23" t="s">
        <v>19</v>
      </c>
      <c r="F2679" s="71" t="s">
        <v>1169</v>
      </c>
      <c r="G2679" s="27">
        <v>11</v>
      </c>
      <c r="H2679" s="44"/>
      <c r="I2679" s="103">
        <v>2398.7800000000002</v>
      </c>
      <c r="J2679" s="131"/>
      <c r="K2679" s="132">
        <v>3501.54</v>
      </c>
      <c r="L2679" s="47"/>
      <c r="M2679" s="103"/>
      <c r="N2679" s="38" t="s">
        <v>796</v>
      </c>
      <c r="O2679" s="69"/>
      <c r="P2679" s="66">
        <v>45689</v>
      </c>
    </row>
    <row r="2680" spans="1:16" ht="15.75" customHeight="1">
      <c r="A2680" s="13">
        <f t="shared" si="51"/>
        <v>2656</v>
      </c>
      <c r="B2680" s="32" t="s">
        <v>954</v>
      </c>
      <c r="C2680" s="23" t="s">
        <v>944</v>
      </c>
      <c r="D2680" s="52" t="s">
        <v>945</v>
      </c>
      <c r="E2680" s="23" t="s">
        <v>19</v>
      </c>
      <c r="F2680" s="71" t="s">
        <v>1170</v>
      </c>
      <c r="G2680" s="27">
        <v>12</v>
      </c>
      <c r="H2680" s="44"/>
      <c r="I2680" s="103">
        <v>2482.98</v>
      </c>
      <c r="J2680" s="131"/>
      <c r="K2680" s="132">
        <v>3283.28</v>
      </c>
      <c r="L2680" s="47"/>
      <c r="M2680" s="103"/>
      <c r="N2680" s="38" t="s">
        <v>796</v>
      </c>
      <c r="O2680" s="69"/>
      <c r="P2680" s="66">
        <v>45689</v>
      </c>
    </row>
    <row r="2681" spans="1:16" ht="15.75" customHeight="1">
      <c r="A2681" s="13">
        <f t="shared" si="51"/>
        <v>2657</v>
      </c>
      <c r="B2681" s="32" t="s">
        <v>954</v>
      </c>
      <c r="C2681" s="23" t="s">
        <v>944</v>
      </c>
      <c r="D2681" s="52" t="s">
        <v>945</v>
      </c>
      <c r="E2681" s="23" t="s">
        <v>19</v>
      </c>
      <c r="F2681" s="71" t="s">
        <v>1171</v>
      </c>
      <c r="G2681" s="27">
        <v>13</v>
      </c>
      <c r="H2681" s="44"/>
      <c r="I2681" s="103">
        <v>2577.15</v>
      </c>
      <c r="J2681" s="131"/>
      <c r="K2681" s="132">
        <v>3098.61</v>
      </c>
      <c r="L2681" s="47"/>
      <c r="M2681" s="103"/>
      <c r="N2681" s="38" t="s">
        <v>796</v>
      </c>
      <c r="O2681" s="69"/>
      <c r="P2681" s="66">
        <v>45689</v>
      </c>
    </row>
    <row r="2682" spans="1:16" ht="15.75" customHeight="1">
      <c r="A2682" s="13">
        <f t="shared" si="51"/>
        <v>2658</v>
      </c>
      <c r="B2682" s="32" t="s">
        <v>954</v>
      </c>
      <c r="C2682" s="23" t="s">
        <v>944</v>
      </c>
      <c r="D2682" s="52" t="s">
        <v>945</v>
      </c>
      <c r="E2682" s="23" t="s">
        <v>19</v>
      </c>
      <c r="F2682" s="71" t="s">
        <v>1164</v>
      </c>
      <c r="G2682" s="27">
        <v>14</v>
      </c>
      <c r="H2682" s="44"/>
      <c r="I2682" s="103">
        <v>2683.08</v>
      </c>
      <c r="J2682" s="131"/>
      <c r="K2682" s="132">
        <v>2940.3</v>
      </c>
      <c r="L2682" s="47"/>
      <c r="M2682" s="103"/>
      <c r="N2682" s="38" t="s">
        <v>796</v>
      </c>
      <c r="O2682" s="69"/>
      <c r="P2682" s="66">
        <v>45689</v>
      </c>
    </row>
    <row r="2683" spans="1:16" ht="15.75" customHeight="1">
      <c r="A2683" s="13">
        <f t="shared" si="51"/>
        <v>2659</v>
      </c>
      <c r="B2683" s="32" t="s">
        <v>954</v>
      </c>
      <c r="C2683" s="23" t="s">
        <v>944</v>
      </c>
      <c r="D2683" s="52" t="s">
        <v>945</v>
      </c>
      <c r="E2683" s="23" t="s">
        <v>19</v>
      </c>
      <c r="F2683" s="71" t="s">
        <v>1172</v>
      </c>
      <c r="G2683" s="27"/>
      <c r="H2683" s="44"/>
      <c r="I2683" s="103">
        <v>2803.12</v>
      </c>
      <c r="J2683" s="131"/>
      <c r="K2683" s="132"/>
      <c r="L2683" s="47"/>
      <c r="M2683" s="103"/>
      <c r="N2683" s="38" t="s">
        <v>796</v>
      </c>
      <c r="O2683" s="69"/>
      <c r="P2683" s="66">
        <v>45689</v>
      </c>
    </row>
    <row r="2684" spans="1:16" ht="15.75" customHeight="1">
      <c r="A2684" s="13">
        <f t="shared" si="51"/>
        <v>2660</v>
      </c>
      <c r="B2684" s="32" t="s">
        <v>1068</v>
      </c>
      <c r="C2684" s="53" t="s">
        <v>944</v>
      </c>
      <c r="D2684" s="15" t="s">
        <v>945</v>
      </c>
      <c r="E2684" s="171" t="s">
        <v>19</v>
      </c>
      <c r="F2684" s="173" t="s">
        <v>977</v>
      </c>
      <c r="G2684" s="42"/>
      <c r="H2684" s="41"/>
      <c r="I2684" s="179">
        <v>80430.600000000006</v>
      </c>
      <c r="J2684" s="144"/>
      <c r="K2684" s="154"/>
      <c r="L2684" s="53"/>
      <c r="M2684" s="152"/>
      <c r="N2684" s="38" t="s">
        <v>796</v>
      </c>
      <c r="O2684" s="39"/>
      <c r="P2684" s="66">
        <v>45352</v>
      </c>
    </row>
    <row r="2685" spans="1:16" ht="15.75" customHeight="1">
      <c r="A2685" s="13">
        <f t="shared" si="51"/>
        <v>2661</v>
      </c>
      <c r="B2685" s="32" t="s">
        <v>1068</v>
      </c>
      <c r="C2685" s="53" t="s">
        <v>944</v>
      </c>
      <c r="D2685" s="15" t="s">
        <v>945</v>
      </c>
      <c r="E2685" s="171" t="s">
        <v>19</v>
      </c>
      <c r="F2685" s="173" t="s">
        <v>977</v>
      </c>
      <c r="G2685" s="42"/>
      <c r="H2685" s="41"/>
      <c r="I2685" s="179">
        <v>92911.679999999993</v>
      </c>
      <c r="J2685" s="144"/>
      <c r="K2685" s="154"/>
      <c r="L2685" s="53"/>
      <c r="M2685" s="152"/>
      <c r="N2685" s="38" t="s">
        <v>796</v>
      </c>
      <c r="O2685" s="39"/>
      <c r="P2685" s="66">
        <v>45689</v>
      </c>
    </row>
    <row r="2686" spans="1:16" ht="15.75" customHeight="1">
      <c r="A2686" s="13">
        <f t="shared" si="51"/>
        <v>2662</v>
      </c>
      <c r="B2686" s="156" t="s">
        <v>954</v>
      </c>
      <c r="C2686" s="53" t="s">
        <v>944</v>
      </c>
      <c r="D2686" s="15" t="s">
        <v>945</v>
      </c>
      <c r="E2686" s="171" t="s">
        <v>19</v>
      </c>
      <c r="F2686" s="71" t="s">
        <v>951</v>
      </c>
      <c r="G2686" s="27">
        <v>10</v>
      </c>
      <c r="H2686" s="41"/>
      <c r="I2686" s="103">
        <v>2635.93</v>
      </c>
      <c r="J2686" s="144"/>
      <c r="K2686" s="103">
        <v>4224.1499999999996</v>
      </c>
      <c r="L2686" s="53"/>
      <c r="M2686" s="152">
        <v>31763.93</v>
      </c>
      <c r="N2686" s="38" t="s">
        <v>796</v>
      </c>
      <c r="O2686" s="39"/>
      <c r="P2686" s="193">
        <v>46082</v>
      </c>
    </row>
    <row r="2687" spans="1:16" ht="15.75" customHeight="1">
      <c r="A2687" s="13">
        <f t="shared" si="51"/>
        <v>2663</v>
      </c>
      <c r="B2687" s="156" t="s">
        <v>954</v>
      </c>
      <c r="C2687" s="53" t="s">
        <v>944</v>
      </c>
      <c r="D2687" s="15" t="s">
        <v>945</v>
      </c>
      <c r="E2687" s="171" t="s">
        <v>19</v>
      </c>
      <c r="F2687" s="71" t="s">
        <v>1169</v>
      </c>
      <c r="G2687" s="27">
        <v>11</v>
      </c>
      <c r="H2687" s="41"/>
      <c r="I2687" s="103">
        <v>2719.54</v>
      </c>
      <c r="J2687" s="144"/>
      <c r="K2687" s="103">
        <v>3935.38</v>
      </c>
      <c r="L2687" s="53"/>
      <c r="M2687" s="152"/>
      <c r="N2687" s="38" t="s">
        <v>796</v>
      </c>
      <c r="O2687" s="39"/>
      <c r="P2687" s="193">
        <v>46082</v>
      </c>
    </row>
    <row r="2688" spans="1:16" ht="15.75" customHeight="1">
      <c r="A2688" s="13">
        <f t="shared" si="51"/>
        <v>2664</v>
      </c>
      <c r="B2688" s="156" t="s">
        <v>954</v>
      </c>
      <c r="C2688" s="53" t="s">
        <v>944</v>
      </c>
      <c r="D2688" s="15" t="s">
        <v>945</v>
      </c>
      <c r="E2688" s="171" t="s">
        <v>19</v>
      </c>
      <c r="F2688" s="71" t="s">
        <v>1170</v>
      </c>
      <c r="G2688" s="27">
        <v>12</v>
      </c>
      <c r="H2688" s="41"/>
      <c r="I2688" s="103">
        <v>2812.42</v>
      </c>
      <c r="J2688" s="144"/>
      <c r="K2688" s="103">
        <v>3694.72</v>
      </c>
      <c r="L2688" s="53"/>
      <c r="M2688" s="152"/>
      <c r="N2688" s="38" t="s">
        <v>796</v>
      </c>
      <c r="O2688" s="39"/>
      <c r="P2688" s="193">
        <v>46082</v>
      </c>
    </row>
    <row r="2689" spans="1:16" ht="15.75" customHeight="1">
      <c r="A2689" s="13">
        <f t="shared" si="51"/>
        <v>2665</v>
      </c>
      <c r="B2689" s="156" t="s">
        <v>954</v>
      </c>
      <c r="C2689" s="53" t="s">
        <v>944</v>
      </c>
      <c r="D2689" s="15" t="s">
        <v>945</v>
      </c>
      <c r="E2689" s="171" t="s">
        <v>19</v>
      </c>
      <c r="F2689" s="71" t="s">
        <v>1171</v>
      </c>
      <c r="G2689" s="27">
        <v>13</v>
      </c>
      <c r="H2689" s="41"/>
      <c r="I2689" s="103">
        <v>2916.19</v>
      </c>
      <c r="J2689" s="144"/>
      <c r="K2689" s="103">
        <v>3491.11</v>
      </c>
      <c r="L2689" s="53"/>
      <c r="M2689" s="152"/>
      <c r="N2689" s="38" t="s">
        <v>796</v>
      </c>
      <c r="O2689" s="39"/>
      <c r="P2689" s="193">
        <v>46082</v>
      </c>
    </row>
    <row r="2690" spans="1:16" ht="15.75" customHeight="1">
      <c r="A2690" s="13">
        <f t="shared" si="51"/>
        <v>2666</v>
      </c>
      <c r="B2690" s="156" t="s">
        <v>954</v>
      </c>
      <c r="C2690" s="53" t="s">
        <v>944</v>
      </c>
      <c r="D2690" s="15" t="s">
        <v>945</v>
      </c>
      <c r="E2690" s="171" t="s">
        <v>19</v>
      </c>
      <c r="F2690" s="71" t="s">
        <v>1164</v>
      </c>
      <c r="G2690" s="27">
        <v>14</v>
      </c>
      <c r="H2690" s="41"/>
      <c r="I2690" s="103">
        <v>3032.99</v>
      </c>
      <c r="J2690" s="144"/>
      <c r="K2690" s="103">
        <v>3316.57</v>
      </c>
      <c r="L2690" s="53"/>
      <c r="M2690" s="152"/>
      <c r="N2690" s="38" t="s">
        <v>796</v>
      </c>
      <c r="O2690" s="39"/>
      <c r="P2690" s="193">
        <v>46082</v>
      </c>
    </row>
    <row r="2691" spans="1:16" ht="15.75" customHeight="1">
      <c r="A2691" s="13">
        <f t="shared" si="51"/>
        <v>2667</v>
      </c>
      <c r="B2691" s="156" t="s">
        <v>954</v>
      </c>
      <c r="C2691" s="53" t="s">
        <v>944</v>
      </c>
      <c r="D2691" s="15" t="s">
        <v>945</v>
      </c>
      <c r="E2691" s="171" t="s">
        <v>19</v>
      </c>
      <c r="F2691" s="71" t="s">
        <v>1172</v>
      </c>
      <c r="G2691" s="27"/>
      <c r="H2691" s="41"/>
      <c r="I2691" s="103">
        <v>3165.34</v>
      </c>
      <c r="J2691" s="144"/>
      <c r="K2691" s="154"/>
      <c r="L2691" s="53"/>
      <c r="M2691" s="152"/>
      <c r="N2691" s="38" t="s">
        <v>796</v>
      </c>
      <c r="O2691" s="39"/>
      <c r="P2691" s="193">
        <v>46082</v>
      </c>
    </row>
    <row r="2692" spans="1:16" ht="15.75" customHeight="1">
      <c r="A2692" s="13">
        <f t="shared" si="51"/>
        <v>2668</v>
      </c>
      <c r="B2692" s="156" t="s">
        <v>1068</v>
      </c>
      <c r="C2692" s="53" t="s">
        <v>944</v>
      </c>
      <c r="D2692" s="15" t="s">
        <v>945</v>
      </c>
      <c r="E2692" s="171" t="s">
        <v>19</v>
      </c>
      <c r="F2692" s="173" t="s">
        <v>977</v>
      </c>
      <c r="G2692" s="42"/>
      <c r="H2692" s="41"/>
      <c r="I2692" s="179">
        <v>116419.22</v>
      </c>
      <c r="J2692" s="144"/>
      <c r="K2692" s="154"/>
      <c r="L2692" s="53"/>
      <c r="M2692" s="152"/>
      <c r="N2692" s="38" t="s">
        <v>796</v>
      </c>
      <c r="O2692" s="39"/>
      <c r="P2692" s="193">
        <v>46082</v>
      </c>
    </row>
    <row r="2693" spans="1:16" ht="15.75" customHeight="1">
      <c r="A2693" s="13">
        <f t="shared" si="51"/>
        <v>2669</v>
      </c>
      <c r="B2693" s="156" t="s">
        <v>1212</v>
      </c>
      <c r="C2693" s="23" t="s">
        <v>752</v>
      </c>
      <c r="D2693" s="24" t="s">
        <v>710</v>
      </c>
      <c r="E2693" s="171" t="s">
        <v>19</v>
      </c>
      <c r="F2693" s="71" t="s">
        <v>951</v>
      </c>
      <c r="G2693" s="27">
        <v>10</v>
      </c>
      <c r="H2693" s="41"/>
      <c r="I2693" s="103">
        <v>3168.72</v>
      </c>
      <c r="J2693" s="144"/>
      <c r="K2693" s="103">
        <v>5436.57</v>
      </c>
      <c r="L2693" s="53"/>
      <c r="M2693" s="152">
        <v>45357.43</v>
      </c>
      <c r="N2693" s="39" t="s">
        <v>643</v>
      </c>
      <c r="O2693" s="39"/>
      <c r="P2693" s="193">
        <v>46082</v>
      </c>
    </row>
    <row r="2694" spans="1:16" ht="15.75" customHeight="1">
      <c r="A2694" s="13">
        <f t="shared" si="51"/>
        <v>2670</v>
      </c>
      <c r="B2694" s="156" t="s">
        <v>1212</v>
      </c>
      <c r="C2694" s="23" t="s">
        <v>752</v>
      </c>
      <c r="D2694" s="24" t="s">
        <v>710</v>
      </c>
      <c r="E2694" s="171" t="s">
        <v>19</v>
      </c>
      <c r="F2694" s="71" t="s">
        <v>1169</v>
      </c>
      <c r="G2694" s="27">
        <v>11</v>
      </c>
      <c r="H2694" s="41"/>
      <c r="I2694" s="103">
        <v>3288.05</v>
      </c>
      <c r="J2694" s="144"/>
      <c r="K2694" s="103">
        <v>5024.22</v>
      </c>
      <c r="L2694" s="53"/>
      <c r="M2694" s="152"/>
      <c r="N2694" s="39" t="s">
        <v>643</v>
      </c>
      <c r="O2694" s="39"/>
      <c r="P2694" s="193">
        <v>46082</v>
      </c>
    </row>
    <row r="2695" spans="1:16" ht="15.75" customHeight="1">
      <c r="A2695" s="13">
        <f t="shared" si="51"/>
        <v>2671</v>
      </c>
      <c r="B2695" s="156" t="s">
        <v>1212</v>
      </c>
      <c r="C2695" s="23" t="s">
        <v>752</v>
      </c>
      <c r="D2695" s="24" t="s">
        <v>710</v>
      </c>
      <c r="E2695" s="171" t="s">
        <v>19</v>
      </c>
      <c r="F2695" s="71" t="s">
        <v>1170</v>
      </c>
      <c r="G2695" s="27">
        <v>12</v>
      </c>
      <c r="H2695" s="41"/>
      <c r="I2695" s="103">
        <v>3420.66</v>
      </c>
      <c r="J2695" s="144"/>
      <c r="K2695" s="103">
        <v>4680.62</v>
      </c>
      <c r="L2695" s="53"/>
      <c r="M2695" s="152"/>
      <c r="N2695" s="39" t="s">
        <v>643</v>
      </c>
      <c r="O2695" s="39"/>
      <c r="P2695" s="193">
        <v>46082</v>
      </c>
    </row>
    <row r="2696" spans="1:16" ht="15.75" customHeight="1">
      <c r="A2696" s="13">
        <f t="shared" si="51"/>
        <v>2672</v>
      </c>
      <c r="B2696" s="156" t="s">
        <v>1212</v>
      </c>
      <c r="C2696" s="23" t="s">
        <v>752</v>
      </c>
      <c r="D2696" s="24" t="s">
        <v>710</v>
      </c>
      <c r="E2696" s="171" t="s">
        <v>19</v>
      </c>
      <c r="F2696" s="71" t="s">
        <v>1171</v>
      </c>
      <c r="G2696" s="27">
        <v>13</v>
      </c>
      <c r="H2696" s="41"/>
      <c r="I2696" s="103">
        <v>3568.91</v>
      </c>
      <c r="J2696" s="144"/>
      <c r="K2696" s="103">
        <v>4389.87</v>
      </c>
      <c r="L2696" s="53"/>
      <c r="M2696" s="152"/>
      <c r="N2696" s="39" t="s">
        <v>643</v>
      </c>
      <c r="O2696" s="39"/>
      <c r="P2696" s="193">
        <v>46082</v>
      </c>
    </row>
    <row r="2697" spans="1:16" ht="15.75" customHeight="1">
      <c r="A2697" s="13">
        <f t="shared" si="51"/>
        <v>2673</v>
      </c>
      <c r="B2697" s="156" t="s">
        <v>1212</v>
      </c>
      <c r="C2697" s="23" t="s">
        <v>752</v>
      </c>
      <c r="D2697" s="24" t="s">
        <v>710</v>
      </c>
      <c r="E2697" s="171" t="s">
        <v>19</v>
      </c>
      <c r="F2697" s="71" t="s">
        <v>1164</v>
      </c>
      <c r="G2697" s="27">
        <v>14</v>
      </c>
      <c r="H2697" s="41"/>
      <c r="I2697" s="103">
        <v>3735.67</v>
      </c>
      <c r="J2697" s="144"/>
      <c r="K2697" s="103">
        <v>4140.66</v>
      </c>
      <c r="L2697" s="53"/>
      <c r="M2697" s="152"/>
      <c r="N2697" s="39" t="s">
        <v>643</v>
      </c>
      <c r="O2697" s="39"/>
      <c r="P2697" s="193">
        <v>46082</v>
      </c>
    </row>
    <row r="2698" spans="1:16" ht="15.75" customHeight="1">
      <c r="A2698" s="13">
        <f t="shared" si="51"/>
        <v>2674</v>
      </c>
      <c r="B2698" s="156" t="s">
        <v>1212</v>
      </c>
      <c r="C2698" s="23" t="s">
        <v>752</v>
      </c>
      <c r="D2698" s="24" t="s">
        <v>710</v>
      </c>
      <c r="E2698" s="171" t="s">
        <v>19</v>
      </c>
      <c r="F2698" s="71" t="s">
        <v>1172</v>
      </c>
      <c r="G2698" s="27"/>
      <c r="H2698" s="41"/>
      <c r="I2698" s="103">
        <v>3924.66</v>
      </c>
      <c r="J2698" s="144"/>
      <c r="K2698" s="154"/>
      <c r="L2698" s="53"/>
      <c r="M2698" s="152"/>
      <c r="N2698" s="39" t="s">
        <v>643</v>
      </c>
      <c r="O2698" s="39"/>
      <c r="P2698" s="193">
        <v>46082</v>
      </c>
    </row>
    <row r="2699" spans="1:16" ht="15.75" customHeight="1">
      <c r="A2699" s="13">
        <f t="shared" si="51"/>
        <v>2675</v>
      </c>
      <c r="B2699" s="156" t="s">
        <v>1213</v>
      </c>
      <c r="C2699" s="23" t="s">
        <v>752</v>
      </c>
      <c r="D2699" s="24" t="s">
        <v>710</v>
      </c>
      <c r="E2699" s="171" t="s">
        <v>19</v>
      </c>
      <c r="F2699" s="173" t="s">
        <v>977</v>
      </c>
      <c r="G2699" s="42"/>
      <c r="H2699" s="41"/>
      <c r="I2699" s="103">
        <v>108579.9</v>
      </c>
      <c r="J2699" s="144"/>
      <c r="K2699" s="154"/>
      <c r="L2699" s="53"/>
      <c r="M2699" s="152"/>
      <c r="N2699" s="39" t="s">
        <v>643</v>
      </c>
      <c r="O2699" s="39"/>
      <c r="P2699" s="193">
        <v>46082</v>
      </c>
    </row>
    <row r="2700" spans="1:16" ht="12.75" customHeight="1">
      <c r="A2700" s="202" t="s">
        <v>28</v>
      </c>
      <c r="B2700" s="202"/>
      <c r="C2700" s="202"/>
      <c r="D2700" s="202"/>
      <c r="E2700" s="202"/>
      <c r="F2700" s="202"/>
      <c r="G2700" s="202"/>
      <c r="H2700" s="202"/>
      <c r="I2700" s="202"/>
      <c r="J2700" s="202"/>
      <c r="K2700" s="202"/>
      <c r="L2700" s="202"/>
      <c r="M2700" s="202"/>
      <c r="N2700" s="202"/>
      <c r="O2700" s="202"/>
      <c r="P2700" s="202"/>
    </row>
    <row r="2701" spans="1:16" ht="12.75" customHeight="1">
      <c r="A2701" s="13">
        <f>A2699+1</f>
        <v>2676</v>
      </c>
      <c r="B2701" s="212" t="s">
        <v>513</v>
      </c>
      <c r="C2701" s="56" t="s">
        <v>212</v>
      </c>
      <c r="D2701" s="56"/>
      <c r="E2701" s="74" t="s">
        <v>13</v>
      </c>
      <c r="F2701" s="57" t="s">
        <v>213</v>
      </c>
      <c r="G2701" s="25" t="s">
        <v>214</v>
      </c>
      <c r="H2701" s="34">
        <v>7655.94</v>
      </c>
      <c r="I2701" s="84">
        <v>7655.94</v>
      </c>
      <c r="J2701" s="136">
        <v>0</v>
      </c>
      <c r="K2701" s="118">
        <v>36624.339999999997</v>
      </c>
      <c r="L2701" s="34">
        <v>0</v>
      </c>
      <c r="M2701" s="84"/>
      <c r="N2701" s="38"/>
      <c r="O2701" s="39"/>
      <c r="P2701" s="66">
        <v>44562</v>
      </c>
    </row>
    <row r="2702" spans="1:16" ht="12.75" customHeight="1">
      <c r="A2702" s="13">
        <f>A2701+1</f>
        <v>2677</v>
      </c>
      <c r="B2702" s="212"/>
      <c r="C2702" s="56" t="s">
        <v>212</v>
      </c>
      <c r="D2702" s="56"/>
      <c r="E2702" s="74"/>
      <c r="F2702" s="57" t="s">
        <v>215</v>
      </c>
      <c r="G2702" s="57"/>
      <c r="H2702" s="34">
        <v>11794.28</v>
      </c>
      <c r="I2702" s="84"/>
      <c r="J2702" s="136">
        <v>0</v>
      </c>
      <c r="K2702" s="136"/>
      <c r="L2702" s="34">
        <v>0</v>
      </c>
      <c r="M2702" s="84"/>
      <c r="N2702" s="38"/>
      <c r="O2702" s="39"/>
      <c r="P2702" s="66">
        <v>44562</v>
      </c>
    </row>
    <row r="2703" spans="1:16" ht="12.75" customHeight="1">
      <c r="A2703" s="13">
        <f t="shared" ref="A2703:A2766" si="52">A2702+1</f>
        <v>2678</v>
      </c>
      <c r="B2703" s="212"/>
      <c r="C2703" s="56" t="s">
        <v>212</v>
      </c>
      <c r="D2703" s="56"/>
      <c r="E2703" s="74"/>
      <c r="F2703" s="57" t="s">
        <v>216</v>
      </c>
      <c r="G2703" s="57"/>
      <c r="H2703" s="34">
        <v>15932.62</v>
      </c>
      <c r="I2703" s="84"/>
      <c r="J2703" s="136">
        <v>0</v>
      </c>
      <c r="K2703" s="136"/>
      <c r="L2703" s="34">
        <v>0</v>
      </c>
      <c r="M2703" s="84"/>
      <c r="N2703" s="38"/>
      <c r="O2703" s="39"/>
      <c r="P2703" s="66">
        <v>44562</v>
      </c>
    </row>
    <row r="2704" spans="1:16" ht="12.75" customHeight="1">
      <c r="A2704" s="13">
        <f t="shared" si="52"/>
        <v>2679</v>
      </c>
      <c r="B2704" s="212"/>
      <c r="C2704" s="56" t="s">
        <v>212</v>
      </c>
      <c r="D2704" s="56"/>
      <c r="E2704" s="74"/>
      <c r="F2704" s="57" t="s">
        <v>217</v>
      </c>
      <c r="G2704" s="57"/>
      <c r="H2704" s="34">
        <v>20070.97</v>
      </c>
      <c r="I2704" s="84"/>
      <c r="J2704" s="136">
        <v>0</v>
      </c>
      <c r="K2704" s="136"/>
      <c r="L2704" s="34">
        <v>0</v>
      </c>
      <c r="M2704" s="84"/>
      <c r="N2704" s="38"/>
      <c r="O2704" s="39"/>
      <c r="P2704" s="66">
        <v>44562</v>
      </c>
    </row>
    <row r="2705" spans="1:16" ht="12.75" customHeight="1">
      <c r="A2705" s="13">
        <f t="shared" si="52"/>
        <v>2680</v>
      </c>
      <c r="B2705" s="212"/>
      <c r="C2705" s="56" t="s">
        <v>212</v>
      </c>
      <c r="D2705" s="56"/>
      <c r="E2705" s="74"/>
      <c r="F2705" s="57" t="s">
        <v>218</v>
      </c>
      <c r="G2705" s="57"/>
      <c r="H2705" s="34">
        <v>24209.31</v>
      </c>
      <c r="I2705" s="84"/>
      <c r="J2705" s="136">
        <v>0</v>
      </c>
      <c r="K2705" s="136"/>
      <c r="L2705" s="34">
        <v>0</v>
      </c>
      <c r="M2705" s="84"/>
      <c r="N2705" s="38"/>
      <c r="O2705" s="39"/>
      <c r="P2705" s="66">
        <v>44562</v>
      </c>
    </row>
    <row r="2706" spans="1:16" ht="12.75" customHeight="1">
      <c r="A2706" s="13">
        <f t="shared" si="52"/>
        <v>2681</v>
      </c>
      <c r="B2706" s="212"/>
      <c r="C2706" s="56" t="s">
        <v>212</v>
      </c>
      <c r="D2706" s="56"/>
      <c r="E2706" s="74"/>
      <c r="F2706" s="57" t="s">
        <v>219</v>
      </c>
      <c r="G2706" s="57"/>
      <c r="H2706" s="34">
        <v>28347.66</v>
      </c>
      <c r="I2706" s="84"/>
      <c r="J2706" s="136">
        <v>0</v>
      </c>
      <c r="K2706" s="136"/>
      <c r="L2706" s="34">
        <v>0</v>
      </c>
      <c r="M2706" s="84"/>
      <c r="N2706" s="38"/>
      <c r="O2706" s="39"/>
      <c r="P2706" s="66">
        <v>44562</v>
      </c>
    </row>
    <row r="2707" spans="1:16" ht="12.75" customHeight="1">
      <c r="A2707" s="13">
        <f t="shared" si="52"/>
        <v>2682</v>
      </c>
      <c r="B2707" s="212"/>
      <c r="C2707" s="56" t="s">
        <v>212</v>
      </c>
      <c r="D2707" s="56"/>
      <c r="E2707" s="74"/>
      <c r="F2707" s="57" t="s">
        <v>220</v>
      </c>
      <c r="G2707" s="57"/>
      <c r="H2707" s="34">
        <v>32486</v>
      </c>
      <c r="I2707" s="84"/>
      <c r="J2707" s="136">
        <v>0</v>
      </c>
      <c r="K2707" s="136"/>
      <c r="L2707" s="34">
        <v>0</v>
      </c>
      <c r="M2707" s="84"/>
      <c r="N2707" s="38"/>
      <c r="O2707" s="39"/>
      <c r="P2707" s="66">
        <v>44562</v>
      </c>
    </row>
    <row r="2708" spans="1:16" ht="12.75" customHeight="1">
      <c r="A2708" s="13">
        <f t="shared" si="52"/>
        <v>2683</v>
      </c>
      <c r="B2708" s="212"/>
      <c r="C2708" s="56" t="s">
        <v>212</v>
      </c>
      <c r="D2708" s="56"/>
      <c r="E2708" s="74"/>
      <c r="F2708" s="57" t="s">
        <v>214</v>
      </c>
      <c r="G2708" s="57"/>
      <c r="H2708" s="34">
        <v>36624.339999999997</v>
      </c>
      <c r="I2708" s="84"/>
      <c r="J2708" s="136">
        <v>0</v>
      </c>
      <c r="K2708" s="136"/>
      <c r="L2708" s="34">
        <v>0</v>
      </c>
      <c r="M2708" s="84"/>
      <c r="N2708" s="38"/>
      <c r="O2708" s="39"/>
      <c r="P2708" s="66">
        <v>44562</v>
      </c>
    </row>
    <row r="2709" spans="1:16" ht="12.75" customHeight="1">
      <c r="A2709" s="13">
        <f t="shared" si="52"/>
        <v>2684</v>
      </c>
      <c r="B2709" s="188" t="s">
        <v>513</v>
      </c>
      <c r="C2709" s="56" t="s">
        <v>212</v>
      </c>
      <c r="D2709" s="56"/>
      <c r="E2709" s="74" t="s">
        <v>13</v>
      </c>
      <c r="F2709" s="57" t="s">
        <v>213</v>
      </c>
      <c r="G2709" s="57" t="s">
        <v>214</v>
      </c>
      <c r="H2709" s="34">
        <v>13301.82</v>
      </c>
      <c r="I2709" s="84">
        <v>13301.82</v>
      </c>
      <c r="J2709" s="136"/>
      <c r="K2709" s="118">
        <v>53236.84</v>
      </c>
      <c r="L2709" s="34"/>
      <c r="M2709" s="84"/>
      <c r="N2709" s="38"/>
      <c r="O2709" s="39"/>
      <c r="P2709" s="66">
        <v>45352</v>
      </c>
    </row>
    <row r="2710" spans="1:16" ht="12.75" customHeight="1">
      <c r="A2710" s="13">
        <f t="shared" si="52"/>
        <v>2685</v>
      </c>
      <c r="B2710" s="188" t="s">
        <v>513</v>
      </c>
      <c r="C2710" s="56" t="s">
        <v>212</v>
      </c>
      <c r="D2710" s="56"/>
      <c r="E2710" s="74" t="s">
        <v>13</v>
      </c>
      <c r="F2710" s="25" t="s">
        <v>1165</v>
      </c>
      <c r="G2710" s="25" t="s">
        <v>220</v>
      </c>
      <c r="H2710" s="34">
        <v>19006.82</v>
      </c>
      <c r="I2710" s="84">
        <v>19006.82</v>
      </c>
      <c r="J2710" s="136"/>
      <c r="K2710" s="118">
        <v>47531.839999999997</v>
      </c>
      <c r="L2710" s="34"/>
      <c r="M2710" s="84"/>
      <c r="N2710" s="38"/>
      <c r="O2710" s="39"/>
      <c r="P2710" s="66">
        <v>45352</v>
      </c>
    </row>
    <row r="2711" spans="1:16" ht="12.75" customHeight="1">
      <c r="A2711" s="13">
        <f t="shared" si="52"/>
        <v>2686</v>
      </c>
      <c r="B2711" s="188" t="s">
        <v>513</v>
      </c>
      <c r="C2711" s="56" t="s">
        <v>212</v>
      </c>
      <c r="D2711" s="56"/>
      <c r="E2711" s="74" t="s">
        <v>13</v>
      </c>
      <c r="F2711" s="25" t="s">
        <v>1166</v>
      </c>
      <c r="G2711" s="25" t="s">
        <v>219</v>
      </c>
      <c r="H2711" s="34">
        <v>24711.83</v>
      </c>
      <c r="I2711" s="84">
        <v>24711.83</v>
      </c>
      <c r="J2711" s="136"/>
      <c r="K2711" s="118">
        <v>41826.83</v>
      </c>
      <c r="L2711" s="34"/>
      <c r="M2711" s="84"/>
      <c r="N2711" s="38"/>
      <c r="O2711" s="39"/>
      <c r="P2711" s="66">
        <v>45352</v>
      </c>
    </row>
    <row r="2712" spans="1:16" ht="12.75" customHeight="1">
      <c r="A2712" s="13">
        <f t="shared" si="52"/>
        <v>2687</v>
      </c>
      <c r="B2712" s="199" t="s">
        <v>513</v>
      </c>
      <c r="C2712" s="56" t="s">
        <v>212</v>
      </c>
      <c r="D2712" s="56"/>
      <c r="E2712" s="74" t="s">
        <v>13</v>
      </c>
      <c r="F2712" s="25" t="s">
        <v>1167</v>
      </c>
      <c r="G2712" s="25" t="s">
        <v>218</v>
      </c>
      <c r="H2712" s="34">
        <v>30416.83</v>
      </c>
      <c r="I2712" s="84">
        <v>30416.83</v>
      </c>
      <c r="J2712" s="136"/>
      <c r="K2712" s="118">
        <v>36121.83</v>
      </c>
      <c r="L2712" s="34"/>
      <c r="M2712" s="84"/>
      <c r="N2712" s="38"/>
      <c r="O2712" s="39"/>
      <c r="P2712" s="66">
        <v>45352</v>
      </c>
    </row>
    <row r="2713" spans="1:16" ht="12.75" customHeight="1">
      <c r="A2713" s="13">
        <f t="shared" si="52"/>
        <v>2688</v>
      </c>
      <c r="B2713" s="200"/>
      <c r="C2713" s="56" t="s">
        <v>212</v>
      </c>
      <c r="D2713" s="56"/>
      <c r="E2713" s="74"/>
      <c r="F2713" s="57" t="s">
        <v>215</v>
      </c>
      <c r="G2713" s="57"/>
      <c r="H2713" s="34">
        <v>19006.82</v>
      </c>
      <c r="I2713" s="84"/>
      <c r="J2713" s="136"/>
      <c r="K2713" s="136"/>
      <c r="L2713" s="34"/>
      <c r="M2713" s="84"/>
      <c r="N2713" s="38"/>
      <c r="O2713" s="39"/>
      <c r="P2713" s="66">
        <v>45352</v>
      </c>
    </row>
    <row r="2714" spans="1:16" ht="12.75" customHeight="1">
      <c r="A2714" s="13">
        <f t="shared" si="52"/>
        <v>2689</v>
      </c>
      <c r="B2714" s="200"/>
      <c r="C2714" s="56" t="s">
        <v>212</v>
      </c>
      <c r="D2714" s="56"/>
      <c r="E2714" s="74"/>
      <c r="F2714" s="57" t="s">
        <v>216</v>
      </c>
      <c r="G2714" s="57"/>
      <c r="H2714" s="34">
        <v>24711.83</v>
      </c>
      <c r="I2714" s="84"/>
      <c r="J2714" s="136"/>
      <c r="K2714" s="136"/>
      <c r="L2714" s="34"/>
      <c r="M2714" s="84"/>
      <c r="N2714" s="38"/>
      <c r="O2714" s="39"/>
      <c r="P2714" s="66">
        <v>45352</v>
      </c>
    </row>
    <row r="2715" spans="1:16" ht="12.75" customHeight="1">
      <c r="A2715" s="13">
        <f t="shared" si="52"/>
        <v>2690</v>
      </c>
      <c r="B2715" s="200"/>
      <c r="C2715" s="56" t="s">
        <v>212</v>
      </c>
      <c r="D2715" s="56"/>
      <c r="E2715" s="74"/>
      <c r="F2715" s="57" t="s">
        <v>217</v>
      </c>
      <c r="G2715" s="57"/>
      <c r="H2715" s="34">
        <v>30416.83</v>
      </c>
      <c r="I2715" s="84"/>
      <c r="J2715" s="136"/>
      <c r="K2715" s="136"/>
      <c r="L2715" s="34"/>
      <c r="M2715" s="84"/>
      <c r="N2715" s="38"/>
      <c r="O2715" s="39"/>
      <c r="P2715" s="66">
        <v>45352</v>
      </c>
    </row>
    <row r="2716" spans="1:16" ht="12.75" customHeight="1">
      <c r="A2716" s="13">
        <f t="shared" si="52"/>
        <v>2691</v>
      </c>
      <c r="B2716" s="200"/>
      <c r="C2716" s="56" t="s">
        <v>212</v>
      </c>
      <c r="D2716" s="56"/>
      <c r="E2716" s="74"/>
      <c r="F2716" s="57" t="s">
        <v>218</v>
      </c>
      <c r="G2716" s="57"/>
      <c r="H2716" s="34">
        <v>36121.83</v>
      </c>
      <c r="I2716" s="84"/>
      <c r="J2716" s="136"/>
      <c r="K2716" s="136"/>
      <c r="L2716" s="34"/>
      <c r="M2716" s="84"/>
      <c r="N2716" s="38"/>
      <c r="O2716" s="39"/>
      <c r="P2716" s="66">
        <v>45352</v>
      </c>
    </row>
    <row r="2717" spans="1:16" ht="12.75" customHeight="1">
      <c r="A2717" s="13">
        <f t="shared" si="52"/>
        <v>2692</v>
      </c>
      <c r="B2717" s="200"/>
      <c r="C2717" s="56" t="s">
        <v>212</v>
      </c>
      <c r="D2717" s="56"/>
      <c r="E2717" s="74"/>
      <c r="F2717" s="57" t="s">
        <v>219</v>
      </c>
      <c r="G2717" s="57"/>
      <c r="H2717" s="34">
        <v>41826.83</v>
      </c>
      <c r="I2717" s="84"/>
      <c r="J2717" s="136"/>
      <c r="K2717" s="136"/>
      <c r="L2717" s="34"/>
      <c r="M2717" s="84"/>
      <c r="N2717" s="38"/>
      <c r="O2717" s="39"/>
      <c r="P2717" s="66">
        <v>45352</v>
      </c>
    </row>
    <row r="2718" spans="1:16" ht="12.75" customHeight="1">
      <c r="A2718" s="13">
        <f t="shared" si="52"/>
        <v>2693</v>
      </c>
      <c r="B2718" s="200"/>
      <c r="C2718" s="56" t="s">
        <v>212</v>
      </c>
      <c r="D2718" s="56"/>
      <c r="E2718" s="74"/>
      <c r="F2718" s="57" t="s">
        <v>220</v>
      </c>
      <c r="G2718" s="57"/>
      <c r="H2718" s="34">
        <v>47531.839999999997</v>
      </c>
      <c r="I2718" s="84"/>
      <c r="J2718" s="136"/>
      <c r="K2718" s="136"/>
      <c r="L2718" s="34"/>
      <c r="M2718" s="84"/>
      <c r="N2718" s="38"/>
      <c r="O2718" s="39"/>
      <c r="P2718" s="66">
        <v>45352</v>
      </c>
    </row>
    <row r="2719" spans="1:16" ht="12.75" customHeight="1">
      <c r="A2719" s="13">
        <f t="shared" si="52"/>
        <v>2694</v>
      </c>
      <c r="B2719" s="201"/>
      <c r="C2719" s="56" t="s">
        <v>212</v>
      </c>
      <c r="D2719" s="56"/>
      <c r="E2719" s="74"/>
      <c r="F2719" s="57" t="s">
        <v>214</v>
      </c>
      <c r="G2719" s="57"/>
      <c r="H2719" s="34">
        <v>53236.84</v>
      </c>
      <c r="I2719" s="84"/>
      <c r="J2719" s="136"/>
      <c r="K2719" s="136"/>
      <c r="L2719" s="34"/>
      <c r="M2719" s="84"/>
      <c r="N2719" s="38"/>
      <c r="O2719" s="39"/>
      <c r="P2719" s="66">
        <v>45352</v>
      </c>
    </row>
    <row r="2720" spans="1:16" ht="12.75" customHeight="1">
      <c r="A2720" s="13">
        <f t="shared" si="52"/>
        <v>2695</v>
      </c>
      <c r="B2720" s="199" t="s">
        <v>513</v>
      </c>
      <c r="C2720" s="56" t="s">
        <v>212</v>
      </c>
      <c r="D2720" s="56"/>
      <c r="E2720" s="74"/>
      <c r="F2720" s="57" t="s">
        <v>213</v>
      </c>
      <c r="G2720" s="57"/>
      <c r="H2720" s="34"/>
      <c r="I2720" s="84">
        <v>14695.56</v>
      </c>
      <c r="J2720" s="136"/>
      <c r="K2720" s="136"/>
      <c r="L2720" s="34"/>
      <c r="M2720" s="84"/>
      <c r="N2720" s="38"/>
      <c r="O2720" s="39"/>
      <c r="P2720" s="66">
        <v>45689</v>
      </c>
    </row>
    <row r="2721" spans="1:16" ht="12.75" customHeight="1">
      <c r="A2721" s="13">
        <f t="shared" si="52"/>
        <v>2696</v>
      </c>
      <c r="B2721" s="200"/>
      <c r="C2721" s="56" t="s">
        <v>212</v>
      </c>
      <c r="D2721" s="56"/>
      <c r="E2721" s="74"/>
      <c r="F2721" s="25" t="s">
        <v>215</v>
      </c>
      <c r="G2721" s="57"/>
      <c r="H2721" s="34"/>
      <c r="I2721" s="84">
        <v>21257.79</v>
      </c>
      <c r="J2721" s="136"/>
      <c r="K2721" s="136"/>
      <c r="L2721" s="34"/>
      <c r="M2721" s="84"/>
      <c r="N2721" s="38"/>
      <c r="O2721" s="39"/>
      <c r="P2721" s="66">
        <v>45689</v>
      </c>
    </row>
    <row r="2722" spans="1:16" ht="12.75" customHeight="1">
      <c r="A2722" s="13">
        <f t="shared" si="52"/>
        <v>2697</v>
      </c>
      <c r="B2722" s="200"/>
      <c r="C2722" s="56" t="s">
        <v>212</v>
      </c>
      <c r="D2722" s="56"/>
      <c r="E2722" s="74"/>
      <c r="F2722" s="25" t="s">
        <v>216</v>
      </c>
      <c r="G2722" s="57"/>
      <c r="H2722" s="34"/>
      <c r="I2722" s="84">
        <v>27820.02</v>
      </c>
      <c r="J2722" s="136"/>
      <c r="K2722" s="136"/>
      <c r="L2722" s="34"/>
      <c r="M2722" s="84"/>
      <c r="N2722" s="38"/>
      <c r="O2722" s="39"/>
      <c r="P2722" s="66">
        <v>45689</v>
      </c>
    </row>
    <row r="2723" spans="1:16" ht="12.75" customHeight="1">
      <c r="A2723" s="13">
        <f t="shared" si="52"/>
        <v>2698</v>
      </c>
      <c r="B2723" s="200"/>
      <c r="C2723" s="56" t="s">
        <v>212</v>
      </c>
      <c r="D2723" s="56"/>
      <c r="E2723" s="74"/>
      <c r="F2723" s="25" t="s">
        <v>217</v>
      </c>
      <c r="G2723" s="57"/>
      <c r="H2723" s="34"/>
      <c r="I2723" s="84">
        <v>34382.25</v>
      </c>
      <c r="J2723" s="136"/>
      <c r="K2723" s="136"/>
      <c r="L2723" s="34"/>
      <c r="M2723" s="84"/>
      <c r="N2723" s="38"/>
      <c r="O2723" s="39"/>
      <c r="P2723" s="66">
        <v>45689</v>
      </c>
    </row>
    <row r="2724" spans="1:16" ht="12.75" customHeight="1">
      <c r="A2724" s="13">
        <f t="shared" si="52"/>
        <v>2699</v>
      </c>
      <c r="B2724" s="200"/>
      <c r="C2724" s="56" t="s">
        <v>212</v>
      </c>
      <c r="D2724" s="56"/>
      <c r="E2724" s="74"/>
      <c r="F2724" s="25" t="s">
        <v>218</v>
      </c>
      <c r="G2724" s="57"/>
      <c r="H2724" s="34"/>
      <c r="I2724" s="84">
        <v>40944.480000000003</v>
      </c>
      <c r="J2724" s="136"/>
      <c r="K2724" s="136"/>
      <c r="L2724" s="35" t="s">
        <v>885</v>
      </c>
      <c r="M2724" s="84"/>
      <c r="N2724" s="38"/>
      <c r="O2724" s="39"/>
      <c r="P2724" s="66">
        <v>45689</v>
      </c>
    </row>
    <row r="2725" spans="1:16" ht="12.75" customHeight="1">
      <c r="A2725" s="13">
        <f t="shared" si="52"/>
        <v>2700</v>
      </c>
      <c r="B2725" s="200"/>
      <c r="C2725" s="56" t="s">
        <v>212</v>
      </c>
      <c r="D2725" s="56"/>
      <c r="E2725" s="74"/>
      <c r="F2725" s="57" t="s">
        <v>219</v>
      </c>
      <c r="G2725" s="57"/>
      <c r="H2725" s="34"/>
      <c r="I2725" s="84">
        <v>47506.71</v>
      </c>
      <c r="J2725" s="136"/>
      <c r="K2725" s="136"/>
      <c r="L2725" s="34"/>
      <c r="M2725" s="84"/>
      <c r="N2725" s="38"/>
      <c r="O2725" s="39"/>
      <c r="P2725" s="66">
        <v>45689</v>
      </c>
    </row>
    <row r="2726" spans="1:16" ht="12.75" customHeight="1">
      <c r="A2726" s="13">
        <f t="shared" si="52"/>
        <v>2701</v>
      </c>
      <c r="B2726" s="200"/>
      <c r="C2726" s="56" t="s">
        <v>212</v>
      </c>
      <c r="D2726" s="56"/>
      <c r="E2726" s="74"/>
      <c r="F2726" s="57" t="s">
        <v>220</v>
      </c>
      <c r="G2726" s="57"/>
      <c r="H2726" s="34"/>
      <c r="I2726" s="84">
        <v>54068.94</v>
      </c>
      <c r="J2726" s="136"/>
      <c r="K2726" s="136"/>
      <c r="L2726" s="34"/>
      <c r="M2726" s="84"/>
      <c r="N2726" s="38"/>
      <c r="O2726" s="39"/>
      <c r="P2726" s="66">
        <v>45689</v>
      </c>
    </row>
    <row r="2727" spans="1:16" ht="12.75" customHeight="1">
      <c r="A2727" s="13">
        <f t="shared" si="52"/>
        <v>2702</v>
      </c>
      <c r="B2727" s="201"/>
      <c r="C2727" s="56" t="s">
        <v>212</v>
      </c>
      <c r="D2727" s="56"/>
      <c r="E2727" s="74"/>
      <c r="F2727" s="57" t="s">
        <v>214</v>
      </c>
      <c r="G2727" s="57"/>
      <c r="H2727" s="34"/>
      <c r="I2727" s="84">
        <v>60631.17</v>
      </c>
      <c r="J2727" s="136"/>
      <c r="K2727" s="136"/>
      <c r="L2727" s="34"/>
      <c r="M2727" s="84"/>
      <c r="N2727" s="38"/>
      <c r="O2727" s="39"/>
      <c r="P2727" s="66">
        <v>45689</v>
      </c>
    </row>
    <row r="2728" spans="1:16" ht="12.75" customHeight="1">
      <c r="A2728" s="13">
        <f t="shared" si="52"/>
        <v>2703</v>
      </c>
      <c r="B2728" s="203" t="s">
        <v>513</v>
      </c>
      <c r="C2728" s="56" t="s">
        <v>212</v>
      </c>
      <c r="D2728" s="56"/>
      <c r="E2728" s="74"/>
      <c r="F2728" s="57" t="s">
        <v>213</v>
      </c>
      <c r="G2728" s="57"/>
      <c r="H2728" s="34"/>
      <c r="I2728" s="84">
        <v>17485.98</v>
      </c>
      <c r="J2728" s="136"/>
      <c r="K2728" s="136"/>
      <c r="L2728" s="34"/>
      <c r="M2728" s="84"/>
      <c r="N2728" s="38"/>
      <c r="O2728" s="39"/>
      <c r="P2728" s="193">
        <v>46082</v>
      </c>
    </row>
    <row r="2729" spans="1:16" ht="12.75" customHeight="1">
      <c r="A2729" s="13">
        <f t="shared" si="52"/>
        <v>2704</v>
      </c>
      <c r="B2729" s="204"/>
      <c r="C2729" s="56" t="s">
        <v>212</v>
      </c>
      <c r="D2729" s="56"/>
      <c r="E2729" s="74"/>
      <c r="F2729" s="25" t="s">
        <v>215</v>
      </c>
      <c r="G2729" s="57"/>
      <c r="H2729" s="34"/>
      <c r="I2729" s="84">
        <v>26427.759999999998</v>
      </c>
      <c r="J2729" s="136"/>
      <c r="K2729" s="136"/>
      <c r="L2729" s="34"/>
      <c r="M2729" s="84"/>
      <c r="N2729" s="38"/>
      <c r="O2729" s="39"/>
      <c r="P2729" s="193">
        <v>46082</v>
      </c>
    </row>
    <row r="2730" spans="1:16" ht="12.75" customHeight="1">
      <c r="A2730" s="13">
        <f t="shared" si="52"/>
        <v>2705</v>
      </c>
      <c r="B2730" s="204"/>
      <c r="C2730" s="56" t="s">
        <v>212</v>
      </c>
      <c r="D2730" s="56"/>
      <c r="E2730" s="74"/>
      <c r="F2730" s="25" t="s">
        <v>216</v>
      </c>
      <c r="G2730" s="57"/>
      <c r="H2730" s="34"/>
      <c r="I2730" s="84">
        <v>35369.54</v>
      </c>
      <c r="J2730" s="136"/>
      <c r="K2730" s="136"/>
      <c r="L2730" s="34"/>
      <c r="M2730" s="84"/>
      <c r="N2730" s="38"/>
      <c r="O2730" s="39"/>
      <c r="P2730" s="193">
        <v>46082</v>
      </c>
    </row>
    <row r="2731" spans="1:16" ht="12.75" customHeight="1">
      <c r="A2731" s="13">
        <f t="shared" si="52"/>
        <v>2706</v>
      </c>
      <c r="B2731" s="204"/>
      <c r="C2731" s="56" t="s">
        <v>212</v>
      </c>
      <c r="D2731" s="56"/>
      <c r="E2731" s="74"/>
      <c r="F2731" s="25" t="s">
        <v>217</v>
      </c>
      <c r="G2731" s="57"/>
      <c r="H2731" s="34"/>
      <c r="I2731" s="84">
        <v>44311.32</v>
      </c>
      <c r="J2731" s="136"/>
      <c r="K2731" s="136"/>
      <c r="L2731" s="34"/>
      <c r="M2731" s="84"/>
      <c r="N2731" s="38"/>
      <c r="O2731" s="39"/>
      <c r="P2731" s="193">
        <v>46082</v>
      </c>
    </row>
    <row r="2732" spans="1:16" ht="12.75" customHeight="1">
      <c r="A2732" s="13">
        <f t="shared" si="52"/>
        <v>2707</v>
      </c>
      <c r="B2732" s="204"/>
      <c r="C2732" s="56" t="s">
        <v>212</v>
      </c>
      <c r="D2732" s="56"/>
      <c r="E2732" s="74"/>
      <c r="F2732" s="25" t="s">
        <v>218</v>
      </c>
      <c r="G2732" s="57"/>
      <c r="H2732" s="34"/>
      <c r="I2732" s="84">
        <v>53253.1</v>
      </c>
      <c r="J2732" s="136"/>
      <c r="K2732" s="136"/>
      <c r="L2732" s="34"/>
      <c r="M2732" s="84"/>
      <c r="N2732" s="38"/>
      <c r="O2732" s="39"/>
      <c r="P2732" s="193">
        <v>46082</v>
      </c>
    </row>
    <row r="2733" spans="1:16" ht="12.75" customHeight="1">
      <c r="A2733" s="13">
        <f t="shared" si="52"/>
        <v>2708</v>
      </c>
      <c r="B2733" s="204"/>
      <c r="C2733" s="56" t="s">
        <v>212</v>
      </c>
      <c r="D2733" s="56"/>
      <c r="E2733" s="74"/>
      <c r="F2733" s="57" t="s">
        <v>219</v>
      </c>
      <c r="G2733" s="57"/>
      <c r="H2733" s="34"/>
      <c r="I2733" s="84">
        <v>62194.879999999997</v>
      </c>
      <c r="J2733" s="136"/>
      <c r="K2733" s="136"/>
      <c r="L2733" s="34"/>
      <c r="M2733" s="84"/>
      <c r="N2733" s="38"/>
      <c r="O2733" s="39"/>
      <c r="P2733" s="193">
        <v>46082</v>
      </c>
    </row>
    <row r="2734" spans="1:16" ht="12.75" customHeight="1">
      <c r="A2734" s="13">
        <f t="shared" si="52"/>
        <v>2709</v>
      </c>
      <c r="B2734" s="204"/>
      <c r="C2734" s="56" t="s">
        <v>212</v>
      </c>
      <c r="D2734" s="56"/>
      <c r="E2734" s="74"/>
      <c r="F2734" s="57" t="s">
        <v>220</v>
      </c>
      <c r="G2734" s="57"/>
      <c r="H2734" s="34"/>
      <c r="I2734" s="84">
        <v>71136.66</v>
      </c>
      <c r="J2734" s="136"/>
      <c r="K2734" s="136"/>
      <c r="L2734" s="34"/>
      <c r="M2734" s="84"/>
      <c r="N2734" s="38"/>
      <c r="O2734" s="39"/>
      <c r="P2734" s="193">
        <v>46082</v>
      </c>
    </row>
    <row r="2735" spans="1:16" ht="12.75" customHeight="1">
      <c r="A2735" s="13">
        <f t="shared" si="52"/>
        <v>2710</v>
      </c>
      <c r="B2735" s="205"/>
      <c r="C2735" s="56" t="s">
        <v>212</v>
      </c>
      <c r="D2735" s="56"/>
      <c r="E2735" s="74"/>
      <c r="F2735" s="57" t="s">
        <v>214</v>
      </c>
      <c r="G2735" s="57"/>
      <c r="H2735" s="34"/>
      <c r="I2735" s="84">
        <v>70078.429999999993</v>
      </c>
      <c r="J2735" s="136"/>
      <c r="K2735" s="136"/>
      <c r="L2735" s="34"/>
      <c r="M2735" s="84"/>
      <c r="N2735" s="38"/>
      <c r="O2735" s="39"/>
      <c r="P2735" s="193">
        <v>46082</v>
      </c>
    </row>
    <row r="2736" spans="1:16" ht="12.75" customHeight="1">
      <c r="A2736" s="13">
        <f t="shared" si="52"/>
        <v>2711</v>
      </c>
      <c r="B2736" s="52" t="s">
        <v>514</v>
      </c>
      <c r="C2736" s="56" t="s">
        <v>221</v>
      </c>
      <c r="D2736" s="56"/>
      <c r="E2736" s="74"/>
      <c r="F2736" s="57" t="s">
        <v>29</v>
      </c>
      <c r="G2736" s="57"/>
      <c r="H2736" s="34">
        <v>54389.66</v>
      </c>
      <c r="I2736" s="84">
        <v>54574.41</v>
      </c>
      <c r="J2736" s="136">
        <v>0</v>
      </c>
      <c r="K2736" s="140" t="s">
        <v>262</v>
      </c>
      <c r="L2736" s="34">
        <v>0</v>
      </c>
      <c r="M2736" s="84"/>
      <c r="N2736" s="38"/>
      <c r="O2736" s="39"/>
      <c r="P2736" s="66">
        <v>43617</v>
      </c>
    </row>
    <row r="2737" spans="1:16" ht="12.75" customHeight="1">
      <c r="A2737" s="13">
        <f t="shared" si="52"/>
        <v>2712</v>
      </c>
      <c r="B2737" s="54" t="s">
        <v>514</v>
      </c>
      <c r="C2737" s="56" t="s">
        <v>221</v>
      </c>
      <c r="D2737" s="56"/>
      <c r="E2737" s="74"/>
      <c r="F2737" s="57" t="s">
        <v>29</v>
      </c>
      <c r="G2737" s="57"/>
      <c r="H2737" s="34"/>
      <c r="I2737" s="84">
        <v>57678.17</v>
      </c>
      <c r="J2737" s="136"/>
      <c r="K2737" s="140"/>
      <c r="L2737" s="34"/>
      <c r="M2737" s="84"/>
      <c r="N2737" s="38"/>
      <c r="O2737" s="39"/>
      <c r="P2737" s="66">
        <v>44562</v>
      </c>
    </row>
    <row r="2738" spans="1:16" ht="12.75" customHeight="1">
      <c r="A2738" s="13">
        <f t="shared" si="52"/>
        <v>2713</v>
      </c>
      <c r="B2738" s="52" t="s">
        <v>514</v>
      </c>
      <c r="C2738" s="56" t="s">
        <v>222</v>
      </c>
      <c r="D2738" s="56"/>
      <c r="E2738" s="74"/>
      <c r="F2738" s="57" t="s">
        <v>29</v>
      </c>
      <c r="G2738" s="57"/>
      <c r="H2738" s="34">
        <v>60301.58</v>
      </c>
      <c r="I2738" s="84">
        <v>60486.33</v>
      </c>
      <c r="J2738" s="136">
        <v>0</v>
      </c>
      <c r="K2738" s="140" t="s">
        <v>262</v>
      </c>
      <c r="L2738" s="34">
        <v>0</v>
      </c>
      <c r="M2738" s="84"/>
      <c r="N2738" s="38"/>
      <c r="O2738" s="39"/>
      <c r="P2738" s="66">
        <v>43617</v>
      </c>
    </row>
    <row r="2739" spans="1:16" ht="12.75" customHeight="1">
      <c r="A2739" s="13">
        <f t="shared" si="52"/>
        <v>2714</v>
      </c>
      <c r="B2739" s="54" t="s">
        <v>514</v>
      </c>
      <c r="C2739" s="56" t="s">
        <v>222</v>
      </c>
      <c r="D2739" s="56"/>
      <c r="E2739" s="74"/>
      <c r="F2739" s="57" t="s">
        <v>29</v>
      </c>
      <c r="G2739" s="57"/>
      <c r="H2739" s="34"/>
      <c r="I2739" s="84">
        <v>63161.48</v>
      </c>
      <c r="J2739" s="136"/>
      <c r="K2739" s="140"/>
      <c r="L2739" s="34"/>
      <c r="M2739" s="84"/>
      <c r="N2739" s="38"/>
      <c r="O2739" s="39"/>
      <c r="P2739" s="66">
        <v>44562</v>
      </c>
    </row>
    <row r="2740" spans="1:16" ht="12.75" customHeight="1">
      <c r="A2740" s="13">
        <f t="shared" si="52"/>
        <v>2715</v>
      </c>
      <c r="B2740" s="52" t="s">
        <v>514</v>
      </c>
      <c r="C2740" s="56" t="s">
        <v>223</v>
      </c>
      <c r="D2740" s="56"/>
      <c r="E2740" s="74"/>
      <c r="F2740" s="57" t="s">
        <v>29</v>
      </c>
      <c r="G2740" s="57"/>
      <c r="H2740" s="34">
        <v>63996.53</v>
      </c>
      <c r="I2740" s="84">
        <v>64181.279999999999</v>
      </c>
      <c r="J2740" s="136">
        <v>0</v>
      </c>
      <c r="K2740" s="140" t="s">
        <v>262</v>
      </c>
      <c r="L2740" s="34">
        <v>0</v>
      </c>
      <c r="M2740" s="84"/>
      <c r="N2740" s="38"/>
      <c r="O2740" s="39"/>
      <c r="P2740" s="66">
        <v>43617</v>
      </c>
    </row>
    <row r="2741" spans="1:16" ht="12.75" customHeight="1">
      <c r="A2741" s="13">
        <f t="shared" si="52"/>
        <v>2716</v>
      </c>
      <c r="B2741" s="54" t="s">
        <v>514</v>
      </c>
      <c r="C2741" s="56" t="s">
        <v>223</v>
      </c>
      <c r="D2741" s="56"/>
      <c r="E2741" s="74"/>
      <c r="F2741" s="57" t="s">
        <v>29</v>
      </c>
      <c r="G2741" s="57"/>
      <c r="H2741" s="34"/>
      <c r="I2741" s="84">
        <v>66856.429999999993</v>
      </c>
      <c r="J2741" s="136"/>
      <c r="K2741" s="140"/>
      <c r="L2741" s="34"/>
      <c r="M2741" s="84"/>
      <c r="N2741" s="38"/>
      <c r="O2741" s="39"/>
      <c r="P2741" s="66">
        <v>44562</v>
      </c>
    </row>
    <row r="2742" spans="1:16" ht="12.75" customHeight="1">
      <c r="A2742" s="13">
        <f t="shared" si="52"/>
        <v>2717</v>
      </c>
      <c r="B2742" s="52" t="s">
        <v>514</v>
      </c>
      <c r="C2742" s="56" t="s">
        <v>224</v>
      </c>
      <c r="D2742" s="56"/>
      <c r="E2742" s="74"/>
      <c r="F2742" s="57" t="s">
        <v>29</v>
      </c>
      <c r="G2742" s="57"/>
      <c r="H2742" s="34">
        <v>75376.98</v>
      </c>
      <c r="I2742" s="84">
        <v>75561.73</v>
      </c>
      <c r="J2742" s="136">
        <v>0</v>
      </c>
      <c r="K2742" s="140" t="s">
        <v>262</v>
      </c>
      <c r="L2742" s="34">
        <v>0</v>
      </c>
      <c r="M2742" s="84"/>
      <c r="N2742" s="38"/>
      <c r="O2742" s="39"/>
      <c r="P2742" s="66">
        <v>43617</v>
      </c>
    </row>
    <row r="2743" spans="1:16" ht="12.75" customHeight="1">
      <c r="A2743" s="13">
        <f t="shared" si="52"/>
        <v>2718</v>
      </c>
      <c r="B2743" s="54" t="s">
        <v>514</v>
      </c>
      <c r="C2743" s="56" t="s">
        <v>224</v>
      </c>
      <c r="D2743" s="56"/>
      <c r="E2743" s="74"/>
      <c r="F2743" s="57" t="s">
        <v>29</v>
      </c>
      <c r="G2743" s="57"/>
      <c r="H2743" s="34"/>
      <c r="I2743" s="84">
        <v>82818.61</v>
      </c>
      <c r="J2743" s="136"/>
      <c r="K2743" s="140"/>
      <c r="L2743" s="34"/>
      <c r="M2743" s="84"/>
      <c r="N2743" s="38"/>
      <c r="O2743" s="39"/>
      <c r="P2743" s="66">
        <v>44562</v>
      </c>
    </row>
    <row r="2744" spans="1:16" ht="12.75" customHeight="1">
      <c r="A2744" s="13">
        <f t="shared" si="52"/>
        <v>2719</v>
      </c>
      <c r="B2744" s="52" t="s">
        <v>514</v>
      </c>
      <c r="C2744" s="78" t="s">
        <v>789</v>
      </c>
      <c r="D2744" s="56"/>
      <c r="E2744" s="74"/>
      <c r="F2744" s="57" t="s">
        <v>29</v>
      </c>
      <c r="G2744" s="57"/>
      <c r="H2744" s="34">
        <v>79810.92</v>
      </c>
      <c r="I2744" s="84">
        <v>79995.67</v>
      </c>
      <c r="J2744" s="136"/>
      <c r="K2744" s="140" t="s">
        <v>262</v>
      </c>
      <c r="L2744" s="34"/>
      <c r="M2744" s="84"/>
      <c r="N2744" s="38"/>
      <c r="O2744" s="39"/>
      <c r="P2744" s="66">
        <v>43617</v>
      </c>
    </row>
    <row r="2745" spans="1:16" ht="12.75" customHeight="1">
      <c r="A2745" s="13">
        <f t="shared" si="52"/>
        <v>2720</v>
      </c>
      <c r="B2745" s="54" t="s">
        <v>514</v>
      </c>
      <c r="C2745" s="78" t="s">
        <v>789</v>
      </c>
      <c r="D2745" s="56"/>
      <c r="E2745" s="74"/>
      <c r="F2745" s="57" t="s">
        <v>29</v>
      </c>
      <c r="G2745" s="57"/>
      <c r="H2745" s="34"/>
      <c r="I2745" s="84">
        <v>87474.25</v>
      </c>
      <c r="J2745" s="136"/>
      <c r="K2745" s="140"/>
      <c r="L2745" s="34"/>
      <c r="M2745" s="84"/>
      <c r="N2745" s="38"/>
      <c r="O2745" s="39"/>
      <c r="P2745" s="66">
        <v>44562</v>
      </c>
    </row>
    <row r="2746" spans="1:16" ht="12.75" customHeight="1">
      <c r="A2746" s="13">
        <f t="shared" si="52"/>
        <v>2721</v>
      </c>
      <c r="B2746" s="52" t="s">
        <v>514</v>
      </c>
      <c r="C2746" s="56" t="s">
        <v>225</v>
      </c>
      <c r="D2746" s="56"/>
      <c r="E2746" s="74"/>
      <c r="F2746" s="57" t="s">
        <v>29</v>
      </c>
      <c r="G2746" s="57"/>
      <c r="H2746" s="34">
        <v>87200.82</v>
      </c>
      <c r="I2746" s="84">
        <v>87385.57</v>
      </c>
      <c r="J2746" s="136">
        <v>0</v>
      </c>
      <c r="K2746" s="140" t="s">
        <v>262</v>
      </c>
      <c r="L2746" s="34">
        <v>0</v>
      </c>
      <c r="M2746" s="84"/>
      <c r="N2746" s="38"/>
      <c r="O2746" s="39"/>
      <c r="P2746" s="66">
        <v>43617</v>
      </c>
    </row>
    <row r="2747" spans="1:16" ht="12.75" customHeight="1">
      <c r="A2747" s="13">
        <f t="shared" si="52"/>
        <v>2722</v>
      </c>
      <c r="B2747" s="54" t="s">
        <v>514</v>
      </c>
      <c r="C2747" s="56" t="s">
        <v>225</v>
      </c>
      <c r="D2747" s="56"/>
      <c r="E2747" s="74"/>
      <c r="F2747" s="57" t="s">
        <v>29</v>
      </c>
      <c r="G2747" s="57"/>
      <c r="H2747" s="34"/>
      <c r="I2747" s="84">
        <v>95233.64</v>
      </c>
      <c r="J2747" s="136"/>
      <c r="K2747" s="140"/>
      <c r="L2747" s="34"/>
      <c r="M2747" s="84"/>
      <c r="N2747" s="38"/>
      <c r="O2747" s="39"/>
      <c r="P2747" s="66">
        <v>44562</v>
      </c>
    </row>
    <row r="2748" spans="1:16" ht="12.75" customHeight="1">
      <c r="A2748" s="13">
        <f t="shared" si="52"/>
        <v>2723</v>
      </c>
      <c r="B2748" s="52" t="s">
        <v>514</v>
      </c>
      <c r="C2748" s="56" t="s">
        <v>226</v>
      </c>
      <c r="D2748" s="56"/>
      <c r="E2748" s="74"/>
      <c r="F2748" s="57" t="s">
        <v>29</v>
      </c>
      <c r="G2748" s="57"/>
      <c r="H2748" s="34">
        <v>90156.78</v>
      </c>
      <c r="I2748" s="84">
        <v>90341.53</v>
      </c>
      <c r="J2748" s="136">
        <v>0</v>
      </c>
      <c r="K2748" s="140" t="s">
        <v>262</v>
      </c>
      <c r="L2748" s="34">
        <v>0</v>
      </c>
      <c r="M2748" s="84"/>
      <c r="N2748" s="38"/>
      <c r="O2748" s="39"/>
      <c r="P2748" s="66">
        <v>43617</v>
      </c>
    </row>
    <row r="2749" spans="1:16" ht="12.75" customHeight="1">
      <c r="A2749" s="13">
        <f t="shared" si="52"/>
        <v>2724</v>
      </c>
      <c r="B2749" s="54" t="s">
        <v>514</v>
      </c>
      <c r="C2749" s="56" t="s">
        <v>226</v>
      </c>
      <c r="D2749" s="56"/>
      <c r="E2749" s="74"/>
      <c r="F2749" s="57" t="s">
        <v>29</v>
      </c>
      <c r="G2749" s="57"/>
      <c r="H2749" s="34"/>
      <c r="I2749" s="84">
        <v>98337.4</v>
      </c>
      <c r="J2749" s="136"/>
      <c r="K2749" s="140"/>
      <c r="L2749" s="34"/>
      <c r="M2749" s="84"/>
      <c r="N2749" s="38"/>
      <c r="O2749" s="39"/>
      <c r="P2749" s="66">
        <v>44562</v>
      </c>
    </row>
    <row r="2750" spans="1:16" ht="12.75" customHeight="1">
      <c r="A2750" s="13">
        <f t="shared" si="52"/>
        <v>2725</v>
      </c>
      <c r="B2750" s="52" t="s">
        <v>514</v>
      </c>
      <c r="C2750" s="56" t="s">
        <v>227</v>
      </c>
      <c r="D2750" s="56"/>
      <c r="E2750" s="74"/>
      <c r="F2750" s="57" t="s">
        <v>29</v>
      </c>
      <c r="G2750" s="57"/>
      <c r="H2750" s="34">
        <v>94590.720000000001</v>
      </c>
      <c r="I2750" s="84">
        <v>94775.47</v>
      </c>
      <c r="J2750" s="136">
        <v>0</v>
      </c>
      <c r="K2750" s="140" t="s">
        <v>262</v>
      </c>
      <c r="L2750" s="34">
        <v>0</v>
      </c>
      <c r="M2750" s="84"/>
      <c r="N2750" s="38"/>
      <c r="O2750" s="39"/>
      <c r="P2750" s="66">
        <v>43617</v>
      </c>
    </row>
    <row r="2751" spans="1:16" ht="12.75" customHeight="1">
      <c r="A2751" s="13">
        <f t="shared" si="52"/>
        <v>2726</v>
      </c>
      <c r="B2751" s="54" t="s">
        <v>514</v>
      </c>
      <c r="C2751" s="56" t="s">
        <v>227</v>
      </c>
      <c r="D2751" s="56"/>
      <c r="E2751" s="74"/>
      <c r="F2751" s="57" t="s">
        <v>29</v>
      </c>
      <c r="G2751" s="57"/>
      <c r="H2751" s="34"/>
      <c r="I2751" s="84">
        <v>109976.49</v>
      </c>
      <c r="J2751" s="136"/>
      <c r="K2751" s="140"/>
      <c r="L2751" s="34"/>
      <c r="M2751" s="84"/>
      <c r="N2751" s="38"/>
      <c r="O2751" s="39"/>
      <c r="P2751" s="66">
        <v>44562</v>
      </c>
    </row>
    <row r="2752" spans="1:16" ht="12.75" customHeight="1">
      <c r="A2752" s="13">
        <f t="shared" si="52"/>
        <v>2727</v>
      </c>
      <c r="B2752" s="54" t="s">
        <v>514</v>
      </c>
      <c r="C2752" s="78" t="s">
        <v>790</v>
      </c>
      <c r="D2752" s="56"/>
      <c r="E2752" s="74"/>
      <c r="F2752" s="57" t="s">
        <v>29</v>
      </c>
      <c r="G2752" s="57"/>
      <c r="H2752" s="34"/>
      <c r="I2752" s="84">
        <v>113390.63</v>
      </c>
      <c r="J2752" s="136"/>
      <c r="K2752" s="140"/>
      <c r="L2752" s="34"/>
      <c r="M2752" s="84"/>
      <c r="N2752" s="38"/>
      <c r="O2752" s="39"/>
      <c r="P2752" s="66">
        <v>44562</v>
      </c>
    </row>
    <row r="2753" spans="1:16" ht="12.75" customHeight="1">
      <c r="A2753" s="13">
        <f t="shared" si="52"/>
        <v>2728</v>
      </c>
      <c r="B2753" s="52" t="s">
        <v>514</v>
      </c>
      <c r="C2753" s="78" t="s">
        <v>790</v>
      </c>
      <c r="D2753" s="56"/>
      <c r="E2753" s="74"/>
      <c r="F2753" s="57" t="s">
        <v>29</v>
      </c>
      <c r="G2753" s="57"/>
      <c r="H2753" s="34">
        <v>97546.68</v>
      </c>
      <c r="I2753" s="84">
        <v>97731.43</v>
      </c>
      <c r="J2753" s="136"/>
      <c r="K2753" s="140" t="s">
        <v>262</v>
      </c>
      <c r="L2753" s="34"/>
      <c r="M2753" s="84"/>
      <c r="N2753" s="38"/>
      <c r="O2753" s="39"/>
      <c r="P2753" s="66">
        <v>43617</v>
      </c>
    </row>
    <row r="2754" spans="1:16" ht="12.75" customHeight="1">
      <c r="A2754" s="13">
        <f t="shared" si="52"/>
        <v>2729</v>
      </c>
      <c r="B2754" s="30" t="s">
        <v>515</v>
      </c>
      <c r="C2754" s="56" t="s">
        <v>228</v>
      </c>
      <c r="D2754" s="56"/>
      <c r="E2754" s="74" t="s">
        <v>13</v>
      </c>
      <c r="F2754" s="57" t="s">
        <v>29</v>
      </c>
      <c r="G2754" s="57"/>
      <c r="H2754" s="34">
        <v>41420.389500000005</v>
      </c>
      <c r="I2754" s="84"/>
      <c r="J2754" s="136">
        <v>0</v>
      </c>
      <c r="K2754" s="136"/>
      <c r="L2754" s="34">
        <v>0</v>
      </c>
      <c r="M2754" s="84"/>
      <c r="N2754" s="38"/>
      <c r="O2754" s="39"/>
      <c r="P2754" s="51"/>
    </row>
    <row r="2755" spans="1:16" ht="12.75" customHeight="1">
      <c r="A2755" s="13">
        <f t="shared" si="52"/>
        <v>2730</v>
      </c>
      <c r="B2755" s="30" t="s">
        <v>515</v>
      </c>
      <c r="C2755" s="56" t="s">
        <v>229</v>
      </c>
      <c r="D2755" s="56"/>
      <c r="E2755" s="74"/>
      <c r="F2755" s="57" t="s">
        <v>29</v>
      </c>
      <c r="G2755" s="57"/>
      <c r="H2755" s="34">
        <v>33291.499500000005</v>
      </c>
      <c r="I2755" s="84"/>
      <c r="J2755" s="136">
        <v>0</v>
      </c>
      <c r="K2755" s="136"/>
      <c r="L2755" s="34">
        <v>0</v>
      </c>
      <c r="M2755" s="84"/>
      <c r="N2755" s="38"/>
      <c r="O2755" s="39"/>
      <c r="P2755" s="51"/>
    </row>
    <row r="2756" spans="1:16" ht="12.75" customHeight="1">
      <c r="A2756" s="13">
        <f t="shared" si="52"/>
        <v>2731</v>
      </c>
      <c r="B2756" s="30" t="s">
        <v>515</v>
      </c>
      <c r="C2756" s="56" t="s">
        <v>230</v>
      </c>
      <c r="D2756" s="56"/>
      <c r="E2756" s="74"/>
      <c r="F2756" s="57" t="s">
        <v>29</v>
      </c>
      <c r="G2756" s="57"/>
      <c r="H2756" s="34">
        <v>31813.519500000002</v>
      </c>
      <c r="I2756" s="84"/>
      <c r="J2756" s="136">
        <v>0</v>
      </c>
      <c r="K2756" s="136"/>
      <c r="L2756" s="34">
        <v>0</v>
      </c>
      <c r="M2756" s="84"/>
      <c r="N2756" s="38"/>
      <c r="O2756" s="39"/>
      <c r="P2756" s="51"/>
    </row>
    <row r="2757" spans="1:16" ht="12.75" customHeight="1">
      <c r="A2757" s="13">
        <f t="shared" si="52"/>
        <v>2732</v>
      </c>
      <c r="B2757" s="30" t="s">
        <v>515</v>
      </c>
      <c r="C2757" s="56" t="s">
        <v>231</v>
      </c>
      <c r="D2757" s="56"/>
      <c r="E2757" s="74"/>
      <c r="F2757" s="57" t="s">
        <v>29</v>
      </c>
      <c r="G2757" s="57"/>
      <c r="H2757" s="34">
        <v>27970.771499999999</v>
      </c>
      <c r="I2757" s="84"/>
      <c r="J2757" s="136">
        <v>0</v>
      </c>
      <c r="K2757" s="136"/>
      <c r="L2757" s="34">
        <v>0</v>
      </c>
      <c r="M2757" s="84"/>
      <c r="N2757" s="38"/>
      <c r="O2757" s="39"/>
      <c r="P2757" s="51"/>
    </row>
    <row r="2758" spans="1:16" ht="12.75" customHeight="1">
      <c r="A2758" s="13">
        <f t="shared" si="52"/>
        <v>2733</v>
      </c>
      <c r="B2758" s="30" t="s">
        <v>515</v>
      </c>
      <c r="C2758" s="56" t="s">
        <v>232</v>
      </c>
      <c r="D2758" s="56"/>
      <c r="E2758" s="74"/>
      <c r="F2758" s="57" t="s">
        <v>29</v>
      </c>
      <c r="G2758" s="57"/>
      <c r="H2758" s="34">
        <v>18733.396499999999</v>
      </c>
      <c r="I2758" s="84"/>
      <c r="J2758" s="136">
        <v>0</v>
      </c>
      <c r="K2758" s="136"/>
      <c r="L2758" s="34">
        <v>0</v>
      </c>
      <c r="M2758" s="84"/>
      <c r="N2758" s="38"/>
      <c r="O2758" s="39"/>
      <c r="P2758" s="51"/>
    </row>
    <row r="2759" spans="1:16" ht="12.75" customHeight="1">
      <c r="A2759" s="13">
        <f t="shared" si="52"/>
        <v>2734</v>
      </c>
      <c r="B2759" s="30" t="s">
        <v>515</v>
      </c>
      <c r="C2759" s="56" t="s">
        <v>233</v>
      </c>
      <c r="D2759" s="56"/>
      <c r="E2759" s="74"/>
      <c r="F2759" s="57" t="s">
        <v>29</v>
      </c>
      <c r="G2759" s="57"/>
      <c r="H2759" s="34">
        <v>27083.983500000002</v>
      </c>
      <c r="I2759" s="84"/>
      <c r="J2759" s="136">
        <v>0</v>
      </c>
      <c r="K2759" s="136"/>
      <c r="L2759" s="34">
        <v>0</v>
      </c>
      <c r="M2759" s="84"/>
      <c r="N2759" s="38"/>
      <c r="O2759" s="39"/>
      <c r="P2759" s="51"/>
    </row>
    <row r="2760" spans="1:16" ht="12.75" customHeight="1">
      <c r="A2760" s="13">
        <f t="shared" si="52"/>
        <v>2735</v>
      </c>
      <c r="B2760" s="32" t="s">
        <v>516</v>
      </c>
      <c r="C2760" s="56" t="s">
        <v>234</v>
      </c>
      <c r="D2760" s="56"/>
      <c r="E2760" s="14" t="s">
        <v>13</v>
      </c>
      <c r="F2760" s="57" t="s">
        <v>29</v>
      </c>
      <c r="G2760" s="57"/>
      <c r="H2760" s="34">
        <v>33796.968659999999</v>
      </c>
      <c r="I2760" s="84">
        <v>40370</v>
      </c>
      <c r="J2760" s="136">
        <v>0</v>
      </c>
      <c r="K2760" s="140" t="s">
        <v>262</v>
      </c>
      <c r="L2760" s="34">
        <v>0</v>
      </c>
      <c r="M2760" s="84"/>
      <c r="N2760" s="38"/>
      <c r="O2760" s="39"/>
      <c r="P2760" s="66">
        <v>43709</v>
      </c>
    </row>
    <row r="2761" spans="1:16" ht="12.75" customHeight="1">
      <c r="A2761" s="13">
        <f t="shared" si="52"/>
        <v>2736</v>
      </c>
      <c r="B2761" s="52" t="s">
        <v>516</v>
      </c>
      <c r="C2761" s="56" t="s">
        <v>234</v>
      </c>
      <c r="D2761" s="56"/>
      <c r="E2761" s="14"/>
      <c r="F2761" s="57" t="s">
        <v>29</v>
      </c>
      <c r="G2761" s="57"/>
      <c r="H2761" s="34"/>
      <c r="I2761" s="84">
        <v>44451.35</v>
      </c>
      <c r="J2761" s="136"/>
      <c r="K2761" s="140"/>
      <c r="L2761" s="34"/>
      <c r="M2761" s="84"/>
      <c r="N2761" s="38"/>
      <c r="O2761" s="39"/>
      <c r="P2761" s="66">
        <v>44562</v>
      </c>
    </row>
    <row r="2762" spans="1:16" ht="12.75" customHeight="1">
      <c r="A2762" s="13">
        <f t="shared" si="52"/>
        <v>2737</v>
      </c>
      <c r="B2762" s="52" t="s">
        <v>516</v>
      </c>
      <c r="C2762" s="56" t="s">
        <v>234</v>
      </c>
      <c r="D2762" s="56"/>
      <c r="E2762" s="14"/>
      <c r="F2762" s="57" t="s">
        <v>29</v>
      </c>
      <c r="G2762" s="57"/>
      <c r="H2762" s="34"/>
      <c r="I2762" s="84">
        <v>44451.35</v>
      </c>
      <c r="J2762" s="136"/>
      <c r="K2762" s="140"/>
      <c r="L2762" s="34"/>
      <c r="M2762" s="84"/>
      <c r="N2762" s="38"/>
      <c r="O2762" s="39"/>
      <c r="P2762" s="66">
        <v>44562</v>
      </c>
    </row>
    <row r="2763" spans="1:16" ht="12.75" customHeight="1">
      <c r="A2763" s="13">
        <f t="shared" si="52"/>
        <v>2738</v>
      </c>
      <c r="B2763" s="52" t="s">
        <v>516</v>
      </c>
      <c r="C2763" s="74" t="s">
        <v>234</v>
      </c>
      <c r="D2763" s="56"/>
      <c r="E2763" s="14"/>
      <c r="F2763" s="57" t="s">
        <v>29</v>
      </c>
      <c r="G2763" s="57"/>
      <c r="H2763" s="34"/>
      <c r="I2763" s="84">
        <v>52783.26</v>
      </c>
      <c r="J2763" s="136"/>
      <c r="K2763" s="140"/>
      <c r="L2763" s="34"/>
      <c r="M2763" s="84"/>
      <c r="N2763" s="38"/>
      <c r="O2763" s="39"/>
      <c r="P2763" s="66">
        <v>45047</v>
      </c>
    </row>
    <row r="2764" spans="1:16" ht="12.75" customHeight="1">
      <c r="A2764" s="13">
        <f t="shared" si="52"/>
        <v>2739</v>
      </c>
      <c r="B2764" s="94" t="s">
        <v>516</v>
      </c>
      <c r="C2764" s="74" t="s">
        <v>234</v>
      </c>
      <c r="D2764" s="56"/>
      <c r="E2764" s="14"/>
      <c r="F2764" s="57" t="s">
        <v>29</v>
      </c>
      <c r="G2764" s="57"/>
      <c r="H2764" s="34"/>
      <c r="I2764" s="84">
        <v>56089.72</v>
      </c>
      <c r="J2764" s="136"/>
      <c r="K2764" s="140"/>
      <c r="L2764" s="34"/>
      <c r="M2764" s="84"/>
      <c r="N2764" s="38"/>
      <c r="O2764" s="39"/>
      <c r="P2764" s="66">
        <v>45352</v>
      </c>
    </row>
    <row r="2765" spans="1:16" ht="12.75" customHeight="1">
      <c r="A2765" s="13">
        <f t="shared" si="52"/>
        <v>2740</v>
      </c>
      <c r="B2765" s="32" t="s">
        <v>516</v>
      </c>
      <c r="C2765" s="74" t="s">
        <v>235</v>
      </c>
      <c r="D2765" s="56"/>
      <c r="E2765" s="74"/>
      <c r="F2765" s="57" t="s">
        <v>29</v>
      </c>
      <c r="G2765" s="57"/>
      <c r="H2765" s="34">
        <v>34679.322720000004</v>
      </c>
      <c r="I2765" s="84">
        <v>48742.32</v>
      </c>
      <c r="J2765" s="136">
        <v>0</v>
      </c>
      <c r="K2765" s="140" t="s">
        <v>262</v>
      </c>
      <c r="L2765" s="34">
        <v>0</v>
      </c>
      <c r="M2765" s="84"/>
      <c r="N2765" s="38"/>
      <c r="O2765" s="39"/>
      <c r="P2765" s="66">
        <v>43709</v>
      </c>
    </row>
    <row r="2766" spans="1:16" ht="12.75" customHeight="1">
      <c r="A2766" s="13">
        <f t="shared" si="52"/>
        <v>2741</v>
      </c>
      <c r="B2766" s="52" t="s">
        <v>516</v>
      </c>
      <c r="C2766" s="74" t="s">
        <v>235</v>
      </c>
      <c r="D2766" s="56"/>
      <c r="E2766" s="74"/>
      <c r="F2766" s="57" t="s">
        <v>29</v>
      </c>
      <c r="G2766" s="57"/>
      <c r="H2766" s="34"/>
      <c r="I2766" s="84">
        <v>53660.92</v>
      </c>
      <c r="J2766" s="136"/>
      <c r="K2766" s="140"/>
      <c r="L2766" s="34"/>
      <c r="M2766" s="84"/>
      <c r="N2766" s="38"/>
      <c r="O2766" s="39"/>
      <c r="P2766" s="66">
        <v>44562</v>
      </c>
    </row>
    <row r="2767" spans="1:16" ht="12.75" customHeight="1">
      <c r="A2767" s="13">
        <f t="shared" ref="A2767:A2830" si="53">A2766+1</f>
        <v>2742</v>
      </c>
      <c r="B2767" s="52" t="s">
        <v>516</v>
      </c>
      <c r="C2767" s="74" t="s">
        <v>235</v>
      </c>
      <c r="D2767" s="56"/>
      <c r="E2767" s="74"/>
      <c r="F2767" s="57" t="s">
        <v>29</v>
      </c>
      <c r="G2767" s="57"/>
      <c r="H2767" s="34"/>
      <c r="I2767" s="84">
        <v>55534.27</v>
      </c>
      <c r="J2767" s="136"/>
      <c r="K2767" s="140"/>
      <c r="L2767" s="34"/>
      <c r="M2767" s="84"/>
      <c r="N2767" s="38"/>
      <c r="O2767" s="39"/>
      <c r="P2767" s="66">
        <v>44713</v>
      </c>
    </row>
    <row r="2768" spans="1:16" ht="12.75" customHeight="1">
      <c r="A2768" s="13">
        <f t="shared" si="53"/>
        <v>2743</v>
      </c>
      <c r="B2768" s="52" t="s">
        <v>516</v>
      </c>
      <c r="C2768" s="74" t="s">
        <v>235</v>
      </c>
      <c r="D2768" s="56"/>
      <c r="E2768" s="74"/>
      <c r="F2768" s="57" t="s">
        <v>29</v>
      </c>
      <c r="G2768" s="57"/>
      <c r="H2768" s="34"/>
      <c r="I2768" s="84">
        <v>58621.57</v>
      </c>
      <c r="J2768" s="136"/>
      <c r="K2768" s="140"/>
      <c r="L2768" s="34"/>
      <c r="M2768" s="84"/>
      <c r="N2768" s="38"/>
      <c r="O2768" s="39"/>
      <c r="P2768" s="66">
        <v>45047</v>
      </c>
    </row>
    <row r="2769" spans="1:16" ht="12.75" customHeight="1">
      <c r="A2769" s="13">
        <f t="shared" si="53"/>
        <v>2744</v>
      </c>
      <c r="B2769" s="94" t="s">
        <v>516</v>
      </c>
      <c r="C2769" s="74" t="s">
        <v>235</v>
      </c>
      <c r="D2769" s="56"/>
      <c r="E2769" s="74"/>
      <c r="F2769" s="57" t="s">
        <v>29</v>
      </c>
      <c r="G2769" s="57"/>
      <c r="H2769" s="34"/>
      <c r="I2769" s="84">
        <v>62219.96</v>
      </c>
      <c r="J2769" s="136"/>
      <c r="K2769" s="140"/>
      <c r="L2769" s="34"/>
      <c r="M2769" s="84"/>
      <c r="N2769" s="38"/>
      <c r="O2769" s="39"/>
      <c r="P2769" s="66">
        <v>45352</v>
      </c>
    </row>
    <row r="2770" spans="1:16" ht="12.75" customHeight="1">
      <c r="A2770" s="13">
        <f t="shared" si="53"/>
        <v>2745</v>
      </c>
      <c r="B2770" s="52" t="s">
        <v>516</v>
      </c>
      <c r="C2770" s="161" t="s">
        <v>234</v>
      </c>
      <c r="D2770" s="56"/>
      <c r="E2770" s="74"/>
      <c r="F2770" s="57" t="s">
        <v>29</v>
      </c>
      <c r="G2770" s="57"/>
      <c r="H2770" s="34"/>
      <c r="I2770" s="84">
        <v>49147.51</v>
      </c>
      <c r="J2770" s="136"/>
      <c r="K2770" s="140"/>
      <c r="L2770" s="34"/>
      <c r="M2770" s="84"/>
      <c r="N2770" s="38"/>
      <c r="O2770" s="39"/>
      <c r="P2770" s="66">
        <v>44713</v>
      </c>
    </row>
    <row r="2771" spans="1:16" ht="12.75" customHeight="1">
      <c r="A2771" s="13">
        <f t="shared" si="53"/>
        <v>2746</v>
      </c>
      <c r="B2771" s="32" t="s">
        <v>516</v>
      </c>
      <c r="C2771" s="74" t="s">
        <v>236</v>
      </c>
      <c r="D2771" s="56"/>
      <c r="E2771" s="74"/>
      <c r="F2771" s="57" t="s">
        <v>29</v>
      </c>
      <c r="G2771" s="57"/>
      <c r="H2771" s="34">
        <v>41271.113519999999</v>
      </c>
      <c r="I2771" s="84">
        <v>51760.57</v>
      </c>
      <c r="J2771" s="136">
        <v>0</v>
      </c>
      <c r="K2771" s="140" t="s">
        <v>262</v>
      </c>
      <c r="L2771" s="34">
        <v>0</v>
      </c>
      <c r="M2771" s="84"/>
      <c r="N2771" s="38"/>
      <c r="O2771" s="39"/>
      <c r="P2771" s="66">
        <v>43709</v>
      </c>
    </row>
    <row r="2772" spans="1:16" ht="12.75" customHeight="1">
      <c r="A2772" s="13">
        <f t="shared" si="53"/>
        <v>2747</v>
      </c>
      <c r="B2772" s="52" t="s">
        <v>516</v>
      </c>
      <c r="C2772" s="74" t="s">
        <v>236</v>
      </c>
      <c r="D2772" s="56"/>
      <c r="E2772" s="74"/>
      <c r="F2772" s="57" t="s">
        <v>29</v>
      </c>
      <c r="G2772" s="57"/>
      <c r="H2772" s="34"/>
      <c r="I2772" s="84">
        <v>56980.959999999999</v>
      </c>
      <c r="J2772" s="136"/>
      <c r="K2772" s="140"/>
      <c r="L2772" s="34"/>
      <c r="M2772" s="84"/>
      <c r="N2772" s="38"/>
      <c r="O2772" s="39"/>
      <c r="P2772" s="66">
        <v>44562</v>
      </c>
    </row>
    <row r="2773" spans="1:16" ht="12.75" customHeight="1">
      <c r="A2773" s="13">
        <f t="shared" si="53"/>
        <v>2748</v>
      </c>
      <c r="B2773" s="52" t="s">
        <v>516</v>
      </c>
      <c r="C2773" s="74" t="s">
        <v>236</v>
      </c>
      <c r="D2773" s="56"/>
      <c r="E2773" s="74"/>
      <c r="F2773" s="57" t="s">
        <v>29</v>
      </c>
      <c r="G2773" s="57"/>
      <c r="H2773" s="34"/>
      <c r="I2773" s="84">
        <v>58854.32</v>
      </c>
      <c r="J2773" s="136"/>
      <c r="K2773" s="140"/>
      <c r="L2773" s="34"/>
      <c r="M2773" s="84"/>
      <c r="N2773" s="38"/>
      <c r="O2773" s="39"/>
      <c r="P2773" s="66">
        <v>44713</v>
      </c>
    </row>
    <row r="2774" spans="1:16" ht="12.75" customHeight="1">
      <c r="A2774" s="13">
        <f t="shared" si="53"/>
        <v>2749</v>
      </c>
      <c r="B2774" s="52" t="s">
        <v>516</v>
      </c>
      <c r="C2774" s="74" t="s">
        <v>236</v>
      </c>
      <c r="D2774" s="56"/>
      <c r="E2774" s="74"/>
      <c r="F2774" s="57" t="s">
        <v>29</v>
      </c>
      <c r="G2774" s="57"/>
      <c r="H2774" s="34"/>
      <c r="I2774" s="84">
        <v>59297.71</v>
      </c>
      <c r="J2774" s="136"/>
      <c r="K2774" s="140"/>
      <c r="L2774" s="34"/>
      <c r="M2774" s="84"/>
      <c r="N2774" s="38"/>
      <c r="O2774" s="39"/>
      <c r="P2774" s="66">
        <v>45047</v>
      </c>
    </row>
    <row r="2775" spans="1:16" ht="12.75" customHeight="1">
      <c r="A2775" s="13">
        <f t="shared" si="53"/>
        <v>2750</v>
      </c>
      <c r="B2775" s="155" t="s">
        <v>516</v>
      </c>
      <c r="C2775" s="74" t="s">
        <v>236</v>
      </c>
      <c r="D2775" s="56"/>
      <c r="E2775" s="74"/>
      <c r="F2775" s="57" t="s">
        <v>29</v>
      </c>
      <c r="G2775" s="57"/>
      <c r="H2775" s="34"/>
      <c r="I2775" s="84">
        <v>61110.720000000001</v>
      </c>
      <c r="J2775" s="136"/>
      <c r="K2775" s="140"/>
      <c r="L2775" s="34"/>
      <c r="M2775" s="84"/>
      <c r="N2775" s="38"/>
      <c r="O2775" s="39"/>
      <c r="P2775" s="66">
        <v>45352</v>
      </c>
    </row>
    <row r="2776" spans="1:16" ht="12.75" customHeight="1">
      <c r="A2776" s="13">
        <f t="shared" si="53"/>
        <v>2751</v>
      </c>
      <c r="B2776" s="32" t="s">
        <v>516</v>
      </c>
      <c r="C2776" s="74" t="s">
        <v>237</v>
      </c>
      <c r="D2776" s="56"/>
      <c r="E2776" s="74"/>
      <c r="F2776" s="57" t="s">
        <v>29</v>
      </c>
      <c r="G2776" s="57"/>
      <c r="H2776" s="34">
        <v>44605.436399999991</v>
      </c>
      <c r="I2776" s="84">
        <v>55393.2</v>
      </c>
      <c r="J2776" s="136">
        <v>0</v>
      </c>
      <c r="K2776" s="140" t="s">
        <v>262</v>
      </c>
      <c r="L2776" s="34">
        <v>0</v>
      </c>
      <c r="M2776" s="84"/>
      <c r="N2776" s="38"/>
      <c r="O2776" s="39"/>
      <c r="P2776" s="66">
        <v>43709</v>
      </c>
    </row>
    <row r="2777" spans="1:16" ht="12.75" customHeight="1">
      <c r="A2777" s="13">
        <f t="shared" si="53"/>
        <v>2752</v>
      </c>
      <c r="B2777" s="52" t="s">
        <v>516</v>
      </c>
      <c r="C2777" s="74" t="s">
        <v>237</v>
      </c>
      <c r="D2777" s="56"/>
      <c r="E2777" s="74"/>
      <c r="F2777" s="57" t="s">
        <v>29</v>
      </c>
      <c r="G2777" s="57"/>
      <c r="H2777" s="34"/>
      <c r="I2777" s="84">
        <v>55644.46</v>
      </c>
      <c r="J2777" s="136"/>
      <c r="K2777" s="140"/>
      <c r="L2777" s="34"/>
      <c r="M2777" s="84"/>
      <c r="N2777" s="38"/>
      <c r="O2777" s="39"/>
      <c r="P2777" s="66">
        <v>44562</v>
      </c>
    </row>
    <row r="2778" spans="1:16" ht="12.75" customHeight="1">
      <c r="A2778" s="13">
        <f t="shared" si="53"/>
        <v>2753</v>
      </c>
      <c r="B2778" s="52" t="s">
        <v>516</v>
      </c>
      <c r="C2778" s="74" t="s">
        <v>237</v>
      </c>
      <c r="D2778" s="56"/>
      <c r="E2778" s="74"/>
      <c r="F2778" s="57" t="s">
        <v>29</v>
      </c>
      <c r="G2778" s="57"/>
      <c r="H2778" s="34"/>
      <c r="I2778" s="84">
        <v>59179.33</v>
      </c>
      <c r="J2778" s="136"/>
      <c r="K2778" s="140"/>
      <c r="L2778" s="34"/>
      <c r="M2778" s="84"/>
      <c r="N2778" s="38"/>
      <c r="O2778" s="39"/>
      <c r="P2778" s="66">
        <v>44713</v>
      </c>
    </row>
    <row r="2779" spans="1:16" ht="12.75" customHeight="1">
      <c r="A2779" s="13">
        <f t="shared" si="53"/>
        <v>2754</v>
      </c>
      <c r="B2779" s="52" t="s">
        <v>516</v>
      </c>
      <c r="C2779" s="74" t="s">
        <v>237</v>
      </c>
      <c r="D2779" s="56"/>
      <c r="E2779" s="74"/>
      <c r="F2779" s="57" t="s">
        <v>29</v>
      </c>
      <c r="G2779" s="57"/>
      <c r="H2779" s="34"/>
      <c r="I2779" s="84">
        <v>59622.73</v>
      </c>
      <c r="J2779" s="136"/>
      <c r="K2779" s="140"/>
      <c r="L2779" s="34"/>
      <c r="M2779" s="84"/>
      <c r="N2779" s="38"/>
      <c r="O2779" s="39"/>
      <c r="P2779" s="66">
        <v>45047</v>
      </c>
    </row>
    <row r="2780" spans="1:16" ht="15" customHeight="1">
      <c r="A2780" s="13">
        <f t="shared" si="53"/>
        <v>2755</v>
      </c>
      <c r="B2780" s="155" t="s">
        <v>516</v>
      </c>
      <c r="C2780" s="74" t="s">
        <v>237</v>
      </c>
      <c r="D2780" s="56"/>
      <c r="E2780" s="74"/>
      <c r="F2780" s="57" t="s">
        <v>29</v>
      </c>
      <c r="G2780" s="57"/>
      <c r="H2780" s="34"/>
      <c r="I2780" s="84">
        <v>61435.75</v>
      </c>
      <c r="J2780" s="136"/>
      <c r="K2780" s="140"/>
      <c r="L2780" s="34"/>
      <c r="M2780" s="84"/>
      <c r="N2780" s="38"/>
      <c r="O2780" s="39"/>
      <c r="P2780" s="66">
        <v>45352</v>
      </c>
    </row>
    <row r="2781" spans="1:16" ht="12.75" customHeight="1">
      <c r="A2781" s="13">
        <f t="shared" si="53"/>
        <v>2756</v>
      </c>
      <c r="B2781" s="32" t="s">
        <v>516</v>
      </c>
      <c r="C2781" s="56" t="s">
        <v>238</v>
      </c>
      <c r="D2781" s="56"/>
      <c r="E2781" s="74"/>
      <c r="F2781" s="57" t="s">
        <v>29</v>
      </c>
      <c r="G2781" s="57"/>
      <c r="H2781" s="34">
        <v>47496.365279999991</v>
      </c>
      <c r="I2781" s="84">
        <v>59798.239999999998</v>
      </c>
      <c r="J2781" s="136">
        <v>0</v>
      </c>
      <c r="K2781" s="140" t="s">
        <v>262</v>
      </c>
      <c r="L2781" s="34">
        <v>0</v>
      </c>
      <c r="M2781" s="84"/>
      <c r="N2781" s="38"/>
      <c r="O2781" s="39"/>
      <c r="P2781" s="66">
        <v>43709</v>
      </c>
    </row>
    <row r="2782" spans="1:16" ht="12.75" customHeight="1">
      <c r="A2782" s="13">
        <f t="shared" si="53"/>
        <v>2757</v>
      </c>
      <c r="B2782" s="52" t="s">
        <v>516</v>
      </c>
      <c r="C2782" s="56" t="s">
        <v>238</v>
      </c>
      <c r="D2782" s="56"/>
      <c r="E2782" s="74"/>
      <c r="F2782" s="57" t="s">
        <v>29</v>
      </c>
      <c r="G2782" s="57"/>
      <c r="H2782" s="34"/>
      <c r="I2782" s="84">
        <v>60049.49</v>
      </c>
      <c r="J2782" s="136"/>
      <c r="K2782" s="140"/>
      <c r="L2782" s="34"/>
      <c r="M2782" s="84"/>
      <c r="N2782" s="38"/>
      <c r="O2782" s="39"/>
      <c r="P2782" s="66">
        <v>44562</v>
      </c>
    </row>
    <row r="2783" spans="1:16" ht="12.75" customHeight="1">
      <c r="A2783" s="13">
        <f t="shared" si="53"/>
        <v>2758</v>
      </c>
      <c r="B2783" s="52" t="s">
        <v>516</v>
      </c>
      <c r="C2783" s="56" t="s">
        <v>238</v>
      </c>
      <c r="D2783" s="56"/>
      <c r="E2783" s="74"/>
      <c r="F2783" s="57" t="s">
        <v>29</v>
      </c>
      <c r="G2783" s="57"/>
      <c r="H2783" s="34"/>
      <c r="I2783" s="84">
        <v>63584.38</v>
      </c>
      <c r="J2783" s="136"/>
      <c r="K2783" s="140"/>
      <c r="L2783" s="34"/>
      <c r="M2783" s="84"/>
      <c r="N2783" s="38"/>
      <c r="O2783" s="39"/>
      <c r="P2783" s="66">
        <v>44713</v>
      </c>
    </row>
    <row r="2784" spans="1:16" ht="12.75" customHeight="1">
      <c r="A2784" s="13">
        <f t="shared" si="53"/>
        <v>2759</v>
      </c>
      <c r="B2784" s="52" t="s">
        <v>516</v>
      </c>
      <c r="C2784" s="74" t="s">
        <v>238</v>
      </c>
      <c r="D2784" s="56"/>
      <c r="E2784" s="74"/>
      <c r="F2784" s="57" t="s">
        <v>29</v>
      </c>
      <c r="G2784" s="57"/>
      <c r="H2784" s="34"/>
      <c r="I2784" s="84">
        <v>64027.78</v>
      </c>
      <c r="J2784" s="136"/>
      <c r="K2784" s="140"/>
      <c r="L2784" s="34"/>
      <c r="M2784" s="84"/>
      <c r="N2784" s="38"/>
      <c r="O2784" s="39"/>
      <c r="P2784" s="66">
        <v>45047</v>
      </c>
    </row>
    <row r="2785" spans="1:16" ht="12.75" customHeight="1">
      <c r="A2785" s="13">
        <f t="shared" si="53"/>
        <v>2760</v>
      </c>
      <c r="B2785" s="155" t="s">
        <v>516</v>
      </c>
      <c r="C2785" s="74" t="s">
        <v>238</v>
      </c>
      <c r="D2785" s="56"/>
      <c r="E2785" s="74"/>
      <c r="F2785" s="57" t="s">
        <v>29</v>
      </c>
      <c r="G2785" s="57"/>
      <c r="H2785" s="34"/>
      <c r="I2785" s="84">
        <v>65840.800000000003</v>
      </c>
      <c r="J2785" s="136"/>
      <c r="K2785" s="140"/>
      <c r="L2785" s="34"/>
      <c r="M2785" s="84"/>
      <c r="N2785" s="38"/>
      <c r="O2785" s="39"/>
      <c r="P2785" s="66">
        <v>45352</v>
      </c>
    </row>
    <row r="2786" spans="1:16" ht="12.75" customHeight="1">
      <c r="A2786" s="13">
        <f t="shared" si="53"/>
        <v>2761</v>
      </c>
      <c r="B2786" s="52" t="s">
        <v>516</v>
      </c>
      <c r="C2786" s="161" t="s">
        <v>912</v>
      </c>
      <c r="D2786" s="56"/>
      <c r="E2786" s="23" t="s">
        <v>913</v>
      </c>
      <c r="F2786" s="57" t="s">
        <v>29</v>
      </c>
      <c r="G2786" s="57"/>
      <c r="H2786" s="34"/>
      <c r="I2786" s="84">
        <v>1596.22</v>
      </c>
      <c r="J2786" s="136"/>
      <c r="K2786" s="140"/>
      <c r="L2786" s="34"/>
      <c r="M2786" s="84"/>
      <c r="N2786" s="38"/>
      <c r="O2786" s="39"/>
      <c r="P2786" s="66">
        <v>43952</v>
      </c>
    </row>
    <row r="2787" spans="1:16" ht="12.75" customHeight="1">
      <c r="A2787" s="13">
        <f t="shared" si="53"/>
        <v>2762</v>
      </c>
      <c r="B2787" s="183" t="s">
        <v>516</v>
      </c>
      <c r="C2787" s="161" t="s">
        <v>234</v>
      </c>
      <c r="D2787" s="56"/>
      <c r="E2787" s="23"/>
      <c r="F2787" s="57"/>
      <c r="G2787" s="57"/>
      <c r="H2787" s="34"/>
      <c r="I2787" s="84">
        <v>59252.26</v>
      </c>
      <c r="J2787" s="136"/>
      <c r="K2787" s="140"/>
      <c r="L2787" s="34"/>
      <c r="M2787" s="84"/>
      <c r="N2787" s="38"/>
      <c r="O2787" s="39"/>
      <c r="P2787" s="66">
        <v>45689</v>
      </c>
    </row>
    <row r="2788" spans="1:16" ht="12.75" customHeight="1">
      <c r="A2788" s="13">
        <f t="shared" si="53"/>
        <v>2763</v>
      </c>
      <c r="B2788" s="183" t="s">
        <v>516</v>
      </c>
      <c r="C2788" s="161" t="s">
        <v>235</v>
      </c>
      <c r="D2788" s="56"/>
      <c r="E2788" s="23"/>
      <c r="F2788" s="57"/>
      <c r="G2788" s="57"/>
      <c r="H2788" s="34"/>
      <c r="I2788" s="84">
        <v>65688.98</v>
      </c>
      <c r="J2788" s="136"/>
      <c r="K2788" s="140"/>
      <c r="L2788" s="34"/>
      <c r="M2788" s="84"/>
      <c r="N2788" s="38"/>
      <c r="O2788" s="39"/>
      <c r="P2788" s="66">
        <v>45689</v>
      </c>
    </row>
    <row r="2789" spans="1:16" ht="12.75" customHeight="1">
      <c r="A2789" s="13">
        <f t="shared" si="53"/>
        <v>2764</v>
      </c>
      <c r="B2789" s="52" t="s">
        <v>517</v>
      </c>
      <c r="C2789" s="74" t="s">
        <v>239</v>
      </c>
      <c r="D2789" s="56"/>
      <c r="E2789" s="14" t="s">
        <v>13</v>
      </c>
      <c r="F2789" s="57" t="s">
        <v>29</v>
      </c>
      <c r="G2789" s="57"/>
      <c r="H2789" s="34">
        <v>46306.3</v>
      </c>
      <c r="I2789" s="84">
        <v>55471.14</v>
      </c>
      <c r="J2789" s="136">
        <v>0</v>
      </c>
      <c r="K2789" s="136"/>
      <c r="L2789" s="34">
        <v>0</v>
      </c>
      <c r="M2789" s="84"/>
      <c r="N2789" s="38"/>
      <c r="O2789" s="39"/>
      <c r="P2789" s="66">
        <v>43709</v>
      </c>
    </row>
    <row r="2790" spans="1:16" ht="12.75" customHeight="1">
      <c r="A2790" s="13">
        <f t="shared" si="53"/>
        <v>2765</v>
      </c>
      <c r="B2790" s="32" t="s">
        <v>517</v>
      </c>
      <c r="C2790" s="74" t="s">
        <v>239</v>
      </c>
      <c r="D2790" s="56"/>
      <c r="E2790" s="14" t="s">
        <v>13</v>
      </c>
      <c r="F2790" s="57" t="s">
        <v>29</v>
      </c>
      <c r="G2790" s="57"/>
      <c r="H2790" s="34"/>
      <c r="I2790" s="84">
        <v>57482.63</v>
      </c>
      <c r="J2790" s="136"/>
      <c r="K2790" s="136"/>
      <c r="L2790" s="34"/>
      <c r="M2790" s="84"/>
      <c r="N2790" s="38"/>
      <c r="O2790" s="39"/>
      <c r="P2790" s="66">
        <v>44562</v>
      </c>
    </row>
    <row r="2791" spans="1:16" ht="12.75" customHeight="1">
      <c r="A2791" s="13">
        <f t="shared" si="53"/>
        <v>2766</v>
      </c>
      <c r="B2791" s="32" t="s">
        <v>517</v>
      </c>
      <c r="C2791" s="74" t="s">
        <v>239</v>
      </c>
      <c r="D2791" s="56"/>
      <c r="E2791" s="14"/>
      <c r="F2791" s="57" t="s">
        <v>29</v>
      </c>
      <c r="G2791" s="57"/>
      <c r="H2791" s="34"/>
      <c r="I2791" s="84">
        <v>57926.03</v>
      </c>
      <c r="J2791" s="136"/>
      <c r="K2791" s="136"/>
      <c r="L2791" s="34"/>
      <c r="M2791" s="84"/>
      <c r="N2791" s="38"/>
      <c r="O2791" s="39"/>
      <c r="P2791" s="66">
        <v>45047</v>
      </c>
    </row>
    <row r="2792" spans="1:16" ht="12.75" customHeight="1">
      <c r="A2792" s="13">
        <f t="shared" si="53"/>
        <v>2767</v>
      </c>
      <c r="B2792" s="32" t="s">
        <v>517</v>
      </c>
      <c r="C2792" s="74" t="s">
        <v>239</v>
      </c>
      <c r="D2792" s="56"/>
      <c r="E2792" s="14"/>
      <c r="F2792" s="57" t="s">
        <v>29</v>
      </c>
      <c r="G2792" s="57"/>
      <c r="H2792" s="34"/>
      <c r="I2792" s="84">
        <v>61489.65</v>
      </c>
      <c r="J2792" s="136"/>
      <c r="K2792" s="136"/>
      <c r="L2792" s="34"/>
      <c r="M2792" s="84"/>
      <c r="N2792" s="38"/>
      <c r="O2792" s="39"/>
      <c r="P2792" s="66">
        <v>45352</v>
      </c>
    </row>
    <row r="2793" spans="1:16" ht="12.75" customHeight="1">
      <c r="A2793" s="13">
        <f t="shared" si="53"/>
        <v>2768</v>
      </c>
      <c r="B2793" s="180" t="s">
        <v>517</v>
      </c>
      <c r="C2793" s="74" t="s">
        <v>239</v>
      </c>
      <c r="D2793" s="56"/>
      <c r="E2793" s="14"/>
      <c r="F2793" s="57" t="s">
        <v>29</v>
      </c>
      <c r="G2793" s="57"/>
      <c r="H2793" s="34"/>
      <c r="I2793" s="84">
        <v>64922.16</v>
      </c>
      <c r="J2793" s="136"/>
      <c r="K2793" s="136"/>
      <c r="L2793" s="34"/>
      <c r="M2793" s="84"/>
      <c r="N2793" s="38"/>
      <c r="O2793" s="39"/>
      <c r="P2793" s="66">
        <v>45352</v>
      </c>
    </row>
    <row r="2794" spans="1:16" ht="12.75" customHeight="1">
      <c r="A2794" s="13">
        <f t="shared" si="53"/>
        <v>2769</v>
      </c>
      <c r="B2794" s="52" t="s">
        <v>517</v>
      </c>
      <c r="C2794" s="74" t="s">
        <v>240</v>
      </c>
      <c r="D2794" s="56"/>
      <c r="E2794" s="14" t="s">
        <v>13</v>
      </c>
      <c r="F2794" s="57" t="s">
        <v>29</v>
      </c>
      <c r="G2794" s="57"/>
      <c r="H2794" s="34">
        <v>49498.73</v>
      </c>
      <c r="I2794" s="84">
        <v>59294.98</v>
      </c>
      <c r="J2794" s="136">
        <v>0</v>
      </c>
      <c r="K2794" s="136"/>
      <c r="L2794" s="34">
        <v>0</v>
      </c>
      <c r="M2794" s="84"/>
      <c r="N2794" s="38"/>
      <c r="O2794" s="39"/>
      <c r="P2794" s="66">
        <v>43709</v>
      </c>
    </row>
    <row r="2795" spans="1:16" ht="12.75" customHeight="1">
      <c r="A2795" s="13">
        <f t="shared" si="53"/>
        <v>2770</v>
      </c>
      <c r="B2795" s="32" t="s">
        <v>517</v>
      </c>
      <c r="C2795" s="74" t="s">
        <v>240</v>
      </c>
      <c r="D2795" s="56"/>
      <c r="E2795" s="14" t="s">
        <v>13</v>
      </c>
      <c r="F2795" s="57" t="s">
        <v>29</v>
      </c>
      <c r="G2795" s="57"/>
      <c r="H2795" s="34"/>
      <c r="I2795" s="84">
        <v>61306.46</v>
      </c>
      <c r="J2795" s="136"/>
      <c r="K2795" s="136"/>
      <c r="L2795" s="34"/>
      <c r="M2795" s="84"/>
      <c r="N2795" s="38"/>
      <c r="O2795" s="39"/>
      <c r="P2795" s="66">
        <v>44562</v>
      </c>
    </row>
    <row r="2796" spans="1:16" ht="12.75" customHeight="1">
      <c r="A2796" s="13">
        <f t="shared" si="53"/>
        <v>2771</v>
      </c>
      <c r="B2796" s="32" t="s">
        <v>517</v>
      </c>
      <c r="C2796" s="74" t="s">
        <v>240</v>
      </c>
      <c r="D2796" s="56"/>
      <c r="E2796" s="14"/>
      <c r="F2796" s="57" t="s">
        <v>29</v>
      </c>
      <c r="G2796" s="57"/>
      <c r="H2796" s="34"/>
      <c r="I2796" s="84">
        <v>61749.85</v>
      </c>
      <c r="J2796" s="136"/>
      <c r="K2796" s="136"/>
      <c r="L2796" s="34"/>
      <c r="M2796" s="84"/>
      <c r="N2796" s="38"/>
      <c r="O2796" s="39"/>
      <c r="P2796" s="66">
        <v>45047</v>
      </c>
    </row>
    <row r="2797" spans="1:16" ht="12.75" customHeight="1">
      <c r="A2797" s="13">
        <f t="shared" si="53"/>
        <v>2772</v>
      </c>
      <c r="B2797" s="32" t="s">
        <v>517</v>
      </c>
      <c r="C2797" s="74" t="s">
        <v>240</v>
      </c>
      <c r="D2797" s="56"/>
      <c r="E2797" s="14"/>
      <c r="F2797" s="57" t="s">
        <v>29</v>
      </c>
      <c r="G2797" s="57"/>
      <c r="H2797" s="34"/>
      <c r="I2797" s="84">
        <v>65504.67</v>
      </c>
      <c r="J2797" s="136"/>
      <c r="K2797" s="136"/>
      <c r="L2797" s="34"/>
      <c r="M2797" s="84"/>
      <c r="N2797" s="38"/>
      <c r="O2797" s="39"/>
      <c r="P2797" s="66">
        <v>45352</v>
      </c>
    </row>
    <row r="2798" spans="1:16" ht="12.75" customHeight="1">
      <c r="A2798" s="13">
        <f t="shared" si="53"/>
        <v>2773</v>
      </c>
      <c r="B2798" s="180" t="s">
        <v>517</v>
      </c>
      <c r="C2798" s="74" t="s">
        <v>240</v>
      </c>
      <c r="D2798" s="56"/>
      <c r="E2798" s="14"/>
      <c r="F2798" s="57" t="s">
        <v>29</v>
      </c>
      <c r="G2798" s="57"/>
      <c r="H2798" s="34"/>
      <c r="I2798" s="84">
        <v>69137.929999999993</v>
      </c>
      <c r="J2798" s="136"/>
      <c r="K2798" s="136"/>
      <c r="L2798" s="34"/>
      <c r="M2798" s="84"/>
      <c r="N2798" s="38"/>
      <c r="O2798" s="39"/>
      <c r="P2798" s="66">
        <v>45352</v>
      </c>
    </row>
    <row r="2799" spans="1:16" ht="12.75" customHeight="1">
      <c r="A2799" s="13">
        <f t="shared" si="53"/>
        <v>2774</v>
      </c>
      <c r="B2799" s="52" t="s">
        <v>517</v>
      </c>
      <c r="C2799" s="74" t="s">
        <v>241</v>
      </c>
      <c r="D2799" s="56"/>
      <c r="E2799" s="14" t="s">
        <v>13</v>
      </c>
      <c r="F2799" s="57" t="s">
        <v>29</v>
      </c>
      <c r="G2799" s="57"/>
      <c r="H2799" s="34">
        <v>53489.279999999999</v>
      </c>
      <c r="I2799" s="84">
        <v>64074.77</v>
      </c>
      <c r="J2799" s="136">
        <v>0</v>
      </c>
      <c r="K2799" s="136"/>
      <c r="L2799" s="34">
        <v>0</v>
      </c>
      <c r="M2799" s="84"/>
      <c r="N2799" s="38"/>
      <c r="O2799" s="39"/>
      <c r="P2799" s="66">
        <v>43709</v>
      </c>
    </row>
    <row r="2800" spans="1:16" ht="12.75" customHeight="1">
      <c r="A2800" s="13">
        <f t="shared" si="53"/>
        <v>2775</v>
      </c>
      <c r="B2800" s="32" t="s">
        <v>517</v>
      </c>
      <c r="C2800" s="74" t="s">
        <v>241</v>
      </c>
      <c r="D2800" s="56"/>
      <c r="E2800" s="14" t="s">
        <v>13</v>
      </c>
      <c r="F2800" s="57" t="s">
        <v>29</v>
      </c>
      <c r="G2800" s="57"/>
      <c r="H2800" s="34"/>
      <c r="I2800" s="84">
        <v>66086.25</v>
      </c>
      <c r="J2800" s="136"/>
      <c r="K2800" s="136"/>
      <c r="L2800" s="34"/>
      <c r="M2800" s="84"/>
      <c r="N2800" s="38"/>
      <c r="O2800" s="39"/>
      <c r="P2800" s="66">
        <v>44562</v>
      </c>
    </row>
    <row r="2801" spans="1:16" ht="12.75" customHeight="1">
      <c r="A2801" s="13">
        <f t="shared" si="53"/>
        <v>2776</v>
      </c>
      <c r="B2801" s="32" t="s">
        <v>517</v>
      </c>
      <c r="C2801" s="74" t="s">
        <v>241</v>
      </c>
      <c r="D2801" s="56"/>
      <c r="E2801" s="14"/>
      <c r="F2801" s="57" t="s">
        <v>29</v>
      </c>
      <c r="G2801" s="57"/>
      <c r="H2801" s="34"/>
      <c r="I2801" s="84">
        <v>66529.64</v>
      </c>
      <c r="J2801" s="136"/>
      <c r="K2801" s="136"/>
      <c r="L2801" s="34"/>
      <c r="M2801" s="84"/>
      <c r="N2801" s="38"/>
      <c r="O2801" s="39"/>
      <c r="P2801" s="66">
        <v>45047</v>
      </c>
    </row>
    <row r="2802" spans="1:16" ht="12.75" customHeight="1">
      <c r="A2802" s="13">
        <f t="shared" si="53"/>
        <v>2777</v>
      </c>
      <c r="B2802" s="32" t="s">
        <v>517</v>
      </c>
      <c r="C2802" s="74" t="s">
        <v>241</v>
      </c>
      <c r="D2802" s="56"/>
      <c r="E2802" s="14"/>
      <c r="F2802" s="57" t="s">
        <v>29</v>
      </c>
      <c r="G2802" s="57"/>
      <c r="H2802" s="34"/>
      <c r="I2802" s="84">
        <v>70523.44</v>
      </c>
      <c r="J2802" s="136"/>
      <c r="K2802" s="136"/>
      <c r="L2802" s="34"/>
      <c r="M2802" s="84"/>
      <c r="N2802" s="38"/>
      <c r="O2802" s="39"/>
      <c r="P2802" s="66">
        <v>45352</v>
      </c>
    </row>
    <row r="2803" spans="1:16" ht="12.75" customHeight="1">
      <c r="A2803" s="13">
        <f t="shared" si="53"/>
        <v>2778</v>
      </c>
      <c r="B2803" s="180" t="s">
        <v>517</v>
      </c>
      <c r="C2803" s="74" t="s">
        <v>241</v>
      </c>
      <c r="D2803" s="56"/>
      <c r="E2803" s="14"/>
      <c r="F2803" s="57" t="s">
        <v>29</v>
      </c>
      <c r="G2803" s="57"/>
      <c r="H2803" s="34"/>
      <c r="I2803" s="84">
        <v>74407.649999999994</v>
      </c>
      <c r="J2803" s="136"/>
      <c r="K2803" s="136"/>
      <c r="L2803" s="34"/>
      <c r="M2803" s="84"/>
      <c r="N2803" s="38"/>
      <c r="O2803" s="39"/>
      <c r="P2803" s="66">
        <v>45352</v>
      </c>
    </row>
    <row r="2804" spans="1:16" ht="12.75" customHeight="1">
      <c r="A2804" s="13">
        <f t="shared" si="53"/>
        <v>2779</v>
      </c>
      <c r="B2804" s="52" t="s">
        <v>517</v>
      </c>
      <c r="C2804" s="161" t="s">
        <v>875</v>
      </c>
      <c r="D2804" s="56"/>
      <c r="E2804" s="14" t="s">
        <v>13</v>
      </c>
      <c r="F2804" s="57" t="s">
        <v>29</v>
      </c>
      <c r="G2804" s="57"/>
      <c r="H2804" s="34"/>
      <c r="I2804" s="84">
        <v>67133.83</v>
      </c>
      <c r="J2804" s="136">
        <v>0</v>
      </c>
      <c r="K2804" s="136"/>
      <c r="L2804" s="34">
        <v>0</v>
      </c>
      <c r="M2804" s="84"/>
      <c r="N2804" s="38"/>
      <c r="O2804" s="39"/>
      <c r="P2804" s="66">
        <v>43709</v>
      </c>
    </row>
    <row r="2805" spans="1:16" ht="12.75" customHeight="1">
      <c r="A2805" s="13">
        <f t="shared" si="53"/>
        <v>2780</v>
      </c>
      <c r="B2805" s="32" t="s">
        <v>517</v>
      </c>
      <c r="C2805" s="161" t="s">
        <v>875</v>
      </c>
      <c r="D2805" s="56"/>
      <c r="E2805" s="14" t="s">
        <v>13</v>
      </c>
      <c r="F2805" s="57" t="s">
        <v>29</v>
      </c>
      <c r="G2805" s="57"/>
      <c r="H2805" s="34"/>
      <c r="I2805" s="84">
        <v>69145.320000000007</v>
      </c>
      <c r="J2805" s="136"/>
      <c r="K2805" s="136"/>
      <c r="L2805" s="34"/>
      <c r="M2805" s="84"/>
      <c r="N2805" s="38"/>
      <c r="O2805" s="39"/>
      <c r="P2805" s="66">
        <v>44562</v>
      </c>
    </row>
    <row r="2806" spans="1:16" ht="12.75" customHeight="1">
      <c r="A2806" s="13">
        <f t="shared" si="53"/>
        <v>2781</v>
      </c>
      <c r="B2806" s="32" t="s">
        <v>517</v>
      </c>
      <c r="C2806" s="161" t="s">
        <v>875</v>
      </c>
      <c r="D2806" s="56"/>
      <c r="E2806" s="14"/>
      <c r="F2806" s="57" t="s">
        <v>29</v>
      </c>
      <c r="G2806" s="57"/>
      <c r="H2806" s="34"/>
      <c r="I2806" s="84">
        <v>69588.710000000006</v>
      </c>
      <c r="J2806" s="136"/>
      <c r="K2806" s="136"/>
      <c r="L2806" s="34"/>
      <c r="M2806" s="84"/>
      <c r="N2806" s="38"/>
      <c r="O2806" s="39"/>
      <c r="P2806" s="66">
        <v>45047</v>
      </c>
    </row>
    <row r="2807" spans="1:16" ht="12.75" customHeight="1">
      <c r="A2807" s="13">
        <f t="shared" si="53"/>
        <v>2782</v>
      </c>
      <c r="B2807" s="156" t="s">
        <v>517</v>
      </c>
      <c r="C2807" s="161" t="s">
        <v>875</v>
      </c>
      <c r="D2807" s="56"/>
      <c r="E2807" s="14"/>
      <c r="F2807" s="57" t="s">
        <v>29</v>
      </c>
      <c r="G2807" s="57"/>
      <c r="H2807" s="34"/>
      <c r="I2807" s="84">
        <v>71479.399999999994</v>
      </c>
      <c r="J2807" s="136"/>
      <c r="K2807" s="136"/>
      <c r="L2807" s="34"/>
      <c r="M2807" s="84"/>
      <c r="N2807" s="38"/>
      <c r="O2807" s="39"/>
      <c r="P2807" s="66">
        <v>45352</v>
      </c>
    </row>
    <row r="2808" spans="1:16" ht="12.75" customHeight="1">
      <c r="A2808" s="13">
        <f t="shared" si="53"/>
        <v>2783</v>
      </c>
      <c r="B2808" s="156" t="s">
        <v>517</v>
      </c>
      <c r="C2808" s="74" t="s">
        <v>239</v>
      </c>
      <c r="D2808" s="56"/>
      <c r="E2808" s="14"/>
      <c r="F2808" s="57" t="s">
        <v>29</v>
      </c>
      <c r="G2808" s="57"/>
      <c r="H2808" s="34"/>
      <c r="I2808" s="84">
        <v>64922.16</v>
      </c>
      <c r="J2808" s="136"/>
      <c r="K2808" s="136"/>
      <c r="L2808" s="34"/>
      <c r="M2808" s="84"/>
      <c r="N2808" s="38"/>
      <c r="O2808" s="39"/>
      <c r="P2808" s="66">
        <v>45689</v>
      </c>
    </row>
    <row r="2809" spans="1:16" ht="12.75" customHeight="1">
      <c r="A2809" s="13">
        <f t="shared" si="53"/>
        <v>2784</v>
      </c>
      <c r="B2809" s="156" t="s">
        <v>517</v>
      </c>
      <c r="C2809" s="74" t="s">
        <v>240</v>
      </c>
      <c r="D2809" s="56"/>
      <c r="E2809" s="14"/>
      <c r="F2809" s="57" t="s">
        <v>29</v>
      </c>
      <c r="G2809" s="57"/>
      <c r="H2809" s="34"/>
      <c r="I2809" s="84">
        <v>69137.929999999993</v>
      </c>
      <c r="J2809" s="136"/>
      <c r="K2809" s="136"/>
      <c r="L2809" s="34"/>
      <c r="M2809" s="84"/>
      <c r="N2809" s="38"/>
      <c r="O2809" s="39"/>
      <c r="P2809" s="66">
        <v>45689</v>
      </c>
    </row>
    <row r="2810" spans="1:16" ht="12.75" customHeight="1">
      <c r="A2810" s="13">
        <f t="shared" si="53"/>
        <v>2785</v>
      </c>
      <c r="B2810" s="156" t="s">
        <v>517</v>
      </c>
      <c r="C2810" s="74" t="s">
        <v>241</v>
      </c>
      <c r="D2810" s="56"/>
      <c r="E2810" s="14"/>
      <c r="F2810" s="57" t="s">
        <v>29</v>
      </c>
      <c r="G2810" s="57"/>
      <c r="H2810" s="34"/>
      <c r="I2810" s="84">
        <v>74407.649999999994</v>
      </c>
      <c r="J2810" s="136"/>
      <c r="K2810" s="136"/>
      <c r="L2810" s="34"/>
      <c r="M2810" s="84"/>
      <c r="N2810" s="38"/>
      <c r="O2810" s="39"/>
      <c r="P2810" s="66">
        <v>45689</v>
      </c>
    </row>
    <row r="2811" spans="1:16" ht="12.75" customHeight="1">
      <c r="A2811" s="13">
        <f t="shared" si="53"/>
        <v>2786</v>
      </c>
      <c r="B2811" s="52" t="s">
        <v>518</v>
      </c>
      <c r="C2811" s="161" t="s">
        <v>797</v>
      </c>
      <c r="D2811" s="56"/>
      <c r="E2811" s="23" t="s">
        <v>13</v>
      </c>
      <c r="F2811" s="57" t="s">
        <v>29</v>
      </c>
      <c r="G2811" s="57"/>
      <c r="H2811" s="34">
        <v>41362.6</v>
      </c>
      <c r="I2811" s="84">
        <v>47313.15</v>
      </c>
      <c r="J2811" s="136"/>
      <c r="K2811" s="136"/>
      <c r="L2811" s="34"/>
      <c r="M2811" s="84"/>
      <c r="N2811" s="38"/>
      <c r="O2811" s="39"/>
      <c r="P2811" s="66">
        <v>43709</v>
      </c>
    </row>
    <row r="2812" spans="1:16" ht="12.75" customHeight="1">
      <c r="A2812" s="13">
        <f t="shared" si="53"/>
        <v>2787</v>
      </c>
      <c r="B2812" s="52" t="s">
        <v>518</v>
      </c>
      <c r="C2812" s="161" t="s">
        <v>797</v>
      </c>
      <c r="D2812" s="56"/>
      <c r="E2812" s="23"/>
      <c r="F2812" s="57" t="s">
        <v>29</v>
      </c>
      <c r="G2812" s="57"/>
      <c r="H2812" s="34"/>
      <c r="I2812" s="84">
        <v>61395.99</v>
      </c>
      <c r="J2812" s="136"/>
      <c r="K2812" s="136"/>
      <c r="L2812" s="34"/>
      <c r="M2812" s="84"/>
      <c r="N2812" s="38"/>
      <c r="O2812" s="39"/>
      <c r="P2812" s="66">
        <v>45047</v>
      </c>
    </row>
    <row r="2813" spans="1:16" ht="12.75" customHeight="1">
      <c r="A2813" s="13">
        <f t="shared" si="53"/>
        <v>2788</v>
      </c>
      <c r="B2813" s="52" t="s">
        <v>518</v>
      </c>
      <c r="C2813" s="161" t="s">
        <v>797</v>
      </c>
      <c r="D2813" s="56"/>
      <c r="E2813" s="23"/>
      <c r="F2813" s="57" t="s">
        <v>29</v>
      </c>
      <c r="G2813" s="57"/>
      <c r="H2813" s="34"/>
      <c r="I2813" s="84">
        <v>65133.09</v>
      </c>
      <c r="J2813" s="136"/>
      <c r="K2813" s="136"/>
      <c r="L2813" s="34"/>
      <c r="M2813" s="84"/>
      <c r="N2813" s="38" t="s">
        <v>1168</v>
      </c>
      <c r="O2813" s="39"/>
      <c r="P2813" s="66">
        <v>45352</v>
      </c>
    </row>
    <row r="2814" spans="1:16" ht="12.75" customHeight="1">
      <c r="A2814" s="13">
        <f t="shared" si="53"/>
        <v>2789</v>
      </c>
      <c r="B2814" s="192" t="s">
        <v>518</v>
      </c>
      <c r="C2814" s="161" t="s">
        <v>797</v>
      </c>
      <c r="D2814" s="56"/>
      <c r="E2814" s="23"/>
      <c r="F2814" s="57" t="s">
        <v>29</v>
      </c>
      <c r="G2814" s="57"/>
      <c r="H2814" s="34"/>
      <c r="I2814" s="84">
        <v>104767.64</v>
      </c>
      <c r="J2814" s="136"/>
      <c r="K2814" s="136"/>
      <c r="L2814" s="34"/>
      <c r="M2814" s="84"/>
      <c r="N2814" s="38" t="s">
        <v>1168</v>
      </c>
      <c r="O2814" s="39"/>
      <c r="P2814" s="66">
        <v>45689</v>
      </c>
    </row>
    <row r="2815" spans="1:16" ht="12.75" customHeight="1">
      <c r="A2815" s="13">
        <f t="shared" si="53"/>
        <v>2790</v>
      </c>
      <c r="B2815" s="32" t="s">
        <v>965</v>
      </c>
      <c r="C2815" s="161" t="s">
        <v>966</v>
      </c>
      <c r="D2815" s="56"/>
      <c r="E2815" s="23"/>
      <c r="F2815" s="25" t="s">
        <v>29</v>
      </c>
      <c r="G2815" s="57"/>
      <c r="H2815" s="34"/>
      <c r="I2815" s="84">
        <v>49773.93</v>
      </c>
      <c r="J2815" s="136"/>
      <c r="K2815" s="136"/>
      <c r="L2815" s="34"/>
      <c r="M2815" s="84"/>
      <c r="N2815" s="38" t="s">
        <v>643</v>
      </c>
      <c r="O2815" s="39"/>
      <c r="P2815" s="66">
        <v>44562</v>
      </c>
    </row>
    <row r="2816" spans="1:16" ht="12.75" customHeight="1">
      <c r="A2816" s="13">
        <f t="shared" si="53"/>
        <v>2791</v>
      </c>
      <c r="B2816" s="32" t="s">
        <v>965</v>
      </c>
      <c r="C2816" s="161" t="s">
        <v>966</v>
      </c>
      <c r="D2816" s="56"/>
      <c r="E2816" s="23"/>
      <c r="F2816" s="25" t="s">
        <v>29</v>
      </c>
      <c r="G2816" s="57"/>
      <c r="H2816" s="34"/>
      <c r="I2816" s="84">
        <v>51140.33</v>
      </c>
      <c r="J2816" s="136"/>
      <c r="K2816" s="136"/>
      <c r="L2816" s="34"/>
      <c r="M2816" s="84"/>
      <c r="N2816" s="38"/>
      <c r="O2816" s="39"/>
      <c r="P2816" s="66">
        <v>45078</v>
      </c>
    </row>
    <row r="2817" spans="1:16" ht="12.75" customHeight="1">
      <c r="A2817" s="13">
        <f t="shared" si="53"/>
        <v>2792</v>
      </c>
      <c r="B2817" s="180" t="s">
        <v>965</v>
      </c>
      <c r="C2817" s="161" t="s">
        <v>966</v>
      </c>
      <c r="D2817" s="56"/>
      <c r="E2817" s="23"/>
      <c r="F2817" s="25" t="s">
        <v>29</v>
      </c>
      <c r="G2817" s="57"/>
      <c r="H2817" s="34"/>
      <c r="I2817" s="84">
        <v>59202.720000000001</v>
      </c>
      <c r="J2817" s="136"/>
      <c r="K2817" s="136"/>
      <c r="L2817" s="34"/>
      <c r="M2817" s="84"/>
      <c r="N2817" s="38"/>
      <c r="O2817" s="39"/>
      <c r="P2817" s="66">
        <v>45352</v>
      </c>
    </row>
    <row r="2818" spans="1:16" ht="12.75" customHeight="1">
      <c r="A2818" s="13">
        <f t="shared" si="53"/>
        <v>2793</v>
      </c>
      <c r="B2818" s="32" t="s">
        <v>965</v>
      </c>
      <c r="C2818" s="161" t="s">
        <v>967</v>
      </c>
      <c r="D2818" s="56"/>
      <c r="E2818" s="23"/>
      <c r="F2818" s="25" t="s">
        <v>29</v>
      </c>
      <c r="G2818" s="57"/>
      <c r="H2818" s="34"/>
      <c r="I2818" s="84">
        <v>60382.879999999997</v>
      </c>
      <c r="J2818" s="136"/>
      <c r="K2818" s="136"/>
      <c r="L2818" s="34"/>
      <c r="M2818" s="84"/>
      <c r="N2818" s="38"/>
      <c r="O2818" s="39"/>
      <c r="P2818" s="66">
        <v>44562</v>
      </c>
    </row>
    <row r="2819" spans="1:16" ht="12.75" customHeight="1">
      <c r="A2819" s="13">
        <f t="shared" si="53"/>
        <v>2794</v>
      </c>
      <c r="B2819" s="32" t="s">
        <v>965</v>
      </c>
      <c r="C2819" s="161" t="s">
        <v>967</v>
      </c>
      <c r="D2819" s="56"/>
      <c r="E2819" s="23"/>
      <c r="F2819" s="25" t="s">
        <v>29</v>
      </c>
      <c r="G2819" s="57"/>
      <c r="H2819" s="34"/>
      <c r="I2819" s="84">
        <v>62810.46</v>
      </c>
      <c r="J2819" s="136"/>
      <c r="K2819" s="136"/>
      <c r="L2819" s="34"/>
      <c r="M2819" s="84"/>
      <c r="N2819" s="38"/>
      <c r="O2819" s="39"/>
      <c r="P2819" s="66">
        <v>45078</v>
      </c>
    </row>
    <row r="2820" spans="1:16" ht="12.75" customHeight="1">
      <c r="A2820" s="13">
        <f t="shared" si="53"/>
        <v>2795</v>
      </c>
      <c r="B2820" s="180" t="s">
        <v>965</v>
      </c>
      <c r="C2820" s="161" t="s">
        <v>967</v>
      </c>
      <c r="D2820" s="56"/>
      <c r="E2820" s="23"/>
      <c r="F2820" s="25" t="s">
        <v>29</v>
      </c>
      <c r="G2820" s="57"/>
      <c r="H2820" s="34"/>
      <c r="I2820" s="84">
        <v>72624.240000000005</v>
      </c>
      <c r="J2820" s="136"/>
      <c r="K2820" s="136"/>
      <c r="L2820" s="34"/>
      <c r="M2820" s="84"/>
      <c r="N2820" s="38"/>
      <c r="O2820" s="39"/>
      <c r="P2820" s="66">
        <v>45352</v>
      </c>
    </row>
    <row r="2821" spans="1:16" ht="12.75" customHeight="1">
      <c r="A2821" s="13">
        <f t="shared" si="53"/>
        <v>2796</v>
      </c>
      <c r="B2821" s="32" t="s">
        <v>965</v>
      </c>
      <c r="C2821" s="161" t="s">
        <v>968</v>
      </c>
      <c r="D2821" s="56"/>
      <c r="E2821" s="23"/>
      <c r="F2821" s="25" t="s">
        <v>29</v>
      </c>
      <c r="G2821" s="57"/>
      <c r="H2821" s="34"/>
      <c r="I2821" s="85">
        <v>72712.179999999993</v>
      </c>
      <c r="J2821" s="136"/>
      <c r="K2821" s="136"/>
      <c r="L2821" s="34"/>
      <c r="M2821" s="84"/>
      <c r="N2821" s="38"/>
      <c r="O2821" s="39"/>
      <c r="P2821" s="66">
        <v>44562</v>
      </c>
    </row>
    <row r="2822" spans="1:16" ht="12.75" customHeight="1">
      <c r="A2822" s="13">
        <f t="shared" si="53"/>
        <v>2797</v>
      </c>
      <c r="B2822" s="32" t="s">
        <v>965</v>
      </c>
      <c r="C2822" s="161" t="s">
        <v>968</v>
      </c>
      <c r="D2822" s="56"/>
      <c r="E2822" s="23"/>
      <c r="F2822" s="25" t="s">
        <v>29</v>
      </c>
      <c r="G2822" s="57"/>
      <c r="H2822" s="34"/>
      <c r="I2822" s="85">
        <v>76372.41</v>
      </c>
      <c r="J2822" s="136"/>
      <c r="K2822" s="136"/>
      <c r="L2822" s="34"/>
      <c r="M2822" s="84"/>
      <c r="N2822" s="38"/>
      <c r="O2822" s="39"/>
      <c r="P2822" s="66">
        <v>45078</v>
      </c>
    </row>
    <row r="2823" spans="1:16" ht="12.75" customHeight="1">
      <c r="A2823" s="13">
        <f t="shared" si="53"/>
        <v>2798</v>
      </c>
      <c r="B2823" s="180" t="s">
        <v>965</v>
      </c>
      <c r="C2823" s="161" t="s">
        <v>968</v>
      </c>
      <c r="D2823" s="56"/>
      <c r="E2823" s="23"/>
      <c r="F2823" s="25" t="s">
        <v>29</v>
      </c>
      <c r="G2823" s="57"/>
      <c r="H2823" s="34"/>
      <c r="I2823" s="85">
        <v>88219.9</v>
      </c>
      <c r="J2823" s="136"/>
      <c r="K2823" s="136"/>
      <c r="L2823" s="34"/>
      <c r="M2823" s="84"/>
      <c r="N2823" s="38"/>
      <c r="O2823" s="39"/>
      <c r="P2823" s="66">
        <v>45352</v>
      </c>
    </row>
    <row r="2824" spans="1:16" ht="12.75" customHeight="1">
      <c r="A2824" s="13">
        <f t="shared" si="53"/>
        <v>2799</v>
      </c>
      <c r="B2824" s="32" t="s">
        <v>965</v>
      </c>
      <c r="C2824" s="161" t="s">
        <v>969</v>
      </c>
      <c r="D2824" s="56"/>
      <c r="E2824" s="23"/>
      <c r="F2824" s="25" t="s">
        <v>29</v>
      </c>
      <c r="G2824" s="57"/>
      <c r="H2824" s="34"/>
      <c r="I2824" s="84">
        <v>87908.77</v>
      </c>
      <c r="J2824" s="136"/>
      <c r="K2824" s="136"/>
      <c r="L2824" s="34"/>
      <c r="M2824" s="84"/>
      <c r="N2824" s="38"/>
      <c r="O2824" s="39"/>
      <c r="P2824" s="66">
        <v>44562</v>
      </c>
    </row>
    <row r="2825" spans="1:16" ht="12.75" customHeight="1">
      <c r="A2825" s="13">
        <f t="shared" si="53"/>
        <v>2800</v>
      </c>
      <c r="B2825" s="32" t="s">
        <v>965</v>
      </c>
      <c r="C2825" s="161" t="s">
        <v>969</v>
      </c>
      <c r="D2825" s="56"/>
      <c r="E2825" s="23"/>
      <c r="F2825" s="25" t="s">
        <v>29</v>
      </c>
      <c r="G2825" s="57"/>
      <c r="H2825" s="34"/>
      <c r="I2825" s="84">
        <v>93088.36</v>
      </c>
      <c r="J2825" s="136"/>
      <c r="K2825" s="136"/>
      <c r="L2825" s="34"/>
      <c r="M2825" s="84"/>
      <c r="N2825" s="38"/>
      <c r="O2825" s="39"/>
      <c r="P2825" s="66">
        <v>45078</v>
      </c>
    </row>
    <row r="2826" spans="1:16" ht="12.75" customHeight="1">
      <c r="A2826" s="13">
        <f t="shared" si="53"/>
        <v>2801</v>
      </c>
      <c r="B2826" s="180" t="s">
        <v>965</v>
      </c>
      <c r="C2826" s="161" t="s">
        <v>969</v>
      </c>
      <c r="D2826" s="56"/>
      <c r="E2826" s="23"/>
      <c r="F2826" s="25" t="s">
        <v>29</v>
      </c>
      <c r="G2826" s="57"/>
      <c r="H2826" s="34"/>
      <c r="I2826" s="84">
        <v>107443.98</v>
      </c>
      <c r="J2826" s="136"/>
      <c r="K2826" s="136"/>
      <c r="L2826" s="34"/>
      <c r="M2826" s="84"/>
      <c r="N2826" s="38"/>
      <c r="O2826" s="39"/>
      <c r="P2826" s="66">
        <v>45352</v>
      </c>
    </row>
    <row r="2827" spans="1:16" ht="12.75" customHeight="1">
      <c r="A2827" s="13">
        <f t="shared" si="53"/>
        <v>2802</v>
      </c>
      <c r="B2827" s="32" t="s">
        <v>965</v>
      </c>
      <c r="C2827" s="161" t="s">
        <v>970</v>
      </c>
      <c r="D2827" s="56"/>
      <c r="E2827" s="23"/>
      <c r="F2827" s="25" t="s">
        <v>29</v>
      </c>
      <c r="G2827" s="57"/>
      <c r="H2827" s="34"/>
      <c r="I2827" s="84">
        <v>126760.43</v>
      </c>
      <c r="J2827" s="136"/>
      <c r="K2827" s="136"/>
      <c r="L2827" s="34"/>
      <c r="M2827" s="84"/>
      <c r="N2827" s="38"/>
      <c r="O2827" s="39"/>
      <c r="P2827" s="66">
        <v>44562</v>
      </c>
    </row>
    <row r="2828" spans="1:16" ht="12.75" customHeight="1">
      <c r="A2828" s="13">
        <f t="shared" si="53"/>
        <v>2803</v>
      </c>
      <c r="B2828" s="32" t="s">
        <v>965</v>
      </c>
      <c r="C2828" s="161" t="s">
        <v>970</v>
      </c>
      <c r="D2828" s="56"/>
      <c r="E2828" s="23"/>
      <c r="F2828" s="25" t="s">
        <v>29</v>
      </c>
      <c r="G2828" s="57"/>
      <c r="H2828" s="34"/>
      <c r="I2828" s="84">
        <v>135825.63</v>
      </c>
      <c r="J2828" s="136"/>
      <c r="K2828" s="136"/>
      <c r="L2828" s="34"/>
      <c r="M2828" s="84"/>
      <c r="N2828" s="38"/>
      <c r="O2828" s="39"/>
      <c r="P2828" s="66">
        <v>45078</v>
      </c>
    </row>
    <row r="2829" spans="1:16" ht="12.75" customHeight="1">
      <c r="A2829" s="13">
        <f t="shared" si="53"/>
        <v>2804</v>
      </c>
      <c r="B2829" s="180" t="s">
        <v>965</v>
      </c>
      <c r="C2829" s="161" t="s">
        <v>970</v>
      </c>
      <c r="D2829" s="56"/>
      <c r="E2829" s="23"/>
      <c r="F2829" s="25" t="s">
        <v>29</v>
      </c>
      <c r="G2829" s="57"/>
      <c r="H2829" s="34"/>
      <c r="I2829" s="84">
        <v>156591.25</v>
      </c>
      <c r="J2829" s="136"/>
      <c r="K2829" s="136"/>
      <c r="L2829" s="34"/>
      <c r="M2829" s="84"/>
      <c r="N2829" s="38"/>
      <c r="O2829" s="39"/>
      <c r="P2829" s="66">
        <v>45352</v>
      </c>
    </row>
    <row r="2830" spans="1:16" ht="12.75" customHeight="1">
      <c r="A2830" s="13">
        <f t="shared" si="53"/>
        <v>2805</v>
      </c>
      <c r="B2830" s="180" t="s">
        <v>965</v>
      </c>
      <c r="C2830" s="161" t="s">
        <v>966</v>
      </c>
      <c r="D2830" s="56"/>
      <c r="E2830" s="23"/>
      <c r="F2830" s="25" t="s">
        <v>29</v>
      </c>
      <c r="G2830" s="57"/>
      <c r="H2830" s="34"/>
      <c r="I2830" s="84">
        <v>68085.37</v>
      </c>
      <c r="J2830" s="136"/>
      <c r="K2830" s="136"/>
      <c r="L2830" s="34"/>
      <c r="M2830" s="84"/>
      <c r="N2830" s="38"/>
      <c r="O2830" s="39"/>
      <c r="P2830" s="66">
        <v>45689</v>
      </c>
    </row>
    <row r="2831" spans="1:16" ht="12.75" customHeight="1">
      <c r="A2831" s="13">
        <f t="shared" ref="A2831:A2860" si="54">A2830+1</f>
        <v>2806</v>
      </c>
      <c r="B2831" s="180" t="s">
        <v>965</v>
      </c>
      <c r="C2831" s="161" t="s">
        <v>967</v>
      </c>
      <c r="D2831" s="56"/>
      <c r="E2831" s="23"/>
      <c r="F2831" s="25" t="s">
        <v>29</v>
      </c>
      <c r="G2831" s="57"/>
      <c r="H2831" s="34"/>
      <c r="I2831" s="84">
        <v>83519.92</v>
      </c>
      <c r="J2831" s="136"/>
      <c r="K2831" s="136"/>
      <c r="L2831" s="34"/>
      <c r="M2831" s="84"/>
      <c r="N2831" s="38"/>
      <c r="O2831" s="39"/>
      <c r="P2831" s="66">
        <v>45689</v>
      </c>
    </row>
    <row r="2832" spans="1:16" ht="12.75" customHeight="1">
      <c r="A2832" s="13">
        <f t="shared" si="54"/>
        <v>2807</v>
      </c>
      <c r="B2832" s="180" t="s">
        <v>965</v>
      </c>
      <c r="C2832" s="161" t="s">
        <v>968</v>
      </c>
      <c r="D2832" s="56"/>
      <c r="E2832" s="23"/>
      <c r="F2832" s="25" t="s">
        <v>29</v>
      </c>
      <c r="G2832" s="57"/>
      <c r="H2832" s="34"/>
      <c r="I2832" s="84">
        <v>101455.2</v>
      </c>
      <c r="J2832" s="136"/>
      <c r="K2832" s="136"/>
      <c r="L2832" s="34"/>
      <c r="M2832" s="84"/>
      <c r="N2832" s="38"/>
      <c r="O2832" s="39"/>
      <c r="P2832" s="66">
        <v>45689</v>
      </c>
    </row>
    <row r="2833" spans="1:16" ht="12.75" customHeight="1">
      <c r="A2833" s="13">
        <f t="shared" si="54"/>
        <v>2808</v>
      </c>
      <c r="B2833" s="180" t="s">
        <v>965</v>
      </c>
      <c r="C2833" s="161" t="s">
        <v>969</v>
      </c>
      <c r="D2833" s="56"/>
      <c r="E2833" s="23"/>
      <c r="F2833" s="25" t="s">
        <v>29</v>
      </c>
      <c r="G2833" s="57"/>
      <c r="H2833" s="34"/>
      <c r="I2833" s="84">
        <v>123562.83</v>
      </c>
      <c r="J2833" s="136"/>
      <c r="K2833" s="136"/>
      <c r="L2833" s="34"/>
      <c r="M2833" s="84"/>
      <c r="N2833" s="38"/>
      <c r="O2833" s="39"/>
      <c r="P2833" s="66">
        <v>45689</v>
      </c>
    </row>
    <row r="2834" spans="1:16" ht="12.75" customHeight="1">
      <c r="A2834" s="13">
        <f t="shared" si="54"/>
        <v>2809</v>
      </c>
      <c r="B2834" s="180" t="s">
        <v>965</v>
      </c>
      <c r="C2834" s="161" t="s">
        <v>970</v>
      </c>
      <c r="D2834" s="56"/>
      <c r="E2834" s="23"/>
      <c r="F2834" s="25" t="s">
        <v>29</v>
      </c>
      <c r="G2834" s="57"/>
      <c r="H2834" s="34"/>
      <c r="I2834" s="84">
        <v>180082.27</v>
      </c>
      <c r="J2834" s="136"/>
      <c r="K2834" s="136"/>
      <c r="L2834" s="34"/>
      <c r="M2834" s="84"/>
      <c r="N2834" s="38"/>
      <c r="O2834" s="39"/>
      <c r="P2834" s="66">
        <v>45689</v>
      </c>
    </row>
    <row r="2835" spans="1:16" ht="12.75" customHeight="1">
      <c r="A2835" s="13">
        <f t="shared" si="54"/>
        <v>2810</v>
      </c>
      <c r="B2835" s="156" t="s">
        <v>965</v>
      </c>
      <c r="C2835" s="161" t="s">
        <v>966</v>
      </c>
      <c r="D2835" s="56"/>
      <c r="E2835" s="23"/>
      <c r="F2835" s="25" t="s">
        <v>29</v>
      </c>
      <c r="G2835" s="57"/>
      <c r="H2835" s="34"/>
      <c r="I2835" s="84">
        <v>74555.960000000006</v>
      </c>
      <c r="J2835" s="136"/>
      <c r="K2835" s="136"/>
      <c r="L2835" s="34"/>
      <c r="M2835" s="84"/>
      <c r="N2835" s="38"/>
      <c r="O2835" s="39"/>
      <c r="P2835" s="193">
        <v>46082</v>
      </c>
    </row>
    <row r="2836" spans="1:16" ht="12.75" customHeight="1">
      <c r="A2836" s="13">
        <f t="shared" si="54"/>
        <v>2811</v>
      </c>
      <c r="B2836" s="156" t="s">
        <v>965</v>
      </c>
      <c r="C2836" s="161" t="s">
        <v>967</v>
      </c>
      <c r="D2836" s="56"/>
      <c r="E2836" s="23"/>
      <c r="F2836" s="25" t="s">
        <v>29</v>
      </c>
      <c r="G2836" s="57"/>
      <c r="H2836" s="34"/>
      <c r="I2836" s="84">
        <v>91452.24</v>
      </c>
      <c r="J2836" s="136"/>
      <c r="K2836" s="136"/>
      <c r="L2836" s="34"/>
      <c r="M2836" s="84"/>
      <c r="N2836" s="38"/>
      <c r="O2836" s="39"/>
      <c r="P2836" s="193">
        <v>46082</v>
      </c>
    </row>
    <row r="2837" spans="1:16" ht="12.75" customHeight="1">
      <c r="A2837" s="13">
        <f t="shared" si="54"/>
        <v>2812</v>
      </c>
      <c r="B2837" s="156" t="s">
        <v>965</v>
      </c>
      <c r="C2837" s="161" t="s">
        <v>968</v>
      </c>
      <c r="D2837" s="56"/>
      <c r="E2837" s="23"/>
      <c r="F2837" s="25" t="s">
        <v>29</v>
      </c>
      <c r="G2837" s="57"/>
      <c r="H2837" s="34"/>
      <c r="I2837" s="84">
        <v>111087.2</v>
      </c>
      <c r="J2837" s="136"/>
      <c r="K2837" s="136"/>
      <c r="L2837" s="34"/>
      <c r="M2837" s="84"/>
      <c r="N2837" s="38"/>
      <c r="O2837" s="39"/>
      <c r="P2837" s="193">
        <v>46082</v>
      </c>
    </row>
    <row r="2838" spans="1:16" ht="12.75" customHeight="1">
      <c r="A2838" s="13">
        <f t="shared" si="54"/>
        <v>2813</v>
      </c>
      <c r="B2838" s="156" t="s">
        <v>965</v>
      </c>
      <c r="C2838" s="161" t="s">
        <v>969</v>
      </c>
      <c r="D2838" s="56"/>
      <c r="E2838" s="23"/>
      <c r="F2838" s="25" t="s">
        <v>29</v>
      </c>
      <c r="G2838" s="57"/>
      <c r="H2838" s="34"/>
      <c r="I2838" s="84">
        <v>135287.65</v>
      </c>
      <c r="J2838" s="136"/>
      <c r="K2838" s="136"/>
      <c r="L2838" s="34"/>
      <c r="M2838" s="84"/>
      <c r="N2838" s="38"/>
      <c r="O2838" s="39"/>
      <c r="P2838" s="193">
        <v>46082</v>
      </c>
    </row>
    <row r="2839" spans="1:16" ht="12.75" customHeight="1">
      <c r="A2839" s="13">
        <f t="shared" si="54"/>
        <v>2814</v>
      </c>
      <c r="B2839" s="156" t="s">
        <v>965</v>
      </c>
      <c r="C2839" s="161" t="s">
        <v>970</v>
      </c>
      <c r="D2839" s="56"/>
      <c r="E2839" s="23"/>
      <c r="F2839" s="25" t="s">
        <v>29</v>
      </c>
      <c r="G2839" s="57"/>
      <c r="H2839" s="34"/>
      <c r="I2839" s="84">
        <v>197158.84</v>
      </c>
      <c r="J2839" s="136"/>
      <c r="K2839" s="136"/>
      <c r="L2839" s="34"/>
      <c r="M2839" s="84"/>
      <c r="N2839" s="38"/>
      <c r="O2839" s="39"/>
      <c r="P2839" s="193">
        <v>46082</v>
      </c>
    </row>
    <row r="2840" spans="1:16" ht="12.75" customHeight="1">
      <c r="A2840" s="13">
        <f t="shared" si="54"/>
        <v>2815</v>
      </c>
      <c r="B2840" s="32" t="s">
        <v>518</v>
      </c>
      <c r="C2840" s="78" t="s">
        <v>797</v>
      </c>
      <c r="D2840" s="56"/>
      <c r="E2840" s="23" t="s">
        <v>885</v>
      </c>
      <c r="F2840" s="25" t="s">
        <v>29</v>
      </c>
      <c r="G2840" s="57"/>
      <c r="H2840" s="34"/>
      <c r="I2840" s="84">
        <v>54012.61</v>
      </c>
      <c r="J2840" s="136"/>
      <c r="K2840" s="136"/>
      <c r="L2840" s="34"/>
      <c r="M2840" s="84"/>
      <c r="N2840" s="38"/>
      <c r="O2840" s="39"/>
      <c r="P2840" s="66">
        <v>44562</v>
      </c>
    </row>
    <row r="2841" spans="1:16" ht="12.75" customHeight="1">
      <c r="A2841" s="13">
        <f t="shared" si="54"/>
        <v>2816</v>
      </c>
      <c r="B2841" s="32" t="s">
        <v>518</v>
      </c>
      <c r="C2841" s="78" t="s">
        <v>797</v>
      </c>
      <c r="D2841" s="56"/>
      <c r="E2841" s="23" t="s">
        <v>885</v>
      </c>
      <c r="F2841" s="25" t="s">
        <v>29</v>
      </c>
      <c r="G2841" s="57"/>
      <c r="H2841" s="34"/>
      <c r="I2841" s="84">
        <v>60144.36</v>
      </c>
      <c r="J2841" s="136"/>
      <c r="K2841" s="136"/>
      <c r="L2841" s="34"/>
      <c r="M2841" s="84"/>
      <c r="N2841" s="38"/>
      <c r="O2841" s="39"/>
      <c r="P2841" s="66">
        <v>44713</v>
      </c>
    </row>
    <row r="2842" spans="1:16" ht="12.75" customHeight="1">
      <c r="A2842" s="13">
        <f t="shared" si="54"/>
        <v>2817</v>
      </c>
      <c r="B2842" s="32" t="s">
        <v>518</v>
      </c>
      <c r="C2842" s="78" t="s">
        <v>797</v>
      </c>
      <c r="D2842" s="56"/>
      <c r="E2842" s="23"/>
      <c r="F2842" s="25" t="s">
        <v>29</v>
      </c>
      <c r="G2842" s="57"/>
      <c r="H2842" s="34"/>
      <c r="I2842" s="84">
        <v>103294.53</v>
      </c>
      <c r="J2842" s="136"/>
      <c r="K2842" s="136"/>
      <c r="L2842" s="34"/>
      <c r="M2842" s="84"/>
      <c r="N2842" s="38"/>
      <c r="O2842" s="39"/>
      <c r="P2842" s="66">
        <v>45536</v>
      </c>
    </row>
    <row r="2843" spans="1:16" ht="17.25" customHeight="1">
      <c r="A2843" s="13">
        <f t="shared" si="54"/>
        <v>2818</v>
      </c>
      <c r="B2843" s="30" t="s">
        <v>518</v>
      </c>
      <c r="C2843" s="56" t="s">
        <v>242</v>
      </c>
      <c r="D2843" s="56"/>
      <c r="E2843" s="14" t="s">
        <v>13</v>
      </c>
      <c r="F2843" s="25" t="s">
        <v>29</v>
      </c>
      <c r="G2843" s="57"/>
      <c r="H2843" s="34">
        <v>40825.945943999999</v>
      </c>
      <c r="I2843" s="84"/>
      <c r="J2843" s="136">
        <v>0</v>
      </c>
      <c r="K2843" s="136"/>
      <c r="L2843" s="34">
        <v>0</v>
      </c>
      <c r="M2843" s="84"/>
      <c r="N2843" s="38"/>
      <c r="O2843" s="39"/>
      <c r="P2843" s="51"/>
    </row>
    <row r="2844" spans="1:16" ht="17.25" customHeight="1">
      <c r="A2844" s="13">
        <f t="shared" si="54"/>
        <v>2819</v>
      </c>
      <c r="B2844" s="180" t="s">
        <v>1137</v>
      </c>
      <c r="C2844" s="78" t="s">
        <v>1138</v>
      </c>
      <c r="D2844" s="56"/>
      <c r="E2844" s="14"/>
      <c r="F2844" s="25" t="s">
        <v>29</v>
      </c>
      <c r="G2844" s="57"/>
      <c r="H2844" s="34"/>
      <c r="I2844" s="84">
        <v>106917.53</v>
      </c>
      <c r="J2844" s="136"/>
      <c r="K2844" s="136"/>
      <c r="L2844" s="34"/>
      <c r="M2844" s="84"/>
      <c r="N2844" s="38"/>
      <c r="O2844" s="39"/>
      <c r="P2844" s="66">
        <v>45352</v>
      </c>
    </row>
    <row r="2845" spans="1:16" ht="17.25" customHeight="1">
      <c r="A2845" s="13">
        <f t="shared" si="54"/>
        <v>2820</v>
      </c>
      <c r="B2845" s="180" t="s">
        <v>1137</v>
      </c>
      <c r="C2845" s="78" t="s">
        <v>1139</v>
      </c>
      <c r="D2845" s="56"/>
      <c r="E2845" s="14"/>
      <c r="F2845" s="25" t="s">
        <v>29</v>
      </c>
      <c r="G2845" s="57"/>
      <c r="H2845" s="34"/>
      <c r="I2845" s="84">
        <v>127300.62</v>
      </c>
      <c r="J2845" s="136"/>
      <c r="K2845" s="136"/>
      <c r="L2845" s="34"/>
      <c r="M2845" s="84"/>
      <c r="N2845" s="38"/>
      <c r="O2845" s="39"/>
      <c r="P2845" s="66">
        <v>45352</v>
      </c>
    </row>
    <row r="2846" spans="1:16" ht="17.25" customHeight="1">
      <c r="A2846" s="13">
        <f t="shared" si="54"/>
        <v>2821</v>
      </c>
      <c r="B2846" s="32" t="s">
        <v>1137</v>
      </c>
      <c r="C2846" s="78" t="s">
        <v>1138</v>
      </c>
      <c r="D2846" s="56"/>
      <c r="E2846" s="14"/>
      <c r="F2846" s="25" t="s">
        <v>29</v>
      </c>
      <c r="G2846" s="57"/>
      <c r="H2846" s="34"/>
      <c r="I2846" s="84">
        <v>128687.22</v>
      </c>
      <c r="J2846" s="136"/>
      <c r="K2846" s="136"/>
      <c r="L2846" s="34"/>
      <c r="M2846" s="84"/>
      <c r="N2846" s="38"/>
      <c r="O2846" s="39"/>
      <c r="P2846" s="66">
        <v>45689</v>
      </c>
    </row>
    <row r="2847" spans="1:16" ht="17.25" customHeight="1">
      <c r="A2847" s="13">
        <f t="shared" si="54"/>
        <v>2822</v>
      </c>
      <c r="B2847" s="32" t="s">
        <v>1137</v>
      </c>
      <c r="C2847" s="78" t="s">
        <v>1139</v>
      </c>
      <c r="D2847" s="56"/>
      <c r="E2847" s="14"/>
      <c r="F2847" s="25" t="s">
        <v>29</v>
      </c>
      <c r="G2847" s="57"/>
      <c r="H2847" s="34"/>
      <c r="I2847" s="84">
        <v>154056.82</v>
      </c>
      <c r="J2847" s="136"/>
      <c r="K2847" s="136"/>
      <c r="L2847" s="34"/>
      <c r="M2847" s="84"/>
      <c r="N2847" s="38"/>
      <c r="O2847" s="39"/>
      <c r="P2847" s="66">
        <v>45689</v>
      </c>
    </row>
    <row r="2848" spans="1:16" ht="17.25" customHeight="1">
      <c r="A2848" s="13">
        <f t="shared" si="54"/>
        <v>2823</v>
      </c>
      <c r="B2848" s="32" t="s">
        <v>1137</v>
      </c>
      <c r="C2848" s="78" t="s">
        <v>1187</v>
      </c>
      <c r="D2848" s="56"/>
      <c r="E2848" s="14"/>
      <c r="F2848" s="25" t="s">
        <v>29</v>
      </c>
      <c r="G2848" s="57"/>
      <c r="H2848" s="34"/>
      <c r="I2848" s="84">
        <v>483386.39</v>
      </c>
      <c r="J2848" s="136"/>
      <c r="K2848" s="136"/>
      <c r="L2848" s="34"/>
      <c r="M2848" s="84"/>
      <c r="N2848" s="38"/>
      <c r="O2848" s="39"/>
      <c r="P2848" s="66">
        <v>45689</v>
      </c>
    </row>
    <row r="2849" spans="1:16" ht="17.25" customHeight="1">
      <c r="A2849" s="13">
        <f t="shared" si="54"/>
        <v>2824</v>
      </c>
      <c r="B2849" s="156" t="s">
        <v>1137</v>
      </c>
      <c r="C2849" s="78" t="s">
        <v>1138</v>
      </c>
      <c r="D2849" s="56"/>
      <c r="E2849" s="14"/>
      <c r="F2849" s="25" t="s">
        <v>29</v>
      </c>
      <c r="G2849" s="57"/>
      <c r="H2849" s="34"/>
      <c r="I2849" s="84">
        <v>142439.39000000001</v>
      </c>
      <c r="J2849" s="136"/>
      <c r="K2849" s="136"/>
      <c r="L2849" s="34"/>
      <c r="M2849" s="84"/>
      <c r="N2849" s="38"/>
      <c r="O2849" s="39"/>
      <c r="P2849" s="193">
        <v>46082</v>
      </c>
    </row>
    <row r="2850" spans="1:16" ht="17.25" customHeight="1">
      <c r="A2850" s="13">
        <f t="shared" si="54"/>
        <v>2825</v>
      </c>
      <c r="B2850" s="156" t="s">
        <v>1137</v>
      </c>
      <c r="C2850" s="78" t="s">
        <v>1139</v>
      </c>
      <c r="D2850" s="56"/>
      <c r="E2850" s="14"/>
      <c r="F2850" s="25" t="s">
        <v>29</v>
      </c>
      <c r="G2850" s="57"/>
      <c r="H2850" s="34"/>
      <c r="I2850" s="84">
        <v>168318.39</v>
      </c>
      <c r="J2850" s="136"/>
      <c r="K2850" s="136"/>
      <c r="L2850" s="34"/>
      <c r="M2850" s="84"/>
      <c r="N2850" s="38"/>
      <c r="O2850" s="39"/>
      <c r="P2850" s="193">
        <v>46082</v>
      </c>
    </row>
    <row r="2851" spans="1:16" ht="17.25" customHeight="1">
      <c r="A2851" s="13">
        <f t="shared" si="54"/>
        <v>2826</v>
      </c>
      <c r="B2851" s="156" t="s">
        <v>1137</v>
      </c>
      <c r="C2851" s="78" t="s">
        <v>1187</v>
      </c>
      <c r="D2851" s="56"/>
      <c r="E2851" s="14"/>
      <c r="F2851" s="25" t="s">
        <v>29</v>
      </c>
      <c r="G2851" s="57"/>
      <c r="H2851" s="34"/>
      <c r="I2851" s="84">
        <v>579699.23</v>
      </c>
      <c r="J2851" s="136"/>
      <c r="K2851" s="136"/>
      <c r="L2851" s="34"/>
      <c r="M2851" s="84"/>
      <c r="N2851" s="38"/>
      <c r="O2851" s="39"/>
      <c r="P2851" s="193">
        <v>46082</v>
      </c>
    </row>
    <row r="2852" spans="1:16" ht="17.25" customHeight="1">
      <c r="A2852" s="13">
        <f t="shared" si="54"/>
        <v>2827</v>
      </c>
      <c r="B2852" s="180" t="s">
        <v>1140</v>
      </c>
      <c r="C2852" s="78" t="s">
        <v>1141</v>
      </c>
      <c r="D2852" s="56"/>
      <c r="E2852" s="14"/>
      <c r="F2852" s="25" t="s">
        <v>29</v>
      </c>
      <c r="G2852" s="57"/>
      <c r="H2852" s="34"/>
      <c r="I2852" s="84">
        <v>70672.56</v>
      </c>
      <c r="J2852" s="136"/>
      <c r="K2852" s="136"/>
      <c r="L2852" s="34"/>
      <c r="M2852" s="84"/>
      <c r="N2852" s="38"/>
      <c r="O2852" s="39"/>
      <c r="P2852" s="66">
        <v>45352</v>
      </c>
    </row>
    <row r="2853" spans="1:16" ht="17.25" customHeight="1">
      <c r="A2853" s="13">
        <f t="shared" si="54"/>
        <v>2828</v>
      </c>
      <c r="B2853" s="180" t="s">
        <v>1140</v>
      </c>
      <c r="C2853" s="78" t="s">
        <v>1142</v>
      </c>
      <c r="D2853" s="56"/>
      <c r="E2853" s="14"/>
      <c r="F2853" s="25" t="s">
        <v>29</v>
      </c>
      <c r="G2853" s="57"/>
      <c r="H2853" s="34"/>
      <c r="I2853" s="84">
        <v>76113.009999999995</v>
      </c>
      <c r="J2853" s="136"/>
      <c r="K2853" s="136"/>
      <c r="L2853" s="34"/>
      <c r="M2853" s="84"/>
      <c r="N2853" s="38"/>
      <c r="O2853" s="39"/>
      <c r="P2853" s="66">
        <v>45352</v>
      </c>
    </row>
    <row r="2854" spans="1:16" ht="17.25" customHeight="1">
      <c r="A2854" s="13">
        <f t="shared" si="54"/>
        <v>2829</v>
      </c>
      <c r="B2854" s="180" t="s">
        <v>1140</v>
      </c>
      <c r="C2854" s="78" t="s">
        <v>1143</v>
      </c>
      <c r="D2854" s="56"/>
      <c r="E2854" s="14"/>
      <c r="F2854" s="25" t="s">
        <v>29</v>
      </c>
      <c r="G2854" s="57"/>
      <c r="H2854" s="34"/>
      <c r="I2854" s="84">
        <v>79739.97</v>
      </c>
      <c r="J2854" s="136"/>
      <c r="K2854" s="136"/>
      <c r="L2854" s="34"/>
      <c r="M2854" s="84"/>
      <c r="N2854" s="38"/>
      <c r="O2854" s="39"/>
      <c r="P2854" s="66">
        <v>45352</v>
      </c>
    </row>
    <row r="2855" spans="1:16" ht="17.25" customHeight="1">
      <c r="A2855" s="13">
        <f t="shared" si="54"/>
        <v>2830</v>
      </c>
      <c r="B2855" s="180" t="s">
        <v>1140</v>
      </c>
      <c r="C2855" s="78" t="s">
        <v>1141</v>
      </c>
      <c r="D2855" s="56"/>
      <c r="E2855" s="14"/>
      <c r="F2855" s="25" t="s">
        <v>29</v>
      </c>
      <c r="G2855" s="57"/>
      <c r="H2855" s="34"/>
      <c r="I2855" s="84">
        <v>81275.59</v>
      </c>
      <c r="J2855" s="140" t="s">
        <v>885</v>
      </c>
      <c r="K2855" s="136"/>
      <c r="L2855" s="34"/>
      <c r="M2855" s="84"/>
      <c r="N2855" s="38"/>
      <c r="O2855" s="39"/>
      <c r="P2855" s="66">
        <v>45689</v>
      </c>
    </row>
    <row r="2856" spans="1:16" ht="17.25" customHeight="1">
      <c r="A2856" s="13">
        <f t="shared" si="54"/>
        <v>2831</v>
      </c>
      <c r="B2856" s="180" t="s">
        <v>1140</v>
      </c>
      <c r="C2856" s="78" t="s">
        <v>1142</v>
      </c>
      <c r="D2856" s="56"/>
      <c r="E2856" s="14"/>
      <c r="F2856" s="25" t="s">
        <v>29</v>
      </c>
      <c r="G2856" s="57"/>
      <c r="H2856" s="34"/>
      <c r="I2856" s="84">
        <v>87531.88</v>
      </c>
      <c r="J2856" s="136"/>
      <c r="K2856" s="136"/>
      <c r="L2856" s="34"/>
      <c r="M2856" s="84"/>
      <c r="N2856" s="38"/>
      <c r="O2856" s="39"/>
      <c r="P2856" s="66">
        <v>45689</v>
      </c>
    </row>
    <row r="2857" spans="1:16" ht="17.25" customHeight="1">
      <c r="A2857" s="13">
        <f t="shared" si="54"/>
        <v>2832</v>
      </c>
      <c r="B2857" s="180" t="s">
        <v>1140</v>
      </c>
      <c r="C2857" s="78" t="s">
        <v>1143</v>
      </c>
      <c r="D2857" s="56"/>
      <c r="E2857" s="14"/>
      <c r="F2857" s="25" t="s">
        <v>29</v>
      </c>
      <c r="G2857" s="57"/>
      <c r="H2857" s="34"/>
      <c r="I2857" s="84">
        <v>91702.75</v>
      </c>
      <c r="J2857" s="136"/>
      <c r="K2857" s="136"/>
      <c r="L2857" s="34"/>
      <c r="M2857" s="84"/>
      <c r="N2857" s="38"/>
      <c r="O2857" s="39"/>
      <c r="P2857" s="66">
        <v>45689</v>
      </c>
    </row>
    <row r="2858" spans="1:16" ht="17.25" customHeight="1">
      <c r="A2858" s="13">
        <f t="shared" si="54"/>
        <v>2833</v>
      </c>
      <c r="B2858" s="156" t="s">
        <v>1140</v>
      </c>
      <c r="C2858" s="78" t="s">
        <v>1141</v>
      </c>
      <c r="D2858" s="56"/>
      <c r="E2858" s="14"/>
      <c r="F2858" s="25" t="s">
        <v>29</v>
      </c>
      <c r="G2858" s="57"/>
      <c r="H2858" s="34"/>
      <c r="I2858" s="84">
        <v>88996.57</v>
      </c>
      <c r="J2858" s="136"/>
      <c r="K2858" s="136"/>
      <c r="L2858" s="34"/>
      <c r="M2858" s="84"/>
      <c r="N2858" s="38"/>
      <c r="O2858" s="39"/>
      <c r="P2858" s="193">
        <v>46082</v>
      </c>
    </row>
    <row r="2859" spans="1:16" ht="17.25" customHeight="1">
      <c r="A2859" s="13">
        <f t="shared" si="54"/>
        <v>2834</v>
      </c>
      <c r="B2859" s="156" t="s">
        <v>1140</v>
      </c>
      <c r="C2859" s="78" t="s">
        <v>1142</v>
      </c>
      <c r="D2859" s="56"/>
      <c r="E2859" s="14"/>
      <c r="F2859" s="25" t="s">
        <v>29</v>
      </c>
      <c r="G2859" s="57"/>
      <c r="H2859" s="34"/>
      <c r="I2859" s="84">
        <v>95845.53</v>
      </c>
      <c r="J2859" s="136"/>
      <c r="K2859" s="136"/>
      <c r="L2859" s="34"/>
      <c r="M2859" s="84"/>
      <c r="N2859" s="38"/>
      <c r="O2859" s="39"/>
      <c r="P2859" s="193">
        <v>46082</v>
      </c>
    </row>
    <row r="2860" spans="1:16" ht="17.25" customHeight="1">
      <c r="A2860" s="13">
        <f t="shared" si="54"/>
        <v>2835</v>
      </c>
      <c r="B2860" s="156" t="s">
        <v>1140</v>
      </c>
      <c r="C2860" s="78" t="s">
        <v>1143</v>
      </c>
      <c r="D2860" s="56"/>
      <c r="E2860" s="14"/>
      <c r="F2860" s="25" t="s">
        <v>29</v>
      </c>
      <c r="G2860" s="57"/>
      <c r="H2860" s="34"/>
      <c r="I2860" s="84">
        <v>100411</v>
      </c>
      <c r="J2860" s="136"/>
      <c r="K2860" s="136"/>
      <c r="L2860" s="34"/>
      <c r="M2860" s="84"/>
      <c r="N2860" s="38"/>
      <c r="O2860" s="39"/>
      <c r="P2860" s="193">
        <v>46082</v>
      </c>
    </row>
    <row r="2861" spans="1:16" ht="12.75" customHeight="1">
      <c r="A2861" s="202" t="s">
        <v>30</v>
      </c>
      <c r="B2861" s="202"/>
      <c r="C2861" s="202"/>
      <c r="D2861" s="202"/>
      <c r="E2861" s="202"/>
      <c r="F2861" s="202"/>
      <c r="G2861" s="202"/>
      <c r="H2861" s="202"/>
      <c r="I2861" s="202"/>
      <c r="J2861" s="202"/>
      <c r="K2861" s="202"/>
      <c r="L2861" s="202"/>
      <c r="M2861" s="202"/>
      <c r="N2861" s="202"/>
      <c r="O2861" s="202"/>
      <c r="P2861" s="202"/>
    </row>
    <row r="2862" spans="1:16" ht="12.75" customHeight="1">
      <c r="A2862" s="13">
        <f>A2860+1</f>
        <v>2836</v>
      </c>
      <c r="B2862" s="52" t="s">
        <v>519</v>
      </c>
      <c r="C2862" s="56" t="s">
        <v>243</v>
      </c>
      <c r="D2862" s="56"/>
      <c r="E2862" s="74" t="s">
        <v>13</v>
      </c>
      <c r="F2862" s="57" t="s">
        <v>29</v>
      </c>
      <c r="G2862" s="57"/>
      <c r="H2862" s="34">
        <v>122107.75</v>
      </c>
      <c r="I2862" s="84"/>
      <c r="J2862" s="136">
        <v>0</v>
      </c>
      <c r="K2862" s="136"/>
      <c r="L2862" s="34">
        <v>0</v>
      </c>
      <c r="M2862" s="84"/>
      <c r="N2862" s="38"/>
      <c r="O2862" s="39"/>
      <c r="P2862" s="66">
        <v>41730</v>
      </c>
    </row>
    <row r="2863" spans="1:16" ht="12.75" customHeight="1">
      <c r="A2863" s="13">
        <f>A2862+1</f>
        <v>2837</v>
      </c>
      <c r="B2863" s="52" t="s">
        <v>519</v>
      </c>
      <c r="C2863" s="56" t="s">
        <v>243</v>
      </c>
      <c r="D2863" s="56"/>
      <c r="E2863" s="74"/>
      <c r="F2863" s="57" t="s">
        <v>29</v>
      </c>
      <c r="G2863" s="57"/>
      <c r="H2863" s="34">
        <v>153839.98000000001</v>
      </c>
      <c r="I2863" s="84"/>
      <c r="J2863" s="136"/>
      <c r="K2863" s="136"/>
      <c r="L2863" s="34"/>
      <c r="M2863" s="84"/>
      <c r="N2863" s="38"/>
      <c r="O2863" s="39"/>
      <c r="P2863" s="66">
        <v>43831</v>
      </c>
    </row>
    <row r="2864" spans="1:16" ht="12.75" customHeight="1">
      <c r="A2864" s="13">
        <f t="shared" ref="A2864:A2927" si="55">A2863+1</f>
        <v>2838</v>
      </c>
      <c r="B2864" s="52" t="s">
        <v>519</v>
      </c>
      <c r="C2864" s="56" t="s">
        <v>244</v>
      </c>
      <c r="D2864" s="56"/>
      <c r="E2864" s="74"/>
      <c r="F2864" s="57" t="s">
        <v>29</v>
      </c>
      <c r="G2864" s="57"/>
      <c r="H2864" s="34">
        <v>98607.87</v>
      </c>
      <c r="I2864" s="84"/>
      <c r="J2864" s="136">
        <v>0</v>
      </c>
      <c r="K2864" s="136"/>
      <c r="L2864" s="34">
        <v>0</v>
      </c>
      <c r="M2864" s="84"/>
      <c r="N2864" s="38"/>
      <c r="O2864" s="39"/>
      <c r="P2864" s="66">
        <v>41730</v>
      </c>
    </row>
    <row r="2865" spans="1:16" ht="12.75" customHeight="1">
      <c r="A2865" s="13">
        <f t="shared" si="55"/>
        <v>2839</v>
      </c>
      <c r="B2865" s="52" t="s">
        <v>519</v>
      </c>
      <c r="C2865" s="56" t="s">
        <v>244</v>
      </c>
      <c r="D2865" s="56"/>
      <c r="E2865" s="74"/>
      <c r="F2865" s="57" t="s">
        <v>29</v>
      </c>
      <c r="G2865" s="57"/>
      <c r="H2865" s="34">
        <v>154194.70000000001</v>
      </c>
      <c r="I2865" s="84"/>
      <c r="J2865" s="136"/>
      <c r="K2865" s="136"/>
      <c r="L2865" s="34"/>
      <c r="M2865" s="84"/>
      <c r="N2865" s="38"/>
      <c r="O2865" s="39"/>
      <c r="P2865" s="66">
        <v>43831</v>
      </c>
    </row>
    <row r="2866" spans="1:16" ht="12.75" customHeight="1">
      <c r="A2866" s="13">
        <f t="shared" si="55"/>
        <v>2840</v>
      </c>
      <c r="B2866" s="52" t="s">
        <v>519</v>
      </c>
      <c r="C2866" s="56" t="s">
        <v>245</v>
      </c>
      <c r="D2866" s="56"/>
      <c r="E2866" s="74"/>
      <c r="F2866" s="57" t="s">
        <v>29</v>
      </c>
      <c r="G2866" s="57"/>
      <c r="H2866" s="34">
        <v>126985.08</v>
      </c>
      <c r="I2866" s="84"/>
      <c r="J2866" s="136">
        <v>0</v>
      </c>
      <c r="K2866" s="136"/>
      <c r="L2866" s="34">
        <v>0</v>
      </c>
      <c r="M2866" s="84"/>
      <c r="N2866" s="38"/>
      <c r="O2866" s="39"/>
      <c r="P2866" s="66">
        <v>41730</v>
      </c>
    </row>
    <row r="2867" spans="1:16" ht="12.75" customHeight="1">
      <c r="A2867" s="13">
        <f t="shared" si="55"/>
        <v>2841</v>
      </c>
      <c r="B2867" s="52" t="s">
        <v>519</v>
      </c>
      <c r="C2867" s="56" t="s">
        <v>245</v>
      </c>
      <c r="D2867" s="56"/>
      <c r="E2867" s="74"/>
      <c r="F2867" s="57" t="s">
        <v>29</v>
      </c>
      <c r="G2867" s="57"/>
      <c r="H2867" s="34">
        <v>159870.14000000001</v>
      </c>
      <c r="I2867" s="84"/>
      <c r="J2867" s="136"/>
      <c r="K2867" s="136"/>
      <c r="L2867" s="34"/>
      <c r="M2867" s="84"/>
      <c r="N2867" s="38"/>
      <c r="O2867" s="39"/>
      <c r="P2867" s="66">
        <v>43831</v>
      </c>
    </row>
    <row r="2868" spans="1:16" ht="12.75" customHeight="1">
      <c r="A2868" s="13">
        <f t="shared" si="55"/>
        <v>2842</v>
      </c>
      <c r="B2868" s="52" t="s">
        <v>519</v>
      </c>
      <c r="C2868" s="56" t="s">
        <v>246</v>
      </c>
      <c r="D2868" s="56"/>
      <c r="E2868" s="74"/>
      <c r="F2868" s="57" t="s">
        <v>29</v>
      </c>
      <c r="G2868" s="57"/>
      <c r="H2868" s="34">
        <v>109527.18</v>
      </c>
      <c r="I2868" s="84"/>
      <c r="J2868" s="136">
        <v>0</v>
      </c>
      <c r="K2868" s="136"/>
      <c r="L2868" s="34">
        <v>0</v>
      </c>
      <c r="M2868" s="84"/>
      <c r="N2868" s="38"/>
      <c r="O2868" s="39"/>
      <c r="P2868" s="66">
        <v>41730</v>
      </c>
    </row>
    <row r="2869" spans="1:16" ht="12.75" customHeight="1">
      <c r="A2869" s="13">
        <f t="shared" si="55"/>
        <v>2843</v>
      </c>
      <c r="B2869" s="52" t="s">
        <v>519</v>
      </c>
      <c r="C2869" s="56" t="s">
        <v>246</v>
      </c>
      <c r="D2869" s="56"/>
      <c r="E2869" s="74"/>
      <c r="F2869" s="57" t="s">
        <v>29</v>
      </c>
      <c r="G2869" s="57"/>
      <c r="H2869" s="34">
        <v>165247.03</v>
      </c>
      <c r="I2869" s="84"/>
      <c r="J2869" s="136"/>
      <c r="K2869" s="136"/>
      <c r="L2869" s="34"/>
      <c r="M2869" s="84"/>
      <c r="N2869" s="38"/>
      <c r="O2869" s="39"/>
      <c r="P2869" s="66">
        <v>43831</v>
      </c>
    </row>
    <row r="2870" spans="1:16" ht="12.75" customHeight="1">
      <c r="A2870" s="13">
        <f t="shared" si="55"/>
        <v>2844</v>
      </c>
      <c r="B2870" s="52" t="s">
        <v>519</v>
      </c>
      <c r="C2870" s="56" t="s">
        <v>247</v>
      </c>
      <c r="D2870" s="56"/>
      <c r="E2870" s="74"/>
      <c r="F2870" s="57" t="s">
        <v>29</v>
      </c>
      <c r="G2870" s="57"/>
      <c r="H2870" s="34">
        <v>129054.25</v>
      </c>
      <c r="I2870" s="84"/>
      <c r="J2870" s="136">
        <v>0</v>
      </c>
      <c r="K2870" s="136"/>
      <c r="L2870" s="34">
        <v>0</v>
      </c>
      <c r="M2870" s="84"/>
      <c r="N2870" s="38"/>
      <c r="O2870" s="39"/>
      <c r="P2870" s="66">
        <v>41730</v>
      </c>
    </row>
    <row r="2871" spans="1:16" ht="12.75" customHeight="1">
      <c r="A2871" s="13">
        <f t="shared" si="55"/>
        <v>2845</v>
      </c>
      <c r="B2871" s="52" t="s">
        <v>519</v>
      </c>
      <c r="C2871" s="56" t="s">
        <v>247</v>
      </c>
      <c r="D2871" s="56"/>
      <c r="E2871" s="74"/>
      <c r="F2871" s="57" t="s">
        <v>29</v>
      </c>
      <c r="G2871" s="57"/>
      <c r="H2871" s="34">
        <v>193346.38</v>
      </c>
      <c r="I2871" s="84"/>
      <c r="J2871" s="136"/>
      <c r="K2871" s="136"/>
      <c r="L2871" s="34"/>
      <c r="M2871" s="84"/>
      <c r="N2871" s="38"/>
      <c r="O2871" s="39"/>
      <c r="P2871" s="66">
        <v>43831</v>
      </c>
    </row>
    <row r="2872" spans="1:16" ht="12.75" customHeight="1">
      <c r="A2872" s="13">
        <f t="shared" si="55"/>
        <v>2846</v>
      </c>
      <c r="B2872" s="52" t="s">
        <v>519</v>
      </c>
      <c r="C2872" s="56" t="s">
        <v>248</v>
      </c>
      <c r="D2872" s="56"/>
      <c r="E2872" s="74"/>
      <c r="F2872" s="57" t="s">
        <v>29</v>
      </c>
      <c r="G2872" s="57"/>
      <c r="H2872" s="34">
        <v>160239.63</v>
      </c>
      <c r="I2872" s="84"/>
      <c r="J2872" s="136">
        <v>0</v>
      </c>
      <c r="K2872" s="136"/>
      <c r="L2872" s="34">
        <v>0</v>
      </c>
      <c r="M2872" s="84"/>
      <c r="N2872" s="38"/>
      <c r="O2872" s="39"/>
      <c r="P2872" s="66">
        <v>41730</v>
      </c>
    </row>
    <row r="2873" spans="1:16" ht="12.75" customHeight="1">
      <c r="A2873" s="13">
        <f t="shared" si="55"/>
        <v>2847</v>
      </c>
      <c r="B2873" s="52" t="s">
        <v>519</v>
      </c>
      <c r="C2873" s="56" t="s">
        <v>248</v>
      </c>
      <c r="D2873" s="56"/>
      <c r="E2873" s="74"/>
      <c r="F2873" s="57" t="s">
        <v>29</v>
      </c>
      <c r="G2873" s="57"/>
      <c r="H2873" s="34">
        <v>202731.56</v>
      </c>
      <c r="I2873" s="84"/>
      <c r="J2873" s="136"/>
      <c r="K2873" s="136"/>
      <c r="L2873" s="34"/>
      <c r="M2873" s="84"/>
      <c r="N2873" s="38"/>
      <c r="O2873" s="39"/>
      <c r="P2873" s="66">
        <v>43831</v>
      </c>
    </row>
    <row r="2874" spans="1:16" ht="12.75" customHeight="1">
      <c r="A2874" s="13">
        <f t="shared" si="55"/>
        <v>2848</v>
      </c>
      <c r="B2874" s="52" t="s">
        <v>519</v>
      </c>
      <c r="C2874" s="56" t="s">
        <v>249</v>
      </c>
      <c r="D2874" s="56"/>
      <c r="E2874" s="74"/>
      <c r="F2874" s="57" t="s">
        <v>29</v>
      </c>
      <c r="G2874" s="57"/>
      <c r="H2874" s="34">
        <v>163638.99</v>
      </c>
      <c r="I2874" s="84"/>
      <c r="J2874" s="136">
        <v>0</v>
      </c>
      <c r="K2874" s="136"/>
      <c r="L2874" s="34">
        <v>0</v>
      </c>
      <c r="M2874" s="84"/>
      <c r="N2874" s="38"/>
      <c r="O2874" s="39"/>
      <c r="P2874" s="66">
        <v>41730</v>
      </c>
    </row>
    <row r="2875" spans="1:16" ht="12.75" customHeight="1">
      <c r="A2875" s="13">
        <f t="shared" si="55"/>
        <v>2849</v>
      </c>
      <c r="B2875" s="52" t="s">
        <v>519</v>
      </c>
      <c r="C2875" s="56" t="s">
        <v>249</v>
      </c>
      <c r="D2875" s="56"/>
      <c r="E2875" s="74"/>
      <c r="F2875" s="57" t="s">
        <v>29</v>
      </c>
      <c r="G2875" s="57"/>
      <c r="H2875" s="34">
        <v>207165.5</v>
      </c>
      <c r="I2875" s="84"/>
      <c r="J2875" s="136"/>
      <c r="K2875" s="136"/>
      <c r="L2875" s="34"/>
      <c r="M2875" s="84"/>
      <c r="N2875" s="38"/>
      <c r="O2875" s="39"/>
      <c r="P2875" s="66">
        <v>43831</v>
      </c>
    </row>
    <row r="2876" spans="1:16" ht="12.75" customHeight="1">
      <c r="A2876" s="13">
        <f t="shared" si="55"/>
        <v>2850</v>
      </c>
      <c r="B2876" s="52" t="s">
        <v>519</v>
      </c>
      <c r="C2876" s="78" t="s">
        <v>899</v>
      </c>
      <c r="D2876" s="56"/>
      <c r="E2876" s="74"/>
      <c r="F2876" s="57" t="s">
        <v>29</v>
      </c>
      <c r="G2876" s="57"/>
      <c r="H2876" s="34">
        <v>208939.08</v>
      </c>
      <c r="I2876" s="84"/>
      <c r="J2876" s="136"/>
      <c r="K2876" s="136"/>
      <c r="L2876" s="34"/>
      <c r="M2876" s="84"/>
      <c r="N2876" s="38"/>
      <c r="O2876" s="39"/>
      <c r="P2876" s="66">
        <v>43831</v>
      </c>
    </row>
    <row r="2877" spans="1:16" ht="12.75" customHeight="1">
      <c r="A2877" s="13">
        <f t="shared" si="55"/>
        <v>2851</v>
      </c>
      <c r="B2877" s="52" t="s">
        <v>519</v>
      </c>
      <c r="C2877" s="56" t="s">
        <v>250</v>
      </c>
      <c r="D2877" s="56"/>
      <c r="E2877" s="74"/>
      <c r="F2877" s="57" t="s">
        <v>29</v>
      </c>
      <c r="G2877" s="57"/>
      <c r="H2877" s="34">
        <v>209973.66</v>
      </c>
      <c r="I2877" s="84"/>
      <c r="J2877" s="136"/>
      <c r="K2877" s="136"/>
      <c r="L2877" s="34"/>
      <c r="M2877" s="84"/>
      <c r="N2877" s="38"/>
      <c r="O2877" s="39"/>
      <c r="P2877" s="66">
        <v>43831</v>
      </c>
    </row>
    <row r="2878" spans="1:16" ht="12.75" customHeight="1">
      <c r="A2878" s="13">
        <f t="shared" si="55"/>
        <v>2852</v>
      </c>
      <c r="B2878" s="52" t="s">
        <v>519</v>
      </c>
      <c r="C2878" s="56" t="s">
        <v>250</v>
      </c>
      <c r="D2878" s="56"/>
      <c r="E2878" s="74"/>
      <c r="F2878" s="57" t="s">
        <v>29</v>
      </c>
      <c r="G2878" s="57"/>
      <c r="H2878" s="34">
        <v>142356.07</v>
      </c>
      <c r="I2878" s="84"/>
      <c r="J2878" s="136">
        <v>0</v>
      </c>
      <c r="K2878" s="136"/>
      <c r="L2878" s="34">
        <v>0</v>
      </c>
      <c r="M2878" s="84"/>
      <c r="N2878" s="38"/>
      <c r="O2878" s="39"/>
      <c r="P2878" s="66">
        <v>41730</v>
      </c>
    </row>
    <row r="2879" spans="1:16" ht="12.75" customHeight="1">
      <c r="A2879" s="13">
        <f t="shared" si="55"/>
        <v>2853</v>
      </c>
      <c r="B2879" s="155" t="s">
        <v>519</v>
      </c>
      <c r="C2879" s="78" t="s">
        <v>243</v>
      </c>
      <c r="D2879" s="56"/>
      <c r="E2879" s="74"/>
      <c r="F2879" s="57" t="s">
        <v>29</v>
      </c>
      <c r="G2879" s="57"/>
      <c r="H2879" s="34">
        <v>159407.54</v>
      </c>
      <c r="I2879" s="84"/>
      <c r="J2879" s="136"/>
      <c r="K2879" s="136"/>
      <c r="L2879" s="34"/>
      <c r="M2879" s="84"/>
      <c r="N2879" s="38"/>
      <c r="O2879" s="39"/>
      <c r="P2879" s="66">
        <v>44562</v>
      </c>
    </row>
    <row r="2880" spans="1:16" ht="12.75" customHeight="1">
      <c r="A2880" s="13">
        <f t="shared" si="55"/>
        <v>2854</v>
      </c>
      <c r="B2880" s="155" t="s">
        <v>519</v>
      </c>
      <c r="C2880" s="78" t="s">
        <v>244</v>
      </c>
      <c r="D2880" s="56"/>
      <c r="E2880" s="74"/>
      <c r="F2880" s="57" t="s">
        <v>29</v>
      </c>
      <c r="G2880" s="57"/>
      <c r="H2880" s="34">
        <v>159703.13</v>
      </c>
      <c r="I2880" s="84"/>
      <c r="J2880" s="136"/>
      <c r="K2880" s="136"/>
      <c r="L2880" s="34"/>
      <c r="M2880" s="84"/>
      <c r="N2880" s="38"/>
      <c r="O2880" s="39"/>
      <c r="P2880" s="66">
        <v>44562</v>
      </c>
    </row>
    <row r="2881" spans="1:16" ht="12.75" customHeight="1">
      <c r="A2881" s="13">
        <f t="shared" si="55"/>
        <v>2855</v>
      </c>
      <c r="B2881" s="155" t="s">
        <v>519</v>
      </c>
      <c r="C2881" s="78" t="s">
        <v>245</v>
      </c>
      <c r="D2881" s="56"/>
      <c r="E2881" s="74"/>
      <c r="F2881" s="57" t="s">
        <v>29</v>
      </c>
      <c r="G2881" s="57"/>
      <c r="H2881" s="34">
        <v>164876.06</v>
      </c>
      <c r="I2881" s="84"/>
      <c r="J2881" s="136"/>
      <c r="K2881" s="136"/>
      <c r="L2881" s="34"/>
      <c r="M2881" s="84"/>
      <c r="N2881" s="38"/>
      <c r="O2881" s="39"/>
      <c r="P2881" s="66">
        <v>44562</v>
      </c>
    </row>
    <row r="2882" spans="1:16" ht="12.75" customHeight="1">
      <c r="A2882" s="13">
        <f t="shared" si="55"/>
        <v>2856</v>
      </c>
      <c r="B2882" s="155" t="s">
        <v>519</v>
      </c>
      <c r="C2882" s="78" t="s">
        <v>246</v>
      </c>
      <c r="D2882" s="56"/>
      <c r="E2882" s="74"/>
      <c r="F2882" s="57" t="s">
        <v>29</v>
      </c>
      <c r="G2882" s="57"/>
      <c r="H2882" s="34">
        <v>158594.64000000001</v>
      </c>
      <c r="I2882" s="84"/>
      <c r="J2882" s="136"/>
      <c r="K2882" s="136"/>
      <c r="L2882" s="34"/>
      <c r="M2882" s="84"/>
      <c r="N2882" s="38"/>
      <c r="O2882" s="39"/>
      <c r="P2882" s="66">
        <v>44562</v>
      </c>
    </row>
    <row r="2883" spans="1:16" ht="12.75" customHeight="1">
      <c r="A2883" s="13">
        <f t="shared" si="55"/>
        <v>2857</v>
      </c>
      <c r="B2883" s="155" t="s">
        <v>519</v>
      </c>
      <c r="C2883" s="78" t="s">
        <v>247</v>
      </c>
      <c r="D2883" s="56"/>
      <c r="E2883" s="74"/>
      <c r="F2883" s="57" t="s">
        <v>29</v>
      </c>
      <c r="G2883" s="57"/>
      <c r="H2883" s="34">
        <v>196667.41</v>
      </c>
      <c r="I2883" s="84"/>
      <c r="J2883" s="136"/>
      <c r="K2883" s="136"/>
      <c r="L2883" s="34"/>
      <c r="M2883" s="84"/>
      <c r="N2883" s="38"/>
      <c r="O2883" s="39"/>
      <c r="P2883" s="66">
        <v>44562</v>
      </c>
    </row>
    <row r="2884" spans="1:16" ht="12.75" customHeight="1">
      <c r="A2884" s="13">
        <f t="shared" si="55"/>
        <v>2858</v>
      </c>
      <c r="B2884" s="155" t="s">
        <v>519</v>
      </c>
      <c r="C2884" s="78" t="s">
        <v>248</v>
      </c>
      <c r="D2884" s="56"/>
      <c r="E2884" s="74"/>
      <c r="F2884" s="57" t="s">
        <v>29</v>
      </c>
      <c r="G2884" s="57"/>
      <c r="H2884" s="34">
        <v>205239.69</v>
      </c>
      <c r="I2884" s="84"/>
      <c r="J2884" s="136"/>
      <c r="K2884" s="136"/>
      <c r="L2884" s="34"/>
      <c r="M2884" s="84"/>
      <c r="N2884" s="38"/>
      <c r="O2884" s="39"/>
      <c r="P2884" s="66">
        <v>44562</v>
      </c>
    </row>
    <row r="2885" spans="1:16" ht="12.75" customHeight="1">
      <c r="A2885" s="13">
        <f t="shared" si="55"/>
        <v>2859</v>
      </c>
      <c r="B2885" s="155" t="s">
        <v>519</v>
      </c>
      <c r="C2885" s="78" t="s">
        <v>249</v>
      </c>
      <c r="D2885" s="56"/>
      <c r="E2885" s="74"/>
      <c r="F2885" s="57" t="s">
        <v>29</v>
      </c>
      <c r="G2885" s="57"/>
      <c r="H2885" s="34">
        <v>209378.03</v>
      </c>
      <c r="I2885" s="84"/>
      <c r="J2885" s="136"/>
      <c r="K2885" s="136"/>
      <c r="L2885" s="34"/>
      <c r="M2885" s="84"/>
      <c r="N2885" s="38"/>
      <c r="O2885" s="39"/>
      <c r="P2885" s="66">
        <v>44562</v>
      </c>
    </row>
    <row r="2886" spans="1:16" ht="12.75" customHeight="1">
      <c r="A2886" s="13">
        <f t="shared" si="55"/>
        <v>2860</v>
      </c>
      <c r="B2886" s="155" t="s">
        <v>519</v>
      </c>
      <c r="C2886" s="78" t="s">
        <v>899</v>
      </c>
      <c r="D2886" s="56"/>
      <c r="E2886" s="74"/>
      <c r="F2886" s="57" t="s">
        <v>29</v>
      </c>
      <c r="G2886" s="57"/>
      <c r="H2886" s="34">
        <v>211003.81</v>
      </c>
      <c r="I2886" s="84"/>
      <c r="J2886" s="136"/>
      <c r="K2886" s="136"/>
      <c r="L2886" s="34"/>
      <c r="M2886" s="84"/>
      <c r="N2886" s="38"/>
      <c r="O2886" s="39"/>
      <c r="P2886" s="66">
        <v>44562</v>
      </c>
    </row>
    <row r="2887" spans="1:16" ht="12.75" customHeight="1">
      <c r="A2887" s="13">
        <f t="shared" si="55"/>
        <v>2861</v>
      </c>
      <c r="B2887" s="155" t="s">
        <v>519</v>
      </c>
      <c r="C2887" s="78" t="s">
        <v>250</v>
      </c>
      <c r="D2887" s="56"/>
      <c r="E2887" s="74"/>
      <c r="F2887" s="57" t="s">
        <v>29</v>
      </c>
      <c r="G2887" s="57"/>
      <c r="H2887" s="34">
        <v>212481.79</v>
      </c>
      <c r="I2887" s="84"/>
      <c r="J2887" s="136"/>
      <c r="K2887" s="136"/>
      <c r="L2887" s="34"/>
      <c r="M2887" s="84"/>
      <c r="N2887" s="38"/>
      <c r="O2887" s="39"/>
      <c r="P2887" s="66">
        <v>44562</v>
      </c>
    </row>
    <row r="2888" spans="1:16" ht="12.75" customHeight="1">
      <c r="A2888" s="13">
        <f t="shared" si="55"/>
        <v>2862</v>
      </c>
      <c r="B2888" s="52" t="s">
        <v>851</v>
      </c>
      <c r="C2888" s="78" t="s">
        <v>852</v>
      </c>
      <c r="D2888" s="56"/>
      <c r="E2888" s="74"/>
      <c r="F2888" s="57" t="s">
        <v>29</v>
      </c>
      <c r="G2888" s="57"/>
      <c r="H2888" s="34">
        <v>118945.28</v>
      </c>
      <c r="I2888" s="84">
        <v>118945.28</v>
      </c>
      <c r="J2888" s="136"/>
      <c r="K2888" s="136"/>
      <c r="L2888" s="34"/>
      <c r="M2888" s="84"/>
      <c r="N2888" s="38"/>
      <c r="O2888" s="39"/>
      <c r="P2888" s="66">
        <v>43617</v>
      </c>
    </row>
    <row r="2889" spans="1:16" ht="12.75" customHeight="1">
      <c r="A2889" s="13">
        <f t="shared" si="55"/>
        <v>2863</v>
      </c>
      <c r="B2889" s="54" t="s">
        <v>851</v>
      </c>
      <c r="C2889" s="78" t="s">
        <v>852</v>
      </c>
      <c r="D2889" s="56"/>
      <c r="E2889" s="74"/>
      <c r="F2889" s="57" t="s">
        <v>29</v>
      </c>
      <c r="G2889" s="57"/>
      <c r="H2889" s="34"/>
      <c r="I2889" s="84">
        <v>146073.41</v>
      </c>
      <c r="J2889" s="136"/>
      <c r="K2889" s="136"/>
      <c r="L2889" s="34"/>
      <c r="M2889" s="84"/>
      <c r="N2889" s="38"/>
      <c r="O2889" s="39"/>
      <c r="P2889" s="66">
        <v>44562</v>
      </c>
    </row>
    <row r="2890" spans="1:16" ht="12.75" customHeight="1">
      <c r="A2890" s="13">
        <f t="shared" si="55"/>
        <v>2864</v>
      </c>
      <c r="B2890" s="52" t="s">
        <v>851</v>
      </c>
      <c r="C2890" s="78" t="s">
        <v>853</v>
      </c>
      <c r="D2890" s="56"/>
      <c r="E2890" s="74"/>
      <c r="F2890" s="57" t="s">
        <v>29</v>
      </c>
      <c r="G2890" s="57"/>
      <c r="H2890" s="35">
        <v>129842.25</v>
      </c>
      <c r="I2890" s="85">
        <v>129842.25</v>
      </c>
      <c r="J2890" s="136"/>
      <c r="K2890" s="136"/>
      <c r="L2890" s="34"/>
      <c r="M2890" s="84"/>
      <c r="N2890" s="38"/>
      <c r="O2890" s="39"/>
      <c r="P2890" s="66">
        <v>43617</v>
      </c>
    </row>
    <row r="2891" spans="1:16" ht="12.75" customHeight="1">
      <c r="A2891" s="13">
        <f t="shared" si="55"/>
        <v>2865</v>
      </c>
      <c r="B2891" s="54" t="s">
        <v>851</v>
      </c>
      <c r="C2891" s="78" t="s">
        <v>853</v>
      </c>
      <c r="D2891" s="56"/>
      <c r="E2891" s="74"/>
      <c r="F2891" s="57" t="s">
        <v>29</v>
      </c>
      <c r="G2891" s="57"/>
      <c r="H2891" s="35"/>
      <c r="I2891" s="85">
        <v>149864.76999999999</v>
      </c>
      <c r="J2891" s="136"/>
      <c r="K2891" s="136"/>
      <c r="L2891" s="34"/>
      <c r="M2891" s="84"/>
      <c r="N2891" s="38"/>
      <c r="O2891" s="39"/>
      <c r="P2891" s="66">
        <v>44835</v>
      </c>
    </row>
    <row r="2892" spans="1:16" ht="12.75" customHeight="1">
      <c r="A2892" s="13">
        <f t="shared" si="55"/>
        <v>2866</v>
      </c>
      <c r="B2892" s="52" t="s">
        <v>851</v>
      </c>
      <c r="C2892" s="78" t="s">
        <v>854</v>
      </c>
      <c r="D2892" s="56"/>
      <c r="E2892" s="74"/>
      <c r="F2892" s="57" t="s">
        <v>29</v>
      </c>
      <c r="G2892" s="57"/>
      <c r="H2892" s="35">
        <v>144933.19</v>
      </c>
      <c r="I2892" s="85">
        <v>144933.19</v>
      </c>
      <c r="J2892" s="136"/>
      <c r="K2892" s="136"/>
      <c r="L2892" s="34"/>
      <c r="M2892" s="84"/>
      <c r="N2892" s="38"/>
      <c r="O2892" s="39"/>
      <c r="P2892" s="66">
        <v>43617</v>
      </c>
    </row>
    <row r="2893" spans="1:16" ht="12.75" customHeight="1">
      <c r="A2893" s="13">
        <f t="shared" si="55"/>
        <v>2867</v>
      </c>
      <c r="B2893" s="54" t="s">
        <v>851</v>
      </c>
      <c r="C2893" s="78" t="s">
        <v>854</v>
      </c>
      <c r="D2893" s="56"/>
      <c r="E2893" s="74"/>
      <c r="F2893" s="57" t="s">
        <v>29</v>
      </c>
      <c r="G2893" s="57"/>
      <c r="H2893" s="35"/>
      <c r="I2893" s="85">
        <v>164109.32999999999</v>
      </c>
      <c r="J2893" s="136"/>
      <c r="K2893" s="136"/>
      <c r="L2893" s="34"/>
      <c r="M2893" s="84"/>
      <c r="N2893" s="38"/>
      <c r="O2893" s="39"/>
      <c r="P2893" s="66">
        <v>44562</v>
      </c>
    </row>
    <row r="2894" spans="1:16" ht="12.75" customHeight="1">
      <c r="A2894" s="13">
        <f t="shared" si="55"/>
        <v>2868</v>
      </c>
      <c r="B2894" s="52" t="s">
        <v>851</v>
      </c>
      <c r="C2894" s="78" t="s">
        <v>855</v>
      </c>
      <c r="D2894" s="56"/>
      <c r="E2894" s="74"/>
      <c r="F2894" s="57" t="s">
        <v>29</v>
      </c>
      <c r="G2894" s="57"/>
      <c r="H2894" s="34">
        <v>155972.23000000001</v>
      </c>
      <c r="I2894" s="84">
        <v>155972.23000000001</v>
      </c>
      <c r="J2894" s="136"/>
      <c r="K2894" s="136"/>
      <c r="L2894" s="34"/>
      <c r="M2894" s="84"/>
      <c r="N2894" s="38"/>
      <c r="O2894" s="39"/>
      <c r="P2894" s="66">
        <v>43617</v>
      </c>
    </row>
    <row r="2895" spans="1:16" ht="12.75" customHeight="1">
      <c r="A2895" s="13">
        <f t="shared" si="55"/>
        <v>2869</v>
      </c>
      <c r="B2895" s="54" t="s">
        <v>851</v>
      </c>
      <c r="C2895" s="78" t="s">
        <v>855</v>
      </c>
      <c r="D2895" s="56"/>
      <c r="E2895" s="74"/>
      <c r="F2895" s="57" t="s">
        <v>29</v>
      </c>
      <c r="G2895" s="57"/>
      <c r="H2895" s="34"/>
      <c r="I2895" s="84">
        <v>185872</v>
      </c>
      <c r="J2895" s="136"/>
      <c r="K2895" s="136"/>
      <c r="L2895" s="34"/>
      <c r="M2895" s="84"/>
      <c r="N2895" s="38"/>
      <c r="O2895" s="39"/>
      <c r="P2895" s="66">
        <v>44562</v>
      </c>
    </row>
    <row r="2896" spans="1:16" ht="12.75" customHeight="1">
      <c r="A2896" s="13">
        <f t="shared" si="55"/>
        <v>2870</v>
      </c>
      <c r="B2896" s="54" t="s">
        <v>851</v>
      </c>
      <c r="C2896" s="78" t="s">
        <v>856</v>
      </c>
      <c r="D2896" s="56"/>
      <c r="E2896" s="74"/>
      <c r="F2896" s="57" t="s">
        <v>29</v>
      </c>
      <c r="G2896" s="57"/>
      <c r="H2896" s="34"/>
      <c r="I2896" s="84">
        <v>186944.54</v>
      </c>
      <c r="J2896" s="136"/>
      <c r="K2896" s="136"/>
      <c r="L2896" s="34"/>
      <c r="M2896" s="84"/>
      <c r="N2896" s="38"/>
      <c r="O2896" s="39"/>
      <c r="P2896" s="66">
        <v>44562</v>
      </c>
    </row>
    <row r="2897" spans="1:16" ht="12.75" customHeight="1">
      <c r="A2897" s="13">
        <f t="shared" si="55"/>
        <v>2871</v>
      </c>
      <c r="B2897" s="52" t="s">
        <v>851</v>
      </c>
      <c r="C2897" s="78" t="s">
        <v>856</v>
      </c>
      <c r="D2897" s="56"/>
      <c r="E2897" s="74"/>
      <c r="F2897" s="57" t="s">
        <v>29</v>
      </c>
      <c r="G2897" s="57"/>
      <c r="H2897" s="34">
        <v>167768.4</v>
      </c>
      <c r="I2897" s="84">
        <v>167768.4</v>
      </c>
      <c r="J2897" s="136"/>
      <c r="K2897" s="136"/>
      <c r="L2897" s="34"/>
      <c r="M2897" s="84"/>
      <c r="N2897" s="38"/>
      <c r="O2897" s="39"/>
      <c r="P2897" s="66">
        <v>43617</v>
      </c>
    </row>
    <row r="2898" spans="1:16" ht="12.75" customHeight="1">
      <c r="A2898" s="13">
        <f t="shared" si="55"/>
        <v>2872</v>
      </c>
      <c r="B2898" s="52" t="s">
        <v>851</v>
      </c>
      <c r="C2898" s="161" t="s">
        <v>1110</v>
      </c>
      <c r="D2898" s="56"/>
      <c r="E2898" s="74"/>
      <c r="F2898" s="57" t="s">
        <v>29</v>
      </c>
      <c r="G2898" s="57"/>
      <c r="H2898" s="34"/>
      <c r="I2898" s="84">
        <v>153146.6</v>
      </c>
      <c r="J2898" s="136"/>
      <c r="K2898" s="136"/>
      <c r="L2898" s="34"/>
      <c r="M2898" s="84"/>
      <c r="N2898" s="38"/>
      <c r="O2898" s="39"/>
      <c r="P2898" s="66">
        <v>45170</v>
      </c>
    </row>
    <row r="2899" spans="1:16" ht="12.75" customHeight="1">
      <c r="A2899" s="13">
        <f t="shared" si="55"/>
        <v>2873</v>
      </c>
      <c r="B2899" s="52" t="s">
        <v>851</v>
      </c>
      <c r="C2899" s="161" t="s">
        <v>1111</v>
      </c>
      <c r="D2899" s="56"/>
      <c r="E2899" s="74"/>
      <c r="F2899" s="57" t="s">
        <v>29</v>
      </c>
      <c r="G2899" s="57"/>
      <c r="H2899" s="34"/>
      <c r="I2899" s="84">
        <v>157127.54999999999</v>
      </c>
      <c r="J2899" s="136"/>
      <c r="K2899" s="136"/>
      <c r="L2899" s="34"/>
      <c r="M2899" s="84"/>
      <c r="N2899" s="38"/>
      <c r="O2899" s="39"/>
      <c r="P2899" s="66">
        <v>45171</v>
      </c>
    </row>
    <row r="2900" spans="1:16" ht="12.75" customHeight="1">
      <c r="A2900" s="13">
        <f t="shared" si="55"/>
        <v>2874</v>
      </c>
      <c r="B2900" s="52" t="s">
        <v>851</v>
      </c>
      <c r="C2900" s="161" t="s">
        <v>1112</v>
      </c>
      <c r="D2900" s="56"/>
      <c r="E2900" s="74"/>
      <c r="F2900" s="57" t="s">
        <v>29</v>
      </c>
      <c r="G2900" s="57"/>
      <c r="H2900" s="34"/>
      <c r="I2900" s="84">
        <v>172084.32</v>
      </c>
      <c r="J2900" s="136"/>
      <c r="K2900" s="136"/>
      <c r="L2900" s="34"/>
      <c r="M2900" s="84"/>
      <c r="N2900" s="38"/>
      <c r="O2900" s="39"/>
      <c r="P2900" s="66">
        <v>45172</v>
      </c>
    </row>
    <row r="2901" spans="1:16" ht="12.75" customHeight="1">
      <c r="A2901" s="13">
        <f t="shared" si="55"/>
        <v>2875</v>
      </c>
      <c r="B2901" s="52" t="s">
        <v>851</v>
      </c>
      <c r="C2901" s="161" t="s">
        <v>1113</v>
      </c>
      <c r="D2901" s="56"/>
      <c r="E2901" s="74"/>
      <c r="F2901" s="57" t="s">
        <v>29</v>
      </c>
      <c r="G2901" s="57"/>
      <c r="H2901" s="34"/>
      <c r="I2901" s="84">
        <v>194935.12</v>
      </c>
      <c r="J2901" s="136"/>
      <c r="K2901" s="136"/>
      <c r="L2901" s="34"/>
      <c r="M2901" s="84"/>
      <c r="N2901" s="38"/>
      <c r="O2901" s="39"/>
      <c r="P2901" s="66">
        <v>45173</v>
      </c>
    </row>
    <row r="2902" spans="1:16" ht="12.75" customHeight="1">
      <c r="A2902" s="13">
        <f t="shared" si="55"/>
        <v>2876</v>
      </c>
      <c r="B2902" s="52" t="s">
        <v>851</v>
      </c>
      <c r="C2902" s="161" t="s">
        <v>1114</v>
      </c>
      <c r="D2902" s="56"/>
      <c r="E2902" s="74"/>
      <c r="F2902" s="57" t="s">
        <v>29</v>
      </c>
      <c r="G2902" s="57"/>
      <c r="H2902" s="34"/>
      <c r="I2902" s="84">
        <v>196061.29</v>
      </c>
      <c r="J2902" s="136"/>
      <c r="K2902" s="136"/>
      <c r="L2902" s="34"/>
      <c r="M2902" s="84"/>
      <c r="N2902" s="38"/>
      <c r="O2902" s="39"/>
      <c r="P2902" s="66">
        <v>45174</v>
      </c>
    </row>
    <row r="2903" spans="1:16" ht="12.75" customHeight="1">
      <c r="A2903" s="13">
        <f t="shared" si="55"/>
        <v>2877</v>
      </c>
      <c r="B2903" s="52" t="s">
        <v>851</v>
      </c>
      <c r="C2903" s="161" t="s">
        <v>1161</v>
      </c>
      <c r="D2903" s="56"/>
      <c r="E2903" s="74"/>
      <c r="F2903" s="57" t="s">
        <v>29</v>
      </c>
      <c r="G2903" s="57"/>
      <c r="H2903" s="34"/>
      <c r="I2903" s="84">
        <v>179840.75</v>
      </c>
      <c r="J2903" s="136"/>
      <c r="K2903" s="136"/>
      <c r="L2903" s="34"/>
      <c r="M2903" s="84"/>
      <c r="N2903" s="38"/>
      <c r="O2903" s="39"/>
      <c r="P2903" s="66">
        <v>45352</v>
      </c>
    </row>
    <row r="2904" spans="1:16" ht="12.75" customHeight="1">
      <c r="A2904" s="13">
        <f t="shared" si="55"/>
        <v>2878</v>
      </c>
      <c r="B2904" s="52" t="s">
        <v>851</v>
      </c>
      <c r="C2904" s="161" t="s">
        <v>1111</v>
      </c>
      <c r="D2904" s="56"/>
      <c r="E2904" s="74"/>
      <c r="F2904" s="57" t="s">
        <v>29</v>
      </c>
      <c r="G2904" s="57"/>
      <c r="H2904" s="34"/>
      <c r="I2904" s="84">
        <v>184498.43</v>
      </c>
      <c r="J2904" s="136"/>
      <c r="K2904" s="136"/>
      <c r="L2904" s="34"/>
      <c r="M2904" s="84"/>
      <c r="N2904" s="38"/>
      <c r="O2904" s="39"/>
      <c r="P2904" s="66">
        <v>45352</v>
      </c>
    </row>
    <row r="2905" spans="1:16" ht="12.75" customHeight="1">
      <c r="A2905" s="13">
        <f t="shared" si="55"/>
        <v>2879</v>
      </c>
      <c r="B2905" s="52" t="s">
        <v>851</v>
      </c>
      <c r="C2905" s="161" t="s">
        <v>1112</v>
      </c>
      <c r="D2905" s="56"/>
      <c r="E2905" s="74"/>
      <c r="F2905" s="57" t="s">
        <v>29</v>
      </c>
      <c r="G2905" s="57"/>
      <c r="H2905" s="34"/>
      <c r="I2905" s="84">
        <v>201997.86</v>
      </c>
      <c r="J2905" s="136"/>
      <c r="K2905" s="136"/>
      <c r="L2905" s="34"/>
      <c r="M2905" s="84"/>
      <c r="N2905" s="38"/>
      <c r="O2905" s="39"/>
      <c r="P2905" s="66">
        <v>45352</v>
      </c>
    </row>
    <row r="2906" spans="1:16" ht="12.75" customHeight="1">
      <c r="A2906" s="13">
        <f t="shared" si="55"/>
        <v>2880</v>
      </c>
      <c r="B2906" s="52" t="s">
        <v>851</v>
      </c>
      <c r="C2906" s="161" t="s">
        <v>1113</v>
      </c>
      <c r="D2906" s="56"/>
      <c r="E2906" s="74"/>
      <c r="F2906" s="57" t="s">
        <v>29</v>
      </c>
      <c r="G2906" s="57"/>
      <c r="H2906" s="34"/>
      <c r="I2906" s="84">
        <v>228733.29</v>
      </c>
      <c r="J2906" s="136"/>
      <c r="K2906" s="136"/>
      <c r="L2906" s="34"/>
      <c r="M2906" s="84"/>
      <c r="N2906" s="38"/>
      <c r="O2906" s="39"/>
      <c r="P2906" s="66">
        <v>45352</v>
      </c>
    </row>
    <row r="2907" spans="1:16" ht="12.75" customHeight="1">
      <c r="A2907" s="13">
        <f t="shared" si="55"/>
        <v>2881</v>
      </c>
      <c r="B2907" s="52" t="s">
        <v>851</v>
      </c>
      <c r="C2907" s="161" t="s">
        <v>1114</v>
      </c>
      <c r="D2907" s="56"/>
      <c r="E2907" s="74"/>
      <c r="F2907" s="57" t="s">
        <v>29</v>
      </c>
      <c r="G2907" s="57"/>
      <c r="H2907" s="34"/>
      <c r="I2907" s="84">
        <v>230050.93</v>
      </c>
      <c r="J2907" s="136"/>
      <c r="K2907" s="136"/>
      <c r="L2907" s="34"/>
      <c r="M2907" s="84"/>
      <c r="N2907" s="38"/>
      <c r="O2907" s="39"/>
      <c r="P2907" s="66">
        <v>45352</v>
      </c>
    </row>
    <row r="2908" spans="1:16" ht="12.75" customHeight="1">
      <c r="A2908" s="13">
        <f t="shared" si="55"/>
        <v>2882</v>
      </c>
      <c r="B2908" s="52" t="s">
        <v>851</v>
      </c>
      <c r="C2908" s="161" t="s">
        <v>1161</v>
      </c>
      <c r="D2908" s="56"/>
      <c r="E2908" s="74"/>
      <c r="F2908" s="57" t="s">
        <v>29</v>
      </c>
      <c r="G2908" s="57"/>
      <c r="H2908" s="34"/>
      <c r="I2908" s="84">
        <v>210736.87</v>
      </c>
      <c r="J2908" s="136"/>
      <c r="K2908" s="136"/>
      <c r="L2908" s="34"/>
      <c r="M2908" s="84"/>
      <c r="N2908" s="38"/>
      <c r="O2908" s="39"/>
      <c r="P2908" s="66">
        <v>45689</v>
      </c>
    </row>
    <row r="2909" spans="1:16" ht="12.75" customHeight="1">
      <c r="A2909" s="13">
        <f t="shared" si="55"/>
        <v>2883</v>
      </c>
      <c r="B2909" s="52" t="s">
        <v>851</v>
      </c>
      <c r="C2909" s="161" t="s">
        <v>1111</v>
      </c>
      <c r="D2909" s="56"/>
      <c r="E2909" s="74"/>
      <c r="F2909" s="57" t="s">
        <v>29</v>
      </c>
      <c r="G2909" s="57"/>
      <c r="H2909" s="34"/>
      <c r="I2909" s="84">
        <v>216279.53</v>
      </c>
      <c r="J2909" s="136"/>
      <c r="K2909" s="136"/>
      <c r="L2909" s="34"/>
      <c r="M2909" s="84"/>
      <c r="N2909" s="38"/>
      <c r="O2909" s="39"/>
      <c r="P2909" s="66">
        <v>45689</v>
      </c>
    </row>
    <row r="2910" spans="1:16" ht="12.75" customHeight="1">
      <c r="A2910" s="13">
        <f t="shared" si="55"/>
        <v>2884</v>
      </c>
      <c r="B2910" s="52" t="s">
        <v>851</v>
      </c>
      <c r="C2910" s="161" t="s">
        <v>1112</v>
      </c>
      <c r="D2910" s="56"/>
      <c r="E2910" s="74"/>
      <c r="F2910" s="57" t="s">
        <v>29</v>
      </c>
      <c r="G2910" s="57"/>
      <c r="H2910" s="34"/>
      <c r="I2910" s="84">
        <v>237103.85</v>
      </c>
      <c r="J2910" s="136"/>
      <c r="K2910" s="136"/>
      <c r="L2910" s="34"/>
      <c r="M2910" s="84"/>
      <c r="N2910" s="38"/>
      <c r="O2910" s="39"/>
      <c r="P2910" s="66">
        <v>45689</v>
      </c>
    </row>
    <row r="2911" spans="1:16" ht="12.75" customHeight="1">
      <c r="A2911" s="13">
        <f t="shared" si="55"/>
        <v>2885</v>
      </c>
      <c r="B2911" s="52" t="s">
        <v>851</v>
      </c>
      <c r="C2911" s="161" t="s">
        <v>1113</v>
      </c>
      <c r="D2911" s="56"/>
      <c r="E2911" s="74"/>
      <c r="F2911" s="57" t="s">
        <v>29</v>
      </c>
      <c r="G2911" s="57"/>
      <c r="H2911" s="34"/>
      <c r="I2911" s="84">
        <v>268919.01</v>
      </c>
      <c r="J2911" s="136"/>
      <c r="K2911" s="136"/>
      <c r="L2911" s="34"/>
      <c r="M2911" s="84"/>
      <c r="N2911" s="38"/>
      <c r="O2911" s="39"/>
      <c r="P2911" s="66">
        <v>45689</v>
      </c>
    </row>
    <row r="2912" spans="1:16" ht="12.75" customHeight="1">
      <c r="A2912" s="13">
        <f t="shared" si="55"/>
        <v>2886</v>
      </c>
      <c r="B2912" s="52" t="s">
        <v>851</v>
      </c>
      <c r="C2912" s="161" t="s">
        <v>1114</v>
      </c>
      <c r="D2912" s="56"/>
      <c r="E2912" s="74"/>
      <c r="F2912" s="57" t="s">
        <v>29</v>
      </c>
      <c r="G2912" s="57"/>
      <c r="H2912" s="34"/>
      <c r="I2912" s="84">
        <v>270486.99</v>
      </c>
      <c r="J2912" s="136"/>
      <c r="K2912" s="136"/>
      <c r="L2912" s="34"/>
      <c r="M2912" s="84"/>
      <c r="N2912" s="38"/>
      <c r="O2912" s="39"/>
      <c r="P2912" s="66">
        <v>45689</v>
      </c>
    </row>
    <row r="2913" spans="1:16" ht="12.75" customHeight="1">
      <c r="A2913" s="13">
        <f t="shared" si="55"/>
        <v>2887</v>
      </c>
      <c r="B2913" s="155" t="s">
        <v>851</v>
      </c>
      <c r="C2913" s="161" t="s">
        <v>1161</v>
      </c>
      <c r="D2913" s="56"/>
      <c r="E2913" s="74"/>
      <c r="F2913" s="57" t="s">
        <v>29</v>
      </c>
      <c r="G2913" s="57"/>
      <c r="H2913" s="34"/>
      <c r="I2913" s="84">
        <v>234413.81</v>
      </c>
      <c r="J2913" s="136"/>
      <c r="K2913" s="136"/>
      <c r="L2913" s="34"/>
      <c r="M2913" s="84"/>
      <c r="N2913" s="38"/>
      <c r="O2913" s="39"/>
      <c r="P2913" s="193">
        <v>46082</v>
      </c>
    </row>
    <row r="2914" spans="1:16" ht="12.75" customHeight="1">
      <c r="A2914" s="13">
        <f t="shared" si="55"/>
        <v>2888</v>
      </c>
      <c r="B2914" s="155" t="s">
        <v>851</v>
      </c>
      <c r="C2914" s="161" t="s">
        <v>1111</v>
      </c>
      <c r="D2914" s="56"/>
      <c r="E2914" s="74"/>
      <c r="F2914" s="57" t="s">
        <v>29</v>
      </c>
      <c r="G2914" s="57"/>
      <c r="H2914" s="34"/>
      <c r="I2914" s="84">
        <v>240566.14</v>
      </c>
      <c r="J2914" s="136"/>
      <c r="K2914" s="136"/>
      <c r="L2914" s="34"/>
      <c r="M2914" s="84"/>
      <c r="N2914" s="38"/>
      <c r="O2914" s="39"/>
      <c r="P2914" s="193">
        <v>46082</v>
      </c>
    </row>
    <row r="2915" spans="1:16" ht="12.75" customHeight="1">
      <c r="A2915" s="13">
        <f t="shared" si="55"/>
        <v>2889</v>
      </c>
      <c r="B2915" s="155" t="s">
        <v>851</v>
      </c>
      <c r="C2915" s="161" t="s">
        <v>1112</v>
      </c>
      <c r="D2915" s="56"/>
      <c r="E2915" s="74"/>
      <c r="F2915" s="57" t="s">
        <v>29</v>
      </c>
      <c r="G2915" s="57"/>
      <c r="H2915" s="34"/>
      <c r="I2915" s="84">
        <v>263681.15000000002</v>
      </c>
      <c r="J2915" s="136"/>
      <c r="K2915" s="136"/>
      <c r="L2915" s="34"/>
      <c r="M2915" s="84"/>
      <c r="N2915" s="38"/>
      <c r="O2915" s="39"/>
      <c r="P2915" s="193">
        <v>46082</v>
      </c>
    </row>
    <row r="2916" spans="1:16" ht="12.75" customHeight="1">
      <c r="A2916" s="13">
        <f t="shared" si="55"/>
        <v>2890</v>
      </c>
      <c r="B2916" s="155" t="s">
        <v>851</v>
      </c>
      <c r="C2916" s="161" t="s">
        <v>1113</v>
      </c>
      <c r="D2916" s="56"/>
      <c r="E2916" s="74"/>
      <c r="F2916" s="57" t="s">
        <v>29</v>
      </c>
      <c r="G2916" s="57"/>
      <c r="H2916" s="34"/>
      <c r="I2916" s="85">
        <v>298995.98</v>
      </c>
      <c r="J2916" s="136"/>
      <c r="K2916" s="136"/>
      <c r="L2916" s="34"/>
      <c r="M2916" s="84"/>
      <c r="N2916" s="38"/>
      <c r="O2916" s="39"/>
      <c r="P2916" s="193">
        <v>46082</v>
      </c>
    </row>
    <row r="2917" spans="1:16" ht="12.75" customHeight="1">
      <c r="A2917" s="13">
        <f t="shared" si="55"/>
        <v>2891</v>
      </c>
      <c r="B2917" s="155" t="s">
        <v>851</v>
      </c>
      <c r="C2917" s="161" t="s">
        <v>1114</v>
      </c>
      <c r="D2917" s="56"/>
      <c r="E2917" s="74"/>
      <c r="F2917" s="57" t="s">
        <v>29</v>
      </c>
      <c r="G2917" s="57"/>
      <c r="H2917" s="34"/>
      <c r="I2917" s="84">
        <v>300736.44</v>
      </c>
      <c r="J2917" s="136"/>
      <c r="K2917" s="136"/>
      <c r="L2917" s="34"/>
      <c r="M2917" s="84"/>
      <c r="N2917" s="38"/>
      <c r="O2917" s="39"/>
      <c r="P2917" s="193">
        <v>46082</v>
      </c>
    </row>
    <row r="2918" spans="1:16" ht="12.75" customHeight="1">
      <c r="A2918" s="13">
        <f t="shared" si="55"/>
        <v>2892</v>
      </c>
      <c r="B2918" s="30" t="s">
        <v>520</v>
      </c>
      <c r="C2918" s="56" t="s">
        <v>31</v>
      </c>
      <c r="D2918" s="56"/>
      <c r="E2918" s="14" t="s">
        <v>13</v>
      </c>
      <c r="F2918" s="57" t="s">
        <v>29</v>
      </c>
      <c r="G2918" s="57"/>
      <c r="H2918" s="34">
        <v>83319.927075</v>
      </c>
      <c r="I2918" s="84"/>
      <c r="J2918" s="136">
        <v>0</v>
      </c>
      <c r="K2918" s="136"/>
      <c r="L2918" s="34">
        <v>0</v>
      </c>
      <c r="M2918" s="84"/>
      <c r="N2918" s="38"/>
      <c r="O2918" s="39"/>
      <c r="P2918" s="51"/>
    </row>
    <row r="2919" spans="1:16" ht="12.75" customHeight="1">
      <c r="A2919" s="13">
        <f t="shared" si="55"/>
        <v>2893</v>
      </c>
      <c r="B2919" s="30" t="s">
        <v>521</v>
      </c>
      <c r="C2919" s="56" t="s">
        <v>251</v>
      </c>
      <c r="D2919" s="56"/>
      <c r="E2919" s="14" t="s">
        <v>13</v>
      </c>
      <c r="F2919" s="57" t="s">
        <v>29</v>
      </c>
      <c r="G2919" s="57"/>
      <c r="H2919" s="34">
        <v>25269.585692399996</v>
      </c>
      <c r="I2919" s="84"/>
      <c r="J2919" s="136">
        <v>0</v>
      </c>
      <c r="K2919" s="136"/>
      <c r="L2919" s="34">
        <v>0</v>
      </c>
      <c r="M2919" s="84"/>
      <c r="N2919" s="38"/>
      <c r="O2919" s="39"/>
      <c r="P2919" s="51"/>
    </row>
    <row r="2920" spans="1:16" ht="90" customHeight="1">
      <c r="A2920" s="13">
        <f t="shared" si="55"/>
        <v>2894</v>
      </c>
      <c r="B2920" s="30" t="s">
        <v>522</v>
      </c>
      <c r="C2920" s="56" t="s">
        <v>252</v>
      </c>
      <c r="D2920" s="56"/>
      <c r="E2920" s="14" t="s">
        <v>13</v>
      </c>
      <c r="F2920" s="57" t="s">
        <v>29</v>
      </c>
      <c r="G2920" s="57"/>
      <c r="H2920" s="34">
        <v>134634.57804719999</v>
      </c>
      <c r="I2920" s="84"/>
      <c r="J2920" s="136">
        <v>0</v>
      </c>
      <c r="K2920" s="136"/>
      <c r="L2920" s="34">
        <v>0</v>
      </c>
      <c r="M2920" s="84"/>
      <c r="N2920" s="38"/>
      <c r="O2920" s="39"/>
      <c r="P2920" s="51"/>
    </row>
    <row r="2921" spans="1:16" ht="89.25" customHeight="1">
      <c r="A2921" s="13">
        <f t="shared" si="55"/>
        <v>2895</v>
      </c>
      <c r="B2921" s="30" t="s">
        <v>523</v>
      </c>
      <c r="C2921" s="58" t="s">
        <v>253</v>
      </c>
      <c r="D2921" s="58"/>
      <c r="E2921" s="14" t="s">
        <v>13</v>
      </c>
      <c r="F2921" s="57" t="s">
        <v>29</v>
      </c>
      <c r="G2921" s="57"/>
      <c r="H2921" s="34">
        <v>83319.927075</v>
      </c>
      <c r="I2921" s="84"/>
      <c r="J2921" s="136">
        <v>0</v>
      </c>
      <c r="K2921" s="136"/>
      <c r="L2921" s="34">
        <v>0</v>
      </c>
      <c r="M2921" s="84"/>
      <c r="N2921" s="38"/>
      <c r="O2921" s="39"/>
      <c r="P2921" s="51"/>
    </row>
    <row r="2922" spans="1:16" ht="15.75" customHeight="1">
      <c r="A2922" s="13">
        <f t="shared" si="55"/>
        <v>2896</v>
      </c>
      <c r="B2922" s="52" t="s">
        <v>876</v>
      </c>
      <c r="C2922" s="119" t="s">
        <v>877</v>
      </c>
      <c r="D2922" s="58"/>
      <c r="E2922" s="14"/>
      <c r="F2922" s="25" t="s">
        <v>648</v>
      </c>
      <c r="G2922" s="57"/>
      <c r="H2922" s="34"/>
      <c r="I2922" s="85" t="s">
        <v>880</v>
      </c>
      <c r="J2922" s="136"/>
      <c r="K2922" s="136"/>
      <c r="L2922" s="34"/>
      <c r="M2922" s="84"/>
      <c r="N2922" s="38"/>
      <c r="O2922" s="39"/>
      <c r="P2922" s="66">
        <v>43617</v>
      </c>
    </row>
    <row r="2923" spans="1:16" ht="15.75" customHeight="1">
      <c r="A2923" s="13">
        <f t="shared" si="55"/>
        <v>2897</v>
      </c>
      <c r="B2923" s="52" t="s">
        <v>876</v>
      </c>
      <c r="C2923" s="119" t="s">
        <v>878</v>
      </c>
      <c r="D2923" s="58"/>
      <c r="E2923" s="14"/>
      <c r="F2923" s="25" t="s">
        <v>648</v>
      </c>
      <c r="G2923" s="57"/>
      <c r="H2923" s="34"/>
      <c r="I2923" s="85" t="s">
        <v>881</v>
      </c>
      <c r="J2923" s="136"/>
      <c r="K2923" s="136"/>
      <c r="L2923" s="34"/>
      <c r="M2923" s="84"/>
      <c r="N2923" s="38"/>
      <c r="O2923" s="39"/>
      <c r="P2923" s="66">
        <v>43617</v>
      </c>
    </row>
    <row r="2924" spans="1:16" ht="15.75" customHeight="1">
      <c r="A2924" s="13">
        <f t="shared" si="55"/>
        <v>2898</v>
      </c>
      <c r="B2924" s="52" t="s">
        <v>876</v>
      </c>
      <c r="C2924" s="119" t="s">
        <v>879</v>
      </c>
      <c r="D2924" s="58"/>
      <c r="E2924" s="14"/>
      <c r="F2924" s="25" t="s">
        <v>648</v>
      </c>
      <c r="G2924" s="57"/>
      <c r="H2924" s="34"/>
      <c r="I2924" s="85" t="s">
        <v>882</v>
      </c>
      <c r="J2924" s="136"/>
      <c r="K2924" s="136"/>
      <c r="L2924" s="34"/>
      <c r="M2924" s="84"/>
      <c r="N2924" s="38"/>
      <c r="O2924" s="39"/>
      <c r="P2924" s="66">
        <v>43617</v>
      </c>
    </row>
    <row r="2925" spans="1:16" ht="15.75" customHeight="1">
      <c r="A2925" s="13">
        <f t="shared" si="55"/>
        <v>2899</v>
      </c>
      <c r="B2925" s="32" t="s">
        <v>876</v>
      </c>
      <c r="C2925" s="119" t="s">
        <v>877</v>
      </c>
      <c r="D2925" s="58"/>
      <c r="E2925" s="14"/>
      <c r="F2925" s="25" t="s">
        <v>648</v>
      </c>
      <c r="G2925" s="57"/>
      <c r="H2925" s="34"/>
      <c r="I2925" s="85">
        <v>99706.01</v>
      </c>
      <c r="J2925" s="136"/>
      <c r="K2925" s="136"/>
      <c r="L2925" s="34"/>
      <c r="M2925" s="84"/>
      <c r="N2925" s="38"/>
      <c r="O2925" s="39"/>
      <c r="P2925" s="66">
        <v>44562</v>
      </c>
    </row>
    <row r="2926" spans="1:16" ht="15.75" customHeight="1">
      <c r="A2926" s="13">
        <f t="shared" si="55"/>
        <v>2900</v>
      </c>
      <c r="B2926" s="32" t="s">
        <v>876</v>
      </c>
      <c r="C2926" s="119" t="s">
        <v>878</v>
      </c>
      <c r="D2926" s="58"/>
      <c r="E2926" s="14"/>
      <c r="F2926" s="25" t="s">
        <v>648</v>
      </c>
      <c r="G2926" s="57"/>
      <c r="H2926" s="34"/>
      <c r="I2926" s="85">
        <v>100852.92</v>
      </c>
      <c r="J2926" s="136"/>
      <c r="K2926" s="136"/>
      <c r="L2926" s="34"/>
      <c r="M2926" s="84"/>
      <c r="N2926" s="38"/>
      <c r="O2926" s="39"/>
      <c r="P2926" s="66">
        <v>44562</v>
      </c>
    </row>
    <row r="2927" spans="1:16" ht="15.75" customHeight="1">
      <c r="A2927" s="13">
        <f t="shared" si="55"/>
        <v>2901</v>
      </c>
      <c r="B2927" s="32" t="s">
        <v>876</v>
      </c>
      <c r="C2927" s="119" t="s">
        <v>1041</v>
      </c>
      <c r="D2927" s="58"/>
      <c r="E2927" s="14"/>
      <c r="F2927" s="25" t="s">
        <v>648</v>
      </c>
      <c r="G2927" s="57"/>
      <c r="H2927" s="34"/>
      <c r="I2927" s="85">
        <v>101241.63</v>
      </c>
      <c r="J2927" s="136"/>
      <c r="K2927" s="136"/>
      <c r="L2927" s="34"/>
      <c r="M2927" s="84"/>
      <c r="N2927" s="38"/>
      <c r="O2927" s="39"/>
      <c r="P2927" s="66">
        <v>44562</v>
      </c>
    </row>
    <row r="2928" spans="1:16" ht="15.75" customHeight="1">
      <c r="A2928" s="13">
        <f t="shared" ref="A2928:A2955" si="56">A2927+1</f>
        <v>2902</v>
      </c>
      <c r="B2928" s="32" t="s">
        <v>876</v>
      </c>
      <c r="C2928" s="119" t="s">
        <v>1042</v>
      </c>
      <c r="D2928" s="58"/>
      <c r="E2928" s="14"/>
      <c r="F2928" s="25" t="s">
        <v>648</v>
      </c>
      <c r="G2928" s="57"/>
      <c r="H2928" s="34"/>
      <c r="I2928" s="85">
        <v>134221.87</v>
      </c>
      <c r="J2928" s="136"/>
      <c r="K2928" s="136"/>
      <c r="L2928" s="34"/>
      <c r="M2928" s="84"/>
      <c r="N2928" s="38"/>
      <c r="O2928" s="39"/>
      <c r="P2928" s="66">
        <v>44562</v>
      </c>
    </row>
    <row r="2929" spans="1:16" ht="15.75" customHeight="1">
      <c r="A2929" s="13">
        <f t="shared" si="56"/>
        <v>2903</v>
      </c>
      <c r="B2929" s="32" t="s">
        <v>876</v>
      </c>
      <c r="C2929" s="119" t="s">
        <v>1043</v>
      </c>
      <c r="D2929" s="58"/>
      <c r="E2929" s="14"/>
      <c r="F2929" s="25" t="s">
        <v>648</v>
      </c>
      <c r="G2929" s="57"/>
      <c r="H2929" s="34"/>
      <c r="I2929" s="85">
        <v>134960.85999999999</v>
      </c>
      <c r="J2929" s="136"/>
      <c r="K2929" s="136"/>
      <c r="L2929" s="34"/>
      <c r="M2929" s="84"/>
      <c r="N2929" s="38"/>
      <c r="O2929" s="39"/>
      <c r="P2929" s="66">
        <v>44562</v>
      </c>
    </row>
    <row r="2930" spans="1:16" ht="15.75" customHeight="1">
      <c r="A2930" s="13">
        <f t="shared" si="56"/>
        <v>2904</v>
      </c>
      <c r="B2930" s="32" t="s">
        <v>876</v>
      </c>
      <c r="C2930" s="119" t="s">
        <v>879</v>
      </c>
      <c r="D2930" s="58"/>
      <c r="E2930" s="14"/>
      <c r="F2930" s="25" t="s">
        <v>648</v>
      </c>
      <c r="G2930" s="57"/>
      <c r="H2930" s="34"/>
      <c r="I2930" s="85">
        <v>137325.63</v>
      </c>
      <c r="J2930" s="136"/>
      <c r="K2930" s="136"/>
      <c r="L2930" s="34"/>
      <c r="M2930" s="84"/>
      <c r="N2930" s="38"/>
      <c r="O2930" s="39"/>
      <c r="P2930" s="66">
        <v>44562</v>
      </c>
    </row>
    <row r="2931" spans="1:16" ht="15.75" customHeight="1">
      <c r="A2931" s="13">
        <f t="shared" si="56"/>
        <v>2905</v>
      </c>
      <c r="B2931" s="32" t="s">
        <v>876</v>
      </c>
      <c r="C2931" s="119" t="s">
        <v>1044</v>
      </c>
      <c r="D2931" s="58"/>
      <c r="E2931" s="14"/>
      <c r="F2931" s="25" t="s">
        <v>648</v>
      </c>
      <c r="G2931" s="57"/>
      <c r="H2931" s="34"/>
      <c r="I2931" s="85">
        <v>167826.71</v>
      </c>
      <c r="J2931" s="136"/>
      <c r="K2931" s="136"/>
      <c r="L2931" s="34"/>
      <c r="M2931" s="84"/>
      <c r="N2931" s="38"/>
      <c r="O2931" s="39"/>
      <c r="P2931" s="66">
        <v>44562</v>
      </c>
    </row>
    <row r="2932" spans="1:16" ht="15.75" customHeight="1">
      <c r="A2932" s="13">
        <f t="shared" si="56"/>
        <v>2906</v>
      </c>
      <c r="B2932" s="180" t="s">
        <v>876</v>
      </c>
      <c r="C2932" s="119" t="s">
        <v>877</v>
      </c>
      <c r="D2932" s="58"/>
      <c r="E2932" s="14"/>
      <c r="F2932" s="25" t="s">
        <v>648</v>
      </c>
      <c r="G2932" s="57"/>
      <c r="H2932" s="34"/>
      <c r="I2932" s="85">
        <v>184902.69</v>
      </c>
      <c r="J2932" s="136"/>
      <c r="K2932" s="136"/>
      <c r="L2932" s="34"/>
      <c r="M2932" s="84"/>
      <c r="N2932" s="38"/>
      <c r="O2932" s="39"/>
      <c r="P2932" s="67">
        <v>45352</v>
      </c>
    </row>
    <row r="2933" spans="1:16" ht="15.75" customHeight="1">
      <c r="A2933" s="13">
        <f t="shared" si="56"/>
        <v>2907</v>
      </c>
      <c r="B2933" s="32" t="s">
        <v>876</v>
      </c>
      <c r="C2933" s="119" t="s">
        <v>878</v>
      </c>
      <c r="D2933" s="58"/>
      <c r="E2933" s="14"/>
      <c r="F2933" s="25" t="s">
        <v>648</v>
      </c>
      <c r="G2933" s="57"/>
      <c r="H2933" s="34"/>
      <c r="I2933" s="85">
        <v>186528.46</v>
      </c>
      <c r="J2933" s="136"/>
      <c r="K2933" s="136"/>
      <c r="L2933" s="34"/>
      <c r="M2933" s="84"/>
      <c r="N2933" s="38"/>
      <c r="O2933" s="39"/>
      <c r="P2933" s="67">
        <v>45352</v>
      </c>
    </row>
    <row r="2934" spans="1:16" ht="15.75" customHeight="1">
      <c r="A2934" s="13">
        <f t="shared" si="56"/>
        <v>2908</v>
      </c>
      <c r="B2934" s="32" t="s">
        <v>876</v>
      </c>
      <c r="C2934" s="119" t="s">
        <v>1041</v>
      </c>
      <c r="D2934" s="58"/>
      <c r="E2934" s="14"/>
      <c r="F2934" s="25" t="s">
        <v>648</v>
      </c>
      <c r="G2934" s="57"/>
      <c r="H2934" s="34"/>
      <c r="I2934" s="85">
        <v>188560.69</v>
      </c>
      <c r="J2934" s="136"/>
      <c r="K2934" s="136"/>
      <c r="L2934" s="34"/>
      <c r="M2934" s="84"/>
      <c r="N2934" s="38"/>
      <c r="O2934" s="39"/>
      <c r="P2934" s="67">
        <v>45352</v>
      </c>
    </row>
    <row r="2935" spans="1:16" ht="15.75" customHeight="1">
      <c r="A2935" s="13">
        <f t="shared" si="56"/>
        <v>2909</v>
      </c>
      <c r="B2935" s="32" t="s">
        <v>876</v>
      </c>
      <c r="C2935" s="119" t="s">
        <v>1042</v>
      </c>
      <c r="D2935" s="58"/>
      <c r="E2935" s="14"/>
      <c r="F2935" s="25" t="s">
        <v>648</v>
      </c>
      <c r="G2935" s="57"/>
      <c r="H2935" s="34"/>
      <c r="I2935" s="85">
        <v>189181.44</v>
      </c>
      <c r="J2935" s="136"/>
      <c r="K2935" s="136"/>
      <c r="L2935" s="34"/>
      <c r="M2935" s="84"/>
      <c r="N2935" s="38"/>
      <c r="O2935" s="39"/>
      <c r="P2935" s="67">
        <v>45352</v>
      </c>
    </row>
    <row r="2936" spans="1:16" ht="15.75" customHeight="1">
      <c r="A2936" s="13">
        <f t="shared" si="56"/>
        <v>2910</v>
      </c>
      <c r="B2936" s="32" t="s">
        <v>876</v>
      </c>
      <c r="C2936" s="119" t="s">
        <v>1043</v>
      </c>
      <c r="D2936" s="58"/>
      <c r="E2936" s="14"/>
      <c r="F2936" s="25" t="s">
        <v>648</v>
      </c>
      <c r="G2936" s="57"/>
      <c r="H2936" s="34"/>
      <c r="I2936" s="85">
        <v>190245.59</v>
      </c>
      <c r="J2936" s="136"/>
      <c r="K2936" s="136"/>
      <c r="L2936" s="34"/>
      <c r="M2936" s="84"/>
      <c r="N2936" s="38"/>
      <c r="O2936" s="39"/>
      <c r="P2936" s="67">
        <v>45352</v>
      </c>
    </row>
    <row r="2937" spans="1:16" ht="15.75" customHeight="1">
      <c r="A2937" s="13">
        <f t="shared" si="56"/>
        <v>2911</v>
      </c>
      <c r="B2937" s="32" t="s">
        <v>876</v>
      </c>
      <c r="C2937" s="119" t="s">
        <v>879</v>
      </c>
      <c r="D2937" s="58"/>
      <c r="E2937" s="14"/>
      <c r="F2937" s="25" t="s">
        <v>648</v>
      </c>
      <c r="G2937" s="57"/>
      <c r="H2937" s="34"/>
      <c r="I2937" s="85">
        <v>193593.21</v>
      </c>
      <c r="J2937" s="136"/>
      <c r="K2937" s="136"/>
      <c r="L2937" s="34"/>
      <c r="M2937" s="84"/>
      <c r="N2937" s="38"/>
      <c r="O2937" s="39"/>
      <c r="P2937" s="67">
        <v>45352</v>
      </c>
    </row>
    <row r="2938" spans="1:16" ht="15.75" customHeight="1">
      <c r="A2938" s="13">
        <f t="shared" si="56"/>
        <v>2912</v>
      </c>
      <c r="B2938" s="32" t="s">
        <v>876</v>
      </c>
      <c r="C2938" s="119" t="s">
        <v>1159</v>
      </c>
      <c r="D2938" s="58"/>
      <c r="E2938" s="14"/>
      <c r="F2938" s="25" t="s">
        <v>648</v>
      </c>
      <c r="G2938" s="57"/>
      <c r="H2938" s="34"/>
      <c r="I2938" s="85">
        <v>202653.23</v>
      </c>
      <c r="J2938" s="136"/>
      <c r="K2938" s="136"/>
      <c r="L2938" s="34"/>
      <c r="M2938" s="84"/>
      <c r="N2938" s="38"/>
      <c r="O2938" s="39"/>
      <c r="P2938" s="67">
        <v>45352</v>
      </c>
    </row>
    <row r="2939" spans="1:16" ht="15.75" customHeight="1">
      <c r="A2939" s="13">
        <f t="shared" si="56"/>
        <v>2913</v>
      </c>
      <c r="B2939" s="32" t="s">
        <v>876</v>
      </c>
      <c r="C2939" s="119" t="s">
        <v>1160</v>
      </c>
      <c r="D2939" s="58"/>
      <c r="E2939" s="14"/>
      <c r="F2939" s="25" t="s">
        <v>648</v>
      </c>
      <c r="G2939" s="57"/>
      <c r="H2939" s="34"/>
      <c r="I2939" s="85">
        <v>203916.91</v>
      </c>
      <c r="J2939" s="136"/>
      <c r="K2939" s="136"/>
      <c r="L2939" s="34"/>
      <c r="M2939" s="84"/>
      <c r="N2939" s="38"/>
      <c r="O2939" s="39"/>
      <c r="P2939" s="67">
        <v>45352</v>
      </c>
    </row>
    <row r="2940" spans="1:16" ht="15.75" customHeight="1">
      <c r="A2940" s="13">
        <f t="shared" si="56"/>
        <v>2914</v>
      </c>
      <c r="B2940" s="32" t="s">
        <v>876</v>
      </c>
      <c r="C2940" s="119" t="s">
        <v>1044</v>
      </c>
      <c r="D2940" s="58"/>
      <c r="E2940" s="14"/>
      <c r="F2940" s="25" t="s">
        <v>648</v>
      </c>
      <c r="G2940" s="57"/>
      <c r="H2940" s="34"/>
      <c r="I2940" s="85">
        <v>237053.22</v>
      </c>
      <c r="J2940" s="136"/>
      <c r="K2940" s="136"/>
      <c r="L2940" s="34"/>
      <c r="M2940" s="84"/>
      <c r="N2940" s="38"/>
      <c r="O2940" s="39"/>
      <c r="P2940" s="67">
        <v>45352</v>
      </c>
    </row>
    <row r="2941" spans="1:16" ht="15.75" customHeight="1">
      <c r="A2941" s="13">
        <f t="shared" si="56"/>
        <v>2915</v>
      </c>
      <c r="B2941" s="32" t="s">
        <v>876</v>
      </c>
      <c r="C2941" s="119" t="s">
        <v>877</v>
      </c>
      <c r="D2941" s="58"/>
      <c r="E2941" s="14"/>
      <c r="F2941" s="25" t="s">
        <v>648</v>
      </c>
      <c r="G2941" s="57"/>
      <c r="H2941" s="34"/>
      <c r="I2941" s="85">
        <v>200872.27</v>
      </c>
      <c r="J2941" s="136"/>
      <c r="K2941" s="136"/>
      <c r="L2941" s="34"/>
      <c r="M2941" s="84"/>
      <c r="N2941" s="38"/>
      <c r="O2941" s="39"/>
      <c r="P2941" s="67"/>
    </row>
    <row r="2942" spans="1:16" ht="15.75" customHeight="1">
      <c r="A2942" s="13">
        <f t="shared" si="56"/>
        <v>2916</v>
      </c>
      <c r="B2942" s="32" t="s">
        <v>876</v>
      </c>
      <c r="C2942" s="119" t="s">
        <v>878</v>
      </c>
      <c r="D2942" s="58"/>
      <c r="E2942" s="14"/>
      <c r="F2942" s="25" t="s">
        <v>648</v>
      </c>
      <c r="G2942" s="57"/>
      <c r="H2942" s="34"/>
      <c r="I2942" s="85">
        <v>202586.72</v>
      </c>
      <c r="J2942" s="136"/>
      <c r="K2942" s="136"/>
      <c r="L2942" s="34"/>
      <c r="M2942" s="84"/>
      <c r="N2942" s="38"/>
      <c r="O2942" s="39"/>
      <c r="P2942" s="67"/>
    </row>
    <row r="2943" spans="1:16" ht="15.75" customHeight="1">
      <c r="A2943" s="13">
        <f t="shared" si="56"/>
        <v>2917</v>
      </c>
      <c r="B2943" s="32" t="s">
        <v>876</v>
      </c>
      <c r="C2943" s="119" t="s">
        <v>879</v>
      </c>
      <c r="D2943" s="58"/>
      <c r="E2943" s="14"/>
      <c r="F2943" s="25" t="s">
        <v>648</v>
      </c>
      <c r="G2943" s="57"/>
      <c r="H2943" s="34"/>
      <c r="I2943" s="85">
        <v>207622.19</v>
      </c>
      <c r="J2943" s="136"/>
      <c r="K2943" s="136"/>
      <c r="L2943" s="34"/>
      <c r="M2943" s="84"/>
      <c r="N2943" s="38"/>
      <c r="O2943" s="39"/>
      <c r="P2943" s="67"/>
    </row>
    <row r="2944" spans="1:16" ht="15.75" customHeight="1">
      <c r="A2944" s="13">
        <f t="shared" si="56"/>
        <v>2918</v>
      </c>
      <c r="B2944" s="32" t="s">
        <v>876</v>
      </c>
      <c r="C2944" s="119" t="s">
        <v>1159</v>
      </c>
      <c r="D2944" s="58"/>
      <c r="E2944" s="14"/>
      <c r="F2944" s="25" t="s">
        <v>648</v>
      </c>
      <c r="G2944" s="57"/>
      <c r="H2944" s="34"/>
      <c r="I2944" s="85">
        <v>217140.38</v>
      </c>
      <c r="J2944" s="136"/>
      <c r="K2944" s="136"/>
      <c r="L2944" s="34"/>
      <c r="M2944" s="84"/>
      <c r="N2944" s="38"/>
      <c r="O2944" s="39"/>
      <c r="P2944" s="67"/>
    </row>
    <row r="2945" spans="1:16" ht="15.75" customHeight="1">
      <c r="A2945" s="13">
        <f t="shared" si="56"/>
        <v>2919</v>
      </c>
      <c r="B2945" s="32" t="s">
        <v>876</v>
      </c>
      <c r="C2945" s="119" t="s">
        <v>1160</v>
      </c>
      <c r="D2945" s="58"/>
      <c r="E2945" s="14"/>
      <c r="F2945" s="25" t="s">
        <v>648</v>
      </c>
      <c r="G2945" s="57"/>
      <c r="H2945" s="34"/>
      <c r="I2945" s="85">
        <v>218470.56</v>
      </c>
      <c r="J2945" s="136"/>
      <c r="K2945" s="136"/>
      <c r="L2945" s="34"/>
      <c r="M2945" s="84"/>
      <c r="N2945" s="38"/>
      <c r="O2945" s="39"/>
      <c r="P2945" s="67"/>
    </row>
    <row r="2946" spans="1:16" ht="15.75" customHeight="1">
      <c r="A2946" s="13">
        <f t="shared" si="56"/>
        <v>2920</v>
      </c>
      <c r="B2946" s="32" t="s">
        <v>876</v>
      </c>
      <c r="C2946" s="119" t="s">
        <v>1044</v>
      </c>
      <c r="D2946" s="58"/>
      <c r="E2946" s="14"/>
      <c r="F2946" s="25" t="s">
        <v>648</v>
      </c>
      <c r="G2946" s="57"/>
      <c r="H2946" s="34"/>
      <c r="I2946" s="85">
        <v>253262.21</v>
      </c>
      <c r="J2946" s="136"/>
      <c r="K2946" s="136"/>
      <c r="L2946" s="34"/>
      <c r="M2946" s="84"/>
      <c r="N2946" s="38"/>
      <c r="O2946" s="39"/>
      <c r="P2946" s="67"/>
    </row>
    <row r="2947" spans="1:16" ht="15.75" customHeight="1">
      <c r="A2947" s="13">
        <f t="shared" si="56"/>
        <v>2921</v>
      </c>
      <c r="B2947" s="156" t="s">
        <v>876</v>
      </c>
      <c r="C2947" s="119" t="s">
        <v>1201</v>
      </c>
      <c r="D2947" s="58"/>
      <c r="E2947" s="14"/>
      <c r="F2947" s="25" t="s">
        <v>648</v>
      </c>
      <c r="G2947" s="57"/>
      <c r="H2947" s="34"/>
      <c r="I2947" s="85">
        <v>200872.27</v>
      </c>
      <c r="J2947" s="136"/>
      <c r="K2947" s="136"/>
      <c r="L2947" s="34"/>
      <c r="M2947" s="84"/>
      <c r="N2947" s="38"/>
      <c r="O2947" s="39"/>
      <c r="P2947" s="193">
        <v>46082</v>
      </c>
    </row>
    <row r="2948" spans="1:16" ht="15.75" customHeight="1">
      <c r="A2948" s="13">
        <f t="shared" si="56"/>
        <v>2922</v>
      </c>
      <c r="B2948" s="156" t="s">
        <v>876</v>
      </c>
      <c r="C2948" s="119" t="s">
        <v>1202</v>
      </c>
      <c r="D2948" s="58"/>
      <c r="E2948" s="14"/>
      <c r="F2948" s="25" t="s">
        <v>648</v>
      </c>
      <c r="G2948" s="57"/>
      <c r="H2948" s="34"/>
      <c r="I2948" s="85">
        <v>202586.72</v>
      </c>
      <c r="J2948" s="136"/>
      <c r="K2948" s="136"/>
      <c r="L2948" s="34"/>
      <c r="M2948" s="84"/>
      <c r="N2948" s="38"/>
      <c r="O2948" s="39"/>
      <c r="P2948" s="193">
        <v>46082</v>
      </c>
    </row>
    <row r="2949" spans="1:16" ht="15.75" customHeight="1">
      <c r="A2949" s="13">
        <f t="shared" si="56"/>
        <v>2923</v>
      </c>
      <c r="B2949" s="156" t="s">
        <v>876</v>
      </c>
      <c r="C2949" s="119" t="s">
        <v>1203</v>
      </c>
      <c r="D2949" s="58"/>
      <c r="E2949" s="14"/>
      <c r="F2949" s="25" t="s">
        <v>648</v>
      </c>
      <c r="G2949" s="57"/>
      <c r="H2949" s="34"/>
      <c r="I2949" s="85">
        <v>203163.13</v>
      </c>
      <c r="J2949" s="136"/>
      <c r="K2949" s="136"/>
      <c r="L2949" s="34"/>
      <c r="M2949" s="84"/>
      <c r="N2949" s="38"/>
      <c r="O2949" s="39"/>
      <c r="P2949" s="193">
        <v>46082</v>
      </c>
    </row>
    <row r="2950" spans="1:16" ht="15.75" customHeight="1">
      <c r="A2950" s="13">
        <f t="shared" si="56"/>
        <v>2924</v>
      </c>
      <c r="B2950" s="156" t="s">
        <v>876</v>
      </c>
      <c r="C2950" s="119" t="s">
        <v>1042</v>
      </c>
      <c r="D2950" s="58"/>
      <c r="E2950" s="14"/>
      <c r="F2950" s="25" t="s">
        <v>648</v>
      </c>
      <c r="G2950" s="57"/>
      <c r="H2950" s="34"/>
      <c r="I2950" s="85">
        <v>202996.12</v>
      </c>
      <c r="J2950" s="136"/>
      <c r="K2950" s="136"/>
      <c r="L2950" s="34"/>
      <c r="M2950" s="84"/>
      <c r="N2950" s="38"/>
      <c r="O2950" s="39"/>
      <c r="P2950" s="193">
        <v>46082</v>
      </c>
    </row>
    <row r="2951" spans="1:16" ht="15.75" customHeight="1">
      <c r="A2951" s="13">
        <f t="shared" si="56"/>
        <v>2925</v>
      </c>
      <c r="B2951" s="156" t="s">
        <v>876</v>
      </c>
      <c r="C2951" s="119" t="s">
        <v>1043</v>
      </c>
      <c r="D2951" s="58"/>
      <c r="E2951" s="14"/>
      <c r="F2951" s="25" t="s">
        <v>648</v>
      </c>
      <c r="G2951" s="57"/>
      <c r="H2951" s="34"/>
      <c r="I2951" s="85">
        <v>204119.38</v>
      </c>
      <c r="J2951" s="136"/>
      <c r="K2951" s="136"/>
      <c r="L2951" s="34"/>
      <c r="M2951" s="84"/>
      <c r="N2951" s="38"/>
      <c r="O2951" s="39"/>
      <c r="P2951" s="193">
        <v>46082</v>
      </c>
    </row>
    <row r="2952" spans="1:16" ht="15.75" customHeight="1">
      <c r="A2952" s="13">
        <f t="shared" si="56"/>
        <v>2926</v>
      </c>
      <c r="B2952" s="156" t="s">
        <v>876</v>
      </c>
      <c r="C2952" s="119" t="s">
        <v>879</v>
      </c>
      <c r="D2952" s="58"/>
      <c r="E2952" s="14"/>
      <c r="F2952" s="25" t="s">
        <v>648</v>
      </c>
      <c r="G2952" s="57"/>
      <c r="H2952" s="34"/>
      <c r="I2952" s="85">
        <v>207622.19</v>
      </c>
      <c r="J2952" s="136"/>
      <c r="K2952" s="136"/>
      <c r="L2952" s="34"/>
      <c r="M2952" s="84"/>
      <c r="N2952" s="38"/>
      <c r="O2952" s="39"/>
      <c r="P2952" s="193">
        <v>46082</v>
      </c>
    </row>
    <row r="2953" spans="1:16" ht="15.75" customHeight="1">
      <c r="A2953" s="13">
        <f t="shared" si="56"/>
        <v>2927</v>
      </c>
      <c r="B2953" s="156" t="s">
        <v>876</v>
      </c>
      <c r="C2953" s="119" t="s">
        <v>1159</v>
      </c>
      <c r="D2953" s="58"/>
      <c r="E2953" s="14"/>
      <c r="F2953" s="25" t="s">
        <v>648</v>
      </c>
      <c r="G2953" s="57"/>
      <c r="H2953" s="34"/>
      <c r="I2953" s="85">
        <v>217140.38</v>
      </c>
      <c r="J2953" s="136"/>
      <c r="K2953" s="136"/>
      <c r="L2953" s="34"/>
      <c r="M2953" s="84"/>
      <c r="N2953" s="38"/>
      <c r="O2953" s="39"/>
      <c r="P2953" s="193">
        <v>46082</v>
      </c>
    </row>
    <row r="2954" spans="1:16" ht="15.75" customHeight="1">
      <c r="A2954" s="13">
        <f t="shared" si="56"/>
        <v>2928</v>
      </c>
      <c r="B2954" s="156" t="s">
        <v>876</v>
      </c>
      <c r="C2954" s="119" t="s">
        <v>1160</v>
      </c>
      <c r="D2954" s="58"/>
      <c r="E2954" s="14"/>
      <c r="F2954" s="25" t="s">
        <v>648</v>
      </c>
      <c r="G2954" s="57"/>
      <c r="H2954" s="34"/>
      <c r="I2954" s="85">
        <v>218470.56</v>
      </c>
      <c r="J2954" s="136"/>
      <c r="K2954" s="136"/>
      <c r="L2954" s="34"/>
      <c r="M2954" s="84"/>
      <c r="N2954" s="38"/>
      <c r="O2954" s="39"/>
      <c r="P2954" s="193">
        <v>46082</v>
      </c>
    </row>
    <row r="2955" spans="1:16" ht="15.75" customHeight="1">
      <c r="A2955" s="13">
        <f t="shared" si="56"/>
        <v>2929</v>
      </c>
      <c r="B2955" s="156" t="s">
        <v>876</v>
      </c>
      <c r="C2955" s="119" t="s">
        <v>1044</v>
      </c>
      <c r="D2955" s="58"/>
      <c r="E2955" s="14"/>
      <c r="F2955" s="25" t="s">
        <v>648</v>
      </c>
      <c r="G2955" s="57"/>
      <c r="H2955" s="34"/>
      <c r="I2955" s="85">
        <v>253262.21</v>
      </c>
      <c r="J2955" s="136"/>
      <c r="K2955" s="136"/>
      <c r="L2955" s="34"/>
      <c r="M2955" s="84"/>
      <c r="N2955" s="38"/>
      <c r="O2955" s="39"/>
      <c r="P2955" s="193">
        <v>46082</v>
      </c>
    </row>
    <row r="2956" spans="1:16" ht="12.75" customHeight="1">
      <c r="A2956" s="202" t="s">
        <v>32</v>
      </c>
      <c r="B2956" s="202"/>
      <c r="C2956" s="202"/>
      <c r="D2956" s="202"/>
      <c r="E2956" s="202"/>
      <c r="F2956" s="202"/>
      <c r="G2956" s="202"/>
      <c r="H2956" s="202"/>
      <c r="I2956" s="202"/>
      <c r="J2956" s="202"/>
      <c r="K2956" s="202"/>
      <c r="L2956" s="202"/>
      <c r="M2956" s="202"/>
      <c r="N2956" s="202"/>
      <c r="O2956" s="202"/>
      <c r="P2956" s="202"/>
    </row>
    <row r="2957" spans="1:16" ht="12.75" customHeight="1">
      <c r="A2957" s="13">
        <f>A2955+1</f>
        <v>2930</v>
      </c>
      <c r="B2957" s="52">
        <v>55</v>
      </c>
      <c r="C2957" s="56" t="s">
        <v>254</v>
      </c>
      <c r="D2957" s="56"/>
      <c r="E2957" s="14"/>
      <c r="F2957" s="57" t="s">
        <v>29</v>
      </c>
      <c r="G2957" s="25" t="s">
        <v>885</v>
      </c>
      <c r="H2957" s="35" t="s">
        <v>885</v>
      </c>
      <c r="I2957" s="84">
        <v>21430.71</v>
      </c>
      <c r="J2957" s="140" t="s">
        <v>885</v>
      </c>
      <c r="K2957" s="137" t="s">
        <v>885</v>
      </c>
      <c r="L2957" s="34">
        <v>0</v>
      </c>
      <c r="M2957" s="84"/>
      <c r="N2957" s="38"/>
      <c r="O2957" s="39"/>
      <c r="P2957" s="66">
        <v>43617</v>
      </c>
    </row>
    <row r="2958" spans="1:16" ht="12.75" customHeight="1">
      <c r="A2958" s="13">
        <f>A2957+1</f>
        <v>2931</v>
      </c>
      <c r="B2958" s="32">
        <v>55</v>
      </c>
      <c r="C2958" s="56" t="s">
        <v>254</v>
      </c>
      <c r="D2958" s="56"/>
      <c r="E2958" s="14"/>
      <c r="F2958" s="57" t="s">
        <v>29</v>
      </c>
      <c r="G2958" s="25"/>
      <c r="H2958" s="35"/>
      <c r="I2958" s="84">
        <v>21430.73</v>
      </c>
      <c r="J2958" s="140"/>
      <c r="K2958" s="137"/>
      <c r="L2958" s="34"/>
      <c r="M2958" s="84"/>
      <c r="N2958" s="38"/>
      <c r="O2958" s="39"/>
      <c r="P2958" s="66">
        <v>44562</v>
      </c>
    </row>
    <row r="2959" spans="1:16" ht="12.75" customHeight="1">
      <c r="A2959" s="13">
        <f t="shared" ref="A2959:A3022" si="57">A2958+1</f>
        <v>2932</v>
      </c>
      <c r="B2959" s="52">
        <v>55</v>
      </c>
      <c r="C2959" s="78" t="s">
        <v>906</v>
      </c>
      <c r="D2959" s="56"/>
      <c r="E2959" s="14"/>
      <c r="F2959" s="57" t="s">
        <v>29</v>
      </c>
      <c r="G2959" s="25" t="s">
        <v>885</v>
      </c>
      <c r="H2959" s="34"/>
      <c r="I2959" s="84">
        <v>23499.88</v>
      </c>
      <c r="J2959" s="136"/>
      <c r="K2959" s="118"/>
      <c r="L2959" s="34"/>
      <c r="M2959" s="84"/>
      <c r="N2959" s="38"/>
      <c r="O2959" s="39"/>
      <c r="P2959" s="66">
        <v>43617</v>
      </c>
    </row>
    <row r="2960" spans="1:16" ht="12.75" customHeight="1">
      <c r="A2960" s="13">
        <f t="shared" si="57"/>
        <v>2933</v>
      </c>
      <c r="B2960" s="32">
        <v>55</v>
      </c>
      <c r="C2960" s="78" t="s">
        <v>906</v>
      </c>
      <c r="D2960" s="56"/>
      <c r="E2960" s="14"/>
      <c r="F2960" s="57" t="s">
        <v>29</v>
      </c>
      <c r="G2960" s="25"/>
      <c r="H2960" s="34"/>
      <c r="I2960" s="84">
        <v>23751.14</v>
      </c>
      <c r="J2960" s="136"/>
      <c r="K2960" s="118"/>
      <c r="L2960" s="34"/>
      <c r="M2960" s="84"/>
      <c r="N2960" s="38"/>
      <c r="O2960" s="39"/>
      <c r="P2960" s="66">
        <v>44562</v>
      </c>
    </row>
    <row r="2961" spans="1:16" ht="12.75" customHeight="1">
      <c r="A2961" s="13">
        <f t="shared" si="57"/>
        <v>2934</v>
      </c>
      <c r="B2961" s="52">
        <v>55</v>
      </c>
      <c r="C2961" s="78" t="s">
        <v>907</v>
      </c>
      <c r="D2961" s="56"/>
      <c r="E2961" s="14"/>
      <c r="F2961" s="57" t="s">
        <v>29</v>
      </c>
      <c r="G2961" s="25" t="s">
        <v>885</v>
      </c>
      <c r="H2961" s="34"/>
      <c r="I2961" s="84">
        <v>7768.27</v>
      </c>
      <c r="J2961" s="136"/>
      <c r="K2961" s="118"/>
      <c r="L2961" s="34"/>
      <c r="M2961" s="84"/>
      <c r="N2961" s="38"/>
      <c r="O2961" s="39"/>
      <c r="P2961" s="66">
        <v>43617</v>
      </c>
    </row>
    <row r="2962" spans="1:16" ht="12.75" customHeight="1">
      <c r="A2962" s="13">
        <f t="shared" si="57"/>
        <v>2935</v>
      </c>
      <c r="B2962" s="32">
        <v>55</v>
      </c>
      <c r="C2962" s="78" t="s">
        <v>907</v>
      </c>
      <c r="D2962" s="56"/>
      <c r="E2962" s="14"/>
      <c r="F2962" s="57" t="s">
        <v>29</v>
      </c>
      <c r="G2962" s="25"/>
      <c r="H2962" s="34"/>
      <c r="I2962" s="84">
        <v>7768.27</v>
      </c>
      <c r="J2962" s="136"/>
      <c r="K2962" s="118"/>
      <c r="L2962" s="34"/>
      <c r="M2962" s="84"/>
      <c r="N2962" s="38"/>
      <c r="O2962" s="39"/>
      <c r="P2962" s="66">
        <v>44562</v>
      </c>
    </row>
    <row r="2963" spans="1:16" ht="12.75" customHeight="1">
      <c r="A2963" s="13">
        <f t="shared" si="57"/>
        <v>2936</v>
      </c>
      <c r="B2963" s="52">
        <v>55</v>
      </c>
      <c r="C2963" s="78" t="s">
        <v>908</v>
      </c>
      <c r="D2963" s="56"/>
      <c r="E2963" s="14"/>
      <c r="F2963" s="57" t="s">
        <v>29</v>
      </c>
      <c r="G2963" s="25"/>
      <c r="H2963" s="34"/>
      <c r="I2963" s="84">
        <v>11556.54</v>
      </c>
      <c r="J2963" s="136"/>
      <c r="K2963" s="118"/>
      <c r="L2963" s="34"/>
      <c r="M2963" s="84"/>
      <c r="N2963" s="38"/>
      <c r="O2963" s="39"/>
      <c r="P2963" s="66">
        <v>43617</v>
      </c>
    </row>
    <row r="2964" spans="1:16" ht="12.75" customHeight="1">
      <c r="A2964" s="13">
        <f t="shared" si="57"/>
        <v>2937</v>
      </c>
      <c r="B2964" s="32">
        <v>55</v>
      </c>
      <c r="C2964" s="78" t="s">
        <v>919</v>
      </c>
      <c r="D2964" s="56"/>
      <c r="E2964" s="14"/>
      <c r="F2964" s="57" t="s">
        <v>29</v>
      </c>
      <c r="G2964" s="25"/>
      <c r="H2964" s="34"/>
      <c r="I2964" s="84">
        <v>15731.56</v>
      </c>
      <c r="J2964" s="136"/>
      <c r="K2964" s="118"/>
      <c r="L2964" s="34"/>
      <c r="M2964" s="84"/>
      <c r="N2964" s="38"/>
      <c r="O2964" s="39"/>
      <c r="P2964" s="66">
        <v>44562</v>
      </c>
    </row>
    <row r="2965" spans="1:16" ht="12.75" customHeight="1">
      <c r="A2965" s="13">
        <f t="shared" si="57"/>
        <v>2938</v>
      </c>
      <c r="B2965" s="52">
        <v>55</v>
      </c>
      <c r="C2965" s="78" t="s">
        <v>909</v>
      </c>
      <c r="D2965" s="56"/>
      <c r="E2965" s="14"/>
      <c r="F2965" s="57" t="s">
        <v>29</v>
      </c>
      <c r="G2965" s="25"/>
      <c r="H2965" s="34"/>
      <c r="I2965" s="84">
        <v>12694.98</v>
      </c>
      <c r="J2965" s="136"/>
      <c r="K2965" s="118"/>
      <c r="L2965" s="34"/>
      <c r="M2965" s="84"/>
      <c r="N2965" s="38"/>
      <c r="O2965" s="39"/>
      <c r="P2965" s="66">
        <v>43617</v>
      </c>
    </row>
    <row r="2966" spans="1:16" ht="12.75" customHeight="1">
      <c r="A2966" s="13">
        <f t="shared" si="57"/>
        <v>2939</v>
      </c>
      <c r="B2966" s="32">
        <v>55</v>
      </c>
      <c r="C2966" s="78" t="s">
        <v>920</v>
      </c>
      <c r="D2966" s="56"/>
      <c r="E2966" s="14"/>
      <c r="F2966" s="57" t="s">
        <v>29</v>
      </c>
      <c r="G2966" s="25"/>
      <c r="H2966" s="34"/>
      <c r="I2966" s="84">
        <v>19401.89</v>
      </c>
      <c r="J2966" s="136"/>
      <c r="K2966" s="118"/>
      <c r="L2966" s="34"/>
      <c r="M2966" s="84"/>
      <c r="N2966" s="38"/>
      <c r="O2966" s="39"/>
      <c r="P2966" s="66">
        <v>44562</v>
      </c>
    </row>
    <row r="2967" spans="1:16" ht="12.75" customHeight="1">
      <c r="A2967" s="13">
        <f t="shared" si="57"/>
        <v>2940</v>
      </c>
      <c r="B2967" s="52">
        <v>55</v>
      </c>
      <c r="C2967" s="78" t="s">
        <v>910</v>
      </c>
      <c r="D2967" s="56"/>
      <c r="E2967" s="14"/>
      <c r="F2967" s="57" t="s">
        <v>29</v>
      </c>
      <c r="G2967" s="25"/>
      <c r="H2967" s="34"/>
      <c r="I2967" s="84">
        <v>13970.08</v>
      </c>
      <c r="J2967" s="136"/>
      <c r="K2967" s="118"/>
      <c r="L2967" s="34"/>
      <c r="M2967" s="84"/>
      <c r="N2967" s="38"/>
      <c r="O2967" s="39"/>
      <c r="P2967" s="66">
        <v>43617</v>
      </c>
    </row>
    <row r="2968" spans="1:16" ht="12.75" customHeight="1">
      <c r="A2968" s="13">
        <f t="shared" si="57"/>
        <v>2941</v>
      </c>
      <c r="B2968" s="32">
        <v>55</v>
      </c>
      <c r="C2968" s="78" t="s">
        <v>921</v>
      </c>
      <c r="D2968" s="56"/>
      <c r="E2968" s="14"/>
      <c r="F2968" s="57" t="s">
        <v>29</v>
      </c>
      <c r="G2968" s="25"/>
      <c r="H2968" s="34"/>
      <c r="I2968" s="84">
        <v>20137.189999999999</v>
      </c>
      <c r="J2968" s="136"/>
      <c r="K2968" s="118"/>
      <c r="L2968" s="34"/>
      <c r="M2968" s="84"/>
      <c r="N2968" s="38"/>
      <c r="O2968" s="39"/>
      <c r="P2968" s="66">
        <v>44562</v>
      </c>
    </row>
    <row r="2969" spans="1:16" ht="12.75" customHeight="1">
      <c r="A2969" s="13">
        <f t="shared" si="57"/>
        <v>2942</v>
      </c>
      <c r="B2969" s="52">
        <v>55</v>
      </c>
      <c r="C2969" s="78" t="s">
        <v>911</v>
      </c>
      <c r="D2969" s="56"/>
      <c r="E2969" s="14"/>
      <c r="F2969" s="57" t="s">
        <v>29</v>
      </c>
      <c r="G2969" s="25"/>
      <c r="H2969" s="34"/>
      <c r="I2969" s="84">
        <v>15029.55</v>
      </c>
      <c r="J2969" s="136"/>
      <c r="K2969" s="118"/>
      <c r="L2969" s="34"/>
      <c r="M2969" s="84"/>
      <c r="N2969" s="38"/>
      <c r="O2969" s="39"/>
      <c r="P2969" s="66">
        <v>43617</v>
      </c>
    </row>
    <row r="2970" spans="1:16" ht="12.75" customHeight="1">
      <c r="A2970" s="13">
        <f t="shared" si="57"/>
        <v>2943</v>
      </c>
      <c r="B2970" s="32">
        <v>55</v>
      </c>
      <c r="C2970" s="78" t="s">
        <v>911</v>
      </c>
      <c r="D2970" s="56"/>
      <c r="E2970" s="14"/>
      <c r="F2970" s="57" t="s">
        <v>29</v>
      </c>
      <c r="G2970" s="25"/>
      <c r="H2970" s="34"/>
      <c r="I2970" s="84">
        <v>19952.73</v>
      </c>
      <c r="J2970" s="136"/>
      <c r="K2970" s="118"/>
      <c r="L2970" s="34"/>
      <c r="M2970" s="84"/>
      <c r="N2970" s="38"/>
      <c r="O2970" s="39"/>
      <c r="P2970" s="66">
        <v>44562</v>
      </c>
    </row>
    <row r="2971" spans="1:16" ht="12.75" customHeight="1">
      <c r="A2971" s="13">
        <f t="shared" si="57"/>
        <v>2944</v>
      </c>
      <c r="B2971" s="32">
        <v>55</v>
      </c>
      <c r="C2971" s="78" t="s">
        <v>1109</v>
      </c>
      <c r="D2971" s="56"/>
      <c r="E2971" s="14"/>
      <c r="F2971" s="57" t="s">
        <v>29</v>
      </c>
      <c r="G2971" s="25"/>
      <c r="H2971" s="34"/>
      <c r="I2971" s="84">
        <v>7768.27</v>
      </c>
      <c r="J2971" s="136"/>
      <c r="K2971" s="118"/>
      <c r="L2971" s="34"/>
      <c r="M2971" s="84"/>
      <c r="N2971" s="38"/>
      <c r="O2971" s="39"/>
      <c r="P2971" s="66">
        <v>45170</v>
      </c>
    </row>
    <row r="2972" spans="1:16" ht="12.75" customHeight="1">
      <c r="A2972" s="13">
        <f t="shared" si="57"/>
        <v>2945</v>
      </c>
      <c r="B2972" s="32">
        <v>55</v>
      </c>
      <c r="C2972" s="78" t="s">
        <v>919</v>
      </c>
      <c r="D2972" s="56"/>
      <c r="E2972" s="14"/>
      <c r="F2972" s="57" t="s">
        <v>29</v>
      </c>
      <c r="G2972" s="25"/>
      <c r="H2972" s="34"/>
      <c r="I2972" s="84">
        <v>17588.71</v>
      </c>
      <c r="J2972" s="136"/>
      <c r="K2972" s="118"/>
      <c r="L2972" s="34"/>
      <c r="M2972" s="84"/>
      <c r="N2972" s="38"/>
      <c r="O2972" s="39"/>
      <c r="P2972" s="66">
        <v>45170</v>
      </c>
    </row>
    <row r="2973" spans="1:16" ht="12.75" customHeight="1">
      <c r="A2973" s="13">
        <f t="shared" si="57"/>
        <v>2946</v>
      </c>
      <c r="B2973" s="32">
        <v>55</v>
      </c>
      <c r="C2973" s="78" t="s">
        <v>920</v>
      </c>
      <c r="D2973" s="56"/>
      <c r="E2973" s="14"/>
      <c r="F2973" s="57" t="s">
        <v>29</v>
      </c>
      <c r="G2973" s="25"/>
      <c r="H2973" s="34"/>
      <c r="I2973" s="84">
        <v>20861.37</v>
      </c>
      <c r="J2973" s="136"/>
      <c r="K2973" s="118"/>
      <c r="L2973" s="34"/>
      <c r="M2973" s="84"/>
      <c r="N2973" s="38"/>
      <c r="O2973" s="39"/>
      <c r="P2973" s="66">
        <v>45170</v>
      </c>
    </row>
    <row r="2974" spans="1:16" ht="12.75" customHeight="1">
      <c r="A2974" s="13">
        <f t="shared" si="57"/>
        <v>2947</v>
      </c>
      <c r="B2974" s="32">
        <v>55</v>
      </c>
      <c r="C2974" s="78" t="s">
        <v>921</v>
      </c>
      <c r="D2974" s="56"/>
      <c r="E2974" s="14"/>
      <c r="F2974" s="57" t="s">
        <v>29</v>
      </c>
      <c r="G2974" s="25"/>
      <c r="H2974" s="34"/>
      <c r="I2974" s="84">
        <v>21681.37</v>
      </c>
      <c r="J2974" s="136"/>
      <c r="K2974" s="118"/>
      <c r="L2974" s="34"/>
      <c r="M2974" s="84"/>
      <c r="N2974" s="38"/>
      <c r="O2974" s="39"/>
      <c r="P2974" s="66">
        <v>45170</v>
      </c>
    </row>
    <row r="2975" spans="1:16" ht="12.75" customHeight="1">
      <c r="A2975" s="13">
        <f t="shared" si="57"/>
        <v>2948</v>
      </c>
      <c r="B2975" s="175">
        <v>55</v>
      </c>
      <c r="C2975" s="78" t="s">
        <v>911</v>
      </c>
      <c r="D2975" s="56"/>
      <c r="E2975" s="14"/>
      <c r="F2975" s="57" t="s">
        <v>29</v>
      </c>
      <c r="G2975" s="25"/>
      <c r="H2975" s="34"/>
      <c r="I2975" s="84">
        <v>19952.73</v>
      </c>
      <c r="J2975" s="136"/>
      <c r="K2975" s="118"/>
      <c r="L2975" s="34"/>
      <c r="M2975" s="84"/>
      <c r="N2975" s="38"/>
      <c r="O2975" s="39"/>
      <c r="P2975" s="66">
        <v>45170</v>
      </c>
    </row>
    <row r="2976" spans="1:16" ht="12.75" customHeight="1">
      <c r="A2976" s="13">
        <f t="shared" si="57"/>
        <v>2949</v>
      </c>
      <c r="B2976" s="32">
        <v>55</v>
      </c>
      <c r="C2976" s="56" t="s">
        <v>254</v>
      </c>
      <c r="D2976" s="56"/>
      <c r="E2976" s="14"/>
      <c r="F2976" s="57" t="s">
        <v>29</v>
      </c>
      <c r="G2976" s="25"/>
      <c r="H2976" s="34"/>
      <c r="I2976" s="84">
        <v>21430.71</v>
      </c>
      <c r="J2976" s="136"/>
      <c r="K2976" s="118"/>
      <c r="L2976" s="34"/>
      <c r="M2976" s="84"/>
      <c r="N2976" s="38"/>
      <c r="O2976" s="39"/>
      <c r="P2976" s="66">
        <v>45170</v>
      </c>
    </row>
    <row r="2977" spans="1:16" ht="12.75" customHeight="1">
      <c r="A2977" s="13">
        <f t="shared" si="57"/>
        <v>2950</v>
      </c>
      <c r="B2977" s="32">
        <v>55</v>
      </c>
      <c r="C2977" s="78" t="s">
        <v>906</v>
      </c>
      <c r="D2977" s="56"/>
      <c r="E2977" s="14"/>
      <c r="F2977" s="57" t="s">
        <v>29</v>
      </c>
      <c r="G2977" s="25"/>
      <c r="H2977" s="34"/>
      <c r="I2977" s="84">
        <v>24194.54</v>
      </c>
      <c r="J2977" s="136"/>
      <c r="K2977" s="118"/>
      <c r="L2977" s="34"/>
      <c r="M2977" s="84"/>
      <c r="N2977" s="38"/>
      <c r="O2977" s="39"/>
      <c r="P2977" s="66">
        <v>45170</v>
      </c>
    </row>
    <row r="2978" spans="1:16" ht="12.75" customHeight="1">
      <c r="A2978" s="13">
        <f t="shared" si="57"/>
        <v>2951</v>
      </c>
      <c r="B2978" s="32">
        <v>55</v>
      </c>
      <c r="C2978" s="78" t="s">
        <v>1109</v>
      </c>
      <c r="D2978" s="56"/>
      <c r="E2978" s="14"/>
      <c r="F2978" s="57" t="s">
        <v>29</v>
      </c>
      <c r="G2978" s="25"/>
      <c r="H2978" s="34"/>
      <c r="I2978" s="84">
        <v>6673.08</v>
      </c>
      <c r="J2978" s="136"/>
      <c r="K2978" s="118"/>
      <c r="L2978" s="34"/>
      <c r="M2978" s="84"/>
      <c r="N2978" s="38"/>
      <c r="O2978" s="39"/>
      <c r="P2978" s="66">
        <v>45352</v>
      </c>
    </row>
    <row r="2979" spans="1:16" ht="12.75" customHeight="1">
      <c r="A2979" s="13">
        <f t="shared" si="57"/>
        <v>2952</v>
      </c>
      <c r="B2979" s="32">
        <v>55</v>
      </c>
      <c r="C2979" s="78" t="s">
        <v>919</v>
      </c>
      <c r="D2979" s="56"/>
      <c r="E2979" s="14"/>
      <c r="F2979" s="57" t="s">
        <v>29</v>
      </c>
      <c r="G2979" s="25"/>
      <c r="H2979" s="34"/>
      <c r="I2979" s="84">
        <v>26347.78</v>
      </c>
      <c r="J2979" s="136"/>
      <c r="K2979" s="118"/>
      <c r="L2979" s="34"/>
      <c r="M2979" s="84"/>
      <c r="N2979" s="38"/>
      <c r="O2979" s="39"/>
      <c r="P2979" s="66">
        <v>45352</v>
      </c>
    </row>
    <row r="2980" spans="1:16" ht="12.75" customHeight="1">
      <c r="A2980" s="13">
        <f t="shared" si="57"/>
        <v>2953</v>
      </c>
      <c r="B2980" s="32">
        <v>55</v>
      </c>
      <c r="C2980" s="78" t="s">
        <v>920</v>
      </c>
      <c r="D2980" s="56"/>
      <c r="E2980" s="14"/>
      <c r="F2980" s="57" t="s">
        <v>29</v>
      </c>
      <c r="G2980" s="25"/>
      <c r="H2980" s="34"/>
      <c r="I2980" s="84">
        <v>31238.3</v>
      </c>
      <c r="J2980" s="136"/>
      <c r="K2980" s="118"/>
      <c r="L2980" s="34"/>
      <c r="M2980" s="84"/>
      <c r="N2980" s="38"/>
      <c r="O2980" s="39"/>
      <c r="P2980" s="66">
        <v>45352</v>
      </c>
    </row>
    <row r="2981" spans="1:16" ht="12.75" customHeight="1">
      <c r="A2981" s="13">
        <f t="shared" si="57"/>
        <v>2954</v>
      </c>
      <c r="B2981" s="32">
        <v>55</v>
      </c>
      <c r="C2981" s="78" t="s">
        <v>921</v>
      </c>
      <c r="D2981" s="56"/>
      <c r="E2981" s="14"/>
      <c r="F2981" s="57" t="s">
        <v>29</v>
      </c>
      <c r="G2981" s="25"/>
      <c r="H2981" s="34"/>
      <c r="I2981" s="84">
        <v>33650.82</v>
      </c>
      <c r="J2981" s="136"/>
      <c r="K2981" s="118"/>
      <c r="L2981" s="34"/>
      <c r="M2981" s="84"/>
      <c r="N2981" s="38"/>
      <c r="O2981" s="39"/>
      <c r="P2981" s="66">
        <v>45352</v>
      </c>
    </row>
    <row r="2982" spans="1:16" ht="12.75" customHeight="1">
      <c r="A2982" s="13">
        <f t="shared" si="57"/>
        <v>2955</v>
      </c>
      <c r="B2982" s="175">
        <v>55</v>
      </c>
      <c r="C2982" s="78" t="s">
        <v>1109</v>
      </c>
      <c r="D2982" s="56"/>
      <c r="E2982" s="14"/>
      <c r="F2982" s="57" t="s">
        <v>29</v>
      </c>
      <c r="G2982" s="25"/>
      <c r="H2982" s="34"/>
      <c r="I2982" s="84">
        <v>6673.08</v>
      </c>
      <c r="J2982" s="136"/>
      <c r="K2982" s="118"/>
      <c r="L2982" s="34"/>
      <c r="M2982" s="84"/>
      <c r="N2982" s="38"/>
      <c r="O2982" s="39"/>
      <c r="P2982" s="66">
        <v>45689</v>
      </c>
    </row>
    <row r="2983" spans="1:16" ht="12.75" customHeight="1">
      <c r="A2983" s="13">
        <f t="shared" si="57"/>
        <v>2956</v>
      </c>
      <c r="B2983" s="175">
        <v>55</v>
      </c>
      <c r="C2983" s="78" t="s">
        <v>919</v>
      </c>
      <c r="D2983" s="56"/>
      <c r="E2983" s="14"/>
      <c r="F2983" s="57" t="s">
        <v>29</v>
      </c>
      <c r="G2983" s="25"/>
      <c r="H2983" s="34"/>
      <c r="I2983" s="84">
        <v>30493.119999999999</v>
      </c>
      <c r="J2983" s="136"/>
      <c r="K2983" s="118"/>
      <c r="L2983" s="34"/>
      <c r="M2983" s="84"/>
      <c r="N2983" s="38"/>
      <c r="O2983" s="39"/>
      <c r="P2983" s="66">
        <v>45689</v>
      </c>
    </row>
    <row r="2984" spans="1:16" ht="12.75" customHeight="1">
      <c r="A2984" s="13">
        <f t="shared" si="57"/>
        <v>2957</v>
      </c>
      <c r="B2984" s="175">
        <v>55</v>
      </c>
      <c r="C2984" s="78" t="s">
        <v>920</v>
      </c>
      <c r="D2984" s="56"/>
      <c r="E2984" s="14"/>
      <c r="F2984" s="57" t="s">
        <v>29</v>
      </c>
      <c r="G2984" s="25"/>
      <c r="H2984" s="34"/>
      <c r="I2984" s="84">
        <v>36142.17</v>
      </c>
      <c r="J2984" s="136"/>
      <c r="K2984" s="118"/>
      <c r="L2984" s="34"/>
      <c r="M2984" s="84"/>
      <c r="N2984" s="38"/>
      <c r="O2984" s="39"/>
      <c r="P2984" s="66">
        <v>45689</v>
      </c>
    </row>
    <row r="2985" spans="1:16" ht="12.75" customHeight="1">
      <c r="A2985" s="13">
        <f t="shared" si="57"/>
        <v>2958</v>
      </c>
      <c r="B2985" s="175">
        <v>55</v>
      </c>
      <c r="C2985" s="78" t="s">
        <v>921</v>
      </c>
      <c r="D2985" s="56"/>
      <c r="E2985" s="14"/>
      <c r="F2985" s="57" t="s">
        <v>29</v>
      </c>
      <c r="G2985" s="25"/>
      <c r="H2985" s="34"/>
      <c r="I2985" s="84">
        <v>39902.82</v>
      </c>
      <c r="J2985" s="136"/>
      <c r="K2985" s="118"/>
      <c r="L2985" s="34"/>
      <c r="M2985" s="84"/>
      <c r="N2985" s="38"/>
      <c r="O2985" s="39"/>
      <c r="P2985" s="66">
        <v>45689</v>
      </c>
    </row>
    <row r="2986" spans="1:16" ht="12.75" customHeight="1">
      <c r="A2986" s="13">
        <f t="shared" si="57"/>
        <v>2959</v>
      </c>
      <c r="B2986" s="54" t="s">
        <v>988</v>
      </c>
      <c r="C2986" s="78" t="s">
        <v>989</v>
      </c>
      <c r="D2986" s="78" t="s">
        <v>885</v>
      </c>
      <c r="E2986" s="14"/>
      <c r="F2986" s="57" t="s">
        <v>29</v>
      </c>
      <c r="G2986" s="25"/>
      <c r="H2986" s="34"/>
      <c r="I2986" s="84">
        <v>123201.45</v>
      </c>
      <c r="J2986" s="136"/>
      <c r="K2986" s="118"/>
      <c r="L2986" s="34"/>
      <c r="M2986" s="84"/>
      <c r="N2986" s="38"/>
      <c r="O2986" s="39"/>
      <c r="P2986" s="66">
        <v>44562</v>
      </c>
    </row>
    <row r="2987" spans="1:16" ht="12.75" customHeight="1">
      <c r="A2987" s="13">
        <f t="shared" si="57"/>
        <v>2960</v>
      </c>
      <c r="B2987" s="54" t="s">
        <v>988</v>
      </c>
      <c r="C2987" s="78" t="s">
        <v>990</v>
      </c>
      <c r="D2987" s="56"/>
      <c r="E2987" s="14"/>
      <c r="F2987" s="57" t="s">
        <v>29</v>
      </c>
      <c r="G2987" s="25"/>
      <c r="H2987" s="34"/>
      <c r="I2987" s="84">
        <v>123497.05</v>
      </c>
      <c r="J2987" s="136"/>
      <c r="K2987" s="118"/>
      <c r="L2987" s="34"/>
      <c r="M2987" s="84"/>
      <c r="N2987" s="38"/>
      <c r="O2987" s="39"/>
      <c r="P2987" s="66">
        <v>44562</v>
      </c>
    </row>
    <row r="2988" spans="1:16" ht="12.75" customHeight="1">
      <c r="A2988" s="13">
        <f t="shared" si="57"/>
        <v>2961</v>
      </c>
      <c r="B2988" s="54" t="s">
        <v>988</v>
      </c>
      <c r="C2988" s="78" t="s">
        <v>991</v>
      </c>
      <c r="D2988" s="56"/>
      <c r="E2988" s="14"/>
      <c r="F2988" s="57" t="s">
        <v>29</v>
      </c>
      <c r="G2988" s="25"/>
      <c r="H2988" s="34"/>
      <c r="I2988" s="84">
        <v>128669.98</v>
      </c>
      <c r="J2988" s="136"/>
      <c r="K2988" s="118"/>
      <c r="L2988" s="34"/>
      <c r="M2988" s="84"/>
      <c r="N2988" s="38"/>
      <c r="O2988" s="39"/>
      <c r="P2988" s="66">
        <v>44562</v>
      </c>
    </row>
    <row r="2989" spans="1:16" ht="12.75" customHeight="1">
      <c r="A2989" s="13">
        <f t="shared" si="57"/>
        <v>2962</v>
      </c>
      <c r="B2989" s="54" t="s">
        <v>988</v>
      </c>
      <c r="C2989" s="78" t="s">
        <v>992</v>
      </c>
      <c r="D2989" s="56"/>
      <c r="E2989" s="14"/>
      <c r="F2989" s="57" t="s">
        <v>29</v>
      </c>
      <c r="G2989" s="25"/>
      <c r="H2989" s="34"/>
      <c r="I2989" s="84">
        <v>116340.68</v>
      </c>
      <c r="J2989" s="136"/>
      <c r="K2989" s="118"/>
      <c r="L2989" s="34"/>
      <c r="M2989" s="84"/>
      <c r="N2989" s="38"/>
      <c r="O2989" s="39"/>
      <c r="P2989" s="66">
        <v>44562</v>
      </c>
    </row>
    <row r="2990" spans="1:16" ht="12.75" customHeight="1">
      <c r="A2990" s="13">
        <f t="shared" si="57"/>
        <v>2963</v>
      </c>
      <c r="B2990" s="54" t="s">
        <v>988</v>
      </c>
      <c r="C2990" s="78" t="s">
        <v>993</v>
      </c>
      <c r="D2990" s="56"/>
      <c r="E2990" s="14"/>
      <c r="F2990" s="57" t="s">
        <v>29</v>
      </c>
      <c r="G2990" s="25"/>
      <c r="H2990" s="34"/>
      <c r="I2990" s="84">
        <v>153795.64000000001</v>
      </c>
      <c r="J2990" s="136"/>
      <c r="K2990" s="118"/>
      <c r="L2990" s="34"/>
      <c r="M2990" s="84"/>
      <c r="N2990" s="38"/>
      <c r="O2990" s="39"/>
      <c r="P2990" s="66">
        <v>44562</v>
      </c>
    </row>
    <row r="2991" spans="1:16" ht="12.75" customHeight="1">
      <c r="A2991" s="13">
        <f t="shared" si="57"/>
        <v>2964</v>
      </c>
      <c r="B2991" s="54" t="s">
        <v>988</v>
      </c>
      <c r="C2991" s="78" t="s">
        <v>994</v>
      </c>
      <c r="D2991" s="56"/>
      <c r="E2991" s="14"/>
      <c r="F2991" s="57" t="s">
        <v>29</v>
      </c>
      <c r="G2991" s="25"/>
      <c r="H2991" s="34"/>
      <c r="I2991" s="84">
        <v>162367.92000000001</v>
      </c>
      <c r="J2991" s="136"/>
      <c r="K2991" s="118"/>
      <c r="L2991" s="34"/>
      <c r="M2991" s="84"/>
      <c r="N2991" s="38"/>
      <c r="O2991" s="39"/>
      <c r="P2991" s="66">
        <v>44562</v>
      </c>
    </row>
    <row r="2992" spans="1:16" ht="12.75" customHeight="1">
      <c r="A2992" s="13">
        <f t="shared" si="57"/>
        <v>2965</v>
      </c>
      <c r="B2992" s="54" t="s">
        <v>988</v>
      </c>
      <c r="C2992" s="78" t="s">
        <v>995</v>
      </c>
      <c r="D2992" s="56"/>
      <c r="E2992" s="14"/>
      <c r="F2992" s="57" t="s">
        <v>29</v>
      </c>
      <c r="G2992" s="25"/>
      <c r="H2992" s="34"/>
      <c r="I2992" s="84">
        <v>166506.26999999999</v>
      </c>
      <c r="J2992" s="136"/>
      <c r="K2992" s="118"/>
      <c r="L2992" s="34"/>
      <c r="M2992" s="84"/>
      <c r="N2992" s="38"/>
      <c r="O2992" s="39"/>
      <c r="P2992" s="66">
        <v>44562</v>
      </c>
    </row>
    <row r="2993" spans="1:16" ht="12.75" customHeight="1">
      <c r="A2993" s="13">
        <f t="shared" si="57"/>
        <v>2966</v>
      </c>
      <c r="B2993" s="54" t="s">
        <v>988</v>
      </c>
      <c r="C2993" s="78" t="s">
        <v>996</v>
      </c>
      <c r="D2993" s="56"/>
      <c r="E2993" s="14"/>
      <c r="F2993" s="57" t="s">
        <v>29</v>
      </c>
      <c r="G2993" s="25"/>
      <c r="H2993" s="34"/>
      <c r="I2993" s="84">
        <v>168132.05</v>
      </c>
      <c r="J2993" s="136"/>
      <c r="K2993" s="118"/>
      <c r="L2993" s="34"/>
      <c r="M2993" s="84"/>
      <c r="N2993" s="38"/>
      <c r="O2993" s="39"/>
      <c r="P2993" s="66">
        <v>44562</v>
      </c>
    </row>
    <row r="2994" spans="1:16" ht="12.75" customHeight="1">
      <c r="A2994" s="13">
        <f t="shared" si="57"/>
        <v>2967</v>
      </c>
      <c r="B2994" s="54" t="s">
        <v>988</v>
      </c>
      <c r="C2994" s="78" t="s">
        <v>997</v>
      </c>
      <c r="D2994" s="56"/>
      <c r="E2994" s="14"/>
      <c r="F2994" s="57" t="s">
        <v>29</v>
      </c>
      <c r="G2994" s="25"/>
      <c r="H2994" s="34"/>
      <c r="I2994" s="84">
        <v>169610.03</v>
      </c>
      <c r="J2994" s="136"/>
      <c r="K2994" s="118"/>
      <c r="L2994" s="34"/>
      <c r="M2994" s="84"/>
      <c r="N2994" s="38"/>
      <c r="O2994" s="39"/>
      <c r="P2994" s="66">
        <v>44562</v>
      </c>
    </row>
    <row r="2995" spans="1:16" ht="12.75" customHeight="1">
      <c r="A2995" s="13">
        <f t="shared" si="57"/>
        <v>2968</v>
      </c>
      <c r="B2995" s="32" t="s">
        <v>924</v>
      </c>
      <c r="C2995" s="116" t="s">
        <v>925</v>
      </c>
      <c r="D2995" s="78" t="s">
        <v>885</v>
      </c>
      <c r="E2995" s="14"/>
      <c r="F2995" s="25" t="s">
        <v>29</v>
      </c>
      <c r="G2995" s="25"/>
      <c r="H2995" s="34"/>
      <c r="I2995" s="84">
        <v>147189.91</v>
      </c>
      <c r="J2995" s="136"/>
      <c r="K2995" s="118"/>
      <c r="L2995" s="34"/>
      <c r="M2995" s="84"/>
      <c r="N2995" s="38"/>
      <c r="O2995" s="39"/>
      <c r="P2995" s="66">
        <v>44562</v>
      </c>
    </row>
    <row r="2996" spans="1:16" ht="12.75" customHeight="1">
      <c r="A2996" s="13">
        <f t="shared" si="57"/>
        <v>2969</v>
      </c>
      <c r="B2996" s="32" t="s">
        <v>924</v>
      </c>
      <c r="C2996" s="116" t="s">
        <v>926</v>
      </c>
      <c r="D2996" s="78"/>
      <c r="E2996" s="14"/>
      <c r="F2996" s="25" t="s">
        <v>29</v>
      </c>
      <c r="G2996" s="25"/>
      <c r="H2996" s="34"/>
      <c r="I2996" s="84">
        <v>148623.54</v>
      </c>
      <c r="J2996" s="136"/>
      <c r="K2996" s="118"/>
      <c r="L2996" s="34"/>
      <c r="M2996" s="84"/>
      <c r="N2996" s="38"/>
      <c r="O2996" s="39"/>
      <c r="P2996" s="66">
        <v>44562</v>
      </c>
    </row>
    <row r="2997" spans="1:16" ht="12.75" customHeight="1">
      <c r="A2997" s="13">
        <f t="shared" si="57"/>
        <v>2970</v>
      </c>
      <c r="B2997" s="32" t="s">
        <v>924</v>
      </c>
      <c r="C2997" s="116" t="s">
        <v>927</v>
      </c>
      <c r="D2997" s="78"/>
      <c r="E2997" s="14"/>
      <c r="F2997" s="25" t="s">
        <v>29</v>
      </c>
      <c r="G2997" s="25"/>
      <c r="H2997" s="34"/>
      <c r="I2997" s="84">
        <v>180641.52</v>
      </c>
      <c r="J2997" s="136"/>
      <c r="K2997" s="118"/>
      <c r="L2997" s="34"/>
      <c r="M2997" s="84"/>
      <c r="N2997" s="38"/>
      <c r="O2997" s="39"/>
      <c r="P2997" s="66">
        <v>44562</v>
      </c>
    </row>
    <row r="2998" spans="1:16" ht="12.75" customHeight="1">
      <c r="A2998" s="13">
        <f t="shared" si="57"/>
        <v>2971</v>
      </c>
      <c r="B2998" s="32" t="s">
        <v>924</v>
      </c>
      <c r="C2998" s="116" t="s">
        <v>928</v>
      </c>
      <c r="D2998" s="78"/>
      <c r="E2998" s="14"/>
      <c r="F2998" s="25" t="s">
        <v>29</v>
      </c>
      <c r="G2998" s="25"/>
      <c r="H2998" s="34"/>
      <c r="I2998" s="84">
        <v>189243.37</v>
      </c>
      <c r="J2998" s="136"/>
      <c r="K2998" s="118"/>
      <c r="L2998" s="34"/>
      <c r="M2998" s="84"/>
      <c r="N2998" s="38"/>
      <c r="O2998" s="39"/>
      <c r="P2998" s="66">
        <v>44562</v>
      </c>
    </row>
    <row r="2999" spans="1:16" ht="12.75" customHeight="1">
      <c r="A2999" s="13">
        <f t="shared" si="57"/>
        <v>2972</v>
      </c>
      <c r="B2999" s="32" t="s">
        <v>924</v>
      </c>
      <c r="C2999" s="116" t="s">
        <v>929</v>
      </c>
      <c r="D2999" s="78"/>
      <c r="E2999" s="14"/>
      <c r="F2999" s="25" t="s">
        <v>29</v>
      </c>
      <c r="G2999" s="25"/>
      <c r="H2999" s="34"/>
      <c r="I2999" s="84">
        <v>217486.09</v>
      </c>
      <c r="J2999" s="136"/>
      <c r="K2999" s="118"/>
      <c r="L2999" s="34"/>
      <c r="M2999" s="84"/>
      <c r="N2999" s="38"/>
      <c r="O2999" s="39"/>
      <c r="P2999" s="66">
        <v>44562</v>
      </c>
    </row>
    <row r="3000" spans="1:16" ht="12.75" customHeight="1">
      <c r="A3000" s="13">
        <f t="shared" si="57"/>
        <v>2973</v>
      </c>
      <c r="B3000" s="32" t="s">
        <v>924</v>
      </c>
      <c r="C3000" s="116" t="s">
        <v>925</v>
      </c>
      <c r="D3000" s="78"/>
      <c r="E3000" s="14"/>
      <c r="F3000" s="25" t="s">
        <v>29</v>
      </c>
      <c r="G3000" s="25"/>
      <c r="H3000" s="34"/>
      <c r="I3000" s="84">
        <v>161831.26999999999</v>
      </c>
      <c r="J3000" s="136"/>
      <c r="K3000" s="118"/>
      <c r="L3000" s="34"/>
      <c r="M3000" s="84"/>
      <c r="N3000" s="38"/>
      <c r="O3000" s="39"/>
      <c r="P3000" s="66">
        <v>44713</v>
      </c>
    </row>
    <row r="3001" spans="1:16" ht="12.75" customHeight="1">
      <c r="A3001" s="13">
        <f t="shared" si="57"/>
        <v>2974</v>
      </c>
      <c r="B3001" s="32" t="s">
        <v>924</v>
      </c>
      <c r="C3001" s="116" t="s">
        <v>926</v>
      </c>
      <c r="D3001" s="78"/>
      <c r="E3001" s="14"/>
      <c r="F3001" s="25" t="s">
        <v>29</v>
      </c>
      <c r="G3001" s="25"/>
      <c r="H3001" s="34"/>
      <c r="I3001" s="84">
        <v>163408.28</v>
      </c>
      <c r="J3001" s="136"/>
      <c r="K3001" s="118"/>
      <c r="L3001" s="34"/>
      <c r="M3001" s="84"/>
      <c r="N3001" s="38"/>
      <c r="O3001" s="39"/>
      <c r="P3001" s="66">
        <v>44713</v>
      </c>
    </row>
    <row r="3002" spans="1:16" ht="12.75" customHeight="1">
      <c r="A3002" s="13">
        <f t="shared" si="57"/>
        <v>2975</v>
      </c>
      <c r="B3002" s="32" t="s">
        <v>924</v>
      </c>
      <c r="C3002" s="116" t="s">
        <v>1082</v>
      </c>
      <c r="D3002" s="78"/>
      <c r="E3002" s="14"/>
      <c r="F3002" s="25" t="s">
        <v>29</v>
      </c>
      <c r="G3002" s="25"/>
      <c r="H3002" s="34"/>
      <c r="I3002" s="84">
        <v>182385.54</v>
      </c>
      <c r="J3002" s="136"/>
      <c r="K3002" s="118"/>
      <c r="L3002" s="34"/>
      <c r="M3002" s="84"/>
      <c r="N3002" s="38"/>
      <c r="O3002" s="39"/>
      <c r="P3002" s="66">
        <v>44713</v>
      </c>
    </row>
    <row r="3003" spans="1:16" ht="12.75" customHeight="1">
      <c r="A3003" s="13">
        <f t="shared" si="57"/>
        <v>2976</v>
      </c>
      <c r="B3003" s="32" t="s">
        <v>924</v>
      </c>
      <c r="C3003" s="116" t="s">
        <v>927</v>
      </c>
      <c r="D3003" s="78"/>
      <c r="E3003" s="14"/>
      <c r="F3003" s="25" t="s">
        <v>29</v>
      </c>
      <c r="G3003" s="25"/>
      <c r="H3003" s="34"/>
      <c r="I3003" s="84">
        <v>198628.53</v>
      </c>
      <c r="J3003" s="136"/>
      <c r="K3003" s="118"/>
      <c r="L3003" s="34"/>
      <c r="M3003" s="84"/>
      <c r="N3003" s="38"/>
      <c r="O3003" s="39"/>
      <c r="P3003" s="66">
        <v>44713</v>
      </c>
    </row>
    <row r="3004" spans="1:16" ht="12.75" customHeight="1">
      <c r="A3004" s="13">
        <f t="shared" si="57"/>
        <v>2977</v>
      </c>
      <c r="B3004" s="32" t="s">
        <v>924</v>
      </c>
      <c r="C3004" s="116" t="s">
        <v>1083</v>
      </c>
      <c r="D3004" s="78"/>
      <c r="E3004" s="14"/>
      <c r="F3004" s="25" t="s">
        <v>29</v>
      </c>
      <c r="G3004" s="25"/>
      <c r="H3004" s="34"/>
      <c r="I3004" s="84">
        <v>208090.57</v>
      </c>
      <c r="J3004" s="136"/>
      <c r="K3004" s="118"/>
      <c r="L3004" s="34"/>
      <c r="M3004" s="84"/>
      <c r="N3004" s="38"/>
      <c r="O3004" s="39"/>
      <c r="P3004" s="66">
        <v>44713</v>
      </c>
    </row>
    <row r="3005" spans="1:16" ht="12.75" customHeight="1">
      <c r="A3005" s="13">
        <f t="shared" si="57"/>
        <v>2978</v>
      </c>
      <c r="B3005" s="32" t="s">
        <v>924</v>
      </c>
      <c r="C3005" s="116" t="s">
        <v>929</v>
      </c>
      <c r="D3005" s="78"/>
      <c r="E3005" s="14"/>
      <c r="F3005" s="25" t="s">
        <v>29</v>
      </c>
      <c r="G3005" s="25"/>
      <c r="H3005" s="34"/>
      <c r="I3005" s="84">
        <v>239157.71</v>
      </c>
      <c r="J3005" s="136"/>
      <c r="K3005" s="118"/>
      <c r="L3005" s="34"/>
      <c r="M3005" s="84"/>
      <c r="N3005" s="38"/>
      <c r="O3005" s="39"/>
      <c r="P3005" s="66">
        <v>44713</v>
      </c>
    </row>
    <row r="3006" spans="1:16" ht="12.75" customHeight="1">
      <c r="A3006" s="13">
        <f t="shared" si="57"/>
        <v>2979</v>
      </c>
      <c r="B3006" s="32" t="s">
        <v>924</v>
      </c>
      <c r="C3006" s="116" t="s">
        <v>925</v>
      </c>
      <c r="D3006" s="78"/>
      <c r="E3006" s="14"/>
      <c r="F3006" s="25" t="s">
        <v>29</v>
      </c>
      <c r="G3006" s="25"/>
      <c r="H3006" s="34"/>
      <c r="I3006" s="84">
        <v>186808.64</v>
      </c>
      <c r="J3006" s="136"/>
      <c r="K3006" s="118"/>
      <c r="L3006" s="34"/>
      <c r="M3006" s="84"/>
      <c r="N3006" s="38"/>
      <c r="O3006" s="39"/>
      <c r="P3006" s="66">
        <v>45352</v>
      </c>
    </row>
    <row r="3007" spans="1:16" ht="12.75" customHeight="1">
      <c r="A3007" s="13">
        <f t="shared" si="57"/>
        <v>2980</v>
      </c>
      <c r="B3007" s="32" t="s">
        <v>924</v>
      </c>
      <c r="C3007" s="116" t="s">
        <v>926</v>
      </c>
      <c r="D3007" s="78"/>
      <c r="E3007" s="14"/>
      <c r="F3007" s="25" t="s">
        <v>29</v>
      </c>
      <c r="G3007" s="25"/>
      <c r="H3007" s="34"/>
      <c r="I3007" s="84">
        <v>188622.12</v>
      </c>
      <c r="J3007" s="136"/>
      <c r="K3007" s="118"/>
      <c r="L3007" s="34"/>
      <c r="M3007" s="84"/>
      <c r="N3007" s="38"/>
      <c r="O3007" s="39"/>
      <c r="P3007" s="66">
        <v>45352</v>
      </c>
    </row>
    <row r="3008" spans="1:16" ht="12.75" customHeight="1">
      <c r="A3008" s="13">
        <f t="shared" si="57"/>
        <v>2981</v>
      </c>
      <c r="B3008" s="32" t="s">
        <v>924</v>
      </c>
      <c r="C3008" s="116" t="s">
        <v>1082</v>
      </c>
      <c r="D3008" s="78"/>
      <c r="E3008" s="14"/>
      <c r="F3008" s="25" t="s">
        <v>29</v>
      </c>
      <c r="G3008" s="25"/>
      <c r="H3008" s="34"/>
      <c r="I3008" s="84">
        <v>210445.47</v>
      </c>
      <c r="J3008" s="136"/>
      <c r="K3008" s="118"/>
      <c r="L3008" s="34"/>
      <c r="M3008" s="84"/>
      <c r="N3008" s="38"/>
      <c r="O3008" s="39"/>
      <c r="P3008" s="66">
        <v>45352</v>
      </c>
    </row>
    <row r="3009" spans="1:16" ht="12.75" customHeight="1">
      <c r="A3009" s="13">
        <f t="shared" si="57"/>
        <v>2982</v>
      </c>
      <c r="B3009" s="32" t="s">
        <v>924</v>
      </c>
      <c r="C3009" s="116" t="s">
        <v>927</v>
      </c>
      <c r="D3009" s="78"/>
      <c r="E3009" s="14"/>
      <c r="F3009" s="25" t="s">
        <v>29</v>
      </c>
      <c r="G3009" s="25"/>
      <c r="H3009" s="34"/>
      <c r="I3009" s="84">
        <v>229125.66</v>
      </c>
      <c r="J3009" s="136"/>
      <c r="K3009" s="118"/>
      <c r="L3009" s="34"/>
      <c r="M3009" s="84"/>
      <c r="N3009" s="38"/>
      <c r="O3009" s="39"/>
      <c r="P3009" s="66">
        <v>45352</v>
      </c>
    </row>
    <row r="3010" spans="1:16" ht="12.75" customHeight="1">
      <c r="A3010" s="13">
        <f t="shared" si="57"/>
        <v>2983</v>
      </c>
      <c r="B3010" s="32" t="s">
        <v>924</v>
      </c>
      <c r="C3010" s="116" t="s">
        <v>1083</v>
      </c>
      <c r="D3010" s="78"/>
      <c r="E3010" s="14"/>
      <c r="F3010" s="25" t="s">
        <v>29</v>
      </c>
      <c r="G3010" s="25"/>
      <c r="H3010" s="34"/>
      <c r="I3010" s="84">
        <v>240006.55</v>
      </c>
      <c r="J3010" s="136"/>
      <c r="K3010" s="118"/>
      <c r="L3010" s="34"/>
      <c r="M3010" s="84"/>
      <c r="N3010" s="38"/>
      <c r="O3010" s="39"/>
      <c r="P3010" s="66">
        <v>45352</v>
      </c>
    </row>
    <row r="3011" spans="1:16" ht="12.75" customHeight="1">
      <c r="A3011" s="13">
        <f t="shared" si="57"/>
        <v>2984</v>
      </c>
      <c r="B3011" s="32" t="s">
        <v>924</v>
      </c>
      <c r="C3011" s="116" t="s">
        <v>929</v>
      </c>
      <c r="D3011" s="78"/>
      <c r="E3011" s="14"/>
      <c r="F3011" s="25" t="s">
        <v>29</v>
      </c>
      <c r="G3011" s="25"/>
      <c r="H3011" s="34"/>
      <c r="I3011" s="84">
        <v>275733.76000000001</v>
      </c>
      <c r="J3011" s="136"/>
      <c r="K3011" s="118"/>
      <c r="L3011" s="34"/>
      <c r="M3011" s="84"/>
      <c r="N3011" s="38"/>
      <c r="O3011" s="39"/>
      <c r="P3011" s="66">
        <v>45352</v>
      </c>
    </row>
    <row r="3012" spans="1:16" ht="12.75" customHeight="1">
      <c r="A3012" s="13">
        <f t="shared" si="57"/>
        <v>2985</v>
      </c>
      <c r="B3012" s="32" t="s">
        <v>924</v>
      </c>
      <c r="C3012" s="116" t="s">
        <v>925</v>
      </c>
      <c r="D3012" s="78"/>
      <c r="E3012" s="14"/>
      <c r="F3012" s="25" t="s">
        <v>29</v>
      </c>
      <c r="G3012" s="25"/>
      <c r="H3012" s="34"/>
      <c r="I3012" s="84">
        <v>214910.34</v>
      </c>
      <c r="J3012" s="136"/>
      <c r="K3012" s="118"/>
      <c r="L3012" s="34"/>
      <c r="M3012" s="84"/>
      <c r="N3012" s="38"/>
      <c r="O3012" s="39"/>
      <c r="P3012" s="66">
        <v>45689</v>
      </c>
    </row>
    <row r="3013" spans="1:16" ht="12.75" customHeight="1">
      <c r="A3013" s="13">
        <f t="shared" si="57"/>
        <v>2986</v>
      </c>
      <c r="B3013" s="32" t="s">
        <v>924</v>
      </c>
      <c r="C3013" s="116" t="s">
        <v>926</v>
      </c>
      <c r="D3013" s="78"/>
      <c r="E3013" s="14"/>
      <c r="F3013" s="25" t="s">
        <v>29</v>
      </c>
      <c r="G3013" s="25"/>
      <c r="H3013" s="34"/>
      <c r="I3013" s="84">
        <v>216995.77</v>
      </c>
      <c r="J3013" s="136"/>
      <c r="K3013" s="118"/>
      <c r="L3013" s="34"/>
      <c r="M3013" s="84"/>
      <c r="N3013" s="38"/>
      <c r="O3013" s="39"/>
      <c r="P3013" s="66">
        <v>45689</v>
      </c>
    </row>
    <row r="3014" spans="1:16" ht="12.75" customHeight="1">
      <c r="A3014" s="13">
        <f t="shared" si="57"/>
        <v>2987</v>
      </c>
      <c r="B3014" s="32" t="s">
        <v>924</v>
      </c>
      <c r="C3014" s="116" t="s">
        <v>1082</v>
      </c>
      <c r="D3014" s="78"/>
      <c r="E3014" s="14"/>
      <c r="F3014" s="25" t="s">
        <v>29</v>
      </c>
      <c r="G3014" s="25"/>
      <c r="H3014" s="34"/>
      <c r="I3014" s="84">
        <v>242093.77</v>
      </c>
      <c r="J3014" s="136"/>
      <c r="K3014" s="118"/>
      <c r="L3014" s="34"/>
      <c r="M3014" s="84"/>
      <c r="N3014" s="38"/>
      <c r="O3014" s="39"/>
      <c r="P3014" s="66">
        <v>45689</v>
      </c>
    </row>
    <row r="3015" spans="1:16" ht="12.75" customHeight="1">
      <c r="A3015" s="13">
        <f t="shared" si="57"/>
        <v>2988</v>
      </c>
      <c r="B3015" s="32" t="s">
        <v>924</v>
      </c>
      <c r="C3015" s="116" t="s">
        <v>927</v>
      </c>
      <c r="D3015" s="78"/>
      <c r="E3015" s="14"/>
      <c r="F3015" s="25" t="s">
        <v>29</v>
      </c>
      <c r="G3015" s="25"/>
      <c r="H3015" s="34"/>
      <c r="I3015" s="84">
        <v>263375.78000000003</v>
      </c>
      <c r="J3015" s="136"/>
      <c r="K3015" s="118"/>
      <c r="L3015" s="34"/>
      <c r="M3015" s="84"/>
      <c r="N3015" s="38"/>
      <c r="O3015" s="39"/>
      <c r="P3015" s="66">
        <v>45689</v>
      </c>
    </row>
    <row r="3016" spans="1:16" ht="12.75" customHeight="1">
      <c r="A3016" s="13">
        <f t="shared" si="57"/>
        <v>2989</v>
      </c>
      <c r="B3016" s="32" t="s">
        <v>924</v>
      </c>
      <c r="C3016" s="116" t="s">
        <v>1083</v>
      </c>
      <c r="D3016" s="78"/>
      <c r="E3016" s="14"/>
      <c r="F3016" s="25" t="s">
        <v>29</v>
      </c>
      <c r="G3016" s="25"/>
      <c r="H3016" s="34"/>
      <c r="I3016" s="84">
        <v>276088.37</v>
      </c>
      <c r="J3016" s="136"/>
      <c r="K3016" s="118"/>
      <c r="L3016" s="34"/>
      <c r="M3016" s="84"/>
      <c r="N3016" s="38"/>
      <c r="O3016" s="39"/>
      <c r="P3016" s="66">
        <v>45689</v>
      </c>
    </row>
    <row r="3017" spans="1:16" ht="12.75" customHeight="1">
      <c r="A3017" s="13">
        <f t="shared" si="57"/>
        <v>2990</v>
      </c>
      <c r="B3017" s="32" t="s">
        <v>924</v>
      </c>
      <c r="C3017" s="116" t="s">
        <v>929</v>
      </c>
      <c r="D3017" s="78"/>
      <c r="E3017" s="14"/>
      <c r="F3017" s="25" t="s">
        <v>29</v>
      </c>
      <c r="G3017" s="25"/>
      <c r="H3017" s="34"/>
      <c r="I3017" s="84">
        <v>317174.73</v>
      </c>
      <c r="J3017" s="136"/>
      <c r="K3017" s="118"/>
      <c r="L3017" s="34"/>
      <c r="M3017" s="84"/>
      <c r="N3017" s="38"/>
      <c r="O3017" s="39"/>
      <c r="P3017" s="66">
        <v>45689</v>
      </c>
    </row>
    <row r="3018" spans="1:16" ht="12.75" customHeight="1">
      <c r="A3018" s="13">
        <f t="shared" si="57"/>
        <v>2991</v>
      </c>
      <c r="B3018" s="156" t="s">
        <v>924</v>
      </c>
      <c r="C3018" s="116" t="s">
        <v>925</v>
      </c>
      <c r="D3018" s="78"/>
      <c r="E3018" s="14"/>
      <c r="F3018" s="25" t="s">
        <v>29</v>
      </c>
      <c r="G3018" s="25"/>
      <c r="H3018" s="34"/>
      <c r="I3018" s="84">
        <v>235696.91</v>
      </c>
      <c r="J3018" s="136"/>
      <c r="K3018" s="118"/>
      <c r="L3018" s="34"/>
      <c r="M3018" s="84"/>
      <c r="N3018" s="38"/>
      <c r="O3018" s="39"/>
      <c r="P3018" s="193">
        <v>46082</v>
      </c>
    </row>
    <row r="3019" spans="1:16" ht="12.75" customHeight="1">
      <c r="A3019" s="13">
        <f t="shared" si="57"/>
        <v>2992</v>
      </c>
      <c r="B3019" s="156" t="s">
        <v>924</v>
      </c>
      <c r="C3019" s="116" t="s">
        <v>926</v>
      </c>
      <c r="D3019" s="78"/>
      <c r="E3019" s="14"/>
      <c r="F3019" s="25" t="s">
        <v>29</v>
      </c>
      <c r="G3019" s="25"/>
      <c r="H3019" s="34"/>
      <c r="I3019" s="84">
        <v>237980.39</v>
      </c>
      <c r="J3019" s="136"/>
      <c r="K3019" s="118"/>
      <c r="L3019" s="34"/>
      <c r="M3019" s="84"/>
      <c r="N3019" s="38"/>
      <c r="O3019" s="39"/>
      <c r="P3019" s="193">
        <v>46082</v>
      </c>
    </row>
    <row r="3020" spans="1:16" ht="12.75" customHeight="1">
      <c r="A3020" s="13">
        <f t="shared" si="57"/>
        <v>2993</v>
      </c>
      <c r="B3020" s="156" t="s">
        <v>924</v>
      </c>
      <c r="C3020" s="116" t="s">
        <v>1082</v>
      </c>
      <c r="D3020" s="78"/>
      <c r="E3020" s="14"/>
      <c r="F3020" s="25" t="s">
        <v>29</v>
      </c>
      <c r="G3020" s="25"/>
      <c r="H3020" s="34"/>
      <c r="I3020" s="84">
        <v>265454.56</v>
      </c>
      <c r="J3020" s="136"/>
      <c r="K3020" s="118"/>
      <c r="L3020" s="34"/>
      <c r="M3020" s="84"/>
      <c r="N3020" s="38"/>
      <c r="O3020" s="39"/>
      <c r="P3020" s="193">
        <v>46082</v>
      </c>
    </row>
    <row r="3021" spans="1:16" ht="12.75" customHeight="1">
      <c r="A3021" s="13">
        <f t="shared" si="57"/>
        <v>2994</v>
      </c>
      <c r="B3021" s="156" t="s">
        <v>924</v>
      </c>
      <c r="C3021" s="116" t="s">
        <v>927</v>
      </c>
      <c r="D3021" s="78"/>
      <c r="E3021" s="14"/>
      <c r="F3021" s="25" t="s">
        <v>29</v>
      </c>
      <c r="G3021" s="25"/>
      <c r="H3021" s="34"/>
      <c r="I3021" s="84">
        <v>288970.7</v>
      </c>
      <c r="J3021" s="136"/>
      <c r="K3021" s="118"/>
      <c r="L3021" s="34"/>
      <c r="M3021" s="84"/>
      <c r="N3021" s="38"/>
      <c r="O3021" s="39"/>
      <c r="P3021" s="193">
        <v>46082</v>
      </c>
    </row>
    <row r="3022" spans="1:16" ht="12.75" customHeight="1">
      <c r="A3022" s="13">
        <f t="shared" si="57"/>
        <v>2995</v>
      </c>
      <c r="B3022" s="156" t="s">
        <v>924</v>
      </c>
      <c r="C3022" s="116" t="s">
        <v>1083</v>
      </c>
      <c r="D3022" s="78"/>
      <c r="E3022" s="14"/>
      <c r="F3022" s="25" t="s">
        <v>29</v>
      </c>
      <c r="G3022" s="25"/>
      <c r="H3022" s="34"/>
      <c r="I3022" s="84">
        <v>302668.62</v>
      </c>
      <c r="J3022" s="136"/>
      <c r="K3022" s="118"/>
      <c r="L3022" s="34"/>
      <c r="M3022" s="84"/>
      <c r="N3022" s="38"/>
      <c r="O3022" s="39"/>
      <c r="P3022" s="193">
        <v>46082</v>
      </c>
    </row>
    <row r="3023" spans="1:16" ht="12.75" customHeight="1">
      <c r="A3023" s="13">
        <f t="shared" ref="A3023:A3070" si="58">A3022+1</f>
        <v>2996</v>
      </c>
      <c r="B3023" s="156" t="s">
        <v>924</v>
      </c>
      <c r="C3023" s="116" t="s">
        <v>929</v>
      </c>
      <c r="D3023" s="78"/>
      <c r="E3023" s="14"/>
      <c r="F3023" s="25" t="s">
        <v>29</v>
      </c>
      <c r="G3023" s="25"/>
      <c r="H3023" s="34"/>
      <c r="I3023" s="84">
        <v>347645.02</v>
      </c>
      <c r="J3023" s="136"/>
      <c r="K3023" s="118"/>
      <c r="L3023" s="34"/>
      <c r="M3023" s="84"/>
      <c r="N3023" s="38"/>
      <c r="O3023" s="39"/>
      <c r="P3023" s="193">
        <v>46082</v>
      </c>
    </row>
    <row r="3024" spans="1:16" ht="12.75" customHeight="1">
      <c r="A3024" s="13">
        <f t="shared" si="58"/>
        <v>2997</v>
      </c>
      <c r="B3024" s="32" t="s">
        <v>1123</v>
      </c>
      <c r="C3024" s="116" t="s">
        <v>1126</v>
      </c>
      <c r="D3024" s="78"/>
      <c r="E3024" s="14"/>
      <c r="F3024" s="25" t="s">
        <v>29</v>
      </c>
      <c r="G3024" s="25"/>
      <c r="H3024" s="34"/>
      <c r="I3024" s="84">
        <v>152098.93</v>
      </c>
      <c r="J3024" s="136"/>
      <c r="K3024" s="118"/>
      <c r="L3024" s="34"/>
      <c r="M3024" s="84"/>
      <c r="N3024" s="38"/>
      <c r="O3024" s="39"/>
      <c r="P3024" s="66">
        <v>45170</v>
      </c>
    </row>
    <row r="3025" spans="1:16" ht="12.75" customHeight="1">
      <c r="A3025" s="13">
        <f t="shared" si="58"/>
        <v>2998</v>
      </c>
      <c r="B3025" s="32" t="s">
        <v>1123</v>
      </c>
      <c r="C3025" s="116" t="s">
        <v>1127</v>
      </c>
      <c r="D3025" s="78"/>
      <c r="E3025" s="14"/>
      <c r="F3025" s="25" t="s">
        <v>29</v>
      </c>
      <c r="G3025" s="25"/>
      <c r="H3025" s="34"/>
      <c r="I3025" s="84">
        <v>153251.75</v>
      </c>
      <c r="J3025" s="136"/>
      <c r="K3025" s="118"/>
      <c r="L3025" s="34"/>
      <c r="M3025" s="84"/>
      <c r="N3025" s="38"/>
      <c r="O3025" s="39"/>
      <c r="P3025" s="66">
        <v>45170</v>
      </c>
    </row>
    <row r="3026" spans="1:16" ht="12.75" customHeight="1">
      <c r="A3026" s="13">
        <f t="shared" si="58"/>
        <v>2999</v>
      </c>
      <c r="B3026" s="32" t="s">
        <v>1123</v>
      </c>
      <c r="C3026" s="116" t="s">
        <v>1128</v>
      </c>
      <c r="D3026" s="78"/>
      <c r="E3026" s="14"/>
      <c r="F3026" s="25" t="s">
        <v>29</v>
      </c>
      <c r="G3026" s="25"/>
      <c r="H3026" s="34"/>
      <c r="I3026" s="84">
        <v>154212.43</v>
      </c>
      <c r="J3026" s="136"/>
      <c r="K3026" s="118"/>
      <c r="L3026" s="34"/>
      <c r="M3026" s="84"/>
      <c r="N3026" s="38"/>
      <c r="O3026" s="39"/>
      <c r="P3026" s="66">
        <v>45170</v>
      </c>
    </row>
    <row r="3027" spans="1:16" ht="12.75" customHeight="1">
      <c r="A3027" s="13">
        <f t="shared" si="58"/>
        <v>3000</v>
      </c>
      <c r="B3027" s="32" t="s">
        <v>1123</v>
      </c>
      <c r="C3027" s="116" t="s">
        <v>1129</v>
      </c>
      <c r="D3027" s="78"/>
      <c r="E3027" s="14"/>
      <c r="F3027" s="25" t="s">
        <v>29</v>
      </c>
      <c r="G3027" s="25"/>
      <c r="H3027" s="34"/>
      <c r="I3027" s="84">
        <v>157227.51</v>
      </c>
      <c r="J3027" s="136"/>
      <c r="K3027" s="118"/>
      <c r="L3027" s="34"/>
      <c r="M3027" s="84"/>
      <c r="N3027" s="38"/>
      <c r="O3027" s="39"/>
      <c r="P3027" s="66">
        <v>45170</v>
      </c>
    </row>
    <row r="3028" spans="1:16" ht="12.75" customHeight="1">
      <c r="A3028" s="13">
        <f t="shared" si="58"/>
        <v>3001</v>
      </c>
      <c r="B3028" s="32" t="s">
        <v>1123</v>
      </c>
      <c r="C3028" s="116" t="s">
        <v>1130</v>
      </c>
      <c r="D3028" s="78"/>
      <c r="E3028" s="14"/>
      <c r="F3028" s="25" t="s">
        <v>29</v>
      </c>
      <c r="G3028" s="25"/>
      <c r="H3028" s="34"/>
      <c r="I3028" s="84">
        <v>165385.96</v>
      </c>
      <c r="J3028" s="136"/>
      <c r="K3028" s="118"/>
      <c r="L3028" s="34"/>
      <c r="M3028" s="84"/>
      <c r="N3028" s="38"/>
      <c r="O3028" s="39"/>
      <c r="P3028" s="66">
        <v>45170</v>
      </c>
    </row>
    <row r="3029" spans="1:16" ht="12.75" customHeight="1">
      <c r="A3029" s="13">
        <f t="shared" si="58"/>
        <v>3002</v>
      </c>
      <c r="B3029" s="32" t="s">
        <v>1123</v>
      </c>
      <c r="C3029" s="116" t="s">
        <v>1131</v>
      </c>
      <c r="D3029" s="78"/>
      <c r="E3029" s="14"/>
      <c r="F3029" s="25" t="s">
        <v>29</v>
      </c>
      <c r="G3029" s="25"/>
      <c r="H3029" s="34"/>
      <c r="I3029" s="84">
        <v>166524.01</v>
      </c>
      <c r="J3029" s="136"/>
      <c r="K3029" s="118"/>
      <c r="L3029" s="34"/>
      <c r="M3029" s="84"/>
      <c r="N3029" s="38"/>
      <c r="O3029" s="39"/>
      <c r="P3029" s="66">
        <v>45170</v>
      </c>
    </row>
    <row r="3030" spans="1:16" ht="12.75" customHeight="1">
      <c r="A3030" s="13">
        <f t="shared" si="58"/>
        <v>3003</v>
      </c>
      <c r="B3030" s="32" t="s">
        <v>1123</v>
      </c>
      <c r="C3030" s="116" t="s">
        <v>1132</v>
      </c>
      <c r="D3030" s="78"/>
      <c r="E3030" s="14"/>
      <c r="F3030" s="25" t="s">
        <v>29</v>
      </c>
      <c r="G3030" s="25"/>
      <c r="H3030" s="34"/>
      <c r="I3030" s="84">
        <v>196379.21</v>
      </c>
      <c r="J3030" s="136"/>
      <c r="K3030" s="118"/>
      <c r="L3030" s="34"/>
      <c r="M3030" s="84"/>
      <c r="N3030" s="38"/>
      <c r="O3030" s="39"/>
      <c r="P3030" s="66">
        <v>45170</v>
      </c>
    </row>
    <row r="3031" spans="1:16" ht="12.75" customHeight="1">
      <c r="A3031" s="13">
        <f t="shared" si="58"/>
        <v>3004</v>
      </c>
      <c r="B3031" s="180" t="s">
        <v>1123</v>
      </c>
      <c r="C3031" s="116" t="s">
        <v>1124</v>
      </c>
      <c r="D3031" s="78"/>
      <c r="E3031" s="14"/>
      <c r="F3031" s="25" t="s">
        <v>29</v>
      </c>
      <c r="G3031" s="25"/>
      <c r="H3031" s="34"/>
      <c r="I3031" s="84">
        <v>161846.20000000001</v>
      </c>
      <c r="J3031" s="136"/>
      <c r="K3031" s="118"/>
      <c r="L3031" s="34"/>
      <c r="M3031" s="84"/>
      <c r="N3031" s="38"/>
      <c r="O3031" s="39"/>
      <c r="P3031" s="66">
        <v>45352</v>
      </c>
    </row>
    <row r="3032" spans="1:16" ht="12.75" customHeight="1">
      <c r="A3032" s="13">
        <f t="shared" si="58"/>
        <v>3005</v>
      </c>
      <c r="B3032" s="180" t="s">
        <v>1123</v>
      </c>
      <c r="C3032" s="116" t="s">
        <v>1125</v>
      </c>
      <c r="D3032" s="78"/>
      <c r="E3032" s="14"/>
      <c r="F3032" s="25" t="s">
        <v>29</v>
      </c>
      <c r="G3032" s="25"/>
      <c r="H3032" s="34"/>
      <c r="I3032" s="84">
        <v>163471.98000000001</v>
      </c>
      <c r="J3032" s="136"/>
      <c r="K3032" s="118"/>
      <c r="L3032" s="34"/>
      <c r="M3032" s="84"/>
      <c r="N3032" s="38"/>
      <c r="O3032" s="39"/>
      <c r="P3032" s="66">
        <v>45352</v>
      </c>
    </row>
    <row r="3033" spans="1:16" ht="12.75" customHeight="1">
      <c r="A3033" s="13">
        <f t="shared" si="58"/>
        <v>3006</v>
      </c>
      <c r="B3033" s="32" t="s">
        <v>1123</v>
      </c>
      <c r="C3033" s="116" t="s">
        <v>1126</v>
      </c>
      <c r="D3033" s="78"/>
      <c r="E3033" s="14"/>
      <c r="F3033" s="25" t="s">
        <v>29</v>
      </c>
      <c r="G3033" s="25"/>
      <c r="H3033" s="34"/>
      <c r="I3033" s="84">
        <v>164026.22</v>
      </c>
      <c r="J3033" s="136"/>
      <c r="K3033" s="118"/>
      <c r="L3033" s="34"/>
      <c r="M3033" s="84"/>
      <c r="N3033" s="38"/>
      <c r="O3033" s="39"/>
      <c r="P3033" s="66">
        <v>45352</v>
      </c>
    </row>
    <row r="3034" spans="1:16" ht="12.75" customHeight="1">
      <c r="A3034" s="13">
        <f t="shared" si="58"/>
        <v>3007</v>
      </c>
      <c r="B3034" s="32" t="s">
        <v>1123</v>
      </c>
      <c r="C3034" s="116" t="s">
        <v>1127</v>
      </c>
      <c r="D3034" s="78"/>
      <c r="E3034" s="14"/>
      <c r="F3034" s="25" t="s">
        <v>29</v>
      </c>
      <c r="G3034" s="25"/>
      <c r="H3034" s="34"/>
      <c r="I3034" s="84">
        <v>166124.95000000001</v>
      </c>
      <c r="J3034" s="136"/>
      <c r="K3034" s="118"/>
      <c r="L3034" s="34"/>
      <c r="M3034" s="84"/>
      <c r="N3034" s="38"/>
      <c r="O3034" s="39"/>
      <c r="P3034" s="66">
        <v>45352</v>
      </c>
    </row>
    <row r="3035" spans="1:16" ht="12.75" customHeight="1">
      <c r="A3035" s="13">
        <f t="shared" si="58"/>
        <v>3008</v>
      </c>
      <c r="B3035" s="32" t="s">
        <v>1123</v>
      </c>
      <c r="C3035" s="116" t="s">
        <v>1128</v>
      </c>
      <c r="D3035" s="78"/>
      <c r="E3035" s="14"/>
      <c r="F3035" s="25" t="s">
        <v>29</v>
      </c>
      <c r="G3035" s="25"/>
      <c r="H3035" s="34"/>
      <c r="I3035" s="84">
        <v>167189.1</v>
      </c>
      <c r="J3035" s="136"/>
      <c r="K3035" s="118"/>
      <c r="L3035" s="34"/>
      <c r="M3035" s="84"/>
      <c r="N3035" s="38"/>
      <c r="O3035" s="39"/>
      <c r="P3035" s="66">
        <v>45352</v>
      </c>
    </row>
    <row r="3036" spans="1:16" ht="12.75" customHeight="1">
      <c r="A3036" s="13">
        <f t="shared" si="58"/>
        <v>3009</v>
      </c>
      <c r="B3036" s="32" t="s">
        <v>1123</v>
      </c>
      <c r="C3036" s="116" t="s">
        <v>1129</v>
      </c>
      <c r="D3036" s="78"/>
      <c r="E3036" s="14"/>
      <c r="F3036" s="25" t="s">
        <v>29</v>
      </c>
      <c r="G3036" s="25"/>
      <c r="H3036" s="34"/>
      <c r="I3036" s="84">
        <v>170536.72</v>
      </c>
      <c r="J3036" s="136"/>
      <c r="K3036" s="118"/>
      <c r="L3036" s="34"/>
      <c r="M3036" s="84"/>
      <c r="N3036" s="38"/>
      <c r="O3036" s="39"/>
      <c r="P3036" s="66">
        <v>45352</v>
      </c>
    </row>
    <row r="3037" spans="1:16" ht="12.75" customHeight="1">
      <c r="A3037" s="13">
        <f t="shared" si="58"/>
        <v>3010</v>
      </c>
      <c r="B3037" s="32" t="s">
        <v>1123</v>
      </c>
      <c r="C3037" s="116" t="s">
        <v>1130</v>
      </c>
      <c r="D3037" s="78"/>
      <c r="E3037" s="14"/>
      <c r="F3037" s="25" t="s">
        <v>29</v>
      </c>
      <c r="G3037" s="25"/>
      <c r="H3037" s="34"/>
      <c r="I3037" s="84">
        <v>179596.74</v>
      </c>
      <c r="J3037" s="136"/>
      <c r="K3037" s="118"/>
      <c r="L3037" s="34"/>
      <c r="M3037" s="84"/>
      <c r="N3037" s="38"/>
      <c r="O3037" s="39"/>
      <c r="P3037" s="66">
        <v>45352</v>
      </c>
    </row>
    <row r="3038" spans="1:16" ht="12.75" customHeight="1">
      <c r="A3038" s="13">
        <f t="shared" si="58"/>
        <v>3011</v>
      </c>
      <c r="B3038" s="32" t="s">
        <v>1123</v>
      </c>
      <c r="C3038" s="116" t="s">
        <v>1131</v>
      </c>
      <c r="D3038" s="78"/>
      <c r="E3038" s="14"/>
      <c r="F3038" s="25" t="s">
        <v>29</v>
      </c>
      <c r="G3038" s="25"/>
      <c r="H3038" s="34"/>
      <c r="I3038" s="84">
        <v>180860.42</v>
      </c>
      <c r="J3038" s="136"/>
      <c r="K3038" s="118"/>
      <c r="L3038" s="34"/>
      <c r="M3038" s="84"/>
      <c r="N3038" s="38"/>
      <c r="O3038" s="39"/>
      <c r="P3038" s="66">
        <v>45352</v>
      </c>
    </row>
    <row r="3039" spans="1:16" ht="12.75" customHeight="1">
      <c r="A3039" s="13">
        <f t="shared" si="58"/>
        <v>3012</v>
      </c>
      <c r="B3039" s="32" t="s">
        <v>1123</v>
      </c>
      <c r="C3039" s="116" t="s">
        <v>1132</v>
      </c>
      <c r="D3039" s="78"/>
      <c r="E3039" s="14"/>
      <c r="F3039" s="25" t="s">
        <v>29</v>
      </c>
      <c r="G3039" s="25"/>
      <c r="H3039" s="34"/>
      <c r="I3039" s="84">
        <v>213996.73</v>
      </c>
      <c r="J3039" s="136"/>
      <c r="K3039" s="118"/>
      <c r="L3039" s="34"/>
      <c r="M3039" s="84"/>
      <c r="N3039" s="38"/>
      <c r="O3039" s="39"/>
      <c r="P3039" s="66">
        <v>45352</v>
      </c>
    </row>
    <row r="3040" spans="1:16" ht="12.75" customHeight="1">
      <c r="A3040" s="13">
        <f t="shared" si="58"/>
        <v>3013</v>
      </c>
      <c r="B3040" s="32" t="s">
        <v>1123</v>
      </c>
      <c r="C3040" s="116" t="s">
        <v>1124</v>
      </c>
      <c r="D3040" s="78"/>
      <c r="E3040" s="14"/>
      <c r="F3040" s="25" t="s">
        <v>29</v>
      </c>
      <c r="G3040" s="25"/>
      <c r="H3040" s="34"/>
      <c r="I3040" s="84">
        <v>172128.06</v>
      </c>
      <c r="J3040" s="136"/>
      <c r="K3040" s="118"/>
      <c r="L3040" s="34"/>
      <c r="M3040" s="84"/>
      <c r="N3040" s="38"/>
      <c r="O3040" s="39"/>
      <c r="P3040" s="66">
        <v>45689</v>
      </c>
    </row>
    <row r="3041" spans="1:16" ht="12.75" customHeight="1">
      <c r="A3041" s="13">
        <f t="shared" si="58"/>
        <v>3014</v>
      </c>
      <c r="B3041" s="32" t="s">
        <v>1123</v>
      </c>
      <c r="C3041" s="116" t="s">
        <v>1125</v>
      </c>
      <c r="D3041" s="78"/>
      <c r="E3041" s="14"/>
      <c r="F3041" s="25" t="s">
        <v>29</v>
      </c>
      <c r="G3041" s="25"/>
      <c r="H3041" s="34"/>
      <c r="I3041" s="84">
        <v>173842.51</v>
      </c>
      <c r="J3041" s="136"/>
      <c r="K3041" s="118"/>
      <c r="L3041" s="34"/>
      <c r="M3041" s="84"/>
      <c r="N3041" s="38"/>
      <c r="O3041" s="39"/>
      <c r="P3041" s="66">
        <v>45689</v>
      </c>
    </row>
    <row r="3042" spans="1:16" ht="12.75" customHeight="1">
      <c r="A3042" s="13">
        <f t="shared" si="58"/>
        <v>3015</v>
      </c>
      <c r="B3042" s="32" t="s">
        <v>1123</v>
      </c>
      <c r="C3042" s="116" t="s">
        <v>1129</v>
      </c>
      <c r="D3042" s="78"/>
      <c r="E3042" s="14"/>
      <c r="F3042" s="25" t="s">
        <v>29</v>
      </c>
      <c r="G3042" s="25"/>
      <c r="H3042" s="34"/>
      <c r="I3042" s="84">
        <v>181247.2</v>
      </c>
      <c r="J3042" s="136"/>
      <c r="K3042" s="118"/>
      <c r="L3042" s="34"/>
      <c r="M3042" s="84"/>
      <c r="N3042" s="38"/>
      <c r="O3042" s="39"/>
      <c r="P3042" s="66">
        <v>45689</v>
      </c>
    </row>
    <row r="3043" spans="1:16" ht="12.75" customHeight="1">
      <c r="A3043" s="13">
        <f t="shared" si="58"/>
        <v>3016</v>
      </c>
      <c r="B3043" s="32" t="s">
        <v>1123</v>
      </c>
      <c r="C3043" s="116" t="s">
        <v>1130</v>
      </c>
      <c r="D3043" s="78"/>
      <c r="E3043" s="14"/>
      <c r="F3043" s="25" t="s">
        <v>29</v>
      </c>
      <c r="G3043" s="25"/>
      <c r="H3043" s="34"/>
      <c r="I3043" s="84">
        <v>190765.39</v>
      </c>
      <c r="J3043" s="136"/>
      <c r="K3043" s="118"/>
      <c r="L3043" s="34"/>
      <c r="M3043" s="84"/>
      <c r="N3043" s="38"/>
      <c r="O3043" s="39"/>
      <c r="P3043" s="66">
        <v>45689</v>
      </c>
    </row>
    <row r="3044" spans="1:16" ht="12.75" customHeight="1">
      <c r="A3044" s="13">
        <f t="shared" si="58"/>
        <v>3017</v>
      </c>
      <c r="B3044" s="32" t="s">
        <v>1123</v>
      </c>
      <c r="C3044" s="116" t="s">
        <v>1131</v>
      </c>
      <c r="D3044" s="78"/>
      <c r="E3044" s="14"/>
      <c r="F3044" s="25" t="s">
        <v>29</v>
      </c>
      <c r="G3044" s="25"/>
      <c r="H3044" s="34"/>
      <c r="I3044" s="84">
        <v>192095.57</v>
      </c>
      <c r="J3044" s="136"/>
      <c r="K3044" s="118"/>
      <c r="L3044" s="34"/>
      <c r="M3044" s="84"/>
      <c r="N3044" s="38"/>
      <c r="O3044" s="39"/>
      <c r="P3044" s="66">
        <v>45689</v>
      </c>
    </row>
    <row r="3045" spans="1:16" ht="12.75" customHeight="1">
      <c r="A3045" s="13">
        <f t="shared" si="58"/>
        <v>3018</v>
      </c>
      <c r="B3045" s="32" t="s">
        <v>1123</v>
      </c>
      <c r="C3045" s="116" t="s">
        <v>1132</v>
      </c>
      <c r="D3045" s="78"/>
      <c r="E3045" s="14"/>
      <c r="F3045" s="25" t="s">
        <v>29</v>
      </c>
      <c r="G3045" s="25"/>
      <c r="H3045" s="34"/>
      <c r="I3045" s="84">
        <v>226887.2</v>
      </c>
      <c r="J3045" s="136"/>
      <c r="K3045" s="118"/>
      <c r="L3045" s="34"/>
      <c r="M3045" s="84"/>
      <c r="N3045" s="38"/>
      <c r="O3045" s="39"/>
      <c r="P3045" s="66">
        <v>45689</v>
      </c>
    </row>
    <row r="3046" spans="1:16" ht="12.75" customHeight="1">
      <c r="A3046" s="13">
        <f t="shared" si="58"/>
        <v>3019</v>
      </c>
      <c r="B3046" s="32" t="s">
        <v>1123</v>
      </c>
      <c r="C3046" s="116" t="s">
        <v>1188</v>
      </c>
      <c r="D3046" s="78"/>
      <c r="E3046" s="14"/>
      <c r="F3046" s="25" t="s">
        <v>29</v>
      </c>
      <c r="G3046" s="25"/>
      <c r="H3046" s="34"/>
      <c r="I3046" s="84">
        <v>384274.8</v>
      </c>
      <c r="J3046" s="136"/>
      <c r="K3046" s="118"/>
      <c r="L3046" s="34"/>
      <c r="M3046" s="84"/>
      <c r="N3046" s="38"/>
      <c r="O3046" s="39"/>
      <c r="P3046" s="66">
        <v>45689</v>
      </c>
    </row>
    <row r="3047" spans="1:16" ht="12.75" customHeight="1">
      <c r="A3047" s="13">
        <f t="shared" si="58"/>
        <v>3020</v>
      </c>
      <c r="B3047" s="32" t="s">
        <v>1123</v>
      </c>
      <c r="C3047" s="116" t="s">
        <v>1189</v>
      </c>
      <c r="D3047" s="78"/>
      <c r="E3047" s="14"/>
      <c r="F3047" s="25" t="s">
        <v>29</v>
      </c>
      <c r="G3047" s="25"/>
      <c r="H3047" s="34"/>
      <c r="I3047" s="84">
        <v>399054.6</v>
      </c>
      <c r="J3047" s="136"/>
      <c r="K3047" s="118"/>
      <c r="L3047" s="34"/>
      <c r="M3047" s="84"/>
      <c r="N3047" s="38"/>
      <c r="O3047" s="39"/>
      <c r="P3047" s="66">
        <v>45689</v>
      </c>
    </row>
    <row r="3048" spans="1:16" ht="12.75" customHeight="1">
      <c r="A3048" s="13">
        <f t="shared" si="58"/>
        <v>3021</v>
      </c>
      <c r="B3048" s="32" t="s">
        <v>1123</v>
      </c>
      <c r="C3048" s="116" t="s">
        <v>1190</v>
      </c>
      <c r="D3048" s="78"/>
      <c r="E3048" s="14"/>
      <c r="F3048" s="25" t="s">
        <v>29</v>
      </c>
      <c r="G3048" s="25"/>
      <c r="H3048" s="34"/>
      <c r="I3048" s="84">
        <v>399054.6</v>
      </c>
      <c r="J3048" s="136"/>
      <c r="K3048" s="118"/>
      <c r="L3048" s="34"/>
      <c r="M3048" s="84"/>
      <c r="N3048" s="38"/>
      <c r="O3048" s="39"/>
      <c r="P3048" s="66">
        <v>45689</v>
      </c>
    </row>
    <row r="3049" spans="1:16" ht="12.75" customHeight="1">
      <c r="A3049" s="13">
        <f t="shared" si="58"/>
        <v>3022</v>
      </c>
      <c r="B3049" s="32" t="s">
        <v>1123</v>
      </c>
      <c r="C3049" s="116" t="s">
        <v>1191</v>
      </c>
      <c r="D3049" s="78"/>
      <c r="E3049" s="14"/>
      <c r="F3049" s="25" t="s">
        <v>29</v>
      </c>
      <c r="G3049" s="25"/>
      <c r="H3049" s="34"/>
      <c r="I3049" s="84">
        <v>399054.6</v>
      </c>
      <c r="J3049" s="136"/>
      <c r="K3049" s="118"/>
      <c r="L3049" s="34"/>
      <c r="M3049" s="84"/>
      <c r="N3049" s="38"/>
      <c r="O3049" s="39"/>
      <c r="P3049" s="66">
        <v>45689</v>
      </c>
    </row>
    <row r="3050" spans="1:16" ht="12.75" customHeight="1">
      <c r="A3050" s="13">
        <f t="shared" si="58"/>
        <v>3023</v>
      </c>
      <c r="B3050" s="32" t="s">
        <v>1123</v>
      </c>
      <c r="C3050" s="116" t="s">
        <v>1192</v>
      </c>
      <c r="D3050" s="78"/>
      <c r="E3050" s="14"/>
      <c r="F3050" s="25" t="s">
        <v>29</v>
      </c>
      <c r="G3050" s="25"/>
      <c r="H3050" s="34"/>
      <c r="I3050" s="84">
        <v>413834.4</v>
      </c>
      <c r="J3050" s="136"/>
      <c r="K3050" s="118"/>
      <c r="L3050" s="34"/>
      <c r="M3050" s="84"/>
      <c r="N3050" s="38"/>
      <c r="O3050" s="39"/>
      <c r="P3050" s="66">
        <v>45689</v>
      </c>
    </row>
    <row r="3051" spans="1:16" ht="12.75" customHeight="1">
      <c r="A3051" s="13">
        <f t="shared" si="58"/>
        <v>3024</v>
      </c>
      <c r="B3051" s="32" t="s">
        <v>1123</v>
      </c>
      <c r="C3051" s="116" t="s">
        <v>1193</v>
      </c>
      <c r="D3051" s="78"/>
      <c r="E3051" s="14"/>
      <c r="F3051" s="25" t="s">
        <v>29</v>
      </c>
      <c r="G3051" s="25"/>
      <c r="H3051" s="34"/>
      <c r="I3051" s="84">
        <v>458173.8</v>
      </c>
      <c r="J3051" s="136"/>
      <c r="K3051" s="118"/>
      <c r="L3051" s="34"/>
      <c r="M3051" s="84"/>
      <c r="N3051" s="38"/>
      <c r="O3051" s="39"/>
      <c r="P3051" s="66">
        <v>45689</v>
      </c>
    </row>
    <row r="3052" spans="1:16" ht="12.75" customHeight="1">
      <c r="A3052" s="13">
        <f t="shared" si="58"/>
        <v>3025</v>
      </c>
      <c r="B3052" s="32" t="s">
        <v>1123</v>
      </c>
      <c r="C3052" s="116" t="s">
        <v>1194</v>
      </c>
      <c r="D3052" s="78"/>
      <c r="E3052" s="14"/>
      <c r="F3052" s="25" t="s">
        <v>29</v>
      </c>
      <c r="G3052" s="25"/>
      <c r="H3052" s="34"/>
      <c r="I3052" s="84">
        <v>496601.28</v>
      </c>
      <c r="J3052" s="136"/>
      <c r="K3052" s="118"/>
      <c r="L3052" s="34"/>
      <c r="M3052" s="84"/>
      <c r="N3052" s="38"/>
      <c r="O3052" s="39"/>
      <c r="P3052" s="66">
        <v>45689</v>
      </c>
    </row>
    <row r="3053" spans="1:16" ht="12.75" customHeight="1">
      <c r="A3053" s="13">
        <f t="shared" si="58"/>
        <v>3026</v>
      </c>
      <c r="B3053" s="156" t="s">
        <v>1123</v>
      </c>
      <c r="C3053" s="116" t="s">
        <v>1124</v>
      </c>
      <c r="D3053" s="78"/>
      <c r="E3053" s="14"/>
      <c r="F3053" s="25" t="s">
        <v>29</v>
      </c>
      <c r="G3053" s="25"/>
      <c r="H3053" s="34"/>
      <c r="I3053" s="84">
        <v>172128.06</v>
      </c>
      <c r="J3053" s="136"/>
      <c r="K3053" s="118"/>
      <c r="L3053" s="34"/>
      <c r="M3053" s="84"/>
      <c r="N3053" s="38"/>
      <c r="O3053" s="39"/>
      <c r="P3053" s="193">
        <v>46082</v>
      </c>
    </row>
    <row r="3054" spans="1:16" ht="12.75" customHeight="1">
      <c r="A3054" s="13">
        <f t="shared" si="58"/>
        <v>3027</v>
      </c>
      <c r="B3054" s="156" t="s">
        <v>1123</v>
      </c>
      <c r="C3054" s="116" t="s">
        <v>1125</v>
      </c>
      <c r="D3054" s="78"/>
      <c r="E3054" s="14"/>
      <c r="F3054" s="25" t="s">
        <v>29</v>
      </c>
      <c r="G3054" s="25"/>
      <c r="H3054" s="34"/>
      <c r="I3054" s="84">
        <v>173842.51</v>
      </c>
      <c r="J3054" s="136"/>
      <c r="K3054" s="118"/>
      <c r="L3054" s="34"/>
      <c r="M3054" s="84"/>
      <c r="N3054" s="38"/>
      <c r="O3054" s="39"/>
      <c r="P3054" s="193">
        <v>46082</v>
      </c>
    </row>
    <row r="3055" spans="1:16" ht="12.75" customHeight="1">
      <c r="A3055" s="13">
        <f t="shared" si="58"/>
        <v>3028</v>
      </c>
      <c r="B3055" s="156" t="s">
        <v>1123</v>
      </c>
      <c r="C3055" s="116" t="s">
        <v>1126</v>
      </c>
      <c r="D3055" s="78"/>
      <c r="E3055" s="14"/>
      <c r="F3055" s="25" t="s">
        <v>29</v>
      </c>
      <c r="G3055" s="25"/>
      <c r="H3055" s="34"/>
      <c r="I3055" s="84">
        <v>174418.93</v>
      </c>
      <c r="J3055" s="136"/>
      <c r="K3055" s="118"/>
      <c r="L3055" s="34"/>
      <c r="M3055" s="84"/>
      <c r="N3055" s="38"/>
      <c r="O3055" s="39"/>
      <c r="P3055" s="193">
        <v>46082</v>
      </c>
    </row>
    <row r="3056" spans="1:16" ht="12.75" customHeight="1">
      <c r="A3056" s="13">
        <f t="shared" si="58"/>
        <v>3029</v>
      </c>
      <c r="B3056" s="156" t="s">
        <v>1123</v>
      </c>
      <c r="C3056" s="116" t="s">
        <v>1127</v>
      </c>
      <c r="D3056" s="78"/>
      <c r="E3056" s="14"/>
      <c r="F3056" s="25" t="s">
        <v>29</v>
      </c>
      <c r="G3056" s="25"/>
      <c r="H3056" s="34"/>
      <c r="I3056" s="84">
        <v>176621.12</v>
      </c>
      <c r="J3056" s="136"/>
      <c r="K3056" s="118"/>
      <c r="L3056" s="34"/>
      <c r="M3056" s="84"/>
      <c r="N3056" s="38"/>
      <c r="O3056" s="39"/>
      <c r="P3056" s="193">
        <v>46082</v>
      </c>
    </row>
    <row r="3057" spans="1:16" ht="12.75" customHeight="1">
      <c r="A3057" s="13">
        <f t="shared" si="58"/>
        <v>3030</v>
      </c>
      <c r="B3057" s="156" t="s">
        <v>1123</v>
      </c>
      <c r="C3057" s="116" t="s">
        <v>1128</v>
      </c>
      <c r="D3057" s="78"/>
      <c r="E3057" s="14"/>
      <c r="F3057" s="25" t="s">
        <v>29</v>
      </c>
      <c r="G3057" s="25"/>
      <c r="H3057" s="34"/>
      <c r="I3057" s="84">
        <v>177744.38</v>
      </c>
      <c r="J3057" s="136"/>
      <c r="K3057" s="118"/>
      <c r="L3057" s="34"/>
      <c r="M3057" s="84"/>
      <c r="N3057" s="38"/>
      <c r="O3057" s="39"/>
      <c r="P3057" s="193">
        <v>46082</v>
      </c>
    </row>
    <row r="3058" spans="1:16" ht="12.75" customHeight="1">
      <c r="A3058" s="13">
        <f t="shared" si="58"/>
        <v>3031</v>
      </c>
      <c r="B3058" s="156" t="s">
        <v>1123</v>
      </c>
      <c r="C3058" s="116" t="s">
        <v>1129</v>
      </c>
      <c r="D3058" s="78"/>
      <c r="E3058" s="14"/>
      <c r="F3058" s="25" t="s">
        <v>29</v>
      </c>
      <c r="G3058" s="25"/>
      <c r="H3058" s="34"/>
      <c r="I3058" s="84">
        <v>181247.2</v>
      </c>
      <c r="J3058" s="136"/>
      <c r="K3058" s="118"/>
      <c r="L3058" s="34"/>
      <c r="M3058" s="84"/>
      <c r="N3058" s="38"/>
      <c r="O3058" s="39"/>
      <c r="P3058" s="193">
        <v>46082</v>
      </c>
    </row>
    <row r="3059" spans="1:16" ht="12.75" customHeight="1">
      <c r="A3059" s="13">
        <f t="shared" si="58"/>
        <v>3032</v>
      </c>
      <c r="B3059" s="156" t="s">
        <v>1123</v>
      </c>
      <c r="C3059" s="116" t="s">
        <v>1130</v>
      </c>
      <c r="D3059" s="78"/>
      <c r="E3059" s="14"/>
      <c r="F3059" s="25" t="s">
        <v>29</v>
      </c>
      <c r="G3059" s="25"/>
      <c r="H3059" s="34"/>
      <c r="I3059" s="84">
        <v>190765.39</v>
      </c>
      <c r="J3059" s="136"/>
      <c r="K3059" s="118"/>
      <c r="L3059" s="34"/>
      <c r="M3059" s="84"/>
      <c r="N3059" s="38"/>
      <c r="O3059" s="39"/>
      <c r="P3059" s="193">
        <v>46082</v>
      </c>
    </row>
    <row r="3060" spans="1:16" ht="12.75" customHeight="1">
      <c r="A3060" s="13">
        <f t="shared" si="58"/>
        <v>3033</v>
      </c>
      <c r="B3060" s="156" t="s">
        <v>1123</v>
      </c>
      <c r="C3060" s="116" t="s">
        <v>1131</v>
      </c>
      <c r="D3060" s="78"/>
      <c r="E3060" s="14"/>
      <c r="F3060" s="25" t="s">
        <v>29</v>
      </c>
      <c r="G3060" s="25"/>
      <c r="H3060" s="34"/>
      <c r="I3060" s="84">
        <v>192095.57</v>
      </c>
      <c r="J3060" s="136"/>
      <c r="K3060" s="118"/>
      <c r="L3060" s="34"/>
      <c r="M3060" s="84"/>
      <c r="N3060" s="38"/>
      <c r="O3060" s="39"/>
      <c r="P3060" s="193">
        <v>46082</v>
      </c>
    </row>
    <row r="3061" spans="1:16" ht="12.75" customHeight="1">
      <c r="A3061" s="13">
        <f t="shared" si="58"/>
        <v>3034</v>
      </c>
      <c r="B3061" s="156" t="s">
        <v>1123</v>
      </c>
      <c r="C3061" s="116" t="s">
        <v>1132</v>
      </c>
      <c r="D3061" s="78"/>
      <c r="E3061" s="14"/>
      <c r="F3061" s="25" t="s">
        <v>29</v>
      </c>
      <c r="G3061" s="25"/>
      <c r="H3061" s="34"/>
      <c r="I3061" s="84">
        <v>226887.22</v>
      </c>
      <c r="J3061" s="136"/>
      <c r="K3061" s="118"/>
      <c r="L3061" s="34"/>
      <c r="M3061" s="84"/>
      <c r="N3061" s="38"/>
      <c r="O3061" s="39"/>
      <c r="P3061" s="193">
        <v>46082</v>
      </c>
    </row>
    <row r="3062" spans="1:16" ht="12.75" customHeight="1">
      <c r="A3062" s="13">
        <f t="shared" si="58"/>
        <v>3035</v>
      </c>
      <c r="B3062" s="156" t="s">
        <v>1123</v>
      </c>
      <c r="C3062" s="116" t="s">
        <v>1188</v>
      </c>
      <c r="D3062" s="78"/>
      <c r="E3062" s="14"/>
      <c r="F3062" s="25" t="s">
        <v>29</v>
      </c>
      <c r="G3062" s="25"/>
      <c r="H3062" s="34"/>
      <c r="I3062" s="84">
        <v>420665.63</v>
      </c>
      <c r="J3062" s="136"/>
      <c r="K3062" s="118"/>
      <c r="L3062" s="34"/>
      <c r="M3062" s="84"/>
      <c r="N3062" s="38"/>
      <c r="O3062" s="39"/>
      <c r="P3062" s="193">
        <v>46082</v>
      </c>
    </row>
    <row r="3063" spans="1:16" ht="12.75" customHeight="1">
      <c r="A3063" s="13">
        <f t="shared" si="58"/>
        <v>3036</v>
      </c>
      <c r="B3063" s="156" t="s">
        <v>1123</v>
      </c>
      <c r="C3063" s="116" t="s">
        <v>1189</v>
      </c>
      <c r="D3063" s="78"/>
      <c r="E3063" s="14"/>
      <c r="F3063" s="25" t="s">
        <v>29</v>
      </c>
      <c r="G3063" s="25"/>
      <c r="H3063" s="34"/>
      <c r="I3063" s="84">
        <v>428756.09</v>
      </c>
      <c r="J3063" s="136"/>
      <c r="K3063" s="118"/>
      <c r="L3063" s="34"/>
      <c r="M3063" s="84"/>
      <c r="N3063" s="38"/>
      <c r="O3063" s="39"/>
      <c r="P3063" s="193">
        <v>46082</v>
      </c>
    </row>
    <row r="3064" spans="1:16" ht="12.75" customHeight="1">
      <c r="A3064" s="13">
        <f t="shared" si="58"/>
        <v>3037</v>
      </c>
      <c r="B3064" s="156" t="s">
        <v>1123</v>
      </c>
      <c r="C3064" s="116" t="s">
        <v>1190</v>
      </c>
      <c r="D3064" s="78"/>
      <c r="E3064" s="14"/>
      <c r="F3064" s="25" t="s">
        <v>29</v>
      </c>
      <c r="G3064" s="25"/>
      <c r="H3064" s="34"/>
      <c r="I3064" s="84">
        <v>428756.09</v>
      </c>
      <c r="J3064" s="136"/>
      <c r="K3064" s="118"/>
      <c r="L3064" s="34"/>
      <c r="M3064" s="84"/>
      <c r="N3064" s="38"/>
      <c r="O3064" s="39"/>
      <c r="P3064" s="193">
        <v>46082</v>
      </c>
    </row>
    <row r="3065" spans="1:16" ht="12.75" customHeight="1">
      <c r="A3065" s="13">
        <f t="shared" si="58"/>
        <v>3038</v>
      </c>
      <c r="B3065" s="156" t="s">
        <v>1123</v>
      </c>
      <c r="C3065" s="116" t="s">
        <v>1191</v>
      </c>
      <c r="D3065" s="78"/>
      <c r="E3065" s="14"/>
      <c r="F3065" s="25" t="s">
        <v>29</v>
      </c>
      <c r="G3065" s="25"/>
      <c r="H3065" s="34"/>
      <c r="I3065" s="84">
        <v>428756.09</v>
      </c>
      <c r="J3065" s="136"/>
      <c r="K3065" s="118"/>
      <c r="L3065" s="34"/>
      <c r="M3065" s="84"/>
      <c r="N3065" s="38"/>
      <c r="O3065" s="39"/>
      <c r="P3065" s="193">
        <v>46082</v>
      </c>
    </row>
    <row r="3066" spans="1:16" ht="12.75" customHeight="1">
      <c r="A3066" s="13">
        <f t="shared" si="58"/>
        <v>3039</v>
      </c>
      <c r="B3066" s="156" t="s">
        <v>1123</v>
      </c>
      <c r="C3066" s="116" t="s">
        <v>1192</v>
      </c>
      <c r="D3066" s="78"/>
      <c r="E3066" s="14"/>
      <c r="F3066" s="25" t="s">
        <v>29</v>
      </c>
      <c r="G3066" s="25"/>
      <c r="H3066" s="34"/>
      <c r="I3066" s="84">
        <v>453024.52</v>
      </c>
      <c r="J3066" s="136"/>
      <c r="K3066" s="118"/>
      <c r="L3066" s="34"/>
      <c r="M3066" s="84"/>
      <c r="N3066" s="38"/>
      <c r="O3066" s="39"/>
      <c r="P3066" s="193">
        <v>46082</v>
      </c>
    </row>
    <row r="3067" spans="1:16" ht="12.75" customHeight="1">
      <c r="A3067" s="13">
        <f t="shared" si="58"/>
        <v>3040</v>
      </c>
      <c r="B3067" s="156" t="s">
        <v>1123</v>
      </c>
      <c r="C3067" s="116" t="s">
        <v>1193</v>
      </c>
      <c r="D3067" s="78"/>
      <c r="E3067" s="14"/>
      <c r="F3067" s="25" t="s">
        <v>29</v>
      </c>
      <c r="G3067" s="25"/>
      <c r="H3067" s="34"/>
      <c r="I3067" s="84">
        <v>501562.85</v>
      </c>
      <c r="J3067" s="136"/>
      <c r="K3067" s="118"/>
      <c r="L3067" s="34"/>
      <c r="M3067" s="84"/>
      <c r="N3067" s="38"/>
      <c r="O3067" s="39"/>
      <c r="P3067" s="193">
        <v>46082</v>
      </c>
    </row>
    <row r="3068" spans="1:16" ht="12.75" customHeight="1">
      <c r="A3068" s="13">
        <f t="shared" si="58"/>
        <v>3041</v>
      </c>
      <c r="B3068" s="156" t="s">
        <v>1123</v>
      </c>
      <c r="C3068" s="116" t="s">
        <v>1194</v>
      </c>
      <c r="D3068" s="78"/>
      <c r="E3068" s="14"/>
      <c r="F3068" s="25" t="s">
        <v>29</v>
      </c>
      <c r="G3068" s="25"/>
      <c r="H3068" s="34"/>
      <c r="I3068" s="84">
        <v>436845.07</v>
      </c>
      <c r="J3068" s="136"/>
      <c r="K3068" s="118"/>
      <c r="L3068" s="34"/>
      <c r="M3068" s="84"/>
      <c r="N3068" s="38"/>
      <c r="O3068" s="39"/>
      <c r="P3068" s="193">
        <v>46082</v>
      </c>
    </row>
    <row r="3069" spans="1:16" ht="15.75" customHeight="1">
      <c r="A3069" s="13">
        <f t="shared" si="58"/>
        <v>3042</v>
      </c>
      <c r="B3069" s="32" t="s">
        <v>753</v>
      </c>
      <c r="C3069" s="25" t="s">
        <v>754</v>
      </c>
      <c r="D3069" s="25" t="s">
        <v>755</v>
      </c>
      <c r="E3069" s="23" t="s">
        <v>13</v>
      </c>
      <c r="F3069" s="57">
        <v>8</v>
      </c>
      <c r="G3069" s="25">
        <v>1</v>
      </c>
      <c r="H3069" s="34">
        <v>2456.46</v>
      </c>
      <c r="I3069" s="84">
        <v>2674.27</v>
      </c>
      <c r="J3069" s="136">
        <v>7753.86</v>
      </c>
      <c r="K3069" s="118">
        <v>8461.81</v>
      </c>
      <c r="L3069" s="35" t="s">
        <v>747</v>
      </c>
      <c r="M3069" s="85"/>
      <c r="N3069" s="107" t="s">
        <v>820</v>
      </c>
      <c r="O3069" s="39"/>
      <c r="P3069" s="66">
        <v>43617</v>
      </c>
    </row>
    <row r="3070" spans="1:16" ht="15.75" customHeight="1">
      <c r="A3070" s="13">
        <f t="shared" si="58"/>
        <v>3043</v>
      </c>
      <c r="B3070" s="156" t="s">
        <v>753</v>
      </c>
      <c r="C3070" s="23" t="s">
        <v>754</v>
      </c>
      <c r="D3070" s="25" t="s">
        <v>755</v>
      </c>
      <c r="E3070" s="23" t="s">
        <v>13</v>
      </c>
      <c r="F3070" s="57">
        <v>8</v>
      </c>
      <c r="G3070" s="25">
        <v>1</v>
      </c>
      <c r="H3070" s="34">
        <v>2674.27</v>
      </c>
      <c r="I3070" s="84"/>
      <c r="J3070" s="136">
        <v>8461.81</v>
      </c>
      <c r="K3070" s="118"/>
      <c r="L3070" s="35"/>
      <c r="M3070" s="85"/>
      <c r="N3070" s="107" t="s">
        <v>820</v>
      </c>
      <c r="O3070" s="39"/>
      <c r="P3070" s="66">
        <v>43891</v>
      </c>
    </row>
    <row r="3071" spans="1:16" ht="12.75" customHeight="1">
      <c r="A3071" s="202" t="s">
        <v>33</v>
      </c>
      <c r="B3071" s="202"/>
      <c r="C3071" s="202"/>
      <c r="D3071" s="202"/>
      <c r="E3071" s="202"/>
      <c r="F3071" s="202"/>
      <c r="G3071" s="202"/>
      <c r="H3071" s="202"/>
      <c r="I3071" s="202"/>
      <c r="J3071" s="202"/>
      <c r="K3071" s="202"/>
      <c r="L3071" s="202"/>
      <c r="M3071" s="202"/>
      <c r="N3071" s="202"/>
      <c r="O3071" s="202"/>
      <c r="P3071" s="202"/>
    </row>
    <row r="3072" spans="1:16" ht="12.75" customHeight="1">
      <c r="A3072" s="13">
        <f>A3070+1</f>
        <v>3044</v>
      </c>
      <c r="B3072" s="75" t="s">
        <v>524</v>
      </c>
      <c r="C3072" s="56" t="s">
        <v>255</v>
      </c>
      <c r="D3072" s="78" t="s">
        <v>783</v>
      </c>
      <c r="E3072" s="74"/>
      <c r="F3072" s="57" t="s">
        <v>34</v>
      </c>
      <c r="G3072" s="57"/>
      <c r="H3072" s="34">
        <v>29355.638759999998</v>
      </c>
      <c r="I3072" s="34"/>
      <c r="J3072" s="136">
        <v>0</v>
      </c>
      <c r="K3072" s="136"/>
      <c r="L3072" s="34">
        <v>0</v>
      </c>
      <c r="M3072" s="84"/>
      <c r="N3072" s="38"/>
      <c r="O3072" s="39"/>
      <c r="P3072" s="66">
        <v>43160</v>
      </c>
    </row>
    <row r="3073" spans="1:16" ht="12.75" customHeight="1">
      <c r="A3073" s="13">
        <f>A3072+1</f>
        <v>3045</v>
      </c>
      <c r="B3073" s="75"/>
      <c r="C3073" s="56"/>
      <c r="D3073" s="56"/>
      <c r="E3073" s="74"/>
      <c r="F3073" s="57" t="s">
        <v>35</v>
      </c>
      <c r="G3073" s="57"/>
      <c r="H3073" s="34">
        <v>41019.856920000006</v>
      </c>
      <c r="I3073" s="34"/>
      <c r="J3073" s="136">
        <v>0</v>
      </c>
      <c r="K3073" s="136"/>
      <c r="L3073" s="34">
        <v>0</v>
      </c>
      <c r="M3073" s="84"/>
      <c r="N3073" s="38"/>
      <c r="O3073" s="39"/>
      <c r="P3073" s="66">
        <v>43160</v>
      </c>
    </row>
    <row r="3074" spans="1:16" ht="12.75" customHeight="1">
      <c r="A3074" s="13">
        <f t="shared" ref="A3074:A3137" si="59">A3073+1</f>
        <v>3046</v>
      </c>
      <c r="B3074" s="75"/>
      <c r="C3074" s="56"/>
      <c r="D3074" s="56"/>
      <c r="E3074" s="74"/>
      <c r="F3074" s="57" t="s">
        <v>36</v>
      </c>
      <c r="G3074" s="57"/>
      <c r="H3074" s="34">
        <v>52684.075080000002</v>
      </c>
      <c r="I3074" s="34"/>
      <c r="J3074" s="136">
        <v>0</v>
      </c>
      <c r="K3074" s="136"/>
      <c r="L3074" s="34">
        <v>0</v>
      </c>
      <c r="M3074" s="84"/>
      <c r="N3074" s="38"/>
      <c r="O3074" s="39"/>
      <c r="P3074" s="66">
        <v>43160</v>
      </c>
    </row>
    <row r="3075" spans="1:16" ht="12.75" customHeight="1">
      <c r="A3075" s="13">
        <f t="shared" si="59"/>
        <v>3047</v>
      </c>
      <c r="B3075" s="75"/>
      <c r="C3075" s="56"/>
      <c r="D3075" s="56"/>
      <c r="E3075" s="74"/>
      <c r="F3075" s="57" t="s">
        <v>37</v>
      </c>
      <c r="G3075" s="57"/>
      <c r="H3075" s="34">
        <v>64348.293239999999</v>
      </c>
      <c r="I3075" s="34"/>
      <c r="J3075" s="136">
        <v>0</v>
      </c>
      <c r="K3075" s="136"/>
      <c r="L3075" s="34">
        <v>0</v>
      </c>
      <c r="M3075" s="84"/>
      <c r="N3075" s="38"/>
      <c r="O3075" s="39"/>
      <c r="P3075" s="66">
        <v>43160</v>
      </c>
    </row>
    <row r="3076" spans="1:16" ht="12.75" customHeight="1">
      <c r="A3076" s="13">
        <f t="shared" si="59"/>
        <v>3048</v>
      </c>
      <c r="B3076" s="75"/>
      <c r="C3076" s="56"/>
      <c r="D3076" s="56"/>
      <c r="E3076" s="74"/>
      <c r="F3076" s="57" t="s">
        <v>38</v>
      </c>
      <c r="G3076" s="57"/>
      <c r="H3076" s="34">
        <v>76012.511400000003</v>
      </c>
      <c r="I3076" s="34"/>
      <c r="J3076" s="136">
        <v>0</v>
      </c>
      <c r="K3076" s="136"/>
      <c r="L3076" s="34">
        <v>0</v>
      </c>
      <c r="M3076" s="84"/>
      <c r="N3076" s="38"/>
      <c r="O3076" s="39"/>
      <c r="P3076" s="66">
        <v>43160</v>
      </c>
    </row>
    <row r="3077" spans="1:16" ht="12.75" customHeight="1">
      <c r="A3077" s="13">
        <f t="shared" si="59"/>
        <v>3049</v>
      </c>
      <c r="B3077" s="75"/>
      <c r="C3077" s="56"/>
      <c r="D3077" s="56"/>
      <c r="E3077" s="74"/>
      <c r="F3077" s="57" t="s">
        <v>39</v>
      </c>
      <c r="G3077" s="57"/>
      <c r="H3077" s="34">
        <v>87676.729559999992</v>
      </c>
      <c r="I3077" s="34"/>
      <c r="J3077" s="136">
        <v>0</v>
      </c>
      <c r="K3077" s="136"/>
      <c r="L3077" s="34">
        <v>0</v>
      </c>
      <c r="M3077" s="84"/>
      <c r="N3077" s="38"/>
      <c r="O3077" s="39"/>
      <c r="P3077" s="66">
        <v>43160</v>
      </c>
    </row>
    <row r="3078" spans="1:16" ht="12.75" customHeight="1">
      <c r="A3078" s="13">
        <f t="shared" si="59"/>
        <v>3050</v>
      </c>
      <c r="B3078" s="75"/>
      <c r="C3078" s="56"/>
      <c r="D3078" s="56"/>
      <c r="E3078" s="74"/>
      <c r="F3078" s="57" t="s">
        <v>40</v>
      </c>
      <c r="G3078" s="57"/>
      <c r="H3078" s="34">
        <v>99340.947719999996</v>
      </c>
      <c r="I3078" s="34"/>
      <c r="J3078" s="136">
        <v>0</v>
      </c>
      <c r="K3078" s="136"/>
      <c r="L3078" s="34">
        <v>0</v>
      </c>
      <c r="M3078" s="84"/>
      <c r="N3078" s="38"/>
      <c r="O3078" s="39"/>
      <c r="P3078" s="66">
        <v>43160</v>
      </c>
    </row>
    <row r="3079" spans="1:16" ht="12.75" customHeight="1">
      <c r="A3079" s="13">
        <f t="shared" si="59"/>
        <v>3051</v>
      </c>
      <c r="B3079" s="75"/>
      <c r="C3079" s="56"/>
      <c r="D3079" s="56"/>
      <c r="E3079" s="74"/>
      <c r="F3079" s="57" t="s">
        <v>41</v>
      </c>
      <c r="G3079" s="57"/>
      <c r="H3079" s="34">
        <v>111005.16588</v>
      </c>
      <c r="I3079" s="34"/>
      <c r="J3079" s="136">
        <v>0</v>
      </c>
      <c r="K3079" s="136"/>
      <c r="L3079" s="34">
        <v>0</v>
      </c>
      <c r="M3079" s="84"/>
      <c r="N3079" s="38"/>
      <c r="O3079" s="39"/>
      <c r="P3079" s="66">
        <v>43160</v>
      </c>
    </row>
    <row r="3080" spans="1:16" ht="12.75" customHeight="1">
      <c r="A3080" s="13">
        <f t="shared" si="59"/>
        <v>3052</v>
      </c>
      <c r="B3080" s="75"/>
      <c r="C3080" s="56"/>
      <c r="D3080" s="56"/>
      <c r="E3080" s="74"/>
      <c r="F3080" s="57" t="s">
        <v>42</v>
      </c>
      <c r="G3080" s="57"/>
      <c r="H3080" s="34">
        <v>122669.38403999999</v>
      </c>
      <c r="I3080" s="34"/>
      <c r="J3080" s="136">
        <v>0</v>
      </c>
      <c r="K3080" s="136"/>
      <c r="L3080" s="34">
        <v>0</v>
      </c>
      <c r="M3080" s="84"/>
      <c r="N3080" s="38"/>
      <c r="O3080" s="39"/>
      <c r="P3080" s="66">
        <v>43160</v>
      </c>
    </row>
    <row r="3081" spans="1:16" ht="12.75" customHeight="1">
      <c r="A3081" s="13">
        <f t="shared" si="59"/>
        <v>3053</v>
      </c>
      <c r="B3081" s="75"/>
      <c r="C3081" s="56"/>
      <c r="D3081" s="56"/>
      <c r="E3081" s="74"/>
      <c r="F3081" s="57" t="s">
        <v>43</v>
      </c>
      <c r="G3081" s="57"/>
      <c r="H3081" s="34">
        <v>134333.60220000002</v>
      </c>
      <c r="I3081" s="34"/>
      <c r="J3081" s="136">
        <v>0</v>
      </c>
      <c r="K3081" s="136"/>
      <c r="L3081" s="34">
        <v>0</v>
      </c>
      <c r="M3081" s="84"/>
      <c r="N3081" s="38"/>
      <c r="O3081" s="39"/>
      <c r="P3081" s="66">
        <v>43160</v>
      </c>
    </row>
    <row r="3082" spans="1:16" ht="12.75" customHeight="1">
      <c r="A3082" s="13">
        <f t="shared" si="59"/>
        <v>3054</v>
      </c>
      <c r="B3082" s="75"/>
      <c r="C3082" s="56"/>
      <c r="D3082" s="56"/>
      <c r="E3082" s="74"/>
      <c r="F3082" s="57" t="s">
        <v>44</v>
      </c>
      <c r="G3082" s="57"/>
      <c r="H3082" s="34">
        <v>145997.82036000001</v>
      </c>
      <c r="I3082" s="34"/>
      <c r="J3082" s="136">
        <v>0</v>
      </c>
      <c r="K3082" s="136"/>
      <c r="L3082" s="34">
        <v>0</v>
      </c>
      <c r="M3082" s="84"/>
      <c r="N3082" s="38"/>
      <c r="O3082" s="39"/>
      <c r="P3082" s="66">
        <v>43160</v>
      </c>
    </row>
    <row r="3083" spans="1:16" ht="12.75" customHeight="1">
      <c r="A3083" s="13">
        <f t="shared" si="59"/>
        <v>3055</v>
      </c>
      <c r="B3083" s="75"/>
      <c r="C3083" s="56"/>
      <c r="D3083" s="56"/>
      <c r="E3083" s="74"/>
      <c r="F3083" s="57" t="s">
        <v>45</v>
      </c>
      <c r="G3083" s="57"/>
      <c r="H3083" s="34">
        <v>157662.03852</v>
      </c>
      <c r="I3083" s="34"/>
      <c r="J3083" s="136">
        <v>0</v>
      </c>
      <c r="K3083" s="136"/>
      <c r="L3083" s="34">
        <v>0</v>
      </c>
      <c r="M3083" s="84"/>
      <c r="N3083" s="38"/>
      <c r="O3083" s="39"/>
      <c r="P3083" s="66">
        <v>43160</v>
      </c>
    </row>
    <row r="3084" spans="1:16" ht="12.75" customHeight="1">
      <c r="A3084" s="13">
        <f t="shared" si="59"/>
        <v>3056</v>
      </c>
      <c r="B3084" s="75"/>
      <c r="C3084" s="56"/>
      <c r="D3084" s="56"/>
      <c r="E3084" s="74"/>
      <c r="F3084" s="57" t="s">
        <v>46</v>
      </c>
      <c r="G3084" s="57"/>
      <c r="H3084" s="34">
        <v>169326.25667999999</v>
      </c>
      <c r="I3084" s="34"/>
      <c r="J3084" s="136">
        <v>0</v>
      </c>
      <c r="K3084" s="136"/>
      <c r="L3084" s="34">
        <v>0</v>
      </c>
      <c r="M3084" s="84"/>
      <c r="N3084" s="38"/>
      <c r="O3084" s="39"/>
      <c r="P3084" s="66">
        <v>43160</v>
      </c>
    </row>
    <row r="3085" spans="1:16" ht="12.75" customHeight="1">
      <c r="A3085" s="13">
        <f t="shared" si="59"/>
        <v>3057</v>
      </c>
      <c r="B3085" s="75"/>
      <c r="C3085" s="56"/>
      <c r="D3085" s="56"/>
      <c r="E3085" s="74"/>
      <c r="F3085" s="57" t="s">
        <v>47</v>
      </c>
      <c r="G3085" s="57"/>
      <c r="H3085" s="34">
        <v>180990.47483999998</v>
      </c>
      <c r="I3085" s="34"/>
      <c r="J3085" s="136">
        <v>0</v>
      </c>
      <c r="K3085" s="136"/>
      <c r="L3085" s="34">
        <v>0</v>
      </c>
      <c r="M3085" s="84"/>
      <c r="N3085" s="38"/>
      <c r="O3085" s="39"/>
      <c r="P3085" s="66">
        <v>43160</v>
      </c>
    </row>
    <row r="3086" spans="1:16" ht="12.75" customHeight="1">
      <c r="A3086" s="13">
        <f t="shared" si="59"/>
        <v>3058</v>
      </c>
      <c r="B3086" s="75"/>
      <c r="C3086" s="56"/>
      <c r="D3086" s="56"/>
      <c r="E3086" s="74"/>
      <c r="F3086" s="57" t="s">
        <v>48</v>
      </c>
      <c r="G3086" s="57"/>
      <c r="H3086" s="34">
        <v>192654.693</v>
      </c>
      <c r="I3086" s="34"/>
      <c r="J3086" s="136">
        <v>0</v>
      </c>
      <c r="K3086" s="136"/>
      <c r="L3086" s="34">
        <v>0</v>
      </c>
      <c r="M3086" s="84"/>
      <c r="N3086" s="38"/>
      <c r="O3086" s="39"/>
      <c r="P3086" s="66">
        <v>43160</v>
      </c>
    </row>
    <row r="3087" spans="1:16" ht="12.75" customHeight="1">
      <c r="A3087" s="13">
        <f t="shared" si="59"/>
        <v>3059</v>
      </c>
      <c r="B3087" s="75" t="s">
        <v>525</v>
      </c>
      <c r="C3087" s="56" t="s">
        <v>256</v>
      </c>
      <c r="D3087" s="56"/>
      <c r="E3087" s="14"/>
      <c r="F3087" s="57" t="s">
        <v>34</v>
      </c>
      <c r="G3087" s="57"/>
      <c r="H3087" s="34">
        <v>18694.969019999997</v>
      </c>
      <c r="I3087" s="34"/>
      <c r="J3087" s="136">
        <v>0</v>
      </c>
      <c r="K3087" s="136"/>
      <c r="L3087" s="34">
        <v>0</v>
      </c>
      <c r="M3087" s="84"/>
      <c r="N3087" s="38"/>
      <c r="O3087" s="39"/>
      <c r="P3087" s="51"/>
    </row>
    <row r="3088" spans="1:16" ht="12.75" customHeight="1">
      <c r="A3088" s="13">
        <f t="shared" si="59"/>
        <v>3060</v>
      </c>
      <c r="B3088" s="75"/>
      <c r="C3088" s="56"/>
      <c r="D3088" s="56"/>
      <c r="E3088" s="14"/>
      <c r="F3088" s="57" t="s">
        <v>35</v>
      </c>
      <c r="G3088" s="57"/>
      <c r="H3088" s="34">
        <v>24977.862000000001</v>
      </c>
      <c r="I3088" s="34"/>
      <c r="J3088" s="136">
        <v>0</v>
      </c>
      <c r="K3088" s="136"/>
      <c r="L3088" s="34">
        <v>0</v>
      </c>
      <c r="M3088" s="84"/>
      <c r="N3088" s="38"/>
      <c r="O3088" s="39"/>
      <c r="P3088" s="51"/>
    </row>
    <row r="3089" spans="1:16" ht="12.75" customHeight="1">
      <c r="A3089" s="13">
        <f t="shared" si="59"/>
        <v>3061</v>
      </c>
      <c r="B3089" s="75"/>
      <c r="C3089" s="56"/>
      <c r="D3089" s="56"/>
      <c r="E3089" s="14"/>
      <c r="F3089" s="57" t="s">
        <v>36</v>
      </c>
      <c r="G3089" s="57"/>
      <c r="H3089" s="34">
        <v>31260.754979999998</v>
      </c>
      <c r="I3089" s="34"/>
      <c r="J3089" s="136">
        <v>0</v>
      </c>
      <c r="K3089" s="136"/>
      <c r="L3089" s="34">
        <v>0</v>
      </c>
      <c r="M3089" s="84"/>
      <c r="N3089" s="38"/>
      <c r="O3089" s="39"/>
      <c r="P3089" s="51"/>
    </row>
    <row r="3090" spans="1:16" ht="12.75" customHeight="1">
      <c r="A3090" s="13">
        <f t="shared" si="59"/>
        <v>3062</v>
      </c>
      <c r="B3090" s="75"/>
      <c r="C3090" s="56"/>
      <c r="D3090" s="56"/>
      <c r="E3090" s="14"/>
      <c r="F3090" s="57" t="s">
        <v>37</v>
      </c>
      <c r="G3090" s="57"/>
      <c r="H3090" s="34">
        <v>37543.647960000002</v>
      </c>
      <c r="I3090" s="34"/>
      <c r="J3090" s="136">
        <v>0</v>
      </c>
      <c r="K3090" s="136"/>
      <c r="L3090" s="34">
        <v>0</v>
      </c>
      <c r="M3090" s="84"/>
      <c r="N3090" s="38"/>
      <c r="O3090" s="39"/>
      <c r="P3090" s="51"/>
    </row>
    <row r="3091" spans="1:16" ht="12.75" customHeight="1">
      <c r="A3091" s="13">
        <f t="shared" si="59"/>
        <v>3063</v>
      </c>
      <c r="B3091" s="75"/>
      <c r="C3091" s="56"/>
      <c r="D3091" s="56"/>
      <c r="E3091" s="14"/>
      <c r="F3091" s="57" t="s">
        <v>38</v>
      </c>
      <c r="G3091" s="57"/>
      <c r="H3091" s="34">
        <v>43826.540939999999</v>
      </c>
      <c r="I3091" s="34"/>
      <c r="J3091" s="136">
        <v>0</v>
      </c>
      <c r="K3091" s="136"/>
      <c r="L3091" s="34">
        <v>0</v>
      </c>
      <c r="M3091" s="84"/>
      <c r="N3091" s="38"/>
      <c r="O3091" s="39"/>
      <c r="P3091" s="51"/>
    </row>
    <row r="3092" spans="1:16" ht="12.75" customHeight="1">
      <c r="A3092" s="13">
        <f t="shared" si="59"/>
        <v>3064</v>
      </c>
      <c r="B3092" s="75"/>
      <c r="C3092" s="56"/>
      <c r="D3092" s="56"/>
      <c r="E3092" s="14"/>
      <c r="F3092" s="57" t="s">
        <v>39</v>
      </c>
      <c r="G3092" s="57"/>
      <c r="H3092" s="34">
        <v>50109.433920000003</v>
      </c>
      <c r="I3092" s="34"/>
      <c r="J3092" s="136">
        <v>0</v>
      </c>
      <c r="K3092" s="136"/>
      <c r="L3092" s="34">
        <v>0</v>
      </c>
      <c r="M3092" s="84"/>
      <c r="N3092" s="38"/>
      <c r="O3092" s="39"/>
      <c r="P3092" s="51"/>
    </row>
    <row r="3093" spans="1:16" ht="12.75" customHeight="1">
      <c r="A3093" s="13">
        <f t="shared" si="59"/>
        <v>3065</v>
      </c>
      <c r="B3093" s="75"/>
      <c r="C3093" s="56"/>
      <c r="D3093" s="56"/>
      <c r="E3093" s="14"/>
      <c r="F3093" s="57" t="s">
        <v>40</v>
      </c>
      <c r="G3093" s="57"/>
      <c r="H3093" s="34">
        <v>56392.326899999993</v>
      </c>
      <c r="I3093" s="34"/>
      <c r="J3093" s="136">
        <v>0</v>
      </c>
      <c r="K3093" s="136"/>
      <c r="L3093" s="34">
        <v>0</v>
      </c>
      <c r="M3093" s="84"/>
      <c r="N3093" s="38"/>
      <c r="O3093" s="39"/>
      <c r="P3093" s="51"/>
    </row>
    <row r="3094" spans="1:16" ht="12.75" customHeight="1">
      <c r="A3094" s="13">
        <f t="shared" si="59"/>
        <v>3066</v>
      </c>
      <c r="B3094" s="75"/>
      <c r="C3094" s="56"/>
      <c r="D3094" s="56"/>
      <c r="E3094" s="14"/>
      <c r="F3094" s="57" t="s">
        <v>41</v>
      </c>
      <c r="G3094" s="57"/>
      <c r="H3094" s="34">
        <v>62675.219879999997</v>
      </c>
      <c r="I3094" s="34"/>
      <c r="J3094" s="136">
        <v>0</v>
      </c>
      <c r="K3094" s="136"/>
      <c r="L3094" s="34">
        <v>0</v>
      </c>
      <c r="M3094" s="84"/>
      <c r="N3094" s="38"/>
      <c r="O3094" s="39"/>
      <c r="P3094" s="51"/>
    </row>
    <row r="3095" spans="1:16" ht="12.75" customHeight="1">
      <c r="A3095" s="13">
        <f t="shared" si="59"/>
        <v>3067</v>
      </c>
      <c r="B3095" s="75"/>
      <c r="C3095" s="56"/>
      <c r="D3095" s="56"/>
      <c r="E3095" s="14"/>
      <c r="F3095" s="57" t="s">
        <v>42</v>
      </c>
      <c r="G3095" s="57"/>
      <c r="H3095" s="34">
        <v>68958.112859999994</v>
      </c>
      <c r="I3095" s="34"/>
      <c r="J3095" s="136">
        <v>0</v>
      </c>
      <c r="K3095" s="136"/>
      <c r="L3095" s="34">
        <v>0</v>
      </c>
      <c r="M3095" s="84"/>
      <c r="N3095" s="38"/>
      <c r="O3095" s="39"/>
      <c r="P3095" s="51"/>
    </row>
    <row r="3096" spans="1:16" ht="12.75" customHeight="1">
      <c r="A3096" s="13">
        <f t="shared" si="59"/>
        <v>3068</v>
      </c>
      <c r="B3096" s="75"/>
      <c r="C3096" s="56"/>
      <c r="D3096" s="56"/>
      <c r="E3096" s="14"/>
      <c r="F3096" s="57" t="s">
        <v>43</v>
      </c>
      <c r="G3096" s="57"/>
      <c r="H3096" s="34">
        <v>75241.005839999998</v>
      </c>
      <c r="I3096" s="34"/>
      <c r="J3096" s="136">
        <v>0</v>
      </c>
      <c r="K3096" s="136"/>
      <c r="L3096" s="34">
        <v>0</v>
      </c>
      <c r="M3096" s="84"/>
      <c r="N3096" s="38"/>
      <c r="O3096" s="39"/>
      <c r="P3096" s="51"/>
    </row>
    <row r="3097" spans="1:16" ht="12.75" customHeight="1">
      <c r="A3097" s="13">
        <f t="shared" si="59"/>
        <v>3069</v>
      </c>
      <c r="B3097" s="75"/>
      <c r="C3097" s="56"/>
      <c r="D3097" s="56"/>
      <c r="E3097" s="14"/>
      <c r="F3097" s="57" t="s">
        <v>44</v>
      </c>
      <c r="G3097" s="57"/>
      <c r="H3097" s="34">
        <v>81523.898820000017</v>
      </c>
      <c r="I3097" s="34"/>
      <c r="J3097" s="136">
        <v>0</v>
      </c>
      <c r="K3097" s="136"/>
      <c r="L3097" s="34">
        <v>0</v>
      </c>
      <c r="M3097" s="84"/>
      <c r="N3097" s="38"/>
      <c r="O3097" s="39"/>
      <c r="P3097" s="51"/>
    </row>
    <row r="3098" spans="1:16" ht="12.75" customHeight="1">
      <c r="A3098" s="13">
        <f t="shared" si="59"/>
        <v>3070</v>
      </c>
      <c r="B3098" s="75"/>
      <c r="C3098" s="56"/>
      <c r="D3098" s="56"/>
      <c r="E3098" s="14"/>
      <c r="F3098" s="57" t="s">
        <v>45</v>
      </c>
      <c r="G3098" s="57"/>
      <c r="H3098" s="34">
        <v>87806.791799999992</v>
      </c>
      <c r="I3098" s="34"/>
      <c r="J3098" s="136">
        <v>0</v>
      </c>
      <c r="K3098" s="136"/>
      <c r="L3098" s="34">
        <v>0</v>
      </c>
      <c r="M3098" s="84"/>
      <c r="N3098" s="38"/>
      <c r="O3098" s="39"/>
      <c r="P3098" s="51"/>
    </row>
    <row r="3099" spans="1:16" ht="12.75" customHeight="1">
      <c r="A3099" s="13">
        <f t="shared" si="59"/>
        <v>3071</v>
      </c>
      <c r="B3099" s="75"/>
      <c r="C3099" s="56"/>
      <c r="D3099" s="56"/>
      <c r="E3099" s="14"/>
      <c r="F3099" s="57" t="s">
        <v>46</v>
      </c>
      <c r="G3099" s="57"/>
      <c r="H3099" s="34">
        <v>94089.684780000011</v>
      </c>
      <c r="I3099" s="34"/>
      <c r="J3099" s="136">
        <v>0</v>
      </c>
      <c r="K3099" s="136"/>
      <c r="L3099" s="34">
        <v>0</v>
      </c>
      <c r="M3099" s="84"/>
      <c r="N3099" s="38"/>
      <c r="O3099" s="39"/>
      <c r="P3099" s="51"/>
    </row>
    <row r="3100" spans="1:16" ht="12.75" customHeight="1">
      <c r="A3100" s="13">
        <f t="shared" si="59"/>
        <v>3072</v>
      </c>
      <c r="B3100" s="75"/>
      <c r="C3100" s="56"/>
      <c r="D3100" s="56"/>
      <c r="E3100" s="14"/>
      <c r="F3100" s="57" t="s">
        <v>47</v>
      </c>
      <c r="G3100" s="57"/>
      <c r="H3100" s="34">
        <v>100372.57776</v>
      </c>
      <c r="I3100" s="34"/>
      <c r="J3100" s="136">
        <v>0</v>
      </c>
      <c r="K3100" s="136"/>
      <c r="L3100" s="34">
        <v>0</v>
      </c>
      <c r="M3100" s="84"/>
      <c r="N3100" s="38"/>
      <c r="O3100" s="39"/>
      <c r="P3100" s="51"/>
    </row>
    <row r="3101" spans="1:16" ht="12.75" customHeight="1">
      <c r="A3101" s="13">
        <f t="shared" si="59"/>
        <v>3073</v>
      </c>
      <c r="B3101" s="75"/>
      <c r="C3101" s="56"/>
      <c r="D3101" s="56"/>
      <c r="E3101" s="14"/>
      <c r="F3101" s="57" t="s">
        <v>48</v>
      </c>
      <c r="G3101" s="57"/>
      <c r="H3101" s="34">
        <v>106655.47073999999</v>
      </c>
      <c r="I3101" s="34"/>
      <c r="J3101" s="136">
        <v>0</v>
      </c>
      <c r="K3101" s="136"/>
      <c r="L3101" s="34">
        <v>0</v>
      </c>
      <c r="M3101" s="84"/>
      <c r="N3101" s="38"/>
      <c r="O3101" s="39"/>
      <c r="P3101" s="51"/>
    </row>
    <row r="3102" spans="1:16" ht="12.75" customHeight="1">
      <c r="A3102" s="13">
        <f t="shared" si="59"/>
        <v>3074</v>
      </c>
      <c r="B3102" s="75" t="s">
        <v>525</v>
      </c>
      <c r="C3102" s="56" t="s">
        <v>257</v>
      </c>
      <c r="D3102" s="56"/>
      <c r="E3102" s="14"/>
      <c r="F3102" s="57" t="s">
        <v>34</v>
      </c>
      <c r="G3102" s="57"/>
      <c r="H3102" s="34">
        <v>18916.666019999997</v>
      </c>
      <c r="I3102" s="34"/>
      <c r="J3102" s="136">
        <v>0</v>
      </c>
      <c r="K3102" s="136"/>
      <c r="L3102" s="34">
        <v>0</v>
      </c>
      <c r="M3102" s="84"/>
      <c r="N3102" s="38"/>
      <c r="O3102" s="39"/>
      <c r="P3102" s="51"/>
    </row>
    <row r="3103" spans="1:16" ht="12.75" customHeight="1">
      <c r="A3103" s="13">
        <f t="shared" si="59"/>
        <v>3075</v>
      </c>
      <c r="B3103" s="75"/>
      <c r="C3103" s="56"/>
      <c r="D3103" s="56"/>
      <c r="E3103" s="14"/>
      <c r="F3103" s="57" t="s">
        <v>35</v>
      </c>
      <c r="G3103" s="57"/>
      <c r="H3103" s="34">
        <v>25421.256000000001</v>
      </c>
      <c r="I3103" s="34"/>
      <c r="J3103" s="136">
        <v>0</v>
      </c>
      <c r="K3103" s="136"/>
      <c r="L3103" s="34">
        <v>0</v>
      </c>
      <c r="M3103" s="84"/>
      <c r="N3103" s="38"/>
      <c r="O3103" s="39"/>
      <c r="P3103" s="51"/>
    </row>
    <row r="3104" spans="1:16" ht="12.75" customHeight="1">
      <c r="A3104" s="13">
        <f t="shared" si="59"/>
        <v>3076</v>
      </c>
      <c r="B3104" s="75"/>
      <c r="C3104" s="56"/>
      <c r="D3104" s="56"/>
      <c r="E3104" s="14"/>
      <c r="F3104" s="57" t="s">
        <v>36</v>
      </c>
      <c r="G3104" s="57"/>
      <c r="H3104" s="34">
        <v>31925.845979999998</v>
      </c>
      <c r="I3104" s="34"/>
      <c r="J3104" s="136">
        <v>0</v>
      </c>
      <c r="K3104" s="136"/>
      <c r="L3104" s="34">
        <v>0</v>
      </c>
      <c r="M3104" s="84"/>
      <c r="N3104" s="38"/>
      <c r="O3104" s="39"/>
      <c r="P3104" s="51"/>
    </row>
    <row r="3105" spans="1:16" ht="12.75" customHeight="1">
      <c r="A3105" s="13">
        <f t="shared" si="59"/>
        <v>3077</v>
      </c>
      <c r="B3105" s="75"/>
      <c r="C3105" s="56"/>
      <c r="D3105" s="56"/>
      <c r="E3105" s="14"/>
      <c r="F3105" s="57" t="s">
        <v>37</v>
      </c>
      <c r="G3105" s="57"/>
      <c r="H3105" s="34">
        <v>38430.435960000003</v>
      </c>
      <c r="I3105" s="34"/>
      <c r="J3105" s="136">
        <v>0</v>
      </c>
      <c r="K3105" s="136"/>
      <c r="L3105" s="34">
        <v>0</v>
      </c>
      <c r="M3105" s="84"/>
      <c r="N3105" s="38"/>
      <c r="O3105" s="39"/>
      <c r="P3105" s="51"/>
    </row>
    <row r="3106" spans="1:16" ht="12.75" customHeight="1">
      <c r="A3106" s="13">
        <f t="shared" si="59"/>
        <v>3078</v>
      </c>
      <c r="B3106" s="75"/>
      <c r="C3106" s="56"/>
      <c r="D3106" s="56"/>
      <c r="E3106" s="14"/>
      <c r="F3106" s="57" t="s">
        <v>38</v>
      </c>
      <c r="G3106" s="57"/>
      <c r="H3106" s="34">
        <v>44935.02594</v>
      </c>
      <c r="I3106" s="34"/>
      <c r="J3106" s="136">
        <v>0</v>
      </c>
      <c r="K3106" s="136"/>
      <c r="L3106" s="34">
        <v>0</v>
      </c>
      <c r="M3106" s="84"/>
      <c r="N3106" s="38"/>
      <c r="O3106" s="39"/>
      <c r="P3106" s="51"/>
    </row>
    <row r="3107" spans="1:16" ht="12.75" customHeight="1">
      <c r="A3107" s="13">
        <f t="shared" si="59"/>
        <v>3079</v>
      </c>
      <c r="B3107" s="75"/>
      <c r="C3107" s="56"/>
      <c r="D3107" s="56"/>
      <c r="E3107" s="14"/>
      <c r="F3107" s="57" t="s">
        <v>39</v>
      </c>
      <c r="G3107" s="57"/>
      <c r="H3107" s="34">
        <v>51439.615920000004</v>
      </c>
      <c r="I3107" s="34"/>
      <c r="J3107" s="136">
        <v>0</v>
      </c>
      <c r="K3107" s="136"/>
      <c r="L3107" s="34">
        <v>0</v>
      </c>
      <c r="M3107" s="84"/>
      <c r="N3107" s="38"/>
      <c r="O3107" s="39"/>
      <c r="P3107" s="51"/>
    </row>
    <row r="3108" spans="1:16" ht="12.75" customHeight="1">
      <c r="A3108" s="13">
        <f t="shared" si="59"/>
        <v>3080</v>
      </c>
      <c r="B3108" s="75"/>
      <c r="C3108" s="56"/>
      <c r="D3108" s="56"/>
      <c r="E3108" s="14"/>
      <c r="F3108" s="57" t="s">
        <v>40</v>
      </c>
      <c r="G3108" s="57"/>
      <c r="H3108" s="34">
        <v>57944.205899999994</v>
      </c>
      <c r="I3108" s="34"/>
      <c r="J3108" s="136">
        <v>0</v>
      </c>
      <c r="K3108" s="136"/>
      <c r="L3108" s="34">
        <v>0</v>
      </c>
      <c r="M3108" s="84"/>
      <c r="N3108" s="38"/>
      <c r="O3108" s="39"/>
      <c r="P3108" s="51"/>
    </row>
    <row r="3109" spans="1:16" ht="12.75" customHeight="1">
      <c r="A3109" s="13">
        <f t="shared" si="59"/>
        <v>3081</v>
      </c>
      <c r="B3109" s="75"/>
      <c r="C3109" s="56"/>
      <c r="D3109" s="56"/>
      <c r="E3109" s="14"/>
      <c r="F3109" s="57" t="s">
        <v>41</v>
      </c>
      <c r="G3109" s="57"/>
      <c r="H3109" s="34">
        <v>64448.795880000005</v>
      </c>
      <c r="I3109" s="34"/>
      <c r="J3109" s="136">
        <v>0</v>
      </c>
      <c r="K3109" s="136"/>
      <c r="L3109" s="34">
        <v>0</v>
      </c>
      <c r="M3109" s="84"/>
      <c r="N3109" s="38"/>
      <c r="O3109" s="39"/>
      <c r="P3109" s="51"/>
    </row>
    <row r="3110" spans="1:16" ht="12.75" customHeight="1">
      <c r="A3110" s="13">
        <f t="shared" si="59"/>
        <v>3082</v>
      </c>
      <c r="B3110" s="75"/>
      <c r="C3110" s="56"/>
      <c r="D3110" s="56"/>
      <c r="E3110" s="14"/>
      <c r="F3110" s="57" t="s">
        <v>42</v>
      </c>
      <c r="G3110" s="57"/>
      <c r="H3110" s="34">
        <v>70953.385860000009</v>
      </c>
      <c r="I3110" s="34"/>
      <c r="J3110" s="136">
        <v>0</v>
      </c>
      <c r="K3110" s="136"/>
      <c r="L3110" s="34">
        <v>0</v>
      </c>
      <c r="M3110" s="84"/>
      <c r="N3110" s="38"/>
      <c r="O3110" s="39"/>
      <c r="P3110" s="51"/>
    </row>
    <row r="3111" spans="1:16" ht="12.75" customHeight="1">
      <c r="A3111" s="13">
        <f t="shared" si="59"/>
        <v>3083</v>
      </c>
      <c r="B3111" s="75"/>
      <c r="C3111" s="56"/>
      <c r="D3111" s="56"/>
      <c r="E3111" s="14"/>
      <c r="F3111" s="57" t="s">
        <v>43</v>
      </c>
      <c r="G3111" s="57"/>
      <c r="H3111" s="34">
        <v>77457.975839999999</v>
      </c>
      <c r="I3111" s="34"/>
      <c r="J3111" s="136">
        <v>0</v>
      </c>
      <c r="K3111" s="136"/>
      <c r="L3111" s="34">
        <v>0</v>
      </c>
      <c r="M3111" s="84"/>
      <c r="N3111" s="38"/>
      <c r="O3111" s="39"/>
      <c r="P3111" s="51"/>
    </row>
    <row r="3112" spans="1:16" ht="12.75" customHeight="1">
      <c r="A3112" s="13">
        <f t="shared" si="59"/>
        <v>3084</v>
      </c>
      <c r="B3112" s="75"/>
      <c r="C3112" s="56"/>
      <c r="D3112" s="56"/>
      <c r="E3112" s="14"/>
      <c r="F3112" s="57" t="s">
        <v>44</v>
      </c>
      <c r="G3112" s="57"/>
      <c r="H3112" s="34">
        <v>83962.565820000003</v>
      </c>
      <c r="I3112" s="34"/>
      <c r="J3112" s="136">
        <v>0</v>
      </c>
      <c r="K3112" s="136"/>
      <c r="L3112" s="34">
        <v>0</v>
      </c>
      <c r="M3112" s="84"/>
      <c r="N3112" s="38"/>
      <c r="O3112" s="39"/>
      <c r="P3112" s="51"/>
    </row>
    <row r="3113" spans="1:16" ht="12.75" customHeight="1">
      <c r="A3113" s="13">
        <f t="shared" si="59"/>
        <v>3085</v>
      </c>
      <c r="B3113" s="75"/>
      <c r="C3113" s="56"/>
      <c r="D3113" s="56"/>
      <c r="E3113" s="14"/>
      <c r="F3113" s="57" t="s">
        <v>45</v>
      </c>
      <c r="G3113" s="57"/>
      <c r="H3113" s="34">
        <v>90467.155799999993</v>
      </c>
      <c r="I3113" s="34"/>
      <c r="J3113" s="136">
        <v>0</v>
      </c>
      <c r="K3113" s="136"/>
      <c r="L3113" s="34">
        <v>0</v>
      </c>
      <c r="M3113" s="84"/>
      <c r="N3113" s="38"/>
      <c r="O3113" s="39"/>
      <c r="P3113" s="51"/>
    </row>
    <row r="3114" spans="1:16" ht="12.75" customHeight="1">
      <c r="A3114" s="13">
        <f t="shared" si="59"/>
        <v>3086</v>
      </c>
      <c r="B3114" s="75"/>
      <c r="C3114" s="56"/>
      <c r="D3114" s="56"/>
      <c r="E3114" s="14"/>
      <c r="F3114" s="57" t="s">
        <v>46</v>
      </c>
      <c r="G3114" s="57"/>
      <c r="H3114" s="34">
        <v>96971.745779999997</v>
      </c>
      <c r="I3114" s="34"/>
      <c r="J3114" s="136">
        <v>0</v>
      </c>
      <c r="K3114" s="136"/>
      <c r="L3114" s="34">
        <v>0</v>
      </c>
      <c r="M3114" s="84"/>
      <c r="N3114" s="38"/>
      <c r="O3114" s="39"/>
      <c r="P3114" s="51"/>
    </row>
    <row r="3115" spans="1:16" ht="12.75" customHeight="1">
      <c r="A3115" s="13">
        <f t="shared" si="59"/>
        <v>3087</v>
      </c>
      <c r="B3115" s="75"/>
      <c r="C3115" s="56"/>
      <c r="D3115" s="56"/>
      <c r="E3115" s="14"/>
      <c r="F3115" s="57" t="s">
        <v>47</v>
      </c>
      <c r="G3115" s="57"/>
      <c r="H3115" s="34">
        <v>103476.33575999999</v>
      </c>
      <c r="I3115" s="34"/>
      <c r="J3115" s="136">
        <v>0</v>
      </c>
      <c r="K3115" s="136"/>
      <c r="L3115" s="34">
        <v>0</v>
      </c>
      <c r="M3115" s="84"/>
      <c r="N3115" s="38"/>
      <c r="O3115" s="39"/>
      <c r="P3115" s="51"/>
    </row>
    <row r="3116" spans="1:16" ht="12.75" customHeight="1">
      <c r="A3116" s="13">
        <f t="shared" si="59"/>
        <v>3088</v>
      </c>
      <c r="B3116" s="75"/>
      <c r="C3116" s="56"/>
      <c r="D3116" s="56"/>
      <c r="E3116" s="14"/>
      <c r="F3116" s="57" t="s">
        <v>48</v>
      </c>
      <c r="G3116" s="57"/>
      <c r="H3116" s="34">
        <v>109980.92573999999</v>
      </c>
      <c r="I3116" s="34"/>
      <c r="J3116" s="136">
        <v>0</v>
      </c>
      <c r="K3116" s="136"/>
      <c r="L3116" s="34">
        <v>0</v>
      </c>
      <c r="M3116" s="84"/>
      <c r="N3116" s="38"/>
      <c r="O3116" s="39"/>
      <c r="P3116" s="51"/>
    </row>
    <row r="3117" spans="1:16" ht="12.75" customHeight="1">
      <c r="A3117" s="13">
        <f t="shared" si="59"/>
        <v>3089</v>
      </c>
      <c r="B3117" s="75" t="s">
        <v>525</v>
      </c>
      <c r="C3117" s="56" t="s">
        <v>258</v>
      </c>
      <c r="D3117" s="56"/>
      <c r="E3117" s="14"/>
      <c r="F3117" s="57" t="s">
        <v>34</v>
      </c>
      <c r="G3117" s="57"/>
      <c r="H3117" s="34">
        <v>22316.020020000004</v>
      </c>
      <c r="I3117" s="34"/>
      <c r="J3117" s="136">
        <v>0</v>
      </c>
      <c r="K3117" s="136"/>
      <c r="L3117" s="34">
        <v>0</v>
      </c>
      <c r="M3117" s="84"/>
      <c r="N3117" s="38"/>
      <c r="O3117" s="39"/>
      <c r="P3117" s="51"/>
    </row>
    <row r="3118" spans="1:16" ht="12.75" customHeight="1">
      <c r="A3118" s="13">
        <f t="shared" si="59"/>
        <v>3090</v>
      </c>
      <c r="B3118" s="75"/>
      <c r="C3118" s="56"/>
      <c r="D3118" s="56"/>
      <c r="E3118" s="14"/>
      <c r="F3118" s="57" t="s">
        <v>35</v>
      </c>
      <c r="G3118" s="57"/>
      <c r="H3118" s="34">
        <v>32219.964</v>
      </c>
      <c r="I3118" s="34"/>
      <c r="J3118" s="136">
        <v>0</v>
      </c>
      <c r="K3118" s="136"/>
      <c r="L3118" s="34">
        <v>0</v>
      </c>
      <c r="M3118" s="84"/>
      <c r="N3118" s="38"/>
      <c r="O3118" s="39"/>
      <c r="P3118" s="51"/>
    </row>
    <row r="3119" spans="1:16" ht="12.75" customHeight="1">
      <c r="A3119" s="13">
        <f t="shared" si="59"/>
        <v>3091</v>
      </c>
      <c r="B3119" s="75"/>
      <c r="C3119" s="56"/>
      <c r="D3119" s="56"/>
      <c r="E3119" s="14"/>
      <c r="F3119" s="57" t="s">
        <v>36</v>
      </c>
      <c r="G3119" s="57"/>
      <c r="H3119" s="34">
        <v>42123.907980000004</v>
      </c>
      <c r="I3119" s="34"/>
      <c r="J3119" s="136">
        <v>0</v>
      </c>
      <c r="K3119" s="136"/>
      <c r="L3119" s="34">
        <v>0</v>
      </c>
      <c r="M3119" s="84"/>
      <c r="N3119" s="38"/>
      <c r="O3119" s="39"/>
      <c r="P3119" s="51"/>
    </row>
    <row r="3120" spans="1:16" ht="12.75" customHeight="1">
      <c r="A3120" s="13">
        <f t="shared" si="59"/>
        <v>3092</v>
      </c>
      <c r="B3120" s="75"/>
      <c r="C3120" s="56"/>
      <c r="D3120" s="56"/>
      <c r="E3120" s="14"/>
      <c r="F3120" s="57" t="s">
        <v>37</v>
      </c>
      <c r="G3120" s="57"/>
      <c r="H3120" s="34">
        <v>52027.85196</v>
      </c>
      <c r="I3120" s="34"/>
      <c r="J3120" s="136">
        <v>0</v>
      </c>
      <c r="K3120" s="136"/>
      <c r="L3120" s="34">
        <v>0</v>
      </c>
      <c r="M3120" s="84"/>
      <c r="N3120" s="38"/>
      <c r="O3120" s="39"/>
      <c r="P3120" s="51"/>
    </row>
    <row r="3121" spans="1:16" ht="12.75" customHeight="1">
      <c r="A3121" s="13">
        <f t="shared" si="59"/>
        <v>3093</v>
      </c>
      <c r="B3121" s="75"/>
      <c r="C3121" s="56"/>
      <c r="D3121" s="56"/>
      <c r="E3121" s="14"/>
      <c r="F3121" s="57" t="s">
        <v>38</v>
      </c>
      <c r="G3121" s="57"/>
      <c r="H3121" s="34">
        <v>61931.795939999996</v>
      </c>
      <c r="I3121" s="34"/>
      <c r="J3121" s="136">
        <v>0</v>
      </c>
      <c r="K3121" s="136"/>
      <c r="L3121" s="34">
        <v>0</v>
      </c>
      <c r="M3121" s="84"/>
      <c r="N3121" s="38"/>
      <c r="O3121" s="39"/>
      <c r="P3121" s="51"/>
    </row>
    <row r="3122" spans="1:16" ht="12.75" customHeight="1">
      <c r="A3122" s="13">
        <f t="shared" si="59"/>
        <v>3094</v>
      </c>
      <c r="B3122" s="75"/>
      <c r="C3122" s="56"/>
      <c r="D3122" s="56"/>
      <c r="E3122" s="14"/>
      <c r="F3122" s="57" t="s">
        <v>39</v>
      </c>
      <c r="G3122" s="57"/>
      <c r="H3122" s="34">
        <v>71835.739920000007</v>
      </c>
      <c r="I3122" s="34"/>
      <c r="J3122" s="136">
        <v>0</v>
      </c>
      <c r="K3122" s="136"/>
      <c r="L3122" s="34">
        <v>0</v>
      </c>
      <c r="M3122" s="84"/>
      <c r="N3122" s="38"/>
      <c r="O3122" s="39"/>
      <c r="P3122" s="51"/>
    </row>
    <row r="3123" spans="1:16" ht="12.75" customHeight="1">
      <c r="A3123" s="13">
        <f t="shared" si="59"/>
        <v>3095</v>
      </c>
      <c r="B3123" s="75"/>
      <c r="C3123" s="56"/>
      <c r="D3123" s="56"/>
      <c r="E3123" s="14"/>
      <c r="F3123" s="57" t="s">
        <v>40</v>
      </c>
      <c r="G3123" s="57"/>
      <c r="H3123" s="34">
        <v>81739.683900000004</v>
      </c>
      <c r="I3123" s="34"/>
      <c r="J3123" s="136">
        <v>0</v>
      </c>
      <c r="K3123" s="136"/>
      <c r="L3123" s="34">
        <v>0</v>
      </c>
      <c r="M3123" s="84"/>
      <c r="N3123" s="38"/>
      <c r="O3123" s="39"/>
      <c r="P3123" s="51"/>
    </row>
    <row r="3124" spans="1:16" ht="12.75" customHeight="1">
      <c r="A3124" s="13">
        <f t="shared" si="59"/>
        <v>3096</v>
      </c>
      <c r="B3124" s="75"/>
      <c r="C3124" s="56"/>
      <c r="D3124" s="56"/>
      <c r="E3124" s="14"/>
      <c r="F3124" s="57" t="s">
        <v>41</v>
      </c>
      <c r="G3124" s="57"/>
      <c r="H3124" s="34">
        <v>91643.62788</v>
      </c>
      <c r="I3124" s="34"/>
      <c r="J3124" s="136">
        <v>0</v>
      </c>
      <c r="K3124" s="136"/>
      <c r="L3124" s="34">
        <v>0</v>
      </c>
      <c r="M3124" s="84"/>
      <c r="N3124" s="38"/>
      <c r="O3124" s="39"/>
      <c r="P3124" s="51"/>
    </row>
    <row r="3125" spans="1:16" ht="12.75" customHeight="1">
      <c r="A3125" s="13">
        <f t="shared" si="59"/>
        <v>3097</v>
      </c>
      <c r="B3125" s="75"/>
      <c r="C3125" s="56"/>
      <c r="D3125" s="56"/>
      <c r="E3125" s="14"/>
      <c r="F3125" s="57" t="s">
        <v>42</v>
      </c>
      <c r="G3125" s="57"/>
      <c r="H3125" s="34">
        <v>101547.57186000001</v>
      </c>
      <c r="I3125" s="34"/>
      <c r="J3125" s="136">
        <v>0</v>
      </c>
      <c r="K3125" s="136"/>
      <c r="L3125" s="34">
        <v>0</v>
      </c>
      <c r="M3125" s="84"/>
      <c r="N3125" s="38"/>
      <c r="O3125" s="39"/>
      <c r="P3125" s="51"/>
    </row>
    <row r="3126" spans="1:16" ht="12.75" customHeight="1">
      <c r="A3126" s="13">
        <f t="shared" si="59"/>
        <v>3098</v>
      </c>
      <c r="B3126" s="75"/>
      <c r="C3126" s="56"/>
      <c r="D3126" s="56"/>
      <c r="E3126" s="14"/>
      <c r="F3126" s="57" t="s">
        <v>43</v>
      </c>
      <c r="G3126" s="57"/>
      <c r="H3126" s="34">
        <v>111451.51583999999</v>
      </c>
      <c r="I3126" s="34"/>
      <c r="J3126" s="136">
        <v>0</v>
      </c>
      <c r="K3126" s="136"/>
      <c r="L3126" s="34">
        <v>0</v>
      </c>
      <c r="M3126" s="84"/>
      <c r="N3126" s="38"/>
      <c r="O3126" s="39"/>
      <c r="P3126" s="51"/>
    </row>
    <row r="3127" spans="1:16" ht="12.75" customHeight="1">
      <c r="A3127" s="13">
        <f t="shared" si="59"/>
        <v>3099</v>
      </c>
      <c r="B3127" s="75"/>
      <c r="C3127" s="56"/>
      <c r="D3127" s="56"/>
      <c r="E3127" s="14"/>
      <c r="F3127" s="57" t="s">
        <v>44</v>
      </c>
      <c r="G3127" s="57"/>
      <c r="H3127" s="34">
        <v>121355.45982</v>
      </c>
      <c r="I3127" s="34"/>
      <c r="J3127" s="136">
        <v>0</v>
      </c>
      <c r="K3127" s="136"/>
      <c r="L3127" s="34">
        <v>0</v>
      </c>
      <c r="M3127" s="84"/>
      <c r="N3127" s="38"/>
      <c r="O3127" s="39"/>
      <c r="P3127" s="51"/>
    </row>
    <row r="3128" spans="1:16" ht="12.75" customHeight="1">
      <c r="A3128" s="13">
        <f t="shared" si="59"/>
        <v>3100</v>
      </c>
      <c r="B3128" s="75"/>
      <c r="C3128" s="56"/>
      <c r="D3128" s="56"/>
      <c r="E3128" s="14"/>
      <c r="F3128" s="57" t="s">
        <v>45</v>
      </c>
      <c r="G3128" s="57"/>
      <c r="H3128" s="34">
        <v>131259.40379999997</v>
      </c>
      <c r="I3128" s="34"/>
      <c r="J3128" s="136">
        <v>0</v>
      </c>
      <c r="K3128" s="136"/>
      <c r="L3128" s="34">
        <v>0</v>
      </c>
      <c r="M3128" s="84"/>
      <c r="N3128" s="38"/>
      <c r="O3128" s="39"/>
      <c r="P3128" s="51"/>
    </row>
    <row r="3129" spans="1:16" ht="12.75" customHeight="1">
      <c r="A3129" s="13">
        <f t="shared" si="59"/>
        <v>3101</v>
      </c>
      <c r="B3129" s="75"/>
      <c r="C3129" s="56"/>
      <c r="D3129" s="56"/>
      <c r="E3129" s="14"/>
      <c r="F3129" s="57" t="s">
        <v>46</v>
      </c>
      <c r="G3129" s="57"/>
      <c r="H3129" s="34">
        <v>141163.34777999998</v>
      </c>
      <c r="I3129" s="34"/>
      <c r="J3129" s="136">
        <v>0</v>
      </c>
      <c r="K3129" s="136"/>
      <c r="L3129" s="34">
        <v>0</v>
      </c>
      <c r="M3129" s="84"/>
      <c r="N3129" s="38"/>
      <c r="O3129" s="39"/>
      <c r="P3129" s="51"/>
    </row>
    <row r="3130" spans="1:16" ht="12.75" customHeight="1">
      <c r="A3130" s="13">
        <f t="shared" si="59"/>
        <v>3102</v>
      </c>
      <c r="B3130" s="75"/>
      <c r="C3130" s="56"/>
      <c r="D3130" s="56"/>
      <c r="E3130" s="14"/>
      <c r="F3130" s="57" t="s">
        <v>47</v>
      </c>
      <c r="G3130" s="57"/>
      <c r="H3130" s="34">
        <v>151067.29175999999</v>
      </c>
      <c r="I3130" s="34"/>
      <c r="J3130" s="136">
        <v>0</v>
      </c>
      <c r="K3130" s="136"/>
      <c r="L3130" s="34">
        <v>0</v>
      </c>
      <c r="M3130" s="84"/>
      <c r="N3130" s="38"/>
      <c r="O3130" s="39"/>
      <c r="P3130" s="51"/>
    </row>
    <row r="3131" spans="1:16" ht="12.75" customHeight="1">
      <c r="A3131" s="13">
        <f t="shared" si="59"/>
        <v>3103</v>
      </c>
      <c r="B3131" s="75"/>
      <c r="C3131" s="56"/>
      <c r="D3131" s="56"/>
      <c r="E3131" s="14"/>
      <c r="F3131" s="57" t="s">
        <v>48</v>
      </c>
      <c r="G3131" s="57"/>
      <c r="H3131" s="34">
        <v>160971.23574</v>
      </c>
      <c r="I3131" s="34"/>
      <c r="J3131" s="136">
        <v>0</v>
      </c>
      <c r="K3131" s="136"/>
      <c r="L3131" s="34">
        <v>0</v>
      </c>
      <c r="M3131" s="84"/>
      <c r="N3131" s="38"/>
      <c r="O3131" s="39"/>
      <c r="P3131" s="51"/>
    </row>
    <row r="3132" spans="1:16" ht="12.75" customHeight="1">
      <c r="A3132" s="13">
        <f t="shared" si="59"/>
        <v>3104</v>
      </c>
      <c r="B3132" s="75" t="s">
        <v>525</v>
      </c>
      <c r="C3132" s="56" t="s">
        <v>259</v>
      </c>
      <c r="D3132" s="56"/>
      <c r="E3132" s="14"/>
      <c r="F3132" s="57" t="s">
        <v>34</v>
      </c>
      <c r="G3132" s="57"/>
      <c r="H3132" s="34">
        <v>27784.546020000002</v>
      </c>
      <c r="I3132" s="34"/>
      <c r="J3132" s="136">
        <v>0</v>
      </c>
      <c r="K3132" s="136"/>
      <c r="L3132" s="34">
        <v>0</v>
      </c>
      <c r="M3132" s="84"/>
      <c r="N3132" s="38"/>
      <c r="O3132" s="39"/>
      <c r="P3132" s="51"/>
    </row>
    <row r="3133" spans="1:16" ht="12.75" customHeight="1">
      <c r="A3133" s="13">
        <f t="shared" si="59"/>
        <v>3105</v>
      </c>
      <c r="B3133" s="75"/>
      <c r="C3133" s="56"/>
      <c r="D3133" s="56"/>
      <c r="E3133" s="14"/>
      <c r="F3133" s="57" t="s">
        <v>35</v>
      </c>
      <c r="G3133" s="57"/>
      <c r="H3133" s="34">
        <v>43157.015999999996</v>
      </c>
      <c r="I3133" s="34"/>
      <c r="J3133" s="136">
        <v>0</v>
      </c>
      <c r="K3133" s="136"/>
      <c r="L3133" s="34">
        <v>0</v>
      </c>
      <c r="M3133" s="84"/>
      <c r="N3133" s="38"/>
      <c r="O3133" s="39"/>
      <c r="P3133" s="51"/>
    </row>
    <row r="3134" spans="1:16" ht="12.75" customHeight="1">
      <c r="A3134" s="13">
        <f t="shared" si="59"/>
        <v>3106</v>
      </c>
      <c r="B3134" s="75"/>
      <c r="C3134" s="56"/>
      <c r="D3134" s="56"/>
      <c r="E3134" s="14"/>
      <c r="F3134" s="57" t="s">
        <v>36</v>
      </c>
      <c r="G3134" s="57"/>
      <c r="H3134" s="34">
        <v>58529.485980000005</v>
      </c>
      <c r="I3134" s="34"/>
      <c r="J3134" s="136">
        <v>0</v>
      </c>
      <c r="K3134" s="136"/>
      <c r="L3134" s="34">
        <v>0</v>
      </c>
      <c r="M3134" s="84"/>
      <c r="N3134" s="38"/>
      <c r="O3134" s="39"/>
      <c r="P3134" s="51"/>
    </row>
    <row r="3135" spans="1:16" ht="12.75" customHeight="1">
      <c r="A3135" s="13">
        <f t="shared" si="59"/>
        <v>3107</v>
      </c>
      <c r="B3135" s="75"/>
      <c r="C3135" s="56"/>
      <c r="D3135" s="56"/>
      <c r="E3135" s="14"/>
      <c r="F3135" s="57" t="s">
        <v>37</v>
      </c>
      <c r="G3135" s="57"/>
      <c r="H3135" s="34">
        <v>73901.955960000007</v>
      </c>
      <c r="I3135" s="34"/>
      <c r="J3135" s="136">
        <v>0</v>
      </c>
      <c r="K3135" s="136"/>
      <c r="L3135" s="34">
        <v>0</v>
      </c>
      <c r="M3135" s="84"/>
      <c r="N3135" s="38"/>
      <c r="O3135" s="39"/>
      <c r="P3135" s="51"/>
    </row>
    <row r="3136" spans="1:16" ht="12.75" customHeight="1">
      <c r="A3136" s="13">
        <f t="shared" si="59"/>
        <v>3108</v>
      </c>
      <c r="B3136" s="75"/>
      <c r="C3136" s="56"/>
      <c r="D3136" s="56"/>
      <c r="E3136" s="14"/>
      <c r="F3136" s="57" t="s">
        <v>38</v>
      </c>
      <c r="G3136" s="57"/>
      <c r="H3136" s="34">
        <v>89274.425940000016</v>
      </c>
      <c r="I3136" s="34"/>
      <c r="J3136" s="136">
        <v>0</v>
      </c>
      <c r="K3136" s="136"/>
      <c r="L3136" s="34">
        <v>0</v>
      </c>
      <c r="M3136" s="84"/>
      <c r="N3136" s="38"/>
      <c r="O3136" s="39"/>
      <c r="P3136" s="51"/>
    </row>
    <row r="3137" spans="1:16" ht="12.75" customHeight="1">
      <c r="A3137" s="13">
        <f t="shared" si="59"/>
        <v>3109</v>
      </c>
      <c r="B3137" s="75"/>
      <c r="C3137" s="56"/>
      <c r="D3137" s="56"/>
      <c r="E3137" s="14"/>
      <c r="F3137" s="57" t="s">
        <v>39</v>
      </c>
      <c r="G3137" s="57"/>
      <c r="H3137" s="34">
        <v>104646.89592</v>
      </c>
      <c r="I3137" s="34"/>
      <c r="J3137" s="136">
        <v>0</v>
      </c>
      <c r="K3137" s="136"/>
      <c r="L3137" s="34">
        <v>0</v>
      </c>
      <c r="M3137" s="84"/>
      <c r="N3137" s="38"/>
      <c r="O3137" s="39"/>
      <c r="P3137" s="51"/>
    </row>
    <row r="3138" spans="1:16" ht="12.75" customHeight="1">
      <c r="A3138" s="13">
        <f t="shared" ref="A3138:A3146" si="60">A3137+1</f>
        <v>3110</v>
      </c>
      <c r="B3138" s="75"/>
      <c r="C3138" s="56"/>
      <c r="D3138" s="56"/>
      <c r="E3138" s="14"/>
      <c r="F3138" s="57" t="s">
        <v>40</v>
      </c>
      <c r="G3138" s="57"/>
      <c r="H3138" s="34">
        <v>120019.36589999999</v>
      </c>
      <c r="I3138" s="34"/>
      <c r="J3138" s="136">
        <v>0</v>
      </c>
      <c r="K3138" s="136"/>
      <c r="L3138" s="34">
        <v>0</v>
      </c>
      <c r="M3138" s="84"/>
      <c r="N3138" s="38"/>
      <c r="O3138" s="39"/>
      <c r="P3138" s="51"/>
    </row>
    <row r="3139" spans="1:16" ht="12.75" customHeight="1">
      <c r="A3139" s="13">
        <f t="shared" si="60"/>
        <v>3111</v>
      </c>
      <c r="B3139" s="75"/>
      <c r="C3139" s="56"/>
      <c r="D3139" s="56"/>
      <c r="E3139" s="14"/>
      <c r="F3139" s="57" t="s">
        <v>41</v>
      </c>
      <c r="G3139" s="57"/>
      <c r="H3139" s="34">
        <v>135391.83588</v>
      </c>
      <c r="I3139" s="34"/>
      <c r="J3139" s="136">
        <v>0</v>
      </c>
      <c r="K3139" s="136"/>
      <c r="L3139" s="34">
        <v>0</v>
      </c>
      <c r="M3139" s="84"/>
      <c r="N3139" s="38"/>
      <c r="O3139" s="39"/>
      <c r="P3139" s="51"/>
    </row>
    <row r="3140" spans="1:16" ht="12.75" customHeight="1">
      <c r="A3140" s="13">
        <f t="shared" si="60"/>
        <v>3112</v>
      </c>
      <c r="B3140" s="75"/>
      <c r="C3140" s="56"/>
      <c r="D3140" s="56"/>
      <c r="E3140" s="14"/>
      <c r="F3140" s="57" t="s">
        <v>42</v>
      </c>
      <c r="G3140" s="57"/>
      <c r="H3140" s="34">
        <v>150764.30585999999</v>
      </c>
      <c r="I3140" s="34"/>
      <c r="J3140" s="136">
        <v>0</v>
      </c>
      <c r="K3140" s="136"/>
      <c r="L3140" s="34">
        <v>0</v>
      </c>
      <c r="M3140" s="84"/>
      <c r="N3140" s="38"/>
      <c r="O3140" s="39"/>
      <c r="P3140" s="51"/>
    </row>
    <row r="3141" spans="1:16" ht="12.75" customHeight="1">
      <c r="A3141" s="13">
        <f t="shared" si="60"/>
        <v>3113</v>
      </c>
      <c r="B3141" s="75"/>
      <c r="C3141" s="56"/>
      <c r="D3141" s="56"/>
      <c r="E3141" s="14"/>
      <c r="F3141" s="57" t="s">
        <v>43</v>
      </c>
      <c r="G3141" s="57"/>
      <c r="H3141" s="34">
        <v>166136.77583999999</v>
      </c>
      <c r="I3141" s="34"/>
      <c r="J3141" s="136">
        <v>0</v>
      </c>
      <c r="K3141" s="136"/>
      <c r="L3141" s="34">
        <v>0</v>
      </c>
      <c r="M3141" s="84"/>
      <c r="N3141" s="38"/>
      <c r="O3141" s="39"/>
      <c r="P3141" s="51"/>
    </row>
    <row r="3142" spans="1:16" ht="12.75" customHeight="1">
      <c r="A3142" s="13">
        <f t="shared" si="60"/>
        <v>3114</v>
      </c>
      <c r="B3142" s="75"/>
      <c r="C3142" s="56"/>
      <c r="D3142" s="56"/>
      <c r="E3142" s="14"/>
      <c r="F3142" s="57" t="s">
        <v>44</v>
      </c>
      <c r="G3142" s="57"/>
      <c r="H3142" s="34">
        <v>181509.24582000001</v>
      </c>
      <c r="I3142" s="34"/>
      <c r="J3142" s="136">
        <v>0</v>
      </c>
      <c r="K3142" s="136"/>
      <c r="L3142" s="34">
        <v>0</v>
      </c>
      <c r="M3142" s="84"/>
      <c r="N3142" s="38"/>
      <c r="O3142" s="39"/>
      <c r="P3142" s="51"/>
    </row>
    <row r="3143" spans="1:16" ht="12.75" customHeight="1">
      <c r="A3143" s="13">
        <f t="shared" si="60"/>
        <v>3115</v>
      </c>
      <c r="B3143" s="75"/>
      <c r="C3143" s="56"/>
      <c r="D3143" s="56"/>
      <c r="E3143" s="14"/>
      <c r="F3143" s="57" t="s">
        <v>45</v>
      </c>
      <c r="G3143" s="57"/>
      <c r="H3143" s="34">
        <v>196881.71579999998</v>
      </c>
      <c r="I3143" s="34"/>
      <c r="J3143" s="136">
        <v>0</v>
      </c>
      <c r="K3143" s="136"/>
      <c r="L3143" s="34">
        <v>0</v>
      </c>
      <c r="M3143" s="84"/>
      <c r="N3143" s="38"/>
      <c r="O3143" s="39"/>
      <c r="P3143" s="51"/>
    </row>
    <row r="3144" spans="1:16" ht="12.75" customHeight="1">
      <c r="A3144" s="13">
        <f t="shared" si="60"/>
        <v>3116</v>
      </c>
      <c r="B3144" s="75"/>
      <c r="C3144" s="56"/>
      <c r="D3144" s="56"/>
      <c r="E3144" s="14"/>
      <c r="F3144" s="57" t="s">
        <v>46</v>
      </c>
      <c r="G3144" s="57"/>
      <c r="H3144" s="34">
        <v>212254.18578</v>
      </c>
      <c r="I3144" s="34"/>
      <c r="J3144" s="136">
        <v>0</v>
      </c>
      <c r="K3144" s="136"/>
      <c r="L3144" s="34">
        <v>0</v>
      </c>
      <c r="M3144" s="84"/>
      <c r="N3144" s="38"/>
      <c r="O3144" s="39"/>
      <c r="P3144" s="51"/>
    </row>
    <row r="3145" spans="1:16" ht="12.75" customHeight="1">
      <c r="A3145" s="13">
        <f t="shared" si="60"/>
        <v>3117</v>
      </c>
      <c r="B3145" s="75"/>
      <c r="C3145" s="56"/>
      <c r="D3145" s="56"/>
      <c r="E3145" s="14"/>
      <c r="F3145" s="57" t="s">
        <v>47</v>
      </c>
      <c r="G3145" s="57"/>
      <c r="H3145" s="34">
        <v>227626.65575999999</v>
      </c>
      <c r="I3145" s="34"/>
      <c r="J3145" s="136">
        <v>0</v>
      </c>
      <c r="K3145" s="136"/>
      <c r="L3145" s="34">
        <v>0</v>
      </c>
      <c r="M3145" s="84"/>
      <c r="N3145" s="38"/>
      <c r="O3145" s="39"/>
      <c r="P3145" s="51"/>
    </row>
    <row r="3146" spans="1:16" ht="15.75" customHeight="1">
      <c r="A3146" s="13">
        <f t="shared" si="60"/>
        <v>3118</v>
      </c>
      <c r="B3146" s="75"/>
      <c r="C3146" s="56"/>
      <c r="D3146" s="56"/>
      <c r="E3146" s="14"/>
      <c r="F3146" s="57" t="s">
        <v>48</v>
      </c>
      <c r="G3146" s="57"/>
      <c r="H3146" s="34">
        <v>242999.12573999999</v>
      </c>
      <c r="I3146" s="34"/>
      <c r="J3146" s="136">
        <v>0</v>
      </c>
      <c r="K3146" s="136"/>
      <c r="L3146" s="34">
        <v>0</v>
      </c>
      <c r="M3146" s="84"/>
      <c r="N3146" s="38"/>
      <c r="O3146" s="39"/>
      <c r="P3146" s="51"/>
    </row>
    <row r="3147" spans="1:16" ht="12.75" customHeight="1">
      <c r="A3147" s="202" t="s">
        <v>645</v>
      </c>
      <c r="B3147" s="202"/>
      <c r="C3147" s="202"/>
      <c r="D3147" s="202"/>
      <c r="E3147" s="202"/>
      <c r="F3147" s="202"/>
      <c r="G3147" s="202"/>
      <c r="H3147" s="202"/>
      <c r="I3147" s="202"/>
      <c r="J3147" s="202"/>
      <c r="K3147" s="202"/>
      <c r="L3147" s="202"/>
      <c r="M3147" s="202"/>
      <c r="N3147" s="202"/>
      <c r="O3147" s="202"/>
      <c r="P3147" s="202"/>
    </row>
    <row r="3148" spans="1:16" ht="12.75" customHeight="1">
      <c r="A3148" s="43">
        <f>A3146+1</f>
        <v>3119</v>
      </c>
      <c r="B3148" s="54">
        <v>701</v>
      </c>
      <c r="C3148" s="76" t="s">
        <v>646</v>
      </c>
      <c r="D3148" s="77"/>
      <c r="E3148" s="41"/>
      <c r="F3148" s="14" t="s">
        <v>648</v>
      </c>
      <c r="G3148" s="42"/>
      <c r="H3148" s="34">
        <v>3891.14</v>
      </c>
      <c r="I3148" s="34"/>
      <c r="J3148" s="144"/>
      <c r="K3148" s="144"/>
      <c r="L3148" s="53"/>
      <c r="M3148" s="152"/>
      <c r="N3148" s="38"/>
      <c r="O3148" s="39"/>
      <c r="P3148" s="66">
        <v>42767</v>
      </c>
    </row>
    <row r="3149" spans="1:16" ht="12.75" customHeight="1">
      <c r="A3149" s="43">
        <f>A3148+1</f>
        <v>3120</v>
      </c>
      <c r="B3149" s="54">
        <v>701</v>
      </c>
      <c r="C3149" s="76" t="s">
        <v>647</v>
      </c>
      <c r="D3149" s="77"/>
      <c r="E3149" s="41"/>
      <c r="F3149" s="23" t="s">
        <v>648</v>
      </c>
      <c r="G3149" s="42"/>
      <c r="H3149" s="34">
        <v>7515.2</v>
      </c>
      <c r="I3149" s="34"/>
      <c r="J3149" s="144"/>
      <c r="K3149" s="144"/>
      <c r="L3149" s="53"/>
      <c r="M3149" s="152"/>
      <c r="N3149" s="38"/>
      <c r="O3149" s="39"/>
      <c r="P3149" s="66">
        <v>42767</v>
      </c>
    </row>
    <row r="3150" spans="1:16" ht="15.75" customHeight="1">
      <c r="A3150" s="43">
        <f t="shared" ref="A3150:A3151" si="61">A3149+1</f>
        <v>3121</v>
      </c>
      <c r="B3150" s="54">
        <v>701</v>
      </c>
      <c r="C3150" s="76" t="s">
        <v>701</v>
      </c>
      <c r="D3150" s="76"/>
      <c r="E3150" s="41"/>
      <c r="F3150" s="23" t="s">
        <v>648</v>
      </c>
      <c r="G3150" s="42"/>
      <c r="H3150" s="34">
        <v>2036.66</v>
      </c>
      <c r="I3150" s="34"/>
      <c r="J3150" s="144"/>
      <c r="K3150" s="144"/>
      <c r="L3150" s="53"/>
      <c r="M3150" s="152"/>
      <c r="N3150" s="38"/>
      <c r="O3150" s="39"/>
      <c r="P3150" s="66">
        <v>43129</v>
      </c>
    </row>
    <row r="3151" spans="1:16" ht="15.75" customHeight="1">
      <c r="A3151" s="43">
        <f t="shared" si="61"/>
        <v>3122</v>
      </c>
      <c r="B3151" s="54">
        <v>701</v>
      </c>
      <c r="C3151" s="76" t="s">
        <v>860</v>
      </c>
      <c r="D3151" s="76"/>
      <c r="E3151" s="41"/>
      <c r="F3151" s="23" t="s">
        <v>648</v>
      </c>
      <c r="G3151" s="42"/>
      <c r="H3151" s="34">
        <v>3286.93</v>
      </c>
      <c r="I3151" s="34"/>
      <c r="J3151" s="144"/>
      <c r="K3151" s="144"/>
      <c r="L3151" s="53"/>
      <c r="M3151" s="152"/>
      <c r="N3151" s="38"/>
      <c r="O3151" s="39"/>
      <c r="P3151" s="66"/>
    </row>
    <row r="3152" spans="1:16" ht="12.75" customHeight="1">
      <c r="A3152" s="202" t="s">
        <v>696</v>
      </c>
      <c r="B3152" s="202"/>
      <c r="C3152" s="202"/>
      <c r="D3152" s="202"/>
      <c r="E3152" s="202"/>
      <c r="F3152" s="202"/>
      <c r="G3152" s="202"/>
      <c r="H3152" s="202"/>
      <c r="I3152" s="202"/>
      <c r="J3152" s="202"/>
      <c r="K3152" s="202"/>
      <c r="L3152" s="202"/>
      <c r="M3152" s="202"/>
      <c r="N3152" s="202"/>
      <c r="O3152" s="202"/>
      <c r="P3152" s="202"/>
    </row>
    <row r="3153" spans="1:16" ht="12.75" customHeight="1">
      <c r="A3153" s="43">
        <f>A3151+1</f>
        <v>3123</v>
      </c>
      <c r="B3153" s="54" t="s">
        <v>697</v>
      </c>
      <c r="C3153" s="76" t="s">
        <v>698</v>
      </c>
      <c r="D3153" s="76"/>
      <c r="E3153" s="41"/>
      <c r="F3153" s="23" t="s">
        <v>648</v>
      </c>
      <c r="G3153" s="42"/>
      <c r="H3153" s="53">
        <v>709.43</v>
      </c>
      <c r="I3153" s="53"/>
      <c r="J3153" s="144"/>
      <c r="K3153" s="144"/>
      <c r="L3153" s="53"/>
      <c r="M3153" s="152"/>
      <c r="N3153" s="38"/>
      <c r="O3153" s="39"/>
      <c r="P3153" s="66">
        <v>42767</v>
      </c>
    </row>
    <row r="3154" spans="1:16" ht="0.75" customHeight="1">
      <c r="A3154"/>
      <c r="B3154"/>
      <c r="C3154"/>
      <c r="D3154"/>
      <c r="E3154"/>
      <c r="F3154"/>
      <c r="G3154"/>
      <c r="H3154"/>
      <c r="I3154" s="19"/>
      <c r="K3154" s="145"/>
      <c r="M3154" s="150" t="s">
        <v>885</v>
      </c>
      <c r="N3154"/>
      <c r="O3154"/>
      <c r="P3154"/>
    </row>
  </sheetData>
  <autoFilter ref="A8:P3154"/>
  <mergeCells count="27">
    <mergeCell ref="B2701:B2708"/>
    <mergeCell ref="A2700:P2700"/>
    <mergeCell ref="A2483:P2483"/>
    <mergeCell ref="A2475:P2475"/>
    <mergeCell ref="A1729:P1729"/>
    <mergeCell ref="A1141:P1141"/>
    <mergeCell ref="A1134:P1134"/>
    <mergeCell ref="A425:P425"/>
    <mergeCell ref="A391:P391"/>
    <mergeCell ref="A6:L6"/>
    <mergeCell ref="A9:P9"/>
    <mergeCell ref="A163:P163"/>
    <mergeCell ref="A148:P148"/>
    <mergeCell ref="A130:P130"/>
    <mergeCell ref="A52:P52"/>
    <mergeCell ref="A41:P41"/>
    <mergeCell ref="A160:P160"/>
    <mergeCell ref="A133:P133"/>
    <mergeCell ref="A32:P32"/>
    <mergeCell ref="B2712:B2719"/>
    <mergeCell ref="A2861:P2861"/>
    <mergeCell ref="A3152:P3152"/>
    <mergeCell ref="A3147:P3147"/>
    <mergeCell ref="A3071:P3071"/>
    <mergeCell ref="A2956:P2956"/>
    <mergeCell ref="B2720:B2727"/>
    <mergeCell ref="B2728:B2735"/>
  </mergeCells>
  <hyperlinks>
    <hyperlink ref="C2760:D2760" location="'59.4'!A1" display="'59.4'!A1"/>
    <hyperlink ref="C149" location="'58.16 (К)'!A1" display="'58.16 (К)'!A1"/>
    <hyperlink ref="C426" location="'58.24 (К)'!A1" display="'58.24 (К)'!A1"/>
    <hyperlink ref="C494" location="'58.25 (Т)'!A1" display="'58.25 (Т)'!A1"/>
    <hyperlink ref="C532" location="'58.43 (Т)'!A1" display="'58.43 (Т)'!A1"/>
    <hyperlink ref="C431" location="'58.35 (К)'!A1" display="'58.35 (К)'!A1"/>
    <hyperlink ref="C1137" location="'58.3 (К)'!A1" display="'58.3 (К)'!A1"/>
    <hyperlink ref="C1144" location="'58.27 (К)'!A1" display="'58.27 (К)'!A1"/>
    <hyperlink ref="C1142" location="'58.5 (К)'!A1" display="'58.5 (К)'!A1"/>
    <hyperlink ref="C1143" location="'58.26 (К)'!A1" display="'58.26 (К)'!A1"/>
    <hyperlink ref="C1146" location="'58.54 (К)'!A1" display="'58.54 (К)'!A1"/>
    <hyperlink ref="C1145" location="'58.47 (К)'!A1" display="'58.47 (К)'!A1"/>
    <hyperlink ref="C1238" location="'58.14 (Т)'!A1" display="'58.14 (Т)'!A1"/>
    <hyperlink ref="C1148" location="'58.65 (К)'!A1" display="'58.65 (К)'!A1"/>
    <hyperlink ref="C1799" location="'58.28 (Т)'!A1" display="'58.28 (Т)'!A1"/>
    <hyperlink ref="C1730" location="'58.12 (К)'!A1" display="'58.12 (К)'!A1"/>
    <hyperlink ref="C1798" location="'58.17 (Т)'!A1" display="'58.17 (Т)'!A1"/>
    <hyperlink ref="C2477" location="'58.2 (К)'!A1" display="'58.2 (К)'!A1"/>
    <hyperlink ref="C2476" location="'58.1 (К)'!A1" display="'58.1 (К)'!A1"/>
    <hyperlink ref="C2479" location="'58.44 (К)'!A1" display="'58.44 (К)'!A1"/>
    <hyperlink ref="C2754:D2754" location="'59.3'!A1" display="'59.3'!A1"/>
    <hyperlink ref="C2736:D2736" location="'59.2'!A1" display="'59.2'!A1"/>
    <hyperlink ref="C2862:D2862" location="'56.2'!A1" display="'56.2'!A1"/>
    <hyperlink ref="C2919:D2919" location="'56.4'!A1" display="'56.4'!A1"/>
    <hyperlink ref="C215" location="'58.119 (Т)'!A1" display="'58.119 (Т)'!A1"/>
    <hyperlink ref="C2843:D2843" location="'59.4'!A1" display="'59.4'!A1"/>
    <hyperlink ref="C2843:D2843" location="'59.6'!A1" display="'59.6'!A1"/>
    <hyperlink ref="C437" location="'58.129 (К)'!A1" display="'58.129 (К)'!A1"/>
    <hyperlink ref="C446" location="'58.130 (К)'!A1" display="'58.130 (К)'!A1"/>
    <hyperlink ref="C457" location="'58.131 (К)'!A1" display="'58.131 (К)'!A1"/>
    <hyperlink ref="C2918:D2918" r:id="rId1" display="RH, 5-3/4"/>
    <hyperlink ref="C2918:D2918" location="'56.3'!A1" display="'56.3'!A1"/>
    <hyperlink ref="C2920:D2920" location="'56.5'!A1" display="'56.5'!A1"/>
    <hyperlink ref="C703" location="'58.180 (Т)'!A1" display="'58.180 (Т)'!A1"/>
    <hyperlink ref="C435" location="'58.37 (К)'!A1" display="'58.37 (К)'!A1"/>
    <hyperlink ref="C1239" location="'58.49 (Т)'!A1" display="'58.49 (Т)'!A1"/>
    <hyperlink ref="C1240" location="'58.50 (Т)'!A1" display="'58.50 (Т)'!A1"/>
    <hyperlink ref="C1241" location="'58.52 (Т)'!A1" display="'58.52 (Т)'!A1"/>
    <hyperlink ref="C1149" location="'58.76 (К)'!A1" display="'58.76 (К)'!A1"/>
    <hyperlink ref="C1242" location="'58.68 (Т)'!A1" display="'58.68 (Т)'!A1"/>
    <hyperlink ref="C568" location="'58.69 (Т)'!A1" display="'58.69 (Т)'!A1"/>
    <hyperlink ref="C569" location="'58.70 (Т)'!A1" display="'58.70 (Т)'!A1"/>
    <hyperlink ref="C1151" location="'58.77 (К)'!A1" display="'58.77 (К)'!A1"/>
    <hyperlink ref="C1152" location="'58.78 (К)'!A1" display="'58.78 (К)'!A1"/>
    <hyperlink ref="C1153" location="'58.79 (К)'!A1" display="'58.79 (К)'!A1"/>
    <hyperlink ref="C1154" location="'58.80 (К)'!A1" display="'58.80 (К)'!A1"/>
    <hyperlink ref="C1155" location="'58.81 (К)'!A1" display="'58.81 (К)'!A1"/>
    <hyperlink ref="C1243" location="'58.82 (Т)'!A1" display="'58.82 (Т)'!A1"/>
    <hyperlink ref="C1244" location="'58.83 (Т)'!A1" display="'58.83 (Т)'!A1"/>
    <hyperlink ref="C1245" location="'58.84 (Т)'!A1" display="'58.84 (Т)'!A1"/>
    <hyperlink ref="C1246" location="'58.86 (Т)'!A1" display="'58.86 (Т)'!A1"/>
    <hyperlink ref="C1247" location="'58.87 (Т)'!A1" display="'58.87 (Т)'!A1"/>
    <hyperlink ref="C1248" location="'58.88 (Т)'!A1" display="'58.88 (Т)'!A1"/>
    <hyperlink ref="C1249" location="'58.89 (Т)'!A1" display="'58.89 (Т)'!A1"/>
    <hyperlink ref="C1250" location="'58.90 (Т)'!A1" display="'58.90 (Т)'!A1"/>
    <hyperlink ref="C131" location="'58.91 (КС)'!A1" display="'58.91 (КС)'!A1"/>
    <hyperlink ref="C1800" location="'58.92 (Т)'!A1" display="'58.92 (Т)'!A1"/>
    <hyperlink ref="C1736" location="'58.93 (К)'!A1" display="'58.93 (К)'!A1"/>
    <hyperlink ref="C172" location="'58.94 (К)'!A1" display="'58.94 (К)'!A1"/>
    <hyperlink ref="C1252" location="'58.95 (Т)'!A1" display="'58.95 (Т)'!A1"/>
    <hyperlink ref="C1156" location="'58.96 (К)'!A1" display="'58.96 (К)'!A1"/>
    <hyperlink ref="C53" location="'58.98 (К)'!A1" display="'58.98 (К)'!A1"/>
    <hyperlink ref="C1737" location="'58.101 (К)'!A1" display="'58.101 (К)'!A1"/>
    <hyperlink ref="C54" location="'58.102 (К)'!A1" display="'58.102 (К)'!A1"/>
    <hyperlink ref="C1157" location="'58.103 (К)'!A1" display="'58.103 (К)'!A1"/>
    <hyperlink ref="C1802" location="'58.112 (Т)'!A1" display="'58.112 (Т)'!A1"/>
    <hyperlink ref="C2481" location="'58.115 (К)'!A1" display="'58.115 (К)'!A1"/>
    <hyperlink ref="C1803" location="'58.116 (Т)'!A1" display="'58.116 (Т)'!A1"/>
    <hyperlink ref="C1805" location="'58.117 (Т)'!A1" display="'58.117 (Т)'!A1"/>
    <hyperlink ref="C1739" location="'58.120 (К)'!A1" display="'58.120 (К)'!A1"/>
    <hyperlink ref="C656" location="'58.123 (Т)'!A1" display="'58.123 (Т)'!A1"/>
    <hyperlink ref="C675" location="'58.124 (Т)'!A1" display="'58.124 (Т)'!A1"/>
    <hyperlink ref="C1303" location="'58.125 (Т)'!A1" display="'58.125 (Т)'!A1"/>
    <hyperlink ref="C1329" location="'58.126 (Т)'!A1" display="'58.126 (Т)'!A1"/>
    <hyperlink ref="C1355" location="'58.127 (Т)'!A1" display="'58.127 (Т)'!A1"/>
    <hyperlink ref="C1381" location="'58.128 (Т)'!A1" display="'58.128 (Т)'!A1"/>
    <hyperlink ref="C466" location="'58.132 (К)'!A1" display="'58.132 (К)'!A1"/>
    <hyperlink ref="C1162" location="'58.133 (К)'!A1" display="'58.133 (К)'!A1"/>
    <hyperlink ref="C1173" location="'58.134 (К)'!A1" display="'58.134 (К)'!A1"/>
    <hyperlink ref="C1189" location="'58.135 (К)'!A1" display="'58.135 (К)'!A1"/>
    <hyperlink ref="C1198" location="'58.136 (К)'!A1" display="'58.136 (К)'!A1"/>
    <hyperlink ref="C475" location="'58.137 (К)'!A1" display="'58.137 (К)'!A1"/>
    <hyperlink ref="C1740" location="'58.138 (К)'!A1" display="'58.138 (К)'!A1"/>
    <hyperlink ref="C1760" location="'58.140 (К)'!A1" display="'58.140 (К)'!A1"/>
    <hyperlink ref="C1769" location="'58.141 (К)'!A1" display="'58.141 (К)'!A1"/>
    <hyperlink ref="C1810" location="'58.143 (Т)'!A1" display="'58.143 (Т)'!A1"/>
    <hyperlink ref="C1837" location="'58.144 (Т)'!A1" display="'58.144 (Т)'!A1"/>
    <hyperlink ref="C1862" location="'58.145 (Т)'!A1" display="'58.145 (Т)'!A1"/>
    <hyperlink ref="C1889" location="'58.146 (Т)'!A1" display="'58.146 (Т)'!A1"/>
    <hyperlink ref="C1913" location="'58.147 (Т)'!A1" display="'58.147 (Т)'!A1"/>
    <hyperlink ref="C1939" location="'58.148 (Т)'!A1" display="'58.148 (Т)'!A1"/>
    <hyperlink ref="C1778" location="'58.149 (К)'!A1" display="'58.149 (К)'!A1"/>
    <hyperlink ref="C1801" location="'58.150 (Т)'!A1" display="'58.150 (Т)'!A1"/>
    <hyperlink ref="C1779" location="'58.151 (К)'!A1" display="'58.151 (К)'!A1"/>
    <hyperlink ref="C1940" location="'58.152 (Т)'!A1" display="'58.152 (Т)'!A1"/>
    <hyperlink ref="C1780" location="'58.153 (К)'!A1" display="'58.153 (К)'!A1"/>
    <hyperlink ref="C571" location="'58.154 (Т)'!A1" display="'58.154 (Т)'!A1"/>
    <hyperlink ref="C477" location="'58.155 (К)'!A1" display="'58.155 (К)'!A1"/>
    <hyperlink ref="C395" location="'58.156 (К)'!A1" display="'58.156 (К)'!A1"/>
    <hyperlink ref="C409" location="'58.157 (Т)'!A1" display="'58.157 (Т)'!A1"/>
    <hyperlink ref="C483" location="'58.158 (К)'!A1" display="'58.158 (К)'!A1"/>
    <hyperlink ref="C572" location="'58.159 (Т)'!A1" display="'58.159 (Т)'!A1"/>
    <hyperlink ref="C1209" location="'58.160 (К)'!A1" display="'58.160 (К)'!A1"/>
    <hyperlink ref="C1407" location="'58.161 (Т)'!A1" display="'58.161 (Т)'!A1"/>
    <hyperlink ref="C1210" location="'58.162 (К)'!A1" display="'58.162 (К)'!A1"/>
    <hyperlink ref="C1408" location="'58.163 (Т)'!A1" display="'58.163 (Т)'!A1"/>
    <hyperlink ref="C490" location="'58.164 (К)'!A1" display="'58.164 (К)'!A1"/>
    <hyperlink ref="C401" location="'58.165 (К)'!A1" display="'58.165 (К)'!A1"/>
    <hyperlink ref="C424" location="'58.166 (Т)'!A1" display="'58.166 (Т)'!A1"/>
    <hyperlink ref="C1781" location="'58.167 (К)'!A1" display="'58.167 (К)'!A1"/>
    <hyperlink ref="C596" location="'58.168 (Т)'!A1" display="'58.168 (Т)'!A1"/>
    <hyperlink ref="C182" location="'58.169 (К)'!A1" display="'58.169 (К)'!A1"/>
    <hyperlink ref="C192" location="'58.170 (К)'!A1" display="'58.170 (К)'!A1"/>
    <hyperlink ref="C491" location="'58.171 (К)'!A1" display="'58.171 (К)'!A1"/>
    <hyperlink ref="C597" location="'58.172 (Т)'!A1" display="'58.172 (Т)'!A1"/>
    <hyperlink ref="C238" location="'58.174 (Т)'!A1" display="'58.174 (Т)'!A1"/>
    <hyperlink ref="C265" location="'58.175 (Т)'!A1" display="'58.175 (Т)'!A1"/>
    <hyperlink ref="C292" location="'58.176 (Т)'!A1" display="'58.176 (Т)'!A1"/>
    <hyperlink ref="C1783" location="'58.178 (К)'!A1" display="'58.178 (К)'!A1"/>
    <hyperlink ref="C492" location="'58.179 (К)'!A1" display="'58.179 (К)'!A1"/>
    <hyperlink ref="C1784" location="'58.181 (К)'!A1" display="'58.181 (К)'!A1"/>
    <hyperlink ref="C1942" location="'58.182 (Т)'!A1" display="'58.182 (Т)'!A1"/>
    <hyperlink ref="C1944" location="'58.183 (Т)'!A1" display="'58.183 (Т)'!A1"/>
    <hyperlink ref="C1785" location="'58.184 (К)'!A1" display="'58.184 (К)'!A1"/>
    <hyperlink ref="C1945" location="'58.185 (Т)'!A1" display="'58.185 (Т)'!A1"/>
    <hyperlink ref="C1787" location="'58.186 (К)'!A1" display="'58.186 (К)'!A1"/>
    <hyperlink ref="C1947" location="'58.187 (Т)'!A1" display="'58.187 (Т)'!A1"/>
    <hyperlink ref="C1211" location="'58.188 (К)'!A1" display="'58.188 (К)'!A1"/>
    <hyperlink ref="C1409" location="'58.189 (Т)'!A1" display="'58.189 (Т)'!A1"/>
    <hyperlink ref="C1964" location="'58.148 (Т)'!A1" display="'58.148 (Т)'!A1"/>
    <hyperlink ref="C2862:D2862" location="'56.2'!A1" display="'56.2'!A1"/>
    <hyperlink ref="C2864:D2864" location="'56.2'!A1" display="'56.2'!A1"/>
    <hyperlink ref="C2866:D2866" location="'56.2'!A1" display="'56.2'!A1"/>
    <hyperlink ref="C2868:D2868" location="'56.2'!A1" display="'56.2'!A1"/>
    <hyperlink ref="C2870:D2870" location="'56.2'!A1" display="'56.2'!A1"/>
    <hyperlink ref="C2872:D2872" location="'56.2'!A1" display="'56.2'!A1"/>
    <hyperlink ref="C2874:D2874" location="'56.2'!A1" display="'56.2'!A1"/>
    <hyperlink ref="C2878:D2878" location="'56.2'!A1" display="'56.2'!A1"/>
    <hyperlink ref="C2755:D2759" location="'59.3'!A1" display="'59.3'!A1"/>
    <hyperlink ref="C2765:D2765" location="'59.4'!A1" display="'59.4'!A1"/>
    <hyperlink ref="C2771:D2771" location="'59.4'!A1" display="'59.4'!A1"/>
    <hyperlink ref="C2781:D2781" location="'59.4'!A1" display="'59.4'!A1"/>
    <hyperlink ref="C2789:D2789" location="'59.5'!A1" display="'59.5'!A1"/>
    <hyperlink ref="C2794:D2794" location="'59.5'!A1" display="'59.5'!A1"/>
    <hyperlink ref="C2799:D2799" location="'59.5'!A1" display="'59.5'!A1"/>
    <hyperlink ref="C1143" location="'58.6 (К)'!A1" display="'58.6 (К)'!A1"/>
    <hyperlink ref="C426" location="'58.3 (К)'!A1" display="'58.3 (К)'!A1"/>
    <hyperlink ref="C1144" location="'58.9 (К)'!A1" display="'58.9 (К)'!A1"/>
    <hyperlink ref="C494" location="'58.5 (К)'!A1" display="'58.5 (К)'!A1"/>
    <hyperlink ref="C1799" location="'58.12 (К)'!A1" display="'58.12 (К)'!A1"/>
    <hyperlink ref="C1735" location="'58.1 (К)'!A1" display="'58.1 (К)'!A1"/>
    <hyperlink ref="C2479:C2481" location="'58.1 (К)'!A1" display="'58.1 (К)'!A1"/>
    <hyperlink ref="C1147" location="'58.55 (К)'!A1" display="'58.55 (К)'!A1"/>
    <hyperlink ref="C1243" location="'58.65 (К)'!A1" display="'58.65 (К)'!A1"/>
    <hyperlink ref="C1249" location="'58.65 (К)'!A1" display="'58.65 (К)'!A1"/>
    <hyperlink ref="C1156" location="'58.70 (Т)'!A1" display="'58.70 (Т)'!A1"/>
    <hyperlink ref="C1152" location="'58.68 (Т)'!A1" display="'58.68 (Т)'!A1"/>
    <hyperlink ref="C1800" location="'58.68 (Т)'!A1" display="'58.68 (Т)'!A1"/>
    <hyperlink ref="C1153" location="'58.69 (Т)'!A1" display="'58.69 (Т)'!A1"/>
    <hyperlink ref="C1246" location="'58.69 (Т)'!A1" display="'58.69 (Т)'!A1"/>
    <hyperlink ref="C1736" location="'58.69 (Т)'!A1" display="'58.69 (Т)'!A1"/>
    <hyperlink ref="C1154" location="'58.70 (Т)'!A1" display="'58.70 (Т)'!A1"/>
    <hyperlink ref="C1247" location="'58.70 (Т)'!A1" display="'58.70 (Т)'!A1"/>
    <hyperlink ref="C172" location="'58.70 (Т)'!A1" display="'58.70 (Т)'!A1"/>
    <hyperlink ref="C1155" location="'58.55 (К)'!A1" display="'58.55 (К)'!A1"/>
    <hyperlink ref="C1248" location="'58.55 (К)'!A1" display="'58.55 (К)'!A1"/>
    <hyperlink ref="C1252" location="'58.55 (К)'!A1" display="'58.55 (К)'!A1"/>
    <hyperlink ref="C1243:C1247" location="'58.55 (К)'!A1" display="'58.55 (К)'!A1"/>
    <hyperlink ref="C1802" location="'58.101 (К)'!A1" display="'58.101 (К)'!A1"/>
    <hyperlink ref="C570" location="'58.114 (Т)'!A1" display="'58.114 (Т)'!A1"/>
    <hyperlink ref="C2481" location="'58.113 (Т)'!A1" display="'58.113 (Т)'!A1"/>
    <hyperlink ref="C1941" location="'58.113 (Т)'!A1" display="'58.113 (Т)'!A1"/>
    <hyperlink ref="D2476" location="'58.1 (К)'!A1" display="'58.1 (К)'!A1"/>
    <hyperlink ref="C704" location="'58.180 (Т)'!A1" display="'58.180 (Т)'!A1"/>
    <hyperlink ref="C704" location="'58.195 (Т)'!A1" display="'58.195 (Т)'!A1"/>
    <hyperlink ref="C493" location="'58.113 (Т)'!A1" display="'58.113 (Т)'!A1"/>
    <hyperlink ref="D493" location="'58.113 (Т)'!A1" display="'58.113 (Т)'!A1"/>
    <hyperlink ref="C1974" location="'58.148 (Т)'!A1" display="'58.148 (Т)'!A1"/>
    <hyperlink ref="C1427" location="'58.97 (К)'!A1" display="'58.97 (К)'!A1"/>
    <hyperlink ref="C1975" location="'58.148 (Т)'!A1" display="'58.148 (Т)'!A1"/>
    <hyperlink ref="C1977" location="'58.148 (Т)'!A1" display="'58.148 (Т)'!A1"/>
    <hyperlink ref="C1428" location="'58.97 (К)'!A1" display="'58.97 (К)'!A1"/>
    <hyperlink ref="C1431" location="'58.97 (К)'!A1" display="'58.97 (К)'!A1"/>
    <hyperlink ref="C1432" location="'58.97 (К)'!A1" display="'58.97 (К)'!A1"/>
    <hyperlink ref="C1433" location="'58.97 (К)'!A1" display="'58.97 (К)'!A1"/>
    <hyperlink ref="C1437" location="'58.97 (К)'!A1" display="'58.97 (К)'!A1"/>
    <hyperlink ref="C1439" location="'58.97 (К)'!A1" display="'58.97 (К)'!A1"/>
    <hyperlink ref="C132" location="'58.91 (КС)'!A1" display="'58.91 (КС)'!A1"/>
    <hyperlink ref="C1441" location="'58.97 (К)'!A1" display="'58.97 (К)'!A1"/>
    <hyperlink ref="C1442" location="'58.97 (К)'!A1" display="'58.97 (К)'!A1"/>
    <hyperlink ref="C950" location="'58.180 (Т)'!A1" display="'58.180 (Т)'!A1"/>
    <hyperlink ref="C951" location="'58.180 (Т)'!A1" display="'58.180 (Т)'!A1"/>
    <hyperlink ref="C952" location="'58.180 (Т)'!A1" display="'58.180 (Т)'!A1"/>
    <hyperlink ref="C1444" location="'58.97 (К)'!A1" display="'58.97 (К)'!A1"/>
    <hyperlink ref="C1445" location="'58.97 (К)'!A1" display="'58.97 (К)'!A1"/>
    <hyperlink ref="C1446" location="'58.97 (К)'!A1" display="'58.97 (К)'!A1"/>
    <hyperlink ref="C1447" location="'58.97 (К)'!A1" display="'58.97 (К)'!A1"/>
    <hyperlink ref="C1448" location="'58.97 (К)'!A1" display="'58.97 (К)'!A1"/>
    <hyperlink ref="C1449" location="'58.97 (К)'!A1" display="'58.97 (К)'!A1"/>
    <hyperlink ref="C1450" location="'58.97 (К)'!A1" display="'58.97 (К)'!A1"/>
    <hyperlink ref="C1451" location="'58.97 (К)'!A1" display="'58.97 (К)'!A1"/>
    <hyperlink ref="C1984" location="'58.148 (Т)'!A1" display="'58.148 (Т)'!A1"/>
    <hyperlink ref="C1985" location="'58.148 (Т)'!A1" display="'58.148 (Т)'!A1"/>
    <hyperlink ref="C1986" location="'58.148 (Т)'!A1" display="'58.148 (Т)'!A1"/>
    <hyperlink ref="C1987" location="'58.148 (Т)'!A1" display="'58.148 (Т)'!A1"/>
    <hyperlink ref="C1988" location="'58.148 (Т)'!A1" display="'58.148 (Т)'!A1"/>
    <hyperlink ref="C1989" location="'58.148 (Т)'!A1" display="'58.148 (Т)'!A1"/>
    <hyperlink ref="C1991" location="'58.148 (Т)'!A1" display="'58.148 (Т)'!A1"/>
    <hyperlink ref="C953" location="'58.180 (Т)'!A1" display="'58.180 (Т)'!A1"/>
    <hyperlink ref="C955" location="'58.180 (Т)'!A1" display="'58.180 (Т)'!A1"/>
    <hyperlink ref="C956" location="'58.180 (Т)'!A1" display="'58.180 (Т)'!A1"/>
    <hyperlink ref="C1452" location="'58.97 (К)'!A1" display="'58.97 (К)'!A1"/>
    <hyperlink ref="C1453" location="'58.97 (К)'!A1" display="'58.97 (К)'!A1"/>
    <hyperlink ref="C1454" location="'58.97 (К)'!A1" display="'58.97 (К)'!A1"/>
    <hyperlink ref="C1455" location="'58.97 (К)'!A1" display="'58.97 (К)'!A1"/>
    <hyperlink ref="C1456" location="'58.97 (К)'!A1" display="'58.97 (К)'!A1"/>
    <hyperlink ref="C1457" location="'58.97 (К)'!A1" display="'58.97 (К)'!A1"/>
    <hyperlink ref="C1458" location="'58.97 (К)'!A1" display="'58.97 (К)'!A1"/>
    <hyperlink ref="C1459" location="'58.97 (К)'!A1" display="'58.97 (К)'!A1"/>
    <hyperlink ref="C1992" location="'58.148 (Т)'!A1" display="'58.148 (Т)'!A1"/>
    <hyperlink ref="C1993" location="'58.148 (Т)'!A1" display="'58.148 (Т)'!A1"/>
    <hyperlink ref="C1994" location="'58.148 (Т)'!A1" display="'58.148 (Т)'!A1"/>
    <hyperlink ref="C1995" location="'58.148 (Т)'!A1" display="'58.148 (Т)'!A1"/>
    <hyperlink ref="C1996" location="'58.148 (Т)'!A1" display="'58.148 (Т)'!A1"/>
    <hyperlink ref="C1997" location="'58.148 (Т)'!A1" display="'58.148 (Т)'!A1"/>
    <hyperlink ref="C1998" location="'58.148 (Т)'!A1" display="'58.148 (Т)'!A1"/>
    <hyperlink ref="C2000" location="'58.148 (Т)'!A1" display="'58.148 (Т)'!A1"/>
    <hyperlink ref="C1482" location="'58.97 (К)'!A1" display="'58.97 (К)'!A1"/>
    <hyperlink ref="C1494" location="'58.97 (К)'!A1" display="'58.97 (К)'!A1"/>
    <hyperlink ref="C1500" location="'58.97 (К)'!A1" display="'58.97 (К)'!A1"/>
    <hyperlink ref="C1508" location="'58.97 (К)'!A1" display="'58.97 (К)'!A1"/>
    <hyperlink ref="C1529" location="'58.97 (К)'!A1" display="'58.97 (К)'!A1"/>
    <hyperlink ref="C1550" location="'58.97 (К)'!A1" display="'58.97 (К)'!A1"/>
    <hyperlink ref="C1443" location="'58.97 (К)'!A1" display="'58.97 (К)'!A1"/>
    <hyperlink ref="C1572" location="'58.97 (К)'!A1" display="'58.97 (К)'!A1"/>
    <hyperlink ref="C1460" location="'58.97 (К)'!A1" display="'58.97 (К)'!A1"/>
    <hyperlink ref="C501" location="'58.5 (К)'!A1" display="'58.5 (К)'!A1"/>
    <hyperlink ref="C1581" location="'58.97 (К)'!A1" display="'58.97 (К)'!A1"/>
    <hyperlink ref="C157" location="'58.189 (Т)'!A1" display="'58.189 (Т)'!A1"/>
    <hyperlink ref="C1969" location="'58.148 (Т)'!A1" display="'58.148 (Т)'!A1"/>
    <hyperlink ref="C1971" location="'58.148 (Т)'!A1" display="'58.148 (Т)'!A1"/>
    <hyperlink ref="C1972" location="'58.148 (Т)'!A1" display="'58.148 (Т)'!A1"/>
    <hyperlink ref="C1973" location="'58.148 (Т)'!A1" display="'58.148 (Т)'!A1"/>
    <hyperlink ref="C2001" location="'58.148 (Т)'!A1" display="'58.148 (Т)'!A1"/>
    <hyperlink ref="C957" location="'58.180 (Т)'!A1" display="'58.180 (Т)'!A1"/>
    <hyperlink ref="C1733" location="'58.12 (К)'!A1" display="'58.12 (К)'!A1"/>
    <hyperlink ref="C1731" location="'58.12 (К)'!A1" display="'58.12 (К)'!A1"/>
    <hyperlink ref="C2478" location="'58.44 (К)'!A1" display="'58.44 (К)'!A1"/>
    <hyperlink ref="C1150" location="'58.77 (К)'!A1" display="'58.77 (К)'!A1"/>
    <hyperlink ref="C201" location="'58.173 (К)'!A1" display="'58.173 (К)'!A1"/>
    <hyperlink ref="C1251" location="'58.90 (Т)'!A1" display="'58.90 (Т)'!A1"/>
    <hyperlink ref="C1804" location="'58.117 (Т)'!A1" display="'58.117 (Т)'!A1"/>
    <hyperlink ref="C210" location="'58.119 (Т)'!A1" display="'58.119 (Т)'!A1"/>
    <hyperlink ref="C1738" location="'58.120 (К)'!A1" display="'58.120 (К)'!A1"/>
    <hyperlink ref="C1832" location="'58.144 (Т)'!A1" display="'58.144 (Т)'!A1"/>
    <hyperlink ref="C1859" location="'58.145 (Т)'!A1" display="'58.145 (Т)'!A1"/>
    <hyperlink ref="C1886" location="'58.146 (Т)'!A1" display="'58.146 (Т)'!A1"/>
    <hyperlink ref="C392" location="'58.156 (К)'!A1" display="'58.156 (К)'!A1"/>
    <hyperlink ref="C402" location="'58.157 (Т)'!A1" display="'58.157 (Т)'!A1"/>
    <hyperlink ref="C593" location="'58.168 (Т)'!A1" display="'58.168 (Т)'!A1"/>
    <hyperlink ref="C599" location="'58.121 (Т)'!A1" display="'58.121 (Т)'!A1"/>
    <hyperlink ref="C1943" location="'58.182 (Т)'!A1" display="'58.182 (Т)'!A1"/>
    <hyperlink ref="C954" location="'58.180 (Т)'!A1" display="'58.180 (Т)'!A1"/>
    <hyperlink ref="C2002" location="'58.148 (Т)'!A1" display="'58.148 (Т)'!A1"/>
    <hyperlink ref="C516" location="'58.39 (Т)'!A1" display="'58.39 (Т)'!A1"/>
    <hyperlink ref="C2480" location="'58.1 (К)'!A1" display="'58.1 (К)'!A1"/>
    <hyperlink ref="C1164" location="'58.133 (К)'!A1" display="'58.133 (К)'!A1"/>
    <hyperlink ref="C1970" location="'58.148 (Т)'!A1" display="'58.148 (Т)'!A1"/>
    <hyperlink ref="C55" location="'58.102 (К)'!A1" display="'58.102 (К)'!A1"/>
    <hyperlink ref="C1177" location="'58.134 (К)'!A1" display="'58.134 (К)'!A1"/>
    <hyperlink ref="C1212" location="'58.188 (К)'!A1" display="'58.188 (К)'!A1"/>
    <hyperlink ref="C1575" location="'58.97 (К)'!A1" display="'58.97 (К)'!A1"/>
    <hyperlink ref="C1485" location="'58.97 (К)'!A1" display="'58.97 (К)'!A1"/>
    <hyperlink ref="C628" location="'58.122 (Т)'!A1" display="'58.122 (Т)'!A1"/>
    <hyperlink ref="C239" location="'58.174 (Т)'!A1" display="'58.174 (Т)'!A1"/>
    <hyperlink ref="C266" location="'58.175 (Т)'!A1" display="'58.175 (Т)'!A1"/>
    <hyperlink ref="C958" location="'58.180 (Т)'!A1" display="'58.180 (Т)'!A1"/>
    <hyperlink ref="C1999" location="'58.148 (Т)'!A1" display="'58.148 (Т)'!A1"/>
    <hyperlink ref="C183" location="'58.169 (К)'!A1" display="'58.169 (К)'!A1"/>
    <hyperlink ref="C520" location="'58.39 (Т)'!A1" display="'58.39 (Т)'!A1"/>
    <hyperlink ref="C594" location="'58.168 (Т)'!A1" display="'58.168 (Т)'!A1"/>
    <hyperlink ref="C2308" location="'58.148 (Т)'!A1" display="'58.148 (Т)'!A1"/>
    <hyperlink ref="C1551" location="'58.97 (К)'!A1" display="'58.97 (К)'!A1"/>
    <hyperlink ref="C521" location="'58.39 (Т)'!A1" display="'58.39 (Т)'!A1"/>
    <hyperlink ref="C523" location="'58.39 (Т)'!A1" display="'58.39 (Т)'!A1"/>
    <hyperlink ref="C522" location="'58.39 (Т)'!A1" display="'58.39 (Т)'!A1"/>
    <hyperlink ref="C2863" location="'56.2'!A1" display="'56.2'!A1"/>
    <hyperlink ref="C2865" location="'56.2'!A1" display="'56.2'!A1"/>
    <hyperlink ref="C2867" location="'56.2'!A1" display="'56.2'!A1"/>
    <hyperlink ref="C2869" location="'56.2'!A1" display="'56.2'!A1"/>
    <hyperlink ref="C2871" location="'56.2'!A1" display="'56.2'!A1"/>
    <hyperlink ref="C2873" location="'56.2'!A1" display="'56.2'!A1"/>
    <hyperlink ref="C2875" location="'56.2'!A1" display="'56.2'!A1"/>
    <hyperlink ref="C2877" location="'56.2'!A1" display="'56.2'!A1"/>
    <hyperlink ref="C2315" location="'58.148 (Т)'!A1" display="'58.148 (Т)'!A1"/>
    <hyperlink ref="C1750" location="'58.139 (К)'!A1" display="'58.139 (К)'!A1"/>
    <hyperlink ref="C1742" location="'58.138 (К)'!A1" display="'58.138 (К)'!A1"/>
    <hyperlink ref="C1788" location="'58.186 (К)'!A1" display="'58.186 (К)'!A1"/>
    <hyperlink ref="C1178" location="'58.134 (К)'!A1" display="'58.134 (К)'!A1"/>
    <hyperlink ref="C193" location="'58.170 (К)'!A1" display="'58.170 (К)'!A1"/>
    <hyperlink ref="C202" location="'58.173 (К)'!A1" display="'58.173 (К)'!A1"/>
    <hyperlink ref="C241" location="'58.174 (Т)'!A1" display="'58.174 (Т)'!A1"/>
    <hyperlink ref="C268" location="'58.175 (Т)'!A1" display="'58.175 (Т)'!A1"/>
    <hyperlink ref="C294" location="'58.176 (Т)'!A1" display="'58.176 (Т)'!A1"/>
    <hyperlink ref="C601" location="'58.121 (Т)'!A1" display="'58.121 (Т)'!A1"/>
    <hyperlink ref="C184" location="'58.169 (К)'!A1" display="'58.169 (К)'!A1"/>
    <hyperlink ref="C1915" location="'58.147 (Т)'!A1" display="'58.147 (Т)'!A1"/>
    <hyperlink ref="C1887" location="'58.146 (Т)'!A1" display="'58.146 (Т)'!A1"/>
    <hyperlink ref="C1860" location="'58.145 (Т)'!A1" display="'58.145 (Т)'!A1"/>
    <hyperlink ref="C1833" location="'58.144 (Т)'!A1" display="'58.144 (Т)'!A1"/>
    <hyperlink ref="C1806" location="'58.144 (Т)'!A1" display="'58.144 (Т)'!A1"/>
    <hyperlink ref="C1770" location="'58.141 (К)'!A1" display="'58.141 (К)'!A1"/>
    <hyperlink ref="C1761" location="'58.140 (К)'!A1" display="'58.140 (К)'!A1"/>
    <hyperlink ref="C476" location="'58.137 (К)'!A1" display="'58.137 (К)'!A1"/>
    <hyperlink ref="C1782" location="'58.167 (К)'!A1" display="'58.167 (К)'!A1"/>
    <hyperlink ref="C1786" location="'58.184 (К)'!A1" display="'58.184 (К)'!A1"/>
    <hyperlink ref="C595" location="'58.168 (Т)'!A1" display="'58.168 (Т)'!A1"/>
    <hyperlink ref="C1751" location="'58.139 (К)'!A1" display="'58.139 (К)'!A1"/>
    <hyperlink ref="C1741" location="'58.138 (К)'!A1" display="'58.138 (К)'!A1"/>
    <hyperlink ref="C1200" location="'58.136 (К)'!A1" display="'58.136 (К)'!A1"/>
    <hyperlink ref="C1190" location="'58.135 (К)'!A1" display="'58.135 (К)'!A1"/>
    <hyperlink ref="C1175" location="'58.134 (К)'!A1" display="'58.134 (К)'!A1"/>
    <hyperlink ref="C1163" location="'58.133 (К)'!A1" display="'58.133 (К)'!A1"/>
    <hyperlink ref="C467" location="'58.132 (К)'!A1" display="'58.132 (К)'!A1"/>
    <hyperlink ref="C458" location="'58.131 (К)'!A1" display="'58.131 (К)'!A1"/>
    <hyperlink ref="C447" location="'58.130 (К)'!A1" display="'58.130 (К)'!A1"/>
    <hyperlink ref="C438" location="'58.129 (К)'!A1" display="'58.129 (К)'!A1"/>
    <hyperlink ref="C1383" location="'58.128 (Т)'!A1" display="'58.128 (Т)'!A1"/>
    <hyperlink ref="C1357" location="'58.127 (Т)'!A1" display="'58.127 (Т)'!A1"/>
    <hyperlink ref="C1331" location="'58.126 (Т)'!A1" display="'58.126 (Т)'!A1"/>
    <hyperlink ref="C1305" location="'58.125 (Т)'!A1" display="'58.125 (Т)'!A1"/>
    <hyperlink ref="C677" location="'58.124 (Т)'!A1" display="'58.124 (Т)'!A1"/>
    <hyperlink ref="C658" location="'58.122 (Т)'!A1" display="'58.122 (Т)'!A1"/>
    <hyperlink ref="C625" location="'58.122 (Т)'!A1" display="'58.122 (Т)'!A1"/>
    <hyperlink ref="C1946" location="'58.185 (Т)'!A1" display="'58.185 (Т)'!A1"/>
    <hyperlink ref="C1789" location="'58.186 (К)'!A1" display="'58.186 (К)'!A1"/>
    <hyperlink ref="C1213" location="'58.188 (К)'!A1" display="'58.188 (К)'!A1"/>
    <hyperlink ref="C173" location="'58.70 (Т)'!A1" display="'58.70 (Т)'!A1"/>
    <hyperlink ref="C2737" location="'59.2'!A1" display="'59.2'!A1"/>
    <hyperlink ref="C2762" location="'59.4'!A1" display="'59.4'!A1"/>
    <hyperlink ref="C2770" location="'59.4'!A1" display="'59.4'!A1"/>
    <hyperlink ref="C2773" location="'59.4'!A1" display="'59.4'!A1"/>
    <hyperlink ref="C2778" location="'59.4'!A1" display="'59.4'!A1"/>
    <hyperlink ref="C2783" location="'59.4'!A1" display="'59.4'!A1"/>
    <hyperlink ref="C2804:D2804" location="'59.5'!A1" display="'59.5'!A1"/>
    <hyperlink ref="C2790" location="'59.5'!A1" display="'59.5'!A1"/>
    <hyperlink ref="C2795" location="'59.5'!A1" display="'59.5'!A1"/>
    <hyperlink ref="C2800" location="'59.5'!A1" display="'59.5'!A1"/>
    <hyperlink ref="C2805" location="'59.5'!A1" display="'59.5'!A1"/>
    <hyperlink ref="C1732" location="'58.12 (К)'!A1" display="'58.12 (К)'!A1"/>
    <hyperlink ref="C150" location="'58.16 (К)'!A1" display="'58.16 (К)'!A1"/>
    <hyperlink ref="C393" location="'58.156 (К)'!A1" display="'58.156 (К)'!A1"/>
    <hyperlink ref="C478" location="'58.158 (К)'!A1" display="'58.158 (К)'!A1"/>
    <hyperlink ref="C1574" location="'58.97 (К)'!A1" display="'58.97 (К)'!A1"/>
    <hyperlink ref="C1484" location="'58.97 (К)'!A1" display="'58.97 (К)'!A1"/>
    <hyperlink ref="C1502" location="'58.97 (К)'!A1" display="'58.97 (К)'!A1"/>
    <hyperlink ref="C430" location="'58.35 (К)'!A1" display="'58.35 (К)'!A1"/>
    <hyperlink ref="C427" location="'58.3 (К)'!A1" display="'58.3 (К)'!A1"/>
    <hyperlink ref="C517:C519" location="'58.39 (Т)'!A1" display="'58.39 (Т)'!A1"/>
    <hyperlink ref="C57" location="'58.102 (К)'!A1" display="'58.102 (К)'!A1"/>
    <hyperlink ref="C506" location="'58.5 (К)'!A1" display="'58.5 (К)'!A1"/>
    <hyperlink ref="C405" location="'58.157 (Т)'!A1" display="'58.157 (Т)'!A1"/>
    <hyperlink ref="C406" location="'58.157 (Т)'!A1" display="'58.157 (Т)'!A1"/>
    <hyperlink ref="C575:C576" location="'58.159 (Т)'!A1" display="'58.159 (Т)'!A1"/>
    <hyperlink ref="C1509" location="'58.97 (К)'!A1" display="'58.97 (К)'!A1"/>
    <hyperlink ref="C1512" location="'58.97 (К)'!A1" display="'58.97 (К)'!A1"/>
    <hyperlink ref="C1530" location="'58.97 (К)'!A1" display="'58.97 (К)'!A1"/>
    <hyperlink ref="C1552" location="'58.97 (К)'!A1" display="'58.97 (К)'!A1"/>
    <hyperlink ref="C1555" location="'58.97 (К)'!A1" display="'58.97 (К)'!A1"/>
    <hyperlink ref="C211" location="'58.119 (Т)'!A1" display="'58.119 (Т)'!A1"/>
    <hyperlink ref="C212" location="'58.119 (Т)'!A1" display="'58.119 (Т)'!A1"/>
    <hyperlink ref="C1278" location="'58.55 (К)'!A1" display="'58.55 (К)'!A1"/>
    <hyperlink ref="C1279" location="'58.55 (К)'!A1" display="'58.55 (К)'!A1"/>
    <hyperlink ref="C1254" location="'58.55 (К)'!A1" display="'58.55 (К)'!A1"/>
    <hyperlink ref="C1253" location="'58.90 (Т)'!A1" display="'58.90 (Т)'!A1"/>
    <hyperlink ref="C497" location="'58.5 (К)'!A1" display="'58.5 (К)'!A1"/>
    <hyperlink ref="C498" location="'58.5 (К)'!A1" display="'58.5 (К)'!A1"/>
    <hyperlink ref="C676" location="'58.124 (Т)'!A1" display="'58.124 (Т)'!A1"/>
    <hyperlink ref="C1304" location="'58.125 (Т)'!A1" display="'58.125 (Т)'!A1"/>
    <hyperlink ref="C1330" location="'58.126 (Т)'!A1" display="'58.126 (Т)'!A1"/>
    <hyperlink ref="C1356" location="'58.127 (Т)'!A1" display="'58.127 (Т)'!A1"/>
    <hyperlink ref="C1382" location="'58.128 (Т)'!A1" display="'58.128 (Т)'!A1"/>
    <hyperlink ref="C1807" location="'58.144 (Т)'!A1" display="'58.144 (Т)'!A1"/>
    <hyperlink ref="C1834" location="'58.144 (Т)'!A1" display="'58.144 (Т)'!A1"/>
    <hyperlink ref="C1861" location="'58.145 (Т)'!A1" display="'58.145 (Т)'!A1"/>
    <hyperlink ref="C1888" location="'58.146 (Т)'!A1" display="'58.146 (Т)'!A1"/>
    <hyperlink ref="C1914" location="'58.147 (Т)'!A1" display="'58.147 (Т)'!A1"/>
    <hyperlink ref="C240" location="'58.174 (Т)'!A1" display="'58.174 (Т)'!A1"/>
    <hyperlink ref="C267" location="'58.175 (Т)'!A1" display="'58.175 (Т)'!A1"/>
    <hyperlink ref="C293" location="'58.176 (Т)'!A1" display="'58.176 (Т)'!A1"/>
    <hyperlink ref="C2879:C2887" location="'56.2'!A1" display="'56.2'!A1"/>
    <hyperlink ref="C657" location="'58.122 (Т)'!A1" display="'58.122 (Т)'!A1"/>
    <hyperlink ref="C479" location="'58.158 (К)'!A1" display="'58.158 (К)'!A1"/>
    <hyperlink ref="C480" location="'58.158 (К)'!A1" display="'58.158 (К)'!A1"/>
    <hyperlink ref="C481" location="'58.158 (К)'!A1" display="'58.158 (К)'!A1"/>
    <hyperlink ref="C482" location="'58.158 (К)'!A1" display="'58.158 (К)'!A1"/>
    <hyperlink ref="C394" location="'58.156 (К)'!A1" display="'58.156 (К)'!A1"/>
    <hyperlink ref="C151" location="'58.16 (К)'!A1" display="'58.16 (К)'!A1"/>
    <hyperlink ref="C1573" location="'58.97 (К)'!A1" display="'58.97 (К)'!A1"/>
    <hyperlink ref="C1483" location="'58.97 (К)'!A1" display="'58.97 (К)'!A1"/>
    <hyperlink ref="C1492" location="'58.97 (К)'!A1" display="'58.97 (К)'!A1"/>
    <hyperlink ref="C1501" location="'58.97 (К)'!A1" display="'58.97 (К)'!A1"/>
    <hyperlink ref="C2761" location="'59.4'!A1" display="'59.4'!A1"/>
    <hyperlink ref="C2766" location="'59.4'!A1" display="'59.4'!A1"/>
    <hyperlink ref="C2772" location="'59.4'!A1" display="'59.4'!A1"/>
    <hyperlink ref="C2777" location="'59.4'!A1" display="'59.4'!A1"/>
    <hyperlink ref="C2782" location="'59.4'!A1" display="'59.4'!A1"/>
    <hyperlink ref="C2767" location="'59.4'!A1" display="'59.4'!A1"/>
    <hyperlink ref="C495" location="'58.5 (К)'!A1" display="'58.5 (К)'!A1"/>
    <hyperlink ref="C496" location="'58.5 (К)'!A1" display="'58.5 (К)'!A1"/>
    <hyperlink ref="C524" location="'58.39 (Т)'!A1" display="'58.39 (Т)'!A1"/>
    <hyperlink ref="C525" location="'58.39 (Т)'!A1" display="'58.39 (Т)'!A1"/>
    <hyperlink ref="C507" location="'58.157 (Т)'!A1" display="'58.157 (Т)'!A1"/>
    <hyperlink ref="C509" location="'58.157 (Т)'!A1" display="'58.157 (Т)'!A1"/>
    <hyperlink ref="C508" location="'58.157 (Т)'!A1" display="'58.157 (Т)'!A1"/>
    <hyperlink ref="C679" location="'58.124 (Т)'!A1" display="'58.124 (Т)'!A1"/>
    <hyperlink ref="C678" location="'58.124 (Т)'!A1" display="'58.124 (Т)'!A1"/>
    <hyperlink ref="C403" location="'58.157 (Т)'!A1" display="'58.157 (Т)'!A1"/>
    <hyperlink ref="C404" location="'58.157 (Т)'!A1" display="'58.157 (Т)'!A1"/>
    <hyperlink ref="C573:C574" location="'58.159 (Т)'!A1" display="'58.159 (Т)'!A1"/>
    <hyperlink ref="C1511" location="'58.97 (К)'!A1" display="'58.97 (К)'!A1"/>
    <hyperlink ref="C1510" location="'58.97 (К)'!A1" display="'58.97 (К)'!A1"/>
    <hyperlink ref="C1533" location="'58.97 (К)'!A1" display="'58.97 (К)'!A1"/>
    <hyperlink ref="C1532" location="'58.97 (К)'!A1" display="'58.97 (К)'!A1"/>
    <hyperlink ref="C1531" location="'58.97 (К)'!A1" display="'58.97 (К)'!A1"/>
    <hyperlink ref="C1554" location="'58.97 (К)'!A1" display="'58.97 (К)'!A1"/>
    <hyperlink ref="C1553" location="'58.97 (К)'!A1" display="'58.97 (К)'!A1"/>
    <hyperlink ref="C56" location="'58.102 (К)'!A1" display="'58.102 (К)'!A1"/>
    <hyperlink ref="C1174" location="'58.134 (К)'!A1" display="'58.134 (К)'!A1"/>
    <hyperlink ref="C1990" location="'58.148 (Т)'!A1" display="'58.148 (Т)'!A1"/>
    <hyperlink ref="C600" location="'58.121 (Т)'!A1" display="'58.121 (Т)'!A1"/>
    <hyperlink ref="C627" location="'58.122 (Т)'!A1" display="'58.122 (Т)'!A1"/>
    <hyperlink ref="C432" location="'58.35 (К)'!A1" display="'58.35 (К)'!A1"/>
    <hyperlink ref="C499" location="'58.5 (К)'!A1" display="'58.5 (К)'!A1"/>
    <hyperlink ref="C500" location="'58.5 (К)'!A1" display="'58.5 (К)'!A1"/>
    <hyperlink ref="C526" location="'58.39 (Т)'!A1" display="'58.39 (Т)'!A1"/>
    <hyperlink ref="C527" location="'58.39 (Т)'!A1" display="'58.39 (Т)'!A1"/>
    <hyperlink ref="C1165" location="'58.133 (К)'!A1" display="'58.133 (К)'!A1"/>
    <hyperlink ref="C1138" location="'58.3 (К)'!A1" display="'58.3 (К)'!A1"/>
    <hyperlink ref="C1734" location="'58.12 (К)'!A1" display="'58.12 (К)'!A1"/>
    <hyperlink ref="C152" location="'58.16 (К)'!A1" display="'58.16 (К)'!A1"/>
    <hyperlink ref="C1166" location="'58.133 (К)'!A1" display="'58.133 (К)'!A1"/>
    <hyperlink ref="C396" location="'58.156 (К)'!A1" display="'58.156 (К)'!A1"/>
    <hyperlink ref="C1493" location="'58.97 (К)'!A1" display="'58.97 (К)'!A1"/>
    <hyperlink ref="C2776:D2776" location="'59.4'!A1" display="'59.4'!A1"/>
    <hyperlink ref="C2774" location="'59.4'!A1" display="'59.4'!A1"/>
    <hyperlink ref="C2779" location="'59.4'!A1" display="'59.4'!A1"/>
    <hyperlink ref="C2784" location="'59.4'!A1" display="'59.4'!A1"/>
    <hyperlink ref="C2801" location="'59.5'!A1" display="'59.5'!A1"/>
    <hyperlink ref="C510" location="'58.157 (Т)'!A1" display="'58.157 (Т)'!A1"/>
    <hyperlink ref="C511" location="'58.157 (Т)'!A1" display="'58.157 (Т)'!A1"/>
    <hyperlink ref="C213" location="'58.119 (Т)'!A1" display="'58.119 (Т)'!A1"/>
    <hyperlink ref="C214" location="'58.119 (Т)'!A1" display="'58.119 (Т)'!A1"/>
    <hyperlink ref="C407" location="'58.157 (Т)'!A1" display="'58.157 (Т)'!A1"/>
    <hyperlink ref="C408" location="'58.157 (Т)'!A1" display="'58.157 (Т)'!A1"/>
    <hyperlink ref="C1948" location="'58.187 (Т)'!A1" display="'58.187 (Т)'!A1"/>
    <hyperlink ref="C1410" location="'58.189 (Т)'!A1" display="'58.189 (Т)'!A1"/>
    <hyperlink ref="C1411" location="'58.189 (Т)'!A1" display="'58.189 (Т)'!A1"/>
    <hyperlink ref="C1535" location="'58.97 (К)'!A1" display="'58.97 (К)'!A1"/>
    <hyperlink ref="C1534" location="'58.97 (К)'!A1" display="'58.97 (К)'!A1"/>
    <hyperlink ref="C1556" location="'58.97 (К)'!A1" display="'58.97 (К)'!A1"/>
    <hyperlink ref="C1557" location="'58.97 (К)'!A1" display="'58.97 (К)'!A1"/>
    <hyperlink ref="C1256" location="'58.55 (К)'!A1" display="'58.55 (К)'!A1"/>
    <hyperlink ref="C1255" location="'58.90 (Т)'!A1" display="'58.90 (Т)'!A1"/>
    <hyperlink ref="C1280" location="'58.55 (К)'!A1" display="'58.55 (К)'!A1"/>
    <hyperlink ref="C1281" location="'58.55 (К)'!A1" display="'58.55 (К)'!A1"/>
    <hyperlink ref="C1176" location="'58.134 (К)'!A1" display="'58.134 (К)'!A1"/>
    <hyperlink ref="C1179" location="'58.134 (К)'!A1" display="'58.134 (К)'!A1"/>
    <hyperlink ref="C439" location="'58.129 (К)'!A1" display="'58.129 (К)'!A1"/>
    <hyperlink ref="C448" location="'58.130 (К)'!A1" display="'58.130 (К)'!A1"/>
    <hyperlink ref="C459" location="'58.131 (К)'!A1" display="'58.131 (К)'!A1"/>
    <hyperlink ref="C468" location="'58.132 (К)'!A1" display="'58.132 (К)'!A1"/>
    <hyperlink ref="C1191" location="'58.135 (К)'!A1" display="'58.135 (К)'!A1"/>
    <hyperlink ref="C1199" location="'58.136 (К)'!A1" display="'58.136 (К)'!A1"/>
    <hyperlink ref="C1743" location="'58.138 (К)'!A1" display="'58.138 (К)'!A1"/>
    <hyperlink ref="C1752" location="'58.139 (К)'!A1" display="'58.139 (К)'!A1"/>
    <hyperlink ref="C1762" location="'58.140 (К)'!A1" display="'58.140 (К)'!A1"/>
    <hyperlink ref="C1771" location="'58.141 (К)'!A1" display="'58.141 (К)'!A1"/>
    <hyperlink ref="C185" location="'58.169 (К)'!A1" display="'58.169 (К)'!A1"/>
    <hyperlink ref="C194" location="'58.170 (К)'!A1" display="'58.170 (К)'!A1"/>
    <hyperlink ref="C203" location="'58.173 (К)'!A1" display="'58.173 (К)'!A1"/>
    <hyperlink ref="C603" location="'58.121 (Т)'!A1" display="'58.121 (Т)'!A1"/>
    <hyperlink ref="C602" location="'58.121 (Т)'!A1" display="'58.121 (Т)'!A1"/>
    <hyperlink ref="C630" location="'58.122 (Т)'!A1" display="'58.122 (Т)'!A1"/>
    <hyperlink ref="C629" location="'58.122 (Т)'!A1" display="'58.122 (Т)'!A1"/>
    <hyperlink ref="C659" location="'58.123 (Т)'!A1" display="'58.123 (Т)'!A1"/>
    <hyperlink ref="C660" location="'58.122 (Т)'!A1" display="'58.122 (Т)'!A1"/>
    <hyperlink ref="C680" location="'58.124 (Т)'!A1" display="'58.124 (Т)'!A1"/>
    <hyperlink ref="C681" location="'58.124 (Т)'!A1" display="'58.124 (Т)'!A1"/>
    <hyperlink ref="C1306" location="'58.125 (Т)'!A1" display="'58.125 (Т)'!A1"/>
    <hyperlink ref="C1307" location="'58.125 (Т)'!A1" display="'58.125 (Т)'!A1"/>
    <hyperlink ref="C1332" location="'58.126 (Т)'!A1" display="'58.126 (Т)'!A1"/>
    <hyperlink ref="C1333" location="'58.126 (Т)'!A1" display="'58.126 (Т)'!A1"/>
    <hyperlink ref="C1358" location="'58.127 (Т)'!A1" display="'58.127 (Т)'!A1"/>
    <hyperlink ref="C1359" location="'58.127 (Т)'!A1" display="'58.127 (Т)'!A1"/>
    <hyperlink ref="C1384" location="'58.128 (Т)'!A1" display="'58.128 (Т)'!A1"/>
    <hyperlink ref="C1385" location="'58.128 (Т)'!A1" display="'58.128 (Т)'!A1"/>
    <hyperlink ref="C1808" location="'58.144 (Т)'!A1" display="'58.144 (Т)'!A1"/>
    <hyperlink ref="C1809" location="'58.144 (Т)'!A1" display="'58.144 (Т)'!A1"/>
    <hyperlink ref="C1835" location="'58.144 (Т)'!A1" display="'58.144 (Т)'!A1"/>
    <hyperlink ref="C1836" location="'58.144 (Т)'!A1" display="'58.144 (Т)'!A1"/>
    <hyperlink ref="C1863" location="'58.145 (Т)'!A1" display="'58.145 (Т)'!A1"/>
    <hyperlink ref="C1864" location="'58.145 (Т)'!A1" display="'58.145 (Т)'!A1"/>
    <hyperlink ref="C1890" location="'58.146 (Т)'!A1" display="'58.146 (Т)'!A1"/>
    <hyperlink ref="C1891" location="'58.146 (Т)'!A1" display="'58.146 (Т)'!A1"/>
    <hyperlink ref="C1917" location="'58.147 (Т)'!A1" display="'58.147 (Т)'!A1"/>
    <hyperlink ref="C1916" location="'58.147 (Т)'!A1" display="'58.147 (Т)'!A1"/>
    <hyperlink ref="C242" location="'58.174 (Т)'!A1" display="'58.174 (Т)'!A1"/>
    <hyperlink ref="C243" location="'58.174 (Т)'!A1" display="'58.174 (Т)'!A1"/>
    <hyperlink ref="C269" location="'58.175 (Т)'!A1" display="'58.175 (Т)'!A1"/>
    <hyperlink ref="C270" location="'58.175 (Т)'!A1" display="'58.175 (Т)'!A1"/>
    <hyperlink ref="C295" location="'58.176 (Т)'!A1" display="'58.176 (Т)'!A1"/>
    <hyperlink ref="C296" location="'58.176 (Т)'!A1" display="'58.176 (Т)'!A1"/>
    <hyperlink ref="C153" location="'58.16 (К)'!A1" display="'58.16 (К)'!A1"/>
    <hyperlink ref="C1753" location="'58.139 (К)'!A1" display="'58.139 (К)'!A1"/>
    <hyperlink ref="C633" location="'58.122 (Т)'!A1" display="'58.122 (Т)'!A1"/>
    <hyperlink ref="C634" location="'58.122 (Т)'!A1" display="'58.122 (Т)'!A1"/>
    <hyperlink ref="C631" location="'58.122 (Т)'!A1" display="'58.122 (Т)'!A1"/>
    <hyperlink ref="C632" location="'58.122 (Т)'!A1" display="'58.122 (Т)'!A1"/>
    <hyperlink ref="C1139" location="'58.3 (К)'!A1" display="'58.3 (К)'!A1"/>
    <hyperlink ref="C154" location="'58.16 (К)'!A1" display="'58.16 (К)'!A1"/>
    <hyperlink ref="C428" location="'58.3 (К)'!A1" display="'58.3 (К)'!A1"/>
    <hyperlink ref="C433" location="'58.35 (К)'!A1" display="'58.35 (К)'!A1"/>
    <hyperlink ref="C58" location="'58.102 (К)'!A1" display="'58.102 (К)'!A1"/>
    <hyperlink ref="C440" location="'58.129 (К)'!A1" display="'58.129 (К)'!A1"/>
    <hyperlink ref="C449" location="'58.130 (К)'!A1" display="'58.130 (К)'!A1"/>
    <hyperlink ref="C460" location="'58.131 (К)'!A1" display="'58.131 (К)'!A1"/>
    <hyperlink ref="C469" location="'58.132 (К)'!A1" display="'58.132 (К)'!A1"/>
    <hyperlink ref="C1167" location="'58.133 (К)'!A1" display="'58.133 (К)'!A1"/>
    <hyperlink ref="C1180" location="'58.134 (К)'!A1" display="'58.134 (К)'!A1"/>
    <hyperlink ref="C1192" location="'58.135 (К)'!A1" display="'58.135 (К)'!A1"/>
    <hyperlink ref="C1201" location="'58.136 (К)'!A1" display="'58.136 (К)'!A1"/>
    <hyperlink ref="C1744" location="'58.138 (К)'!A1" display="'58.138 (К)'!A1"/>
    <hyperlink ref="C1754" location="'58.139 (К)'!A1" display="'58.139 (К)'!A1"/>
    <hyperlink ref="C1763" location="'58.140 (К)'!A1" display="'58.140 (К)'!A1"/>
    <hyperlink ref="C1772" location="'58.141 (К)'!A1" display="'58.141 (К)'!A1"/>
    <hyperlink ref="C397" location="'58.156 (К)'!A1" display="'58.156 (К)'!A1"/>
    <hyperlink ref="C186" location="'58.169 (К)'!A1" display="'58.169 (К)'!A1"/>
    <hyperlink ref="C195" location="'58.170 (К)'!A1" display="'58.170 (К)'!A1"/>
    <hyperlink ref="C204" location="'58.173 (К)'!A1" display="'58.173 (К)'!A1"/>
    <hyperlink ref="C1214" location="'58.188 (К)'!A1" display="'58.188 (К)'!A1"/>
    <hyperlink ref="C1216" location="'58.188 (К)'!A1" display="'58.188 (К)'!A1"/>
    <hyperlink ref="C2775" location="'59.4'!A1" display="'59.4'!A1"/>
    <hyperlink ref="C2780" location="'59.4'!A1" display="'59.4'!A1"/>
    <hyperlink ref="C502" location="'58.5 (К)'!A1" display="'58.5 (К)'!A1"/>
    <hyperlink ref="C504" location="'58.5 (К)'!A1" display="'58.5 (К)'!A1"/>
    <hyperlink ref="C661" location="'58.123 (Т)'!A1" display="'58.123 (Т)'!A1"/>
    <hyperlink ref="C667" location="'58.122 (Т)'!A1" display="'58.122 (Т)'!A1"/>
    <hyperlink ref="C688" location="'58.124 (Т)'!A1" display="'58.124 (Т)'!A1"/>
    <hyperlink ref="C695" location="'58.124 (Т)'!A1" display="'58.124 (Т)'!A1"/>
    <hyperlink ref="C1314" location="'58.125 (Т)'!A1" display="'58.125 (Т)'!A1"/>
    <hyperlink ref="C1321" location="'58.125 (Т)'!A1" display="'58.125 (Т)'!A1"/>
    <hyperlink ref="C1340" location="'58.126 (Т)'!A1" display="'58.126 (Т)'!A1"/>
    <hyperlink ref="C1347" location="'58.126 (Т)'!A1" display="'58.126 (Т)'!A1"/>
    <hyperlink ref="C1366" location="'58.127 (Т)'!A1" display="'58.127 (Т)'!A1"/>
    <hyperlink ref="C1373" location="'58.127 (Т)'!A1" display="'58.127 (Т)'!A1"/>
    <hyperlink ref="C1392" location="'58.128 (Т)'!A1" display="'58.128 (Т)'!A1"/>
    <hyperlink ref="C1399" location="'58.128 (Т)'!A1" display="'58.128 (Т)'!A1"/>
    <hyperlink ref="C1817" location="'58.144 (Т)'!A1" display="'58.144 (Т)'!A1"/>
    <hyperlink ref="C1824" location="'58.144 (Т)'!A1" display="'58.144 (Т)'!A1"/>
    <hyperlink ref="C1871" location="'58.145 (Т)'!A1" display="'58.145 (Т)'!A1"/>
    <hyperlink ref="C1878" location="'58.145 (Т)'!A1" display="'58.145 (Т)'!A1"/>
    <hyperlink ref="C416" location="'58.157 (Т)'!A1" display="'58.157 (Т)'!A1"/>
    <hyperlink ref="C423" location="'58.157 (Т)'!A1" display="'58.157 (Т)'!A1"/>
    <hyperlink ref="C250" location="'58.174 (Т)'!A1" display="'58.174 (Т)'!A1"/>
    <hyperlink ref="C257" location="'58.174 (Т)'!A1" display="'58.174 (Т)'!A1"/>
    <hyperlink ref="C277" location="'58.175 (Т)'!A1" display="'58.175 (Т)'!A1"/>
    <hyperlink ref="C284" location="'58.175 (Т)'!A1" display="'58.175 (Т)'!A1"/>
    <hyperlink ref="C303" location="'58.176 (Т)'!A1" display="'58.176 (Т)'!A1"/>
    <hyperlink ref="C310" location="'58.176 (Т)'!A1" display="'58.176 (Т)'!A1"/>
    <hyperlink ref="C1956" location="'58.187 (Т)'!A1" display="'58.187 (Т)'!A1"/>
    <hyperlink ref="C1418" location="'58.189 (Т)'!A1" display="'58.189 (Т)'!A1"/>
    <hyperlink ref="C1425" location="'58.189 (Т)'!A1" display="'58.189 (Т)'!A1"/>
    <hyperlink ref="C1548" location="'58.97 (К)'!A1" display="'58.97 (К)'!A1"/>
    <hyperlink ref="C1536" location="'58.97 (К)'!A1" display="'58.97 (К)'!A1"/>
    <hyperlink ref="C1564" location="'58.97 (К)'!A1" display="'58.97 (К)'!A1"/>
    <hyperlink ref="C1571" location="'58.97 (К)'!A1" display="'58.97 (К)'!A1"/>
    <hyperlink ref="C1270" location="'58.55 (К)'!A1" display="'58.55 (К)'!A1"/>
    <hyperlink ref="C1263" location="'58.90 (Т)'!A1" display="'58.90 (Т)'!A1"/>
    <hyperlink ref="C1288" location="'58.55 (К)'!A1" display="'58.55 (К)'!A1"/>
    <hyperlink ref="C1295" location="'58.55 (К)'!A1" display="'58.55 (К)'!A1"/>
    <hyperlink ref="C1140" location="'58.3 (К)'!A1" display="'58.3 (К)'!A1"/>
    <hyperlink ref="C181" location="'58.16 (К)'!A1" display="'58.16 (К)'!A1"/>
    <hyperlink ref="C441" location="'58.129 (К)'!A1" display="'58.129 (К)'!A1"/>
    <hyperlink ref="C450" location="'58.130 (К)'!A1" display="'58.130 (К)'!A1"/>
    <hyperlink ref="C461" location="'58.131 (К)'!A1" display="'58.131 (К)'!A1"/>
    <hyperlink ref="C470" location="'58.132 (К)'!A1" display="'58.132 (К)'!A1"/>
    <hyperlink ref="C1168" location="'58.133 (К)'!A1" display="'58.133 (К)'!A1"/>
    <hyperlink ref="C1181" location="'58.134 (К)'!A1" display="'58.134 (К)'!A1"/>
    <hyperlink ref="C1182" location="'58.134 (К)'!A1" display="'58.134 (К)'!A1"/>
    <hyperlink ref="C1183" location="'58.134 (К)'!A1" display="'58.134 (К)'!A1"/>
    <hyperlink ref="C1184" location="'58.134 (К)'!A1" display="'58.134 (К)'!A1"/>
    <hyperlink ref="C1193" location="'58.135 (К)'!A1" display="'58.135 (К)'!A1"/>
    <hyperlink ref="C1202" location="'58.136 (К)'!A1" display="'58.136 (К)'!A1"/>
    <hyperlink ref="C1745" location="'58.138 (К)'!A1" display="'58.138 (К)'!A1"/>
    <hyperlink ref="C1755" location="'58.139 (К)'!A1" display="'58.139 (К)'!A1"/>
    <hyperlink ref="C1764" location="'58.140 (К)'!A1" display="'58.140 (К)'!A1"/>
    <hyperlink ref="C1773" location="'58.141 (К)'!A1" display="'58.141 (К)'!A1"/>
    <hyperlink ref="C398" location="'58.156 (К)'!A1" display="'58.156 (К)'!A1"/>
    <hyperlink ref="C187" location="'58.169 (К)'!A1" display="'58.169 (К)'!A1"/>
    <hyperlink ref="C196" location="'58.170 (К)'!A1" display="'58.170 (К)'!A1"/>
    <hyperlink ref="C205" location="'58.173 (К)'!A1" display="'58.173 (К)'!A1"/>
    <hyperlink ref="C1215" location="'58.188 (К)'!A1" display="'58.188 (К)'!A1"/>
    <hyperlink ref="C223" location="'58.119 (Т)'!A1" display="'58.119 (Т)'!A1"/>
    <hyperlink ref="C224" location="'58.119 (Т)'!A1" display="'58.119 (Т)'!A1"/>
    <hyperlink ref="C225" location="'58.119 (Т)'!A1" display="'58.119 (Т)'!A1"/>
    <hyperlink ref="C226" location="'58.119 (Т)'!A1" display="'58.119 (Т)'!A1"/>
    <hyperlink ref="C227" location="'58.119 (Т)'!A1" display="'58.119 (Т)'!A1"/>
    <hyperlink ref="C228" location="'58.119 (Т)'!A1" display="'58.119 (Т)'!A1"/>
    <hyperlink ref="C662" location="'58.123 (Т)'!A1" display="'58.123 (Т)'!A1"/>
    <hyperlink ref="C663" location="'58.123 (Т)'!A1" display="'58.123 (Т)'!A1"/>
    <hyperlink ref="C664" location="'58.123 (Т)'!A1" display="'58.123 (Т)'!A1"/>
    <hyperlink ref="C665" location="'58.123 (Т)'!A1" display="'58.123 (Т)'!A1"/>
    <hyperlink ref="C666" location="'58.123 (Т)'!A1" display="'58.123 (Т)'!A1"/>
    <hyperlink ref="C689" location="'58.124 (Т)'!A1" display="'58.124 (Т)'!A1"/>
    <hyperlink ref="C690" location="'58.124 (Т)'!A1" display="'58.124 (Т)'!A1"/>
    <hyperlink ref="C691" location="'58.124 (Т)'!A1" display="'58.124 (Т)'!A1"/>
    <hyperlink ref="C692" location="'58.124 (Т)'!A1" display="'58.124 (Т)'!A1"/>
    <hyperlink ref="C693" location="'58.124 (Т)'!A1" display="'58.124 (Т)'!A1"/>
    <hyperlink ref="C1315" location="'58.125 (Т)'!A1" display="'58.125 (Т)'!A1"/>
    <hyperlink ref="C1316" location="'58.125 (Т)'!A1" display="'58.125 (Т)'!A1"/>
    <hyperlink ref="C1317" location="'58.125 (Т)'!A1" display="'58.125 (Т)'!A1"/>
    <hyperlink ref="C1318" location="'58.125 (Т)'!A1" display="'58.125 (Т)'!A1"/>
    <hyperlink ref="C1319" location="'58.125 (Т)'!A1" display="'58.125 (Т)'!A1"/>
    <hyperlink ref="C1341" location="'58.126 (Т)'!A1" display="'58.126 (Т)'!A1"/>
    <hyperlink ref="C1342" location="'58.126 (Т)'!A1" display="'58.126 (Т)'!A1"/>
    <hyperlink ref="C1343" location="'58.126 (Т)'!A1" display="'58.126 (Т)'!A1"/>
    <hyperlink ref="C1344" location="'58.126 (Т)'!A1" display="'58.126 (Т)'!A1"/>
    <hyperlink ref="C1345" location="'58.126 (Т)'!A1" display="'58.126 (Т)'!A1"/>
    <hyperlink ref="C1367" location="'58.127 (Т)'!A1" display="'58.127 (Т)'!A1"/>
    <hyperlink ref="C1368" location="'58.127 (Т)'!A1" display="'58.127 (Т)'!A1"/>
    <hyperlink ref="C1369" location="'58.127 (Т)'!A1" display="'58.127 (Т)'!A1"/>
    <hyperlink ref="C1370" location="'58.127 (Т)'!A1" display="'58.127 (Т)'!A1"/>
    <hyperlink ref="C1371" location="'58.127 (Т)'!A1" display="'58.127 (Т)'!A1"/>
    <hyperlink ref="C1393" location="'58.128 (Т)'!A1" display="'58.128 (Т)'!A1"/>
    <hyperlink ref="C1394" location="'58.128 (Т)'!A1" display="'58.128 (Т)'!A1"/>
    <hyperlink ref="C1395" location="'58.128 (Т)'!A1" display="'58.128 (Т)'!A1"/>
    <hyperlink ref="C1396" location="'58.128 (Т)'!A1" display="'58.128 (Т)'!A1"/>
    <hyperlink ref="C1397" location="'58.128 (Т)'!A1" display="'58.128 (Т)'!A1"/>
    <hyperlink ref="C1818" location="'58.144 (Т)'!A1" display="'58.144 (Т)'!A1"/>
    <hyperlink ref="C1819" location="'58.144 (Т)'!A1" display="'58.144 (Т)'!A1"/>
    <hyperlink ref="C1820" location="'58.144 (Т)'!A1" display="'58.144 (Т)'!A1"/>
    <hyperlink ref="C1821" location="'58.144 (Т)'!A1" display="'58.144 (Т)'!A1"/>
    <hyperlink ref="C1822" location="'58.144 (Т)'!A1" display="'58.144 (Т)'!A1"/>
    <hyperlink ref="C1872" location="'58.145 (Т)'!A1" display="'58.145 (Т)'!A1"/>
    <hyperlink ref="C1873" location="'58.145 (Т)'!A1" display="'58.145 (Т)'!A1"/>
    <hyperlink ref="C1874" location="'58.145 (Т)'!A1" display="'58.145 (Т)'!A1"/>
    <hyperlink ref="C1875" location="'58.145 (Т)'!A1" display="'58.145 (Т)'!A1"/>
    <hyperlink ref="C1876" location="'58.145 (Т)'!A1" display="'58.145 (Т)'!A1"/>
    <hyperlink ref="C417" location="'58.157 (Т)'!A1" display="'58.157 (Т)'!A1"/>
    <hyperlink ref="C418" location="'58.157 (Т)'!A1" display="'58.157 (Т)'!A1"/>
    <hyperlink ref="C419" location="'58.157 (Т)'!A1" display="'58.157 (Т)'!A1"/>
    <hyperlink ref="C420" location="'58.157 (Т)'!A1" display="'58.157 (Т)'!A1"/>
    <hyperlink ref="C421" location="'58.157 (Т)'!A1" display="'58.157 (Т)'!A1"/>
    <hyperlink ref="C251" location="'58.174 (Т)'!A1" display="'58.174 (Т)'!A1"/>
    <hyperlink ref="C252" location="'58.174 (Т)'!A1" display="'58.174 (Т)'!A1"/>
    <hyperlink ref="C253" location="'58.174 (Т)'!A1" display="'58.174 (Т)'!A1"/>
    <hyperlink ref="C254" location="'58.174 (Т)'!A1" display="'58.174 (Т)'!A1"/>
    <hyperlink ref="C255" location="'58.174 (Т)'!A1" display="'58.174 (Т)'!A1"/>
    <hyperlink ref="C278" location="'58.175 (Т)'!A1" display="'58.175 (Т)'!A1"/>
    <hyperlink ref="C279" location="'58.175 (Т)'!A1" display="'58.175 (Т)'!A1"/>
    <hyperlink ref="C280" location="'58.175 (Т)'!A1" display="'58.175 (Т)'!A1"/>
    <hyperlink ref="C281" location="'58.175 (Т)'!A1" display="'58.175 (Т)'!A1"/>
    <hyperlink ref="C282" location="'58.175 (Т)'!A1" display="'58.175 (Т)'!A1"/>
    <hyperlink ref="C304" location="'58.176 (Т)'!A1" display="'58.176 (Т)'!A1"/>
    <hyperlink ref="C305" location="'58.176 (Т)'!A1" display="'58.176 (Т)'!A1"/>
    <hyperlink ref="C306" location="'58.176 (Т)'!A1" display="'58.176 (Т)'!A1"/>
    <hyperlink ref="C307" location="'58.176 (Т)'!A1" display="'58.176 (Т)'!A1"/>
    <hyperlink ref="C308" location="'58.176 (Т)'!A1" display="'58.176 (Т)'!A1"/>
    <hyperlink ref="C1957" location="'58.187 (Т)'!A1" display="'58.187 (Т)'!A1"/>
    <hyperlink ref="C1958" location="'58.187 (Т)'!A1" display="'58.187 (Т)'!A1"/>
    <hyperlink ref="C1959" location="'58.187 (Т)'!A1" display="'58.187 (Т)'!A1"/>
    <hyperlink ref="C1960" location="'58.187 (Т)'!A1" display="'58.187 (Т)'!A1"/>
    <hyperlink ref="C1961" location="'58.187 (Т)'!A1" display="'58.187 (Т)'!A1"/>
    <hyperlink ref="C1419" location="'58.189 (Т)'!A1" display="'58.189 (Т)'!A1"/>
    <hyperlink ref="C1420" location="'58.189 (Т)'!A1" display="'58.189 (Т)'!A1"/>
    <hyperlink ref="C1421" location="'58.189 (Т)'!A1" display="'58.189 (Т)'!A1"/>
    <hyperlink ref="C1422" location="'58.189 (Т)'!A1" display="'58.189 (Т)'!A1"/>
    <hyperlink ref="C1423" location="'58.189 (Т)'!A1" display="'58.189 (Т)'!A1"/>
    <hyperlink ref="C1537" location="'58.97 (К)'!A1" display="'58.97 (К)'!A1"/>
    <hyperlink ref="C1538" location="'58.97 (К)'!A1" display="'58.97 (К)'!A1"/>
    <hyperlink ref="C1539" location="'58.97 (К)'!A1" display="'58.97 (К)'!A1"/>
    <hyperlink ref="C1540" location="'58.97 (К)'!A1" display="'58.97 (К)'!A1"/>
    <hyperlink ref="C1541" location="'58.97 (К)'!A1" display="'58.97 (К)'!A1"/>
    <hyperlink ref="C1565" location="'58.97 (К)'!A1" display="'58.97 (К)'!A1"/>
    <hyperlink ref="C1566" location="'58.97 (К)'!A1" display="'58.97 (К)'!A1"/>
    <hyperlink ref="C1567" location="'58.97 (К)'!A1" display="'58.97 (К)'!A1"/>
    <hyperlink ref="C1568" location="'58.97 (К)'!A1" display="'58.97 (К)'!A1"/>
    <hyperlink ref="C1569" location="'58.97 (К)'!A1" display="'58.97 (К)'!A1"/>
    <hyperlink ref="C1264" location="'58.90 (Т)'!A1" display="'58.90 (Т)'!A1"/>
    <hyperlink ref="C1265" location="'58.90 (Т)'!A1" display="'58.90 (Т)'!A1"/>
    <hyperlink ref="C1266" location="'58.90 (Т)'!A1" display="'58.90 (Т)'!A1"/>
    <hyperlink ref="C1267" location="'58.90 (Т)'!A1" display="'58.90 (Т)'!A1"/>
    <hyperlink ref="C1268" location="'58.90 (Т)'!A1" display="'58.90 (Т)'!A1"/>
    <hyperlink ref="C1289" location="'58.55 (К)'!A1" display="'58.55 (К)'!A1"/>
    <hyperlink ref="C1290" location="'58.55 (К)'!A1" display="'58.55 (К)'!A1"/>
    <hyperlink ref="C1291" location="'58.55 (К)'!A1" display="'58.55 (К)'!A1"/>
    <hyperlink ref="C1292" location="'58.55 (К)'!A1" display="'58.55 (К)'!A1"/>
    <hyperlink ref="C1293" location="'58.55 (К)'!A1" display="'58.55 (К)'!A1"/>
    <hyperlink ref="C1203" location="'58.136 (К)'!A1" display="'58.136 (К)'!A1"/>
    <hyperlink ref="C1204" location="'58.136 (К)'!A1" display="'58.136 (К)'!A1"/>
    <hyperlink ref="C451" location="'58.130 (К)'!A1" display="'58.130 (К)'!A1"/>
    <hyperlink ref="C452" location="'58.130 (К)'!A1" display="'58.130 (К)'!A1"/>
    <hyperlink ref="C453" location="'58.130 (К)'!A1" display="'58.130 (К)'!A1"/>
    <hyperlink ref="C454" location="'58.130 (К)'!A1" display="'58.130 (К)'!A1"/>
    <hyperlink ref="C471" location="'58.132 (К)'!A1" display="'58.132 (К)'!A1"/>
    <hyperlink ref="C472" location="'58.132 (К)'!A1" display="'58.132 (К)'!A1"/>
    <hyperlink ref="C1169" location="'58.133 (К)'!A1" display="'58.133 (К)'!A1"/>
    <hyperlink ref="C1170" location="'58.133 (К)'!A1" display="'58.133 (К)'!A1"/>
    <hyperlink ref="C1185" location="'58.134 (К)'!A1" display="'58.134 (К)'!A1"/>
    <hyperlink ref="C1186" location="'58.134 (К)'!A1" display="'58.134 (К)'!A1"/>
    <hyperlink ref="C1194" location="'58.135 (К)'!A1" display="'58.135 (К)'!A1"/>
    <hyperlink ref="C1195" location="'58.135 (К)'!A1" display="'58.135 (К)'!A1"/>
    <hyperlink ref="C1205" location="'58.136 (К)'!A1" display="'58.136 (К)'!A1"/>
    <hyperlink ref="C1206" location="'58.136 (К)'!A1" display="'58.136 (К)'!A1"/>
    <hyperlink ref="C1746" location="'58.138 (К)'!A1" display="'58.138 (К)'!A1"/>
    <hyperlink ref="C1747" location="'58.138 (К)'!A1" display="'58.138 (К)'!A1"/>
    <hyperlink ref="C1765" location="'58.140 (К)'!A1" display="'58.140 (К)'!A1"/>
    <hyperlink ref="C1766" location="'58.140 (К)'!A1" display="'58.140 (К)'!A1"/>
    <hyperlink ref="C1774" location="'58.141 (К)'!A1" display="'58.141 (К)'!A1"/>
    <hyperlink ref="C1775" location="'58.141 (К)'!A1" display="'58.141 (К)'!A1"/>
    <hyperlink ref="C188" location="'58.169 (К)'!A1" display="'58.169 (К)'!A1"/>
    <hyperlink ref="C189" location="'58.169 (К)'!A1" display="'58.169 (К)'!A1"/>
    <hyperlink ref="C206" location="'58.173 (К)'!A1" display="'58.173 (К)'!A1"/>
    <hyperlink ref="C207" location="'58.173 (К)'!A1" display="'58.173 (К)'!A1"/>
    <hyperlink ref="C429" location="'58.3 (К)'!A1" display="'58.3 (К)'!A1"/>
    <hyperlink ref="C399" location="'58.156 (К)'!A1" display="'58.156 (К)'!A1"/>
    <hyperlink ref="C400" location="'58.156 (К)'!A1" display="'58.156 (К)'!A1"/>
    <hyperlink ref="C1218" location="'58.188 (К)'!A1" display="'58.188 (К)'!A1"/>
    <hyperlink ref="C1217" location="'58.188 (К)'!A1" display="'58.188 (К)'!A1"/>
    <hyperlink ref="C2810" location="'59.5'!A1" display="'59.5'!A1"/>
    <hyperlink ref="C1542:C1547" location="'58.97 (К)'!A1" display="'58.97 (К)'!A1"/>
    <hyperlink ref="C503" location="'58.5 (К)'!A1" display="'58.5 (К)'!A1"/>
    <hyperlink ref="C505" location="'58.5 (К)'!A1" display="'58.5 (К)'!A1"/>
    <hyperlink ref="C410" location="'58.157 (Т)'!A1" display="'58.157 (Т)'!A1"/>
    <hyperlink ref="C411" location="'58.157 (Т)'!A1" display="'58.157 (Т)'!A1"/>
    <hyperlink ref="C412" location="'58.157 (Т)'!A1" display="'58.157 (Т)'!A1"/>
    <hyperlink ref="C413" location="'58.157 (Т)'!A1" display="'58.157 (Т)'!A1"/>
    <hyperlink ref="C414" location="'58.157 (Т)'!A1" display="'58.157 (Т)'!A1"/>
    <hyperlink ref="C415" location="'58.157 (Т)'!A1" display="'58.157 (Т)'!A1"/>
    <hyperlink ref="C422" location="'58.157 (Т)'!A1" display="'58.157 (Т)'!A1"/>
    <hyperlink ref="C1950" location="'58.187 (Т)'!A1" display="'58.187 (Т)'!A1"/>
    <hyperlink ref="C1951" location="'58.187 (Т)'!A1" display="'58.187 (Т)'!A1"/>
    <hyperlink ref="C1952" location="'58.187 (Т)'!A1" display="'58.187 (Т)'!A1"/>
    <hyperlink ref="C1953" location="'58.187 (Т)'!A1" display="'58.187 (Т)'!A1"/>
    <hyperlink ref="C1954" location="'58.187 (Т)'!A1" display="'58.187 (Т)'!A1"/>
    <hyperlink ref="C1955" location="'58.187 (Т)'!A1" display="'58.187 (Т)'!A1"/>
    <hyperlink ref="C1412" location="'58.189 (Т)'!A1" display="'58.189 (Т)'!A1"/>
    <hyperlink ref="C1413" location="'58.189 (Т)'!A1" display="'58.189 (Т)'!A1"/>
    <hyperlink ref="C1414" location="'58.189 (Т)'!A1" display="'58.189 (Т)'!A1"/>
    <hyperlink ref="C1415" location="'58.189 (Т)'!A1" display="'58.189 (Т)'!A1"/>
    <hyperlink ref="C1416" location="'58.189 (Т)'!A1" display="'58.189 (Т)'!A1"/>
    <hyperlink ref="C1417" location="'58.189 (Т)'!A1" display="'58.189 (Т)'!A1"/>
    <hyperlink ref="C1424" location="'58.189 (Т)'!A1" display="'58.189 (Т)'!A1"/>
    <hyperlink ref="C1558" location="'58.97 (К)'!A1" display="'58.97 (К)'!A1"/>
    <hyperlink ref="C1559" location="'58.97 (К)'!A1" display="'58.97 (К)'!A1"/>
    <hyperlink ref="C1560" location="'58.97 (К)'!A1" display="'58.97 (К)'!A1"/>
    <hyperlink ref="C1561" location="'58.97 (К)'!A1" display="'58.97 (К)'!A1"/>
    <hyperlink ref="C1562" location="'58.97 (К)'!A1" display="'58.97 (К)'!A1"/>
    <hyperlink ref="C1563" location="'58.97 (К)'!A1" display="'58.97 (К)'!A1"/>
    <hyperlink ref="C1570" location="'58.97 (К)'!A1" display="'58.97 (К)'!A1"/>
    <hyperlink ref="C217" location="'58.119 (Т)'!A1" display="'58.119 (Т)'!A1"/>
    <hyperlink ref="C218" location="'58.119 (Т)'!A1" display="'58.119 (Т)'!A1"/>
    <hyperlink ref="C219" location="'58.119 (Т)'!A1" display="'58.119 (Т)'!A1"/>
    <hyperlink ref="C220" location="'58.119 (Т)'!A1" display="'58.119 (Т)'!A1"/>
    <hyperlink ref="C221" location="'58.119 (Т)'!A1" display="'58.119 (Т)'!A1"/>
    <hyperlink ref="C222" location="'58.119 (Т)'!A1" display="'58.119 (Т)'!A1"/>
    <hyperlink ref="C682" location="'58.124 (Т)'!A1" display="'58.124 (Т)'!A1"/>
    <hyperlink ref="C683" location="'58.124 (Т)'!A1" display="'58.124 (Т)'!A1"/>
    <hyperlink ref="C684" location="'58.124 (Т)'!A1" display="'58.124 (Т)'!A1"/>
    <hyperlink ref="C685" location="'58.124 (Т)'!A1" display="'58.124 (Т)'!A1"/>
    <hyperlink ref="C686" location="'58.124 (Т)'!A1" display="'58.124 (Т)'!A1"/>
    <hyperlink ref="C687" location="'58.124 (Т)'!A1" display="'58.124 (Т)'!A1"/>
    <hyperlink ref="C694" location="'58.124 (Т)'!A1" display="'58.124 (Т)'!A1"/>
    <hyperlink ref="C1308" location="'58.125 (Т)'!A1" display="'58.125 (Т)'!A1"/>
    <hyperlink ref="C1309" location="'58.125 (Т)'!A1" display="'58.125 (Т)'!A1"/>
    <hyperlink ref="C1310" location="'58.125 (Т)'!A1" display="'58.125 (Т)'!A1"/>
    <hyperlink ref="C1311" location="'58.125 (Т)'!A1" display="'58.125 (Т)'!A1"/>
    <hyperlink ref="C1312" location="'58.125 (Т)'!A1" display="'58.125 (Т)'!A1"/>
    <hyperlink ref="C1313" location="'58.125 (Т)'!A1" display="'58.125 (Т)'!A1"/>
    <hyperlink ref="C1320" location="'58.125 (Т)'!A1" display="'58.125 (Т)'!A1"/>
    <hyperlink ref="C1334" location="'58.126 (Т)'!A1" display="'58.126 (Т)'!A1"/>
    <hyperlink ref="C1335" location="'58.126 (Т)'!A1" display="'58.126 (Т)'!A1"/>
    <hyperlink ref="C1336" location="'58.126 (Т)'!A1" display="'58.126 (Т)'!A1"/>
    <hyperlink ref="C1337" location="'58.126 (Т)'!A1" display="'58.126 (Т)'!A1"/>
    <hyperlink ref="C1338" location="'58.126 (Т)'!A1" display="'58.126 (Т)'!A1"/>
    <hyperlink ref="C1339" location="'58.126 (Т)'!A1" display="'58.126 (Т)'!A1"/>
    <hyperlink ref="C1346" location="'58.126 (Т)'!A1" display="'58.126 (Т)'!A1"/>
    <hyperlink ref="C1360" location="'58.127 (Т)'!A1" display="'58.127 (Т)'!A1"/>
    <hyperlink ref="C1361" location="'58.127 (Т)'!A1" display="'58.127 (Т)'!A1"/>
    <hyperlink ref="C1362" location="'58.127 (Т)'!A1" display="'58.127 (Т)'!A1"/>
    <hyperlink ref="C1363" location="'58.127 (Т)'!A1" display="'58.127 (Т)'!A1"/>
    <hyperlink ref="C1364" location="'58.127 (Т)'!A1" display="'58.127 (Т)'!A1"/>
    <hyperlink ref="C1365" location="'58.127 (Т)'!A1" display="'58.127 (Т)'!A1"/>
    <hyperlink ref="C1372" location="'58.127 (Т)'!A1" display="'58.127 (Т)'!A1"/>
    <hyperlink ref="C1386" location="'58.128 (Т)'!A1" display="'58.128 (Т)'!A1"/>
    <hyperlink ref="C1387" location="'58.128 (Т)'!A1" display="'58.128 (Т)'!A1"/>
    <hyperlink ref="C1388" location="'58.128 (Т)'!A1" display="'58.128 (Т)'!A1"/>
    <hyperlink ref="C1389" location="'58.128 (Т)'!A1" display="'58.128 (Т)'!A1"/>
    <hyperlink ref="C1390" location="'58.128 (Т)'!A1" display="'58.128 (Т)'!A1"/>
    <hyperlink ref="C1391" location="'58.128 (Т)'!A1" display="'58.128 (Т)'!A1"/>
    <hyperlink ref="C1398" location="'58.128 (Т)'!A1" display="'58.128 (Т)'!A1"/>
    <hyperlink ref="C1811" location="'58.144 (Т)'!A1" display="'58.144 (Т)'!A1"/>
    <hyperlink ref="C1812" location="'58.144 (Т)'!A1" display="'58.144 (Т)'!A1"/>
    <hyperlink ref="C1813" location="'58.144 (Т)'!A1" display="'58.144 (Т)'!A1"/>
    <hyperlink ref="C1814" location="'58.144 (Т)'!A1" display="'58.144 (Т)'!A1"/>
    <hyperlink ref="C1815" location="'58.144 (Т)'!A1" display="'58.144 (Т)'!A1"/>
    <hyperlink ref="C1816" location="'58.144 (Т)'!A1" display="'58.144 (Т)'!A1"/>
    <hyperlink ref="C1823" location="'58.144 (Т)'!A1" display="'58.144 (Т)'!A1"/>
    <hyperlink ref="C1865" location="'58.145 (Т)'!A1" display="'58.145 (Т)'!A1"/>
    <hyperlink ref="C1866" location="'58.145 (Т)'!A1" display="'58.145 (Т)'!A1"/>
    <hyperlink ref="C1867" location="'58.145 (Т)'!A1" display="'58.145 (Т)'!A1"/>
    <hyperlink ref="C1868" location="'58.145 (Т)'!A1" display="'58.145 (Т)'!A1"/>
    <hyperlink ref="C1869" location="'58.145 (Т)'!A1" display="'58.145 (Т)'!A1"/>
    <hyperlink ref="C1870" location="'58.145 (Т)'!A1" display="'58.145 (Т)'!A1"/>
    <hyperlink ref="C1877" location="'58.145 (Т)'!A1" display="'58.145 (Т)'!A1"/>
    <hyperlink ref="C244" location="'58.174 (Т)'!A1" display="'58.174 (Т)'!A1"/>
    <hyperlink ref="C245" location="'58.174 (Т)'!A1" display="'58.174 (Т)'!A1"/>
    <hyperlink ref="C246" location="'58.174 (Т)'!A1" display="'58.174 (Т)'!A1"/>
    <hyperlink ref="C247" location="'58.174 (Т)'!A1" display="'58.174 (Т)'!A1"/>
    <hyperlink ref="C248" location="'58.174 (Т)'!A1" display="'58.174 (Т)'!A1"/>
    <hyperlink ref="C249" location="'58.174 (Т)'!A1" display="'58.174 (Т)'!A1"/>
    <hyperlink ref="C256" location="'58.174 (Т)'!A1" display="'58.174 (Т)'!A1"/>
    <hyperlink ref="C271" location="'58.175 (Т)'!A1" display="'58.175 (Т)'!A1"/>
    <hyperlink ref="C272" location="'58.175 (Т)'!A1" display="'58.175 (Т)'!A1"/>
    <hyperlink ref="C273" location="'58.175 (Т)'!A1" display="'58.175 (Т)'!A1"/>
    <hyperlink ref="C274" location="'58.175 (Т)'!A1" display="'58.175 (Т)'!A1"/>
    <hyperlink ref="C275" location="'58.175 (Т)'!A1" display="'58.175 (Т)'!A1"/>
    <hyperlink ref="C276" location="'58.175 (Т)'!A1" display="'58.175 (Т)'!A1"/>
    <hyperlink ref="C283" location="'58.175 (Т)'!A1" display="'58.175 (Т)'!A1"/>
    <hyperlink ref="C297" location="'58.176 (Т)'!A1" display="'58.176 (Т)'!A1"/>
    <hyperlink ref="C298" location="'58.176 (Т)'!A1" display="'58.176 (Т)'!A1"/>
    <hyperlink ref="C299" location="'58.176 (Т)'!A1" display="'58.176 (Т)'!A1"/>
    <hyperlink ref="C300" location="'58.176 (Т)'!A1" display="'58.176 (Т)'!A1"/>
    <hyperlink ref="C301" location="'58.176 (Т)'!A1" display="'58.176 (Т)'!A1"/>
    <hyperlink ref="C302" location="'58.176 (Т)'!A1" display="'58.176 (Т)'!A1"/>
    <hyperlink ref="C309" location="'58.176 (Т)'!A1" display="'58.176 (Т)'!A1"/>
    <hyperlink ref="C1257" location="'58.90 (Т)'!A1" display="'58.90 (Т)'!A1"/>
    <hyperlink ref="C1258" location="'58.90 (Т)'!A1" display="'58.90 (Т)'!A1"/>
    <hyperlink ref="C1259" location="'58.90 (Т)'!A1" display="'58.90 (Т)'!A1"/>
    <hyperlink ref="C1260" location="'58.90 (Т)'!A1" display="'58.90 (Т)'!A1"/>
    <hyperlink ref="C1261" location="'58.90 (Т)'!A1" display="'58.90 (Т)'!A1"/>
    <hyperlink ref="C1262" location="'58.90 (Т)'!A1" display="'58.90 (Т)'!A1"/>
    <hyperlink ref="C1269" location="'58.55 (К)'!A1" display="'58.55 (К)'!A1"/>
    <hyperlink ref="C1282" location="'58.55 (К)'!A1" display="'58.55 (К)'!A1"/>
    <hyperlink ref="C1283" location="'58.55 (К)'!A1" display="'58.55 (К)'!A1"/>
    <hyperlink ref="C1284" location="'58.55 (К)'!A1" display="'58.55 (К)'!A1"/>
    <hyperlink ref="C1285" location="'58.55 (К)'!A1" display="'58.55 (К)'!A1"/>
    <hyperlink ref="C1286" location="'58.55 (К)'!A1" display="'58.55 (К)'!A1"/>
    <hyperlink ref="C1287" location="'58.55 (К)'!A1" display="'58.55 (К)'!A1"/>
    <hyperlink ref="C1294" location="'58.55 (К)'!A1" display="'58.55 (К)'!A1"/>
    <hyperlink ref="C455" location="'58.130 (К)'!A1" display="'58.130 (К)'!A1"/>
    <hyperlink ref="C456" location="'58.130 (К)'!A1" display="'58.130 (К)'!A1"/>
    <hyperlink ref="C473" location="'58.132 (К)'!A1" display="'58.132 (К)'!A1"/>
    <hyperlink ref="C474" location="'58.132 (К)'!A1" display="'58.132 (К)'!A1"/>
    <hyperlink ref="C1171" location="'58.133 (К)'!A1" display="'58.133 (К)'!A1"/>
    <hyperlink ref="C1172" location="'58.133 (К)'!A1" display="'58.133 (К)'!A1"/>
    <hyperlink ref="C1187" location="'58.134 (К)'!A1" display="'58.134 (К)'!A1"/>
    <hyperlink ref="C1188" location="'58.134 (К)'!A1" display="'58.134 (К)'!A1"/>
    <hyperlink ref="C1196" location="'58.135 (К)'!A1" display="'58.135 (К)'!A1"/>
    <hyperlink ref="C1197" location="'58.135 (К)'!A1" display="'58.135 (К)'!A1"/>
    <hyperlink ref="C1207" location="'58.136 (К)'!A1" display="'58.136 (К)'!A1"/>
    <hyperlink ref="C1208" location="'58.136 (К)'!A1" display="'58.136 (К)'!A1"/>
    <hyperlink ref="C1748" location="'58.138 (К)'!A1" display="'58.138 (К)'!A1"/>
    <hyperlink ref="C1749" location="'58.138 (К)'!A1" display="'58.138 (К)'!A1"/>
    <hyperlink ref="C1767" location="'58.140 (К)'!A1" display="'58.140 (К)'!A1"/>
    <hyperlink ref="C1768" location="'58.140 (К)'!A1" display="'58.140 (К)'!A1"/>
    <hyperlink ref="C1776" location="'58.141 (К)'!A1" display="'58.141 (К)'!A1"/>
    <hyperlink ref="C1777" location="'58.141 (К)'!A1" display="'58.141 (К)'!A1"/>
    <hyperlink ref="C190" location="'58.169 (К)'!A1" display="'58.169 (К)'!A1"/>
    <hyperlink ref="C191" location="'58.169 (К)'!A1" display="'58.169 (К)'!A1"/>
    <hyperlink ref="C208" location="'58.173 (К)'!A1" display="'58.173 (К)'!A1"/>
    <hyperlink ref="C209" location="'58.173 (К)'!A1" display="'58.173 (К)'!A1"/>
    <hyperlink ref="C1879" location="'58.145 (Т)'!A1" display="'58.145 (Т)'!A1"/>
    <hyperlink ref="C1880" location="'58.145 (Т)'!A1" display="'58.145 (Т)'!A1"/>
    <hyperlink ref="C1881" location="'58.145 (Т)'!A1" display="'58.145 (Т)'!A1"/>
    <hyperlink ref="C1882" location="'58.145 (Т)'!A1" display="'58.145 (Т)'!A1"/>
    <hyperlink ref="C1883" location="'58.145 (Т)'!A1" display="'58.145 (Т)'!A1"/>
    <hyperlink ref="C1884" location="'58.145 (Т)'!A1" display="'58.145 (Т)'!A1"/>
    <hyperlink ref="C1885" location="'58.145 (Т)'!A1" display="'58.145 (Т)'!A1"/>
  </hyperlinks>
  <pageMargins left="0.19685039370078741" right="0.15748031496062992" top="0.27559055118110237" bottom="0.31496062992125984" header="0.15748031496062992" footer="0.15748031496062992"/>
  <pageSetup paperSize="9" scale="54" fitToHeight="0" orientation="landscape" r:id="rId2"/>
  <rowBreaks count="4" manualBreakCount="4">
    <brk id="1197" max="15" man="1"/>
    <brk id="1499" max="15" man="1"/>
    <brk id="1977" max="15" man="1"/>
    <brk id="2621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"/>
  <sheetViews>
    <sheetView workbookViewId="0">
      <selection activeCell="A33" sqref="A33"/>
    </sheetView>
  </sheetViews>
  <sheetFormatPr defaultRowHeight="12.75"/>
  <sheetData>
    <row r="1" spans="1:3">
      <c r="C1">
        <v>1</v>
      </c>
    </row>
    <row r="8" spans="1:3">
      <c r="A8" t="s">
        <v>2</v>
      </c>
    </row>
    <row r="12" spans="1:3">
      <c r="A12" t="s">
        <v>313</v>
      </c>
    </row>
    <row r="14" spans="1:3">
      <c r="A14" t="s">
        <v>314</v>
      </c>
    </row>
    <row r="15" spans="1:3">
      <c r="A15" t="s">
        <v>315</v>
      </c>
    </row>
    <row r="17" spans="1:1">
      <c r="A17" t="s">
        <v>316</v>
      </c>
    </row>
    <row r="18" spans="1:1">
      <c r="A18" t="s">
        <v>317</v>
      </c>
    </row>
    <row r="20" spans="1:1">
      <c r="A20" t="s">
        <v>318</v>
      </c>
    </row>
    <row r="21" spans="1:1">
      <c r="A21" t="s">
        <v>319</v>
      </c>
    </row>
    <row r="22" spans="1:1">
      <c r="A22" t="s">
        <v>320</v>
      </c>
    </row>
    <row r="24" spans="1:1">
      <c r="A24" t="s">
        <v>321</v>
      </c>
    </row>
    <row r="25" spans="1:1">
      <c r="A25" t="s">
        <v>322</v>
      </c>
    </row>
    <row r="26" spans="1:1">
      <c r="A26" t="s">
        <v>323</v>
      </c>
    </row>
    <row r="27" spans="1:1">
      <c r="A27" t="s">
        <v>324</v>
      </c>
    </row>
    <row r="28" spans="1:1">
      <c r="A28" t="s">
        <v>325</v>
      </c>
    </row>
    <row r="29" spans="1:1">
      <c r="A29" t="s">
        <v>326</v>
      </c>
    </row>
    <row r="30" spans="1:1">
      <c r="A30" t="s">
        <v>327</v>
      </c>
    </row>
    <row r="31" spans="1:1">
      <c r="A31" t="s">
        <v>328</v>
      </c>
    </row>
    <row r="32" spans="1:1">
      <c r="A32" t="s">
        <v>329</v>
      </c>
    </row>
    <row r="33" spans="1:1">
      <c r="A33" t="s">
        <v>330</v>
      </c>
    </row>
    <row r="35" spans="1:1">
      <c r="A35" t="s">
        <v>331</v>
      </c>
    </row>
    <row r="36" spans="1:1">
      <c r="A36" t="s">
        <v>332</v>
      </c>
    </row>
    <row r="37" spans="1:1">
      <c r="A37" t="s">
        <v>333</v>
      </c>
    </row>
    <row r="38" spans="1:1">
      <c r="A38" t="s">
        <v>334</v>
      </c>
    </row>
    <row r="40" spans="1:1">
      <c r="A40" t="s">
        <v>335</v>
      </c>
    </row>
    <row r="41" spans="1:1">
      <c r="A41" t="s">
        <v>336</v>
      </c>
    </row>
    <row r="42" spans="1:1">
      <c r="A42" t="s">
        <v>337</v>
      </c>
    </row>
    <row r="43" spans="1:1">
      <c r="A43" t="s">
        <v>338</v>
      </c>
    </row>
    <row r="44" spans="1:1">
      <c r="A44" t="s">
        <v>339</v>
      </c>
    </row>
    <row r="45" spans="1:1">
      <c r="A45" t="s">
        <v>340</v>
      </c>
    </row>
    <row r="46" spans="1:1">
      <c r="A46" t="s">
        <v>341</v>
      </c>
    </row>
    <row r="47" spans="1:1">
      <c r="A47" t="s">
        <v>342</v>
      </c>
    </row>
    <row r="48" spans="1:1">
      <c r="A48" t="s">
        <v>343</v>
      </c>
    </row>
    <row r="49" spans="1:1">
      <c r="A49" t="s">
        <v>344</v>
      </c>
    </row>
    <row r="50" spans="1:1">
      <c r="A50" t="s">
        <v>345</v>
      </c>
    </row>
    <row r="51" spans="1:1">
      <c r="A51" t="s">
        <v>346</v>
      </c>
    </row>
    <row r="52" spans="1:1">
      <c r="A52" t="s">
        <v>347</v>
      </c>
    </row>
    <row r="53" spans="1:1">
      <c r="A53" t="s">
        <v>348</v>
      </c>
    </row>
    <row r="54" spans="1:1">
      <c r="A54" t="s">
        <v>349</v>
      </c>
    </row>
    <row r="55" spans="1:1">
      <c r="A55" t="s">
        <v>350</v>
      </c>
    </row>
    <row r="56" spans="1:1">
      <c r="A56" t="s">
        <v>351</v>
      </c>
    </row>
    <row r="57" spans="1:1">
      <c r="A57" t="s">
        <v>352</v>
      </c>
    </row>
    <row r="58" spans="1:1">
      <c r="A58" t="s">
        <v>353</v>
      </c>
    </row>
    <row r="59" spans="1:1">
      <c r="A59" t="s">
        <v>354</v>
      </c>
    </row>
    <row r="60" spans="1:1">
      <c r="A60" t="s">
        <v>355</v>
      </c>
    </row>
    <row r="61" spans="1:1">
      <c r="A61" t="s">
        <v>356</v>
      </c>
    </row>
    <row r="62" spans="1:1">
      <c r="A62" t="s">
        <v>357</v>
      </c>
    </row>
    <row r="63" spans="1:1">
      <c r="A63" t="s">
        <v>358</v>
      </c>
    </row>
    <row r="64" spans="1:1">
      <c r="A64" t="s">
        <v>360</v>
      </c>
    </row>
    <row r="65" spans="1:1">
      <c r="A65" t="s">
        <v>361</v>
      </c>
    </row>
    <row r="66" spans="1:1">
      <c r="A66" t="s">
        <v>362</v>
      </c>
    </row>
    <row r="67" spans="1:1">
      <c r="A67" t="s">
        <v>363</v>
      </c>
    </row>
    <row r="68" spans="1:1">
      <c r="A68" t="s">
        <v>364</v>
      </c>
    </row>
    <row r="69" spans="1:1">
      <c r="A69" t="s">
        <v>365</v>
      </c>
    </row>
    <row r="70" spans="1:1">
      <c r="A70" t="s">
        <v>366</v>
      </c>
    </row>
    <row r="71" spans="1:1">
      <c r="A71" t="s">
        <v>367</v>
      </c>
    </row>
    <row r="72" spans="1:1">
      <c r="A72" t="s">
        <v>368</v>
      </c>
    </row>
    <row r="73" spans="1:1">
      <c r="A73" t="s">
        <v>369</v>
      </c>
    </row>
    <row r="74" spans="1:1">
      <c r="A74" t="s">
        <v>370</v>
      </c>
    </row>
    <row r="75" spans="1:1">
      <c r="A75" t="s">
        <v>371</v>
      </c>
    </row>
    <row r="76" spans="1:1">
      <c r="A76" t="s">
        <v>372</v>
      </c>
    </row>
    <row r="77" spans="1:1">
      <c r="A77" t="s">
        <v>373</v>
      </c>
    </row>
    <row r="78" spans="1:1">
      <c r="A78" t="s">
        <v>374</v>
      </c>
    </row>
    <row r="79" spans="1:1">
      <c r="A79" t="s">
        <v>375</v>
      </c>
    </row>
    <row r="80" spans="1:1">
      <c r="A80" t="s">
        <v>376</v>
      </c>
    </row>
    <row r="81" spans="1:1">
      <c r="A81" t="s">
        <v>377</v>
      </c>
    </row>
    <row r="82" spans="1:1">
      <c r="A82" t="s">
        <v>378</v>
      </c>
    </row>
    <row r="83" spans="1:1">
      <c r="A83" t="s">
        <v>379</v>
      </c>
    </row>
    <row r="85" spans="1:1">
      <c r="A85" t="s">
        <v>380</v>
      </c>
    </row>
    <row r="87" spans="1:1">
      <c r="A87" t="s">
        <v>381</v>
      </c>
    </row>
    <row r="88" spans="1:1">
      <c r="A88" t="s">
        <v>382</v>
      </c>
    </row>
    <row r="89" spans="1:1">
      <c r="A89" t="s">
        <v>383</v>
      </c>
    </row>
    <row r="90" spans="1:1">
      <c r="A90" t="s">
        <v>384</v>
      </c>
    </row>
    <row r="91" spans="1:1">
      <c r="A91" t="s">
        <v>385</v>
      </c>
    </row>
    <row r="92" spans="1:1">
      <c r="A92" t="s">
        <v>386</v>
      </c>
    </row>
    <row r="93" spans="1:1">
      <c r="A93" t="s">
        <v>387</v>
      </c>
    </row>
    <row r="94" spans="1:1">
      <c r="A94" t="s">
        <v>388</v>
      </c>
    </row>
    <row r="95" spans="1:1">
      <c r="A95" t="s">
        <v>389</v>
      </c>
    </row>
    <row r="96" spans="1:1">
      <c r="A96" t="s">
        <v>390</v>
      </c>
    </row>
    <row r="97" spans="1:1">
      <c r="A97" t="s">
        <v>391</v>
      </c>
    </row>
    <row r="98" spans="1:1">
      <c r="A98" t="s">
        <v>392</v>
      </c>
    </row>
    <row r="99" spans="1:1">
      <c r="A99" t="s">
        <v>393</v>
      </c>
    </row>
    <row r="100" spans="1:1">
      <c r="A100" t="s">
        <v>394</v>
      </c>
    </row>
    <row r="101" spans="1:1">
      <c r="A101" t="s">
        <v>395</v>
      </c>
    </row>
    <row r="102" spans="1:1">
      <c r="A102" t="s">
        <v>396</v>
      </c>
    </row>
    <row r="103" spans="1:1">
      <c r="A103" t="s">
        <v>397</v>
      </c>
    </row>
    <row r="104" spans="1:1">
      <c r="A104" t="s">
        <v>398</v>
      </c>
    </row>
    <row r="105" spans="1:1">
      <c r="A105" t="s">
        <v>399</v>
      </c>
    </row>
    <row r="106" spans="1:1">
      <c r="A106" t="s">
        <v>400</v>
      </c>
    </row>
    <row r="107" spans="1:1">
      <c r="A107" t="s">
        <v>401</v>
      </c>
    </row>
    <row r="108" spans="1:1">
      <c r="A108" t="s">
        <v>402</v>
      </c>
    </row>
    <row r="109" spans="1:1">
      <c r="A109" t="s">
        <v>403</v>
      </c>
    </row>
    <row r="110" spans="1:1">
      <c r="A110" t="s">
        <v>404</v>
      </c>
    </row>
    <row r="111" spans="1:1">
      <c r="A111" t="s">
        <v>405</v>
      </c>
    </row>
    <row r="112" spans="1:1">
      <c r="A112" t="s">
        <v>406</v>
      </c>
    </row>
    <row r="113" spans="1:1">
      <c r="A113" t="s">
        <v>407</v>
      </c>
    </row>
    <row r="114" spans="1:1">
      <c r="A114" t="s">
        <v>408</v>
      </c>
    </row>
    <row r="115" spans="1:1">
      <c r="A115" t="s">
        <v>409</v>
      </c>
    </row>
    <row r="116" spans="1:1">
      <c r="A116" t="s">
        <v>410</v>
      </c>
    </row>
    <row r="117" spans="1:1">
      <c r="A117" t="s">
        <v>411</v>
      </c>
    </row>
    <row r="118" spans="1:1">
      <c r="A118" t="s">
        <v>412</v>
      </c>
    </row>
    <row r="119" spans="1:1">
      <c r="A119" t="s">
        <v>413</v>
      </c>
    </row>
    <row r="120" spans="1:1">
      <c r="A120" t="s">
        <v>414</v>
      </c>
    </row>
    <row r="121" spans="1:1">
      <c r="A121" t="s">
        <v>415</v>
      </c>
    </row>
    <row r="122" spans="1:1">
      <c r="A122" t="s">
        <v>416</v>
      </c>
    </row>
    <row r="123" spans="1:1">
      <c r="A123" t="s">
        <v>417</v>
      </c>
    </row>
    <row r="124" spans="1:1">
      <c r="A124" t="s">
        <v>418</v>
      </c>
    </row>
    <row r="125" spans="1:1">
      <c r="A125" t="s">
        <v>419</v>
      </c>
    </row>
    <row r="126" spans="1:1">
      <c r="A126" t="s">
        <v>420</v>
      </c>
    </row>
    <row r="127" spans="1:1">
      <c r="A127" t="s">
        <v>421</v>
      </c>
    </row>
    <row r="128" spans="1:1">
      <c r="A128" t="s">
        <v>422</v>
      </c>
    </row>
    <row r="129" spans="1:1">
      <c r="A129" t="s">
        <v>423</v>
      </c>
    </row>
    <row r="130" spans="1:1">
      <c r="A130" t="s">
        <v>424</v>
      </c>
    </row>
    <row r="131" spans="1:1">
      <c r="A131" t="s">
        <v>425</v>
      </c>
    </row>
    <row r="132" spans="1:1">
      <c r="A132" t="s">
        <v>426</v>
      </c>
    </row>
    <row r="133" spans="1:1">
      <c r="A133" t="s">
        <v>427</v>
      </c>
    </row>
    <row r="134" spans="1:1">
      <c r="A134" t="s">
        <v>428</v>
      </c>
    </row>
    <row r="135" spans="1:1">
      <c r="A135" t="s">
        <v>429</v>
      </c>
    </row>
    <row r="136" spans="1:1">
      <c r="A136" t="s">
        <v>430</v>
      </c>
    </row>
    <row r="137" spans="1:1">
      <c r="A137" t="s">
        <v>431</v>
      </c>
    </row>
    <row r="138" spans="1:1">
      <c r="A138" t="s">
        <v>432</v>
      </c>
    </row>
    <row r="139" spans="1:1">
      <c r="A139" t="s">
        <v>433</v>
      </c>
    </row>
    <row r="140" spans="1:1">
      <c r="A140" t="s">
        <v>434</v>
      </c>
    </row>
    <row r="141" spans="1:1">
      <c r="A141" t="s">
        <v>435</v>
      </c>
    </row>
    <row r="142" spans="1:1">
      <c r="A142" t="s">
        <v>436</v>
      </c>
    </row>
    <row r="143" spans="1:1">
      <c r="A143" t="s">
        <v>437</v>
      </c>
    </row>
    <row r="144" spans="1:1">
      <c r="A144" t="s">
        <v>438</v>
      </c>
    </row>
    <row r="145" spans="1:1">
      <c r="A145" t="s">
        <v>439</v>
      </c>
    </row>
    <row r="146" spans="1:1">
      <c r="A146" t="s">
        <v>440</v>
      </c>
    </row>
    <row r="147" spans="1:1">
      <c r="A147" t="s">
        <v>441</v>
      </c>
    </row>
    <row r="148" spans="1:1">
      <c r="A148" t="s">
        <v>442</v>
      </c>
    </row>
    <row r="150" spans="1:1">
      <c r="A150" t="s">
        <v>443</v>
      </c>
    </row>
    <row r="151" spans="1:1">
      <c r="A151" t="s">
        <v>444</v>
      </c>
    </row>
    <row r="152" spans="1:1">
      <c r="A152" t="s">
        <v>445</v>
      </c>
    </row>
    <row r="153" spans="1:1">
      <c r="A153" t="s">
        <v>446</v>
      </c>
    </row>
    <row r="154" spans="1:1">
      <c r="A154" t="s">
        <v>447</v>
      </c>
    </row>
    <row r="155" spans="1:1">
      <c r="A155" t="s">
        <v>448</v>
      </c>
    </row>
    <row r="156" spans="1:1">
      <c r="A156" t="s">
        <v>449</v>
      </c>
    </row>
    <row r="157" spans="1:1">
      <c r="A157" t="s">
        <v>450</v>
      </c>
    </row>
    <row r="158" spans="1:1">
      <c r="A158" t="s">
        <v>451</v>
      </c>
    </row>
    <row r="159" spans="1:1">
      <c r="A159" t="s">
        <v>452</v>
      </c>
    </row>
    <row r="160" spans="1:1">
      <c r="A160" t="s">
        <v>453</v>
      </c>
    </row>
    <row r="161" spans="1:1">
      <c r="A161" t="s">
        <v>454</v>
      </c>
    </row>
    <row r="162" spans="1:1">
      <c r="A162" t="s">
        <v>455</v>
      </c>
    </row>
    <row r="163" spans="1:1">
      <c r="A163" t="s">
        <v>456</v>
      </c>
    </row>
    <row r="164" spans="1:1">
      <c r="A164" t="s">
        <v>457</v>
      </c>
    </row>
    <row r="165" spans="1:1">
      <c r="A165" t="s">
        <v>458</v>
      </c>
    </row>
    <row r="166" spans="1:1">
      <c r="A166" t="s">
        <v>459</v>
      </c>
    </row>
    <row r="167" spans="1:1">
      <c r="A167" t="s">
        <v>460</v>
      </c>
    </row>
    <row r="168" spans="1:1">
      <c r="A168" t="s">
        <v>461</v>
      </c>
    </row>
    <row r="169" spans="1:1">
      <c r="A169" t="s">
        <v>462</v>
      </c>
    </row>
    <row r="170" spans="1:1">
      <c r="A170" t="s">
        <v>463</v>
      </c>
    </row>
    <row r="171" spans="1:1">
      <c r="A171" t="s">
        <v>464</v>
      </c>
    </row>
    <row r="172" spans="1:1">
      <c r="A172" t="s">
        <v>465</v>
      </c>
    </row>
    <row r="173" spans="1:1">
      <c r="A173" t="s">
        <v>466</v>
      </c>
    </row>
    <row r="174" spans="1:1">
      <c r="A174" t="s">
        <v>467</v>
      </c>
    </row>
    <row r="175" spans="1:1">
      <c r="A175" t="s">
        <v>468</v>
      </c>
    </row>
    <row r="176" spans="1:1">
      <c r="A176" t="s">
        <v>469</v>
      </c>
    </row>
    <row r="177" spans="1:1">
      <c r="A177" t="s">
        <v>470</v>
      </c>
    </row>
    <row r="178" spans="1:1">
      <c r="A178" t="s">
        <v>471</v>
      </c>
    </row>
    <row r="179" spans="1:1">
      <c r="A179" t="s">
        <v>472</v>
      </c>
    </row>
    <row r="180" spans="1:1">
      <c r="A180" t="s">
        <v>473</v>
      </c>
    </row>
    <row r="181" spans="1:1">
      <c r="A181" t="s">
        <v>474</v>
      </c>
    </row>
    <row r="182" spans="1:1">
      <c r="A182" t="s">
        <v>475</v>
      </c>
    </row>
    <row r="183" spans="1:1">
      <c r="A183" t="s">
        <v>476</v>
      </c>
    </row>
    <row r="184" spans="1:1">
      <c r="A184" t="s">
        <v>477</v>
      </c>
    </row>
    <row r="185" spans="1:1">
      <c r="A185" t="s">
        <v>478</v>
      </c>
    </row>
    <row r="186" spans="1:1">
      <c r="A186" t="s">
        <v>479</v>
      </c>
    </row>
    <row r="187" spans="1:1">
      <c r="A187" t="s">
        <v>480</v>
      </c>
    </row>
    <row r="188" spans="1:1">
      <c r="A188" t="s">
        <v>481</v>
      </c>
    </row>
    <row r="189" spans="1:1">
      <c r="A189" t="s">
        <v>482</v>
      </c>
    </row>
    <row r="190" spans="1:1">
      <c r="A190" t="s">
        <v>483</v>
      </c>
    </row>
    <row r="191" spans="1:1">
      <c r="A191" t="s">
        <v>484</v>
      </c>
    </row>
    <row r="192" spans="1:1">
      <c r="A192" t="s">
        <v>485</v>
      </c>
    </row>
    <row r="193" spans="1:1">
      <c r="A193" t="s">
        <v>486</v>
      </c>
    </row>
    <row r="194" spans="1:1">
      <c r="A194" t="s">
        <v>487</v>
      </c>
    </row>
    <row r="195" spans="1:1">
      <c r="A195" t="s">
        <v>488</v>
      </c>
    </row>
    <row r="196" spans="1:1">
      <c r="A196" t="s">
        <v>489</v>
      </c>
    </row>
    <row r="197" spans="1:1">
      <c r="A197" t="s">
        <v>490</v>
      </c>
    </row>
    <row r="198" spans="1:1">
      <c r="A198" t="s">
        <v>491</v>
      </c>
    </row>
    <row r="199" spans="1:1">
      <c r="A199" t="s">
        <v>492</v>
      </c>
    </row>
    <row r="200" spans="1:1">
      <c r="A200" t="s">
        <v>493</v>
      </c>
    </row>
    <row r="201" spans="1:1">
      <c r="A201" t="s">
        <v>494</v>
      </c>
    </row>
    <row r="203" spans="1:1">
      <c r="A203" t="s">
        <v>359</v>
      </c>
    </row>
    <row r="204" spans="1:1">
      <c r="A204" t="s">
        <v>495</v>
      </c>
    </row>
    <row r="205" spans="1:1">
      <c r="A205" t="s">
        <v>496</v>
      </c>
    </row>
    <row r="206" spans="1:1">
      <c r="A206" t="s">
        <v>497</v>
      </c>
    </row>
    <row r="207" spans="1:1">
      <c r="A207" t="s">
        <v>498</v>
      </c>
    </row>
    <row r="209" spans="1:1">
      <c r="A209" t="s">
        <v>499</v>
      </c>
    </row>
    <row r="210" spans="1:1">
      <c r="A210" t="s">
        <v>500</v>
      </c>
    </row>
    <row r="211" spans="1:1">
      <c r="A211" t="s">
        <v>501</v>
      </c>
    </row>
    <row r="212" spans="1:1">
      <c r="A212" t="s">
        <v>502</v>
      </c>
    </row>
    <row r="213" spans="1:1">
      <c r="A213" t="s">
        <v>503</v>
      </c>
    </row>
    <row r="214" spans="1:1">
      <c r="A214" t="s">
        <v>504</v>
      </c>
    </row>
    <row r="215" spans="1:1">
      <c r="A215" t="s">
        <v>505</v>
      </c>
    </row>
    <row r="216" spans="1:1">
      <c r="A216" t="s">
        <v>506</v>
      </c>
    </row>
    <row r="217" spans="1:1">
      <c r="A217" t="s">
        <v>507</v>
      </c>
    </row>
    <row r="218" spans="1:1">
      <c r="A218" t="s">
        <v>508</v>
      </c>
    </row>
    <row r="219" spans="1:1">
      <c r="A219" t="s">
        <v>509</v>
      </c>
    </row>
    <row r="220" spans="1:1">
      <c r="A220" t="s">
        <v>510</v>
      </c>
    </row>
    <row r="221" spans="1:1">
      <c r="A221" t="s">
        <v>511</v>
      </c>
    </row>
    <row r="222" spans="1:1">
      <c r="A222" t="s">
        <v>512</v>
      </c>
    </row>
    <row r="224" spans="1:1">
      <c r="A224" t="s">
        <v>513</v>
      </c>
    </row>
    <row r="232" spans="1:1">
      <c r="A232" t="s">
        <v>514</v>
      </c>
    </row>
    <row r="239" spans="1:1">
      <c r="A239" t="s">
        <v>515</v>
      </c>
    </row>
    <row r="245" spans="1:1">
      <c r="A245" t="s">
        <v>516</v>
      </c>
    </row>
    <row r="250" spans="1:1">
      <c r="A250" t="s">
        <v>517</v>
      </c>
    </row>
    <row r="253" spans="1:1">
      <c r="A253" t="s">
        <v>518</v>
      </c>
    </row>
    <row r="255" spans="1:1">
      <c r="A255" t="s">
        <v>519</v>
      </c>
    </row>
    <row r="263" spans="1:1">
      <c r="A263" t="s">
        <v>520</v>
      </c>
    </row>
    <row r="264" spans="1:1">
      <c r="A264" t="s">
        <v>521</v>
      </c>
    </row>
    <row r="265" spans="1:1">
      <c r="A265" t="s">
        <v>522</v>
      </c>
    </row>
    <row r="266" spans="1:1">
      <c r="A266" t="s">
        <v>523</v>
      </c>
    </row>
    <row r="268" spans="1:1">
      <c r="A268">
        <v>55</v>
      </c>
    </row>
    <row r="270" spans="1:1">
      <c r="A270" t="s">
        <v>524</v>
      </c>
    </row>
    <row r="285" spans="1:1">
      <c r="A285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Прейск_2019</vt:lpstr>
      <vt:lpstr>Лист1</vt:lpstr>
      <vt:lpstr>Прейск_2019!Область_печати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Алексей Владимирович</dc:creator>
  <cp:lastModifiedBy>Ишембитова Айгуль Агзамовна</cp:lastModifiedBy>
  <cp:lastPrinted>2022-02-21T09:13:39Z</cp:lastPrinted>
  <dcterms:created xsi:type="dcterms:W3CDTF">2014-11-19T10:04:19Z</dcterms:created>
  <dcterms:modified xsi:type="dcterms:W3CDTF">2026-07-27T10:32:51Z</dcterms:modified>
</cp:coreProperties>
</file>